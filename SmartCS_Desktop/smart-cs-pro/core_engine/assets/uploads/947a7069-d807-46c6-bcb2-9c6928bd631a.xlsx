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400" windowHeight="4650" activeTab="7"/>
  </bookViews>
  <sheets>
    <sheet name="汇总" sheetId="2" state="hidden" r:id="rId1"/>
    <sheet name="单品13GD31" sheetId="3" state="hidden" r:id="rId2"/>
    <sheet name="单品16GD31 " sheetId="4" state="hidden" r:id="rId3"/>
    <sheet name="单品16GD32" sheetId="5" state="hidden" r:id="rId4"/>
    <sheet name="单品16QD06W" sheetId="6" state="hidden" r:id="rId5"/>
    <sheet name="单品2E08MTX" sheetId="7" state="hidden" r:id="rId6"/>
    <sheet name="单品24C39" sheetId="8" state="hidden" r:id="rId7"/>
    <sheet name="大自营-燃热" sheetId="9" r:id="rId8"/>
    <sheet name="出库表" sheetId="10" state="hidden" r:id="rId9"/>
    <sheet name="SKU匹配表" sheetId="11" state="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<sst xmlns="http://schemas.openxmlformats.org/spreadsheetml/2006/main" count="61367" uniqueCount="1510">
  <si>
    <t>sku:100048028229</t>
  </si>
  <si>
    <t/>
  </si>
  <si>
    <t>销售出库</t>
  </si>
  <si>
    <t>流量</t>
  </si>
  <si>
    <t>转化</t>
  </si>
  <si>
    <t>京仓现货率</t>
  </si>
  <si>
    <t>关键词排名</t>
  </si>
  <si>
    <t>流失分析</t>
  </si>
  <si>
    <t>负同比每日分析</t>
  </si>
  <si>
    <t>日期</t>
  </si>
  <si>
    <t>价格政策</t>
  </si>
  <si>
    <t>销售额</t>
  </si>
  <si>
    <t>模块销售占比</t>
  </si>
  <si>
    <t>PV</t>
  </si>
  <si>
    <t>UV</t>
  </si>
  <si>
    <t>人均浏览量</t>
  </si>
  <si>
    <t>平均停留时间</t>
  </si>
  <si>
    <t>关注人数</t>
  </si>
  <si>
    <t>加购人数</t>
  </si>
  <si>
    <t>站内免费</t>
  </si>
  <si>
    <t>站内付费</t>
  </si>
  <si>
    <t>站外免费</t>
  </si>
  <si>
    <t>站外付费</t>
  </si>
  <si>
    <t>搜索</t>
  </si>
  <si>
    <t>内容</t>
  </si>
  <si>
    <t>店铺转化率</t>
  </si>
  <si>
    <t>询单
数</t>
  </si>
  <si>
    <t>询单
率</t>
  </si>
  <si>
    <t>询单
成交数</t>
  </si>
  <si>
    <t>询单
转化</t>
  </si>
  <si>
    <t>静默成交数</t>
  </si>
  <si>
    <t>静默转化</t>
  </si>
  <si>
    <t>燃气热水器</t>
  </si>
  <si>
    <t>热水器</t>
  </si>
  <si>
    <t>流量流失</t>
  </si>
  <si>
    <t>销售流失</t>
  </si>
  <si>
    <t>Y-23</t>
  </si>
  <si>
    <t>Y-22</t>
  </si>
  <si>
    <t>Y-23
数量</t>
  </si>
  <si>
    <t>Y-23
金额</t>
  </si>
  <si>
    <t>实际销售</t>
  </si>
  <si>
    <t>Y-22
金额</t>
  </si>
  <si>
    <t>同比</t>
  </si>
  <si>
    <t>目标</t>
  </si>
  <si>
    <t>达成率</t>
  </si>
  <si>
    <t>类目占比</t>
  </si>
  <si>
    <t>推广成交金额</t>
  </si>
  <si>
    <t>占比</t>
  </si>
  <si>
    <t>客服成交金额</t>
  </si>
  <si>
    <t>层级</t>
  </si>
  <si>
    <t>排名</t>
  </si>
  <si>
    <t>搜索曝光</t>
  </si>
  <si>
    <t>Y-22搜索曝光</t>
  </si>
  <si>
    <t>TOP 1</t>
  </si>
  <si>
    <t>TOP 2</t>
  </si>
  <si>
    <t>TOP 3</t>
  </si>
  <si>
    <t>TOP 4</t>
  </si>
  <si>
    <t>TOP 5</t>
  </si>
  <si>
    <t>TOP 6</t>
  </si>
  <si>
    <t>TOP 7</t>
  </si>
  <si>
    <t>TOP 8</t>
  </si>
  <si>
    <t>TOP 9</t>
  </si>
  <si>
    <t>TOP 10</t>
  </si>
  <si>
    <t>填写人员</t>
  </si>
  <si>
    <t>运营</t>
  </si>
  <si>
    <t>张超</t>
  </si>
  <si>
    <t>推广</t>
  </si>
  <si>
    <t>客服</t>
  </si>
  <si>
    <t>直播</t>
  </si>
  <si>
    <t>供应链</t>
  </si>
  <si>
    <t>A</t>
  </si>
  <si>
    <t>无</t>
  </si>
  <si>
    <t>-</t>
  </si>
  <si>
    <t>E</t>
  </si>
  <si>
    <t>F</t>
  </si>
  <si>
    <t>预约</t>
  </si>
  <si>
    <t>13QC05</t>
  </si>
  <si>
    <t>POP13QS04</t>
  </si>
  <si>
    <t>16GD31</t>
  </si>
  <si>
    <t>13GD32</t>
  </si>
  <si>
    <t>13QD31</t>
  </si>
  <si>
    <t>13QD06W</t>
  </si>
  <si>
    <t>POP13QC05</t>
  </si>
  <si>
    <t>16QD31</t>
  </si>
  <si>
    <t>16QD06W</t>
  </si>
  <si>
    <t>能率13EA2</t>
  </si>
  <si>
    <t>13GD31</t>
  </si>
  <si>
    <t>16QC05</t>
  </si>
  <si>
    <t>五星13QS04</t>
  </si>
  <si>
    <t>预售</t>
  </si>
  <si>
    <t>？</t>
  </si>
  <si>
    <t>S</t>
  </si>
  <si>
    <t>海尔锦绣</t>
  </si>
  <si>
    <t>16GD32</t>
  </si>
  <si>
    <t>D</t>
  </si>
  <si>
    <t>厂直16GD32</t>
  </si>
  <si>
    <t>厂直16QC05</t>
  </si>
  <si>
    <t>/</t>
  </si>
  <si>
    <t>限时</t>
  </si>
  <si>
    <t>S级</t>
  </si>
  <si>
    <t>A级</t>
  </si>
  <si>
    <t>海尔KL3U1</t>
  </si>
  <si>
    <t>C</t>
  </si>
  <si>
    <t>#DIV/0!</t>
  </si>
  <si>
    <t>预售+S级</t>
  </si>
  <si>
    <t>16GD61R</t>
  </si>
  <si>
    <t>能率13E4</t>
  </si>
  <si>
    <t>厂直16QD31+SG</t>
  </si>
  <si>
    <t>13</t>
  </si>
  <si>
    <t>22</t>
  </si>
  <si>
    <t>19</t>
  </si>
  <si>
    <t>23</t>
  </si>
  <si>
    <t>14</t>
  </si>
  <si>
    <t>209</t>
  </si>
  <si>
    <t>20</t>
  </si>
  <si>
    <t>236</t>
  </si>
  <si>
    <t>220</t>
  </si>
  <si>
    <t>17</t>
  </si>
  <si>
    <t>207</t>
  </si>
  <si>
    <t>12</t>
  </si>
  <si>
    <t>253</t>
  </si>
  <si>
    <t>史密斯TC1</t>
  </si>
  <si>
    <t>214</t>
  </si>
  <si>
    <t>31号晚8开门红</t>
  </si>
  <si>
    <t>210</t>
  </si>
  <si>
    <t>日销</t>
  </si>
  <si>
    <t>晚8点</t>
  </si>
  <si>
    <t>POP13GD31</t>
  </si>
  <si>
    <t>厂直16QC05+SG</t>
  </si>
  <si>
    <t>7号晚8</t>
  </si>
  <si>
    <t>49</t>
  </si>
  <si>
    <t>15</t>
  </si>
  <si>
    <t>10</t>
  </si>
  <si>
    <t>21</t>
  </si>
  <si>
    <t>海尔13KL3U1</t>
  </si>
  <si>
    <t>1--7</t>
  </si>
  <si>
    <t>8--14</t>
  </si>
  <si>
    <t>15--21</t>
  </si>
  <si>
    <t>22--28</t>
  </si>
  <si>
    <t>29--31</t>
  </si>
  <si>
    <t>7月
sku:100039707007</t>
  </si>
  <si>
    <t>POP16GD32</t>
  </si>
  <si>
    <t>POP16QS04</t>
  </si>
  <si>
    <t>16QD06</t>
  </si>
  <si>
    <t>能率16EA2</t>
  </si>
  <si>
    <t>海尔云程</t>
  </si>
  <si>
    <t>16QD06*</t>
  </si>
  <si>
    <t>16QD03*</t>
  </si>
  <si>
    <t>五星16GD32</t>
  </si>
  <si>
    <t>五星16QC06</t>
  </si>
  <si>
    <t>能率16E4</t>
  </si>
  <si>
    <t>18</t>
  </si>
  <si>
    <t xml:space="preserve">301 </t>
  </si>
  <si>
    <t xml:space="preserve">14 </t>
  </si>
  <si>
    <t xml:space="preserve">278 </t>
  </si>
  <si>
    <t xml:space="preserve">17 </t>
  </si>
  <si>
    <t xml:space="preserve">288 </t>
  </si>
  <si>
    <t xml:space="preserve">20 </t>
  </si>
  <si>
    <t xml:space="preserve">21 </t>
  </si>
  <si>
    <t xml:space="preserve">258 </t>
  </si>
  <si>
    <t xml:space="preserve">249 </t>
  </si>
  <si>
    <t xml:space="preserve">23 </t>
  </si>
  <si>
    <t xml:space="preserve">24 </t>
  </si>
  <si>
    <t>39</t>
  </si>
  <si>
    <t>45</t>
  </si>
  <si>
    <t xml:space="preserve">22 </t>
  </si>
  <si>
    <t xml:space="preserve">7 </t>
  </si>
  <si>
    <t xml:space="preserve">40 </t>
  </si>
  <si>
    <t xml:space="preserve">35 </t>
  </si>
  <si>
    <t>16QC06</t>
  </si>
  <si>
    <t>小店16C08</t>
  </si>
  <si>
    <t>26</t>
  </si>
  <si>
    <t xml:space="preserve">39 </t>
  </si>
  <si>
    <t xml:space="preserve">30 </t>
  </si>
  <si>
    <t xml:space="preserve">27 </t>
  </si>
  <si>
    <t>美的16MATE</t>
  </si>
  <si>
    <t>B</t>
  </si>
  <si>
    <t>7月</t>
  </si>
  <si>
    <t>负同比每周分析</t>
  </si>
  <si>
    <t>直播成交金额</t>
  </si>
  <si>
    <t>史密斯TJ1</t>
  </si>
  <si>
    <t>POP16QC06</t>
  </si>
  <si>
    <t>厂直16GD31</t>
  </si>
  <si>
    <t>厂直13GD31</t>
  </si>
  <si>
    <t>小店C08</t>
  </si>
  <si>
    <t>能率16V36A</t>
  </si>
  <si>
    <t>#VALUE!</t>
  </si>
  <si>
    <t xml:space="preserve">51 </t>
  </si>
  <si>
    <t>16</t>
  </si>
  <si>
    <t>11</t>
  </si>
  <si>
    <t>8</t>
  </si>
  <si>
    <t>6</t>
  </si>
  <si>
    <t>167</t>
  </si>
  <si>
    <t>133</t>
  </si>
  <si>
    <t>146</t>
  </si>
  <si>
    <t>168</t>
  </si>
  <si>
    <t>130</t>
  </si>
  <si>
    <t xml:space="preserve">9 </t>
  </si>
  <si>
    <t>126</t>
  </si>
  <si>
    <t>170</t>
  </si>
  <si>
    <t xml:space="preserve">13 </t>
  </si>
  <si>
    <t>125</t>
  </si>
  <si>
    <t xml:space="preserve">6 </t>
  </si>
  <si>
    <t>147</t>
  </si>
  <si>
    <t>180</t>
  </si>
  <si>
    <t>211</t>
  </si>
  <si>
    <t>24</t>
  </si>
  <si>
    <t>163</t>
  </si>
  <si>
    <t>171</t>
  </si>
  <si>
    <t>179</t>
  </si>
  <si>
    <t xml:space="preserve">10 </t>
  </si>
  <si>
    <t>212</t>
  </si>
  <si>
    <t>184</t>
  </si>
  <si>
    <t>155</t>
  </si>
  <si>
    <t xml:space="preserve">8 </t>
  </si>
  <si>
    <t>7月
sku:100009176306</t>
  </si>
  <si>
    <t>Y23推广成交金额</t>
  </si>
  <si>
    <t>Y22推广成交金额</t>
  </si>
  <si>
    <t>闪购</t>
  </si>
  <si>
    <t>海尔致远</t>
  </si>
  <si>
    <t>预约晚8点</t>
  </si>
  <si>
    <t>预约+闪购</t>
  </si>
  <si>
    <t>厂直16QD06W</t>
  </si>
  <si>
    <t>卡萨帝16CJS</t>
  </si>
  <si>
    <t>0点预约</t>
  </si>
  <si>
    <t>日销+闪购</t>
  </si>
  <si>
    <t>小店16QD06W</t>
  </si>
  <si>
    <t>掌秒</t>
  </si>
  <si>
    <t>129</t>
  </si>
  <si>
    <t>9</t>
  </si>
  <si>
    <t>123</t>
  </si>
  <si>
    <t>95</t>
  </si>
  <si>
    <t>2</t>
  </si>
  <si>
    <t>卡萨帝16CWS</t>
  </si>
  <si>
    <t>开门红/掌秒</t>
  </si>
  <si>
    <t>日销/掌秒</t>
  </si>
  <si>
    <t>海尔16Meta</t>
  </si>
  <si>
    <t>海尔16LU1</t>
  </si>
  <si>
    <t>卡萨帝16CW3</t>
  </si>
  <si>
    <t>4</t>
  </si>
  <si>
    <t>晚8点/掌秒</t>
  </si>
  <si>
    <t>燃气灶单品：2E08MTX
SKU:100066733312</t>
  </si>
  <si>
    <t>单品转化率</t>
  </si>
  <si>
    <t>燃气灶</t>
  </si>
  <si>
    <t>定时灶</t>
  </si>
  <si>
    <t>周报</t>
  </si>
  <si>
    <t>采暖单品：24C39日报
100044938343</t>
  </si>
  <si>
    <t>库存</t>
  </si>
  <si>
    <t>询单数</t>
  </si>
  <si>
    <t>询单率</t>
  </si>
  <si>
    <t>询单成交数</t>
  </si>
  <si>
    <t>询单转化</t>
  </si>
  <si>
    <t>壁挂炉</t>
  </si>
  <si>
    <t>晚8</t>
  </si>
  <si>
    <t>林内（Rinnai）</t>
  </si>
  <si>
    <t>万和（Vanward）</t>
  </si>
  <si>
    <t>唐狮</t>
  </si>
  <si>
    <t>史密斯（A.O.SMITH）</t>
  </si>
  <si>
    <t>庆东纳碧安（KDNAVIEN）</t>
  </si>
  <si>
    <t>美的（Midea）</t>
  </si>
  <si>
    <t>威能</t>
  </si>
  <si>
    <t>万家乐（macro）</t>
  </si>
  <si>
    <t>海尔（Haier）</t>
  </si>
  <si>
    <t>格林慕铂</t>
  </si>
  <si>
    <t>24C33</t>
  </si>
  <si>
    <t>24C66L</t>
  </si>
  <si>
    <t>24C30</t>
  </si>
  <si>
    <t>海尔
LL1PBD26-JN7(T)U1</t>
  </si>
  <si>
    <t>京东小音箱</t>
  </si>
  <si>
    <t>史密斯
L1PB26-A5 
SKU：43126266809</t>
  </si>
  <si>
    <r>
      <rPr>
        <b/>
        <u/>
        <sz val="9"/>
        <color theme="10"/>
        <rFont val="Calibri"/>
        <charset val="134"/>
      </rPr>
      <t>海尔</t>
    </r>
    <r>
      <rPr>
        <b/>
        <u/>
        <sz val="9"/>
        <color theme="10"/>
        <rFont val="Calibri"/>
        <charset val="134"/>
      </rPr>
      <t xml:space="preserve">
LL1PBD26-JN7(T)U1</t>
    </r>
    <r>
      <rPr>
        <u/>
        <sz val="9"/>
        <color theme="10"/>
        <rFont val="Calibri"/>
        <charset val="134"/>
      </rPr>
      <t xml:space="preserve">
SKU：100023271449</t>
    </r>
  </si>
  <si>
    <r>
      <rPr>
        <b/>
        <u/>
        <sz val="9"/>
        <color theme="10"/>
        <rFont val="Calibri"/>
        <charset val="134"/>
      </rPr>
      <t>美的</t>
    </r>
    <r>
      <rPr>
        <b/>
        <u/>
        <sz val="9"/>
        <color theme="10"/>
        <rFont val="Calibri"/>
        <charset val="134"/>
      </rPr>
      <t xml:space="preserve">
L1GB24-R07</t>
    </r>
    <r>
      <rPr>
        <u/>
        <sz val="9"/>
        <color theme="10"/>
        <rFont val="Calibri"/>
        <charset val="134"/>
      </rPr>
      <t xml:space="preserve">
SKU：100037296247</t>
    </r>
  </si>
  <si>
    <r>
      <rPr>
        <b/>
        <u/>
        <sz val="9"/>
        <color theme="10"/>
        <rFont val="Calibri"/>
        <charset val="134"/>
      </rPr>
      <t>威能</t>
    </r>
    <r>
      <rPr>
        <b/>
        <u/>
        <sz val="9"/>
        <color theme="10"/>
        <rFont val="Calibri"/>
        <charset val="134"/>
      </rPr>
      <t xml:space="preserve">
ecoTEC intro 24kW 两用壁挂炉</t>
    </r>
    <r>
      <rPr>
        <u/>
        <sz val="9"/>
        <color theme="10"/>
        <rFont val="Calibri"/>
        <charset val="134"/>
      </rPr>
      <t xml:space="preserve">
SKU：10074859125121</t>
    </r>
  </si>
  <si>
    <t>28C66L</t>
  </si>
  <si>
    <t>预约/预售</t>
  </si>
  <si>
    <t>88plus</t>
  </si>
  <si>
    <t>能率热水器
GQ-16E4AFEX</t>
  </si>
  <si>
    <t>凯度
SR52BW1-GR Pro</t>
  </si>
  <si>
    <t>史密斯热水器
JSQ31-TEW</t>
  </si>
  <si>
    <r>
      <rPr>
        <b/>
        <u/>
        <sz val="9"/>
        <color theme="10"/>
        <rFont val="Calibri"/>
        <charset val="134"/>
      </rPr>
      <t>RBS-24C33(适用于80-120㎡)</t>
    </r>
    <r>
      <rPr>
        <u/>
        <sz val="9"/>
        <color theme="10"/>
        <rFont val="Calibri"/>
        <charset val="134"/>
      </rPr>
      <t xml:space="preserve">
SKU：100003152535</t>
    </r>
  </si>
  <si>
    <r>
      <rPr>
        <b/>
        <u/>
        <sz val="9"/>
        <color theme="10"/>
        <rFont val="Calibri"/>
        <charset val="134"/>
      </rPr>
      <t>卡萨帝</t>
    </r>
    <r>
      <rPr>
        <b/>
        <u/>
        <sz val="9"/>
        <color theme="10"/>
        <rFont val="Calibri"/>
        <charset val="134"/>
      </rPr>
      <t xml:space="preserve">
LL1PBD26-CWN3NXGU1</t>
    </r>
    <r>
      <rPr>
        <u/>
        <sz val="9"/>
        <color theme="10"/>
        <rFont val="Calibri"/>
        <charset val="134"/>
      </rPr>
      <t xml:space="preserve">
SKU：100057678547</t>
    </r>
  </si>
  <si>
    <r>
      <rPr>
        <b/>
        <u/>
        <sz val="9"/>
        <color theme="10"/>
        <rFont val="Calibri"/>
        <charset val="134"/>
      </rPr>
      <t>庆东纳碧安</t>
    </r>
    <r>
      <rPr>
        <b/>
        <u/>
        <sz val="9"/>
        <color theme="10"/>
        <rFont val="Calibri"/>
        <charset val="134"/>
      </rPr>
      <t xml:space="preserve">
GB27-DELUXE 24K</t>
    </r>
    <r>
      <rPr>
        <u/>
        <sz val="9"/>
        <color theme="10"/>
        <rFont val="Calibri"/>
        <charset val="134"/>
      </rPr>
      <t xml:space="preserve">
SKU：100019904059</t>
    </r>
  </si>
  <si>
    <r>
      <rPr>
        <b/>
        <u/>
        <sz val="9"/>
        <color theme="10"/>
        <rFont val="Calibri"/>
        <charset val="134"/>
      </rPr>
      <t>RBS-35C39</t>
    </r>
    <r>
      <rPr>
        <u/>
        <sz val="9"/>
        <color theme="10"/>
        <rFont val="Calibri"/>
        <charset val="134"/>
      </rPr>
      <t xml:space="preserve">
SKU：100044938329</t>
    </r>
  </si>
  <si>
    <r>
      <rPr>
        <b/>
        <u/>
        <sz val="9"/>
        <color theme="10"/>
        <rFont val="Calibri"/>
        <charset val="134"/>
      </rPr>
      <t>RBS-35C30(L)</t>
    </r>
    <r>
      <rPr>
        <u/>
        <sz val="9"/>
        <color theme="10"/>
        <rFont val="Calibri"/>
        <charset val="134"/>
      </rPr>
      <t xml:space="preserve">
SKU：100019121361</t>
    </r>
  </si>
  <si>
    <t>25Q55A</t>
  </si>
  <si>
    <t>24G56</t>
  </si>
  <si>
    <t>采暖系统</t>
  </si>
  <si>
    <t>海尔
L1PBD26-JN7(T)U1</t>
  </si>
  <si>
    <r>
      <rPr>
        <b/>
        <u/>
        <sz val="9"/>
        <color theme="10"/>
        <rFont val="Calibri"/>
        <charset val="134"/>
      </rPr>
      <t>史密斯</t>
    </r>
    <r>
      <rPr>
        <b/>
        <u/>
        <sz val="9"/>
        <color theme="10"/>
        <rFont val="Calibri"/>
        <charset val="134"/>
      </rPr>
      <t xml:space="preserve">
LL1GBQ-E10 </t>
    </r>
    <r>
      <rPr>
        <u/>
        <sz val="9"/>
        <color theme="10"/>
        <rFont val="Calibri"/>
        <charset val="134"/>
      </rPr>
      <t xml:space="preserve">
SKU：10060718476231</t>
    </r>
  </si>
  <si>
    <r>
      <rPr>
        <b/>
        <u/>
        <sz val="9"/>
        <color theme="10"/>
        <rFont val="Calibri"/>
        <charset val="134"/>
      </rPr>
      <t>博世</t>
    </r>
    <r>
      <rPr>
        <b/>
        <u/>
        <sz val="9"/>
        <color theme="10"/>
        <rFont val="Calibri"/>
        <charset val="134"/>
      </rPr>
      <t xml:space="preserve">
G5100WE 24KW</t>
    </r>
    <r>
      <rPr>
        <u/>
        <sz val="9"/>
        <color theme="10"/>
        <rFont val="Calibri"/>
        <charset val="134"/>
      </rPr>
      <t xml:space="preserve">
SKU：10060082160117</t>
    </r>
  </si>
  <si>
    <r>
      <rPr>
        <b/>
        <u/>
        <sz val="9"/>
        <color theme="10"/>
        <rFont val="Calibri"/>
        <charset val="134"/>
      </rPr>
      <t>美的</t>
    </r>
    <r>
      <rPr>
        <b/>
        <u/>
        <sz val="9"/>
        <color theme="10"/>
        <rFont val="Calibri"/>
        <charset val="134"/>
      </rPr>
      <t xml:space="preserve">
24KW-R07使用60-160平</t>
    </r>
    <r>
      <rPr>
        <u/>
        <sz val="9"/>
        <color theme="10"/>
        <rFont val="Calibri"/>
        <charset val="134"/>
      </rPr>
      <t xml:space="preserve">
SKU：10059691201780</t>
    </r>
  </si>
  <si>
    <r>
      <rPr>
        <b/>
        <u/>
        <sz val="9"/>
        <color theme="10"/>
        <rFont val="Calibri"/>
        <charset val="134"/>
      </rPr>
      <t>REB-A2747FF-CH(100-150㎡)</t>
    </r>
    <r>
      <rPr>
        <u/>
        <sz val="9"/>
        <color theme="10"/>
        <rFont val="Calibri"/>
        <charset val="134"/>
      </rPr>
      <t xml:space="preserve">
SKU：100007591349</t>
    </r>
  </si>
  <si>
    <r>
      <rPr>
        <b/>
        <u/>
        <sz val="9"/>
        <color theme="10"/>
        <rFont val="Calibri"/>
        <charset val="134"/>
      </rPr>
      <t>RBS-24C30(L)</t>
    </r>
    <r>
      <rPr>
        <u/>
        <sz val="9"/>
        <color theme="10"/>
        <rFont val="Calibri"/>
        <charset val="134"/>
      </rPr>
      <t xml:space="preserve">
SKU：100033816230</t>
    </r>
  </si>
  <si>
    <r>
      <rPr>
        <b/>
        <u/>
        <sz val="9"/>
        <color theme="10"/>
        <rFont val="Calibri"/>
        <charset val="134"/>
      </rPr>
      <t xml:space="preserve"> RBS-36K88 Plus(200-250㎡)</t>
    </r>
    <r>
      <rPr>
        <u/>
        <sz val="9"/>
        <color theme="10"/>
        <rFont val="Calibri"/>
        <charset val="134"/>
      </rPr>
      <t xml:space="preserve">
SKU：100002363448</t>
    </r>
  </si>
  <si>
    <r>
      <rPr>
        <b/>
        <u/>
        <sz val="9"/>
        <color theme="10"/>
        <rFont val="Calibri"/>
        <charset val="134"/>
      </rPr>
      <t>RBS-28C39</t>
    </r>
    <r>
      <rPr>
        <u/>
        <sz val="9"/>
        <color theme="10"/>
        <rFont val="Calibri"/>
        <charset val="134"/>
      </rPr>
      <t xml:space="preserve">
SKU：100044938307</t>
    </r>
  </si>
  <si>
    <r>
      <rPr>
        <b/>
        <u/>
        <sz val="9"/>
        <color theme="10"/>
        <rFont val="Calibri"/>
        <charset val="134"/>
      </rPr>
      <t>RBS-22UX(80-120㎡)</t>
    </r>
    <r>
      <rPr>
        <u/>
        <sz val="9"/>
        <color theme="10"/>
        <rFont val="Calibri"/>
        <charset val="134"/>
      </rPr>
      <t xml:space="preserve">
SKU：100011741770</t>
    </r>
  </si>
  <si>
    <t>pop店
24G56</t>
  </si>
  <si>
    <r>
      <rPr>
        <b/>
        <u/>
        <sz val="9"/>
        <color theme="10"/>
        <rFont val="Calibri"/>
        <charset val="134"/>
      </rPr>
      <t>博世</t>
    </r>
    <r>
      <rPr>
        <b/>
        <u/>
        <sz val="9"/>
        <color theme="10"/>
        <rFont val="Calibri"/>
        <charset val="134"/>
      </rPr>
      <t xml:space="preserve">
G5100WE 24KW</t>
    </r>
    <r>
      <rPr>
        <u/>
        <sz val="9"/>
        <color theme="10"/>
        <rFont val="Calibri"/>
        <charset val="134"/>
      </rPr>
      <t xml:space="preserve">
SKU：10059512083629</t>
    </r>
  </si>
  <si>
    <r>
      <rPr>
        <b/>
        <u/>
        <sz val="9"/>
        <color theme="10"/>
        <rFont val="Calibri"/>
        <charset val="134"/>
      </rPr>
      <t>RBS-24C33</t>
    </r>
    <r>
      <rPr>
        <u/>
        <sz val="9"/>
        <color theme="10"/>
        <rFont val="Calibri"/>
        <charset val="134"/>
      </rPr>
      <t xml:space="preserve">
SKU：100003152535</t>
    </r>
  </si>
  <si>
    <r>
      <rPr>
        <b/>
        <u/>
        <sz val="9"/>
        <color theme="10"/>
        <rFont val="Calibri"/>
        <charset val="134"/>
      </rPr>
      <t>RBS-24C66L</t>
    </r>
    <r>
      <rPr>
        <u/>
        <sz val="9"/>
        <color theme="10"/>
        <rFont val="Calibri"/>
        <charset val="134"/>
      </rPr>
      <t xml:space="preserve">
SKU：100024539022</t>
    </r>
  </si>
  <si>
    <t>RBS-24G56(L1GB28-24G56 )</t>
  </si>
  <si>
    <r>
      <rPr>
        <b/>
        <u/>
        <sz val="9"/>
        <color theme="10"/>
        <rFont val="Calibri"/>
        <charset val="134"/>
      </rPr>
      <t>海尔</t>
    </r>
    <r>
      <rPr>
        <b/>
        <u/>
        <sz val="9"/>
        <color theme="10"/>
        <rFont val="Calibri"/>
        <charset val="134"/>
      </rPr>
      <t xml:space="preserve">
LL1PBD20-JN7(T)U1</t>
    </r>
    <r>
      <rPr>
        <u/>
        <sz val="9"/>
        <color theme="10"/>
        <rFont val="Calibri"/>
        <charset val="134"/>
      </rPr>
      <t xml:space="preserve">
SKU：100023271455</t>
    </r>
  </si>
  <si>
    <t>销售额合计</t>
  </si>
  <si>
    <t xml:space="preserve"> </t>
  </si>
  <si>
    <t>客服接待数据</t>
  </si>
  <si>
    <t>客服销售数据（剔除京专）</t>
  </si>
  <si>
    <t>接待量</t>
  </si>
  <si>
    <t>人力</t>
  </si>
  <si>
    <t>满意率</t>
  </si>
  <si>
    <t>平响</t>
  </si>
  <si>
    <t>询单人数</t>
  </si>
  <si>
    <t>询单成交人数</t>
  </si>
  <si>
    <t>询单转化率</t>
  </si>
  <si>
    <t>客服销售额（金额单位：万）</t>
  </si>
  <si>
    <t>销售占比</t>
  </si>
  <si>
    <t>Y-25</t>
  </si>
  <si>
    <t>Y-24</t>
  </si>
  <si>
    <t>上线人力</t>
  </si>
  <si>
    <t>CPD</t>
  </si>
  <si>
    <t>2025年-4月</t>
  </si>
  <si>
    <t>2025年-5月</t>
  </si>
  <si>
    <t>2025年-6月</t>
  </si>
  <si>
    <t>2025年-7月</t>
  </si>
  <si>
    <t>2025年-8月</t>
  </si>
  <si>
    <t>2025年-9月</t>
  </si>
  <si>
    <t>2025年-10月</t>
  </si>
  <si>
    <t>2025年-11月</t>
  </si>
  <si>
    <t>商品编号</t>
  </si>
  <si>
    <t>商品名称</t>
  </si>
  <si>
    <t>财务销量</t>
  </si>
  <si>
    <t>收入</t>
  </si>
  <si>
    <t>成本</t>
  </si>
  <si>
    <t>毛利</t>
  </si>
  <si>
    <t>优惠券抵减数</t>
  </si>
  <si>
    <t>积分抵减数</t>
  </si>
  <si>
    <t>满返满减额</t>
  </si>
  <si>
    <t>库存周转天数</t>
  </si>
  <si>
    <t>三级品类</t>
  </si>
  <si>
    <t>型号</t>
  </si>
  <si>
    <t>林内（Rinnai）16升燃气热水器 智慧恒温 全新升级CPU 黄金窄比 恒温系列RUS-16GD31（JSQ31-GD31）</t>
  </si>
  <si>
    <t>林内（Rinnai）13升燃气热水器 智慧恒温 全新升级CPU 黄金窄比 恒温系列RUS-13GD31（JSQ26-GD31）</t>
  </si>
  <si>
    <t>林内（Rinnai） 16升燃气热水器 全新智慧芯 恒温再升级 焕境系列 天然气12T RUS-16GD32（JSQ31-GD32）</t>
  </si>
  <si>
    <t>林内（Rinnai）璀璨系列16升燃气热水器 升级智慧芯 水气双调 天然气12T RUS-16QC05（JSQ31-C05）</t>
  </si>
  <si>
    <t>林内（Rinnai）【热小智】16升恒温防冻 燃气热水器变频水伺服京东小家智能生态语音APP智控16QD06W (JSQ31-D06W)</t>
  </si>
  <si>
    <t>林内（Rinnai）13升燃气热水器 全新智慧芯 恒温再升级 焕境系列 天然气12T RUS-13GD32（JSQ26-GD32）</t>
  </si>
  <si>
    <t>林内（Rinnai）璀璨系列13升燃气热水器 升级智慧芯 水气双调 天然气12T RUS-13QC05（JSQ26-C05）</t>
  </si>
  <si>
    <t>林内（Rinnai）16升燃气热水器 澎湃大水量 百年定制 芯动力系列RUS-16QD31（JSQ31-D31）</t>
  </si>
  <si>
    <t>林内（Rinnai）【零冷魔方】16升燃气热水器 零冷水即开即热即恒温 家用天然气 RUS-16GD61R（JSQ31-GD61R）</t>
  </si>
  <si>
    <t>林内（Rinnai）【热小智】13升恒温防冻 燃气热水器变频水伺服京东小家智能生态语音APP智控13QD06W (JSQ26-D06W)</t>
  </si>
  <si>
    <t>林内（Rinnai）天燃气灶双灶 嵌入式5KW超大火力猛火智能定时灶具 不锈钢面板 JZT-2E08MT 天然气 以旧换新</t>
  </si>
  <si>
    <t>林内（Rinnai）回水器 循环泵 智能热水循环装置 回水泵 家用外置零冷水系统 RCD-SG（单买不发货）</t>
  </si>
  <si>
    <t>林内（Rinnai）16升 水量伺服器 防冻恒温 燃气热水器下置风机 天然气 RUS-16QC06 (JSQ31-C06)</t>
  </si>
  <si>
    <t>林内（Rinnai）燃气灶 双头 嵌入式4.2KW莲花火定时燃气灶2E01LT 天然气 (JZT-2WLGX)</t>
  </si>
  <si>
    <t>林内（Rinnai）13升燃气热水器 澎湃大水量 百年定制 芯动力系列RUS-13QD31（JSQ26-D31）</t>
  </si>
  <si>
    <t>林内（Rinnai）13升 水量伺服器 防冻恒温 燃气热水器下置风机 天然气 RUS-13QC06 (JSQ26-C06)</t>
  </si>
  <si>
    <t>林内（Rinnai）1元享会员特权 VIP 会员 粉丝福利 直播间下单抽奖（非商品）单拍不发货</t>
  </si>
  <si>
    <t>林内（Rinnai）60升电热水器 3200W双胆速热 10倍增容 DSG60-DE07PN</t>
  </si>
  <si>
    <t>林内（Rinnai）燃气壁挂炉 四大控温模式节能省气 天然气壁挂炉地暖生活水两用 冬季地暖暖气片采暖锅炉RBS-24C33</t>
  </si>
  <si>
    <t>林内（Rinnai）11升燃气热水器 澎湃大水量 百年定制 芯动力系列RUS-11QD31（JSQ22-D31）</t>
  </si>
  <si>
    <t>林内（Rinnai）燃气灶 防干烧 智能定时超能火安芯系列升级款 天然气4.2KW大火力 JZT-2E03LS 以旧换新</t>
  </si>
  <si>
    <t>林内（Rinnai）60升电热水器 3200W速热 10倍增容 DSG60-DE06PN</t>
  </si>
  <si>
    <t>林内（Rinnai）13升燃气热水器零冷水两件套智慧恒温全新升级CPU黄金窄比恒温系列RUS-13GD31+SG（JSQ26-GD31）</t>
  </si>
  <si>
    <t>林内（Rinnai）【哪吒系列】家用嵌入式天燃气灶 台嵌两用可调节底盘 5.2kW双眼猛火定时灶 不锈钢 JZT-2E08MTX</t>
  </si>
  <si>
    <t>林内（Rinnai）采暖炉 壁挂炉 安装预付费 全套家用采暖 明装暗装暖气片 地暖系统（天然气12T）</t>
  </si>
  <si>
    <t>林内（Rinnai）13升恒温 水气双调 ECO节能 防冻 燃气热水器RUS-13QD01（天然气）JSQ26-C01家电</t>
  </si>
  <si>
    <t>林内（Rinnai）油烟机 顶吸式油烟机家用欧式抽油烟机 22立方 挥手智控 大吸力 一键爆炒单烟机 NM10T</t>
  </si>
  <si>
    <t>林内（Rinnai）燃气壁挂炉采暖热水两用APP智控恒温 天然气壁挂炉地暖生活水两用地暖暖气片采暖锅炉RBS-24C30(L)</t>
  </si>
  <si>
    <t>林内（Rinnai）燃气壁挂炉 WIFI语音双智控 【超二级能效】壁挂炉 生活热水家用地暖片采暖锅炉小鲸鱼RBS-24C39</t>
  </si>
  <si>
    <t>林内（Rinnai）燃气壁挂炉 天然气地暖全屋智控 采暖热水器两用锅炉 智能小鲸鱼 24KWRBS-24C39</t>
  </si>
  <si>
    <t>林内（Rinnai）10升恒温 水气双调 防冻 小升数 燃气热水器RUS-10QD01（天然气）家电</t>
  </si>
  <si>
    <t>林内（Rinnai） 50升电热水器 3200W双胆速热 10倍增容 DSG50-DE07PN</t>
  </si>
  <si>
    <t>林内（Rinnai）10升燃气热水器 澎湃大水量 百年定制 芯动力系列RUS-10QD31（JSQ20-D31）</t>
  </si>
  <si>
    <t>林内（Rinnai）燃气壁挂炉 WIFI语音双智控 【超二级能效】壁挂炉 生活热水家用地暖片采暖锅炉小鲸鱼RBS-28C39</t>
  </si>
  <si>
    <t>林内（Rinnai）欧式跨界抽烟机 23立方大吸力 挥手智控热清洗 定时防干烧4.2KW莲花火燃气灶 NM11T+2E03LS</t>
  </si>
  <si>
    <t>林内（Rinnai）16升燃气热水器 全新智慧芯 恒温再升级 焕境系列 天然气12T RUS-16GD32（JSQ31-GD32）</t>
  </si>
  <si>
    <t>林内（Rinnai）13升燃气热水器零冷水两件套全新智慧芯恒温再升级焕境系列天然气12TRUS-13GD32+SG（JSQ26-GD32）</t>
  </si>
  <si>
    <t>林内（Rinnai）【热小智】16升燃气热水器水伺服京东小家智能生态零冷水套装语音APP智控16QD06W+SG(JSQ31-D06W)</t>
  </si>
  <si>
    <t>林内（Rinnai）全屋零冷水恒温燃气壁挂炉 Wifi智控即开即热采暖热水两用 燃气热水器家用地暖暖气锅炉RBS-35C66L</t>
  </si>
  <si>
    <t>林内（Rinnai） 璀璨系列16升燃气热水器 零冷水两件套 升级智慧芯 天然气 RUS-16QC05+SG（JSQ31-C05）</t>
  </si>
  <si>
    <t>林内（Rinnai）净水器 厨下式RO反渗透家用纯水机直饮机低废水400G 智能双冲洗 RWTS-RO63-D</t>
  </si>
  <si>
    <t>林内（Rinnai）16升燃气热水器 零冷水两件套 澎湃大水量 芯动力系列RUS-16QD31+SG（JSQ31-D31）</t>
  </si>
  <si>
    <t>林内（Rinnai）13升燃气热水器 零冷水两件套 澎湃大水量 芯动力系列RUS-13QD31+SG（JSQ26-D31）</t>
  </si>
  <si>
    <t>林内（Rinnai） 50升电热水器 3000W速热 一级能效 高配双动力 6.5倍增容 DSG50-E02P</t>
  </si>
  <si>
    <t>林内（Rinnai）零冷水燃气壁挂炉 微火秒燃烧智控恒温天然气燃气热水器家用地暖暖气片采暖锅炉 RBS-24C33+SG</t>
  </si>
  <si>
    <t>林内（Rinnai）油烟机 抽油烟机吸油烟机 18立方 侧吸式智能换气一键爆炒触控CXW-220-NMW21J</t>
  </si>
  <si>
    <t>林内（Rinnai） 近吸式 22立方 挥手智控 自清洗侧吸油烟机 5.0kW智能定时烟灶套装NM09J+2E07MT 以旧换新</t>
  </si>
  <si>
    <t>林内（Rinnai）20升燃气热水器 零冷水即开即热 天然气 恒逸系列RUS-R20E32FRF（JSQ40-R32F）</t>
  </si>
  <si>
    <t>林内（Rinnai）16升燃气热水器 零冷水即开即热 天然气 恒逸系列RUS-R16E32FBF（JSQ31-R32F）</t>
  </si>
  <si>
    <t>林内（Rinnai）燃气壁挂炉采暖热水两用APP智控恒温 天然气壁挂炉地暖生活水两用地暖暖气片采暖锅炉RBS-28C30(L)</t>
  </si>
  <si>
    <t>林内（Rinnai）油烟机 抽油烟机吸油烟机 20立方 顶吸式大吸力瞬吸CXW-220-NM05T</t>
  </si>
  <si>
    <t>林内（Rinnai）1元享特权 VIP 会员 粉丝福利 下单（非商品）单拍不发货</t>
  </si>
  <si>
    <t>林内（Rinnai）欧式跨界抽烟机 23立方大吸力 挥手智控自热清洗 5.0KW智能定时燃气灶 NM11T+2E08MT 天然气</t>
  </si>
  <si>
    <t>林内（Rinnai）烟灶套装欧式油烟机 挥手智控 20立方大吸力5.0KW定时灶具两件套 NM10T+2E08MT天然气</t>
  </si>
  <si>
    <t>林内（Rinnai）16升燃气热水器零冷水两件套智慧恒温全新升级CPU黄金窄比恒温系列RUS-16GD31+SG（JSQ31-GD31）</t>
  </si>
  <si>
    <t>林内（Rinnai）13升零冷水套装水量伺服器防冻燃气热水器下置风机天然气RUS-13QC06+SG (JSQ26-C06)</t>
  </si>
  <si>
    <t>林内（Rinnai）16升零冷水套装水量伺服器防冻燃气热水器下置风机天然气RUS-16QC06+SG (JSQ31-C06)</t>
  </si>
  <si>
    <t>林内（Rinnai）[哪吒系列]家用嵌入式天燃气灶 台嵌两用可调节底盘 5.2kW双眼猛火定时灶 钢化玻璃 JZT-2E07MTX</t>
  </si>
  <si>
    <t>林内（Rinnai）【哪吒】油烟机厨房多件套22立方挥手智控5.2kW可调节底盘16升恒温热水器三件套09J+07MTX+16GD31</t>
  </si>
  <si>
    <t>林内（Rinnai）燃气灶天然气 双灶具 家用三眼灶5.0kW猛火灶台嵌两用 熄火保护三区烹饪灶台以旧换新3E07M</t>
  </si>
  <si>
    <t>林内（Rinnai）抽吸油烟机灶具套装烟灶两件套侧吸式烟机 5KW大火力猛火智能定时灶具 NMW21J+2E08MT</t>
  </si>
  <si>
    <t>林内（Rinnai）前置过滤器 40微米免更换滤芯 家用大通量管道 自来水滤水机 全屋净化器 RWTS-PF-1</t>
  </si>
  <si>
    <t>林内（Rinnai）50升电热水器 3200W速热 10倍增容 DSG50-DE06PN</t>
  </si>
  <si>
    <t>林内（Rinnai）欧式跨界抽烟机 23立方大吸力 挥手智控 自热清洗油烟机 CXW-283-NM11T</t>
  </si>
  <si>
    <t>林内（Rinnai）前置过滤器 家用大水量 5T全屋过滤 虹吸反冲洗 实时自清洁 RWTS-PF-10</t>
  </si>
  <si>
    <t>林内（Rinnai）前置过滤器家用大水量 5T全屋过滤 虹吸反冲洗 实时自清洁 RWTS-PF-11</t>
  </si>
  <si>
    <t>林内（Rinnai）璀璨系列16升燃气热水器 零冷水两件套 升级智慧芯 天然气 RUS-16QC05+SG（JSQ31-C05）</t>
  </si>
  <si>
    <t>林内（Rinnai）电热水器 家用6升上出水小尺寸迷你小厨宝 1600w速热 即开即热 DSG6-M01L</t>
  </si>
  <si>
    <t>林内（Rinnai）燃气壁挂炉采暖热水两用APP智控恒温 天然气壁挂炉地暖生活水两用地暖暖气片采暖锅炉RBS-18C30(L)</t>
  </si>
  <si>
    <t>林内（Rinnai）13套大容量 分层洗 双驱变频 热风烘干 全嵌入式洗碗机 乐净系列M5 WQD13-M5WB（不含门板）</t>
  </si>
  <si>
    <t>林内（Rinnai）全嵌入式洗碗机玻璃门板（白色） WQD13-M5WB</t>
  </si>
  <si>
    <t>林内（Rinnai）油烟机燃气灶热水器套装 22立方 大吸力智能定时烟灶三件套 NM09J+2E07MT+16QC05 以旧换新</t>
  </si>
  <si>
    <t>林内（Rinnai）油烟机燃气灶热水器三件套23立方 大吸力4.2KW定时防干烧NM11T+2E03LS+16QD06W</t>
  </si>
  <si>
    <t>林内(Rinnai)燃气壁挂炉 采暖热水器两用 暖境系列C33系列空壳样机 非零售商品（需联系客服方可发货）</t>
  </si>
  <si>
    <t>林内（Rinnai）燃气壁挂炉 天然气地暖全屋智控 采暖热水器两用锅炉 智能小鲸鱼 35KWRBS-35C39</t>
  </si>
  <si>
    <t>林内（Rinnai）16升燃气热水器零冷水两件套全新智慧芯恒温再升级焕境系列天然气12TRUS-16GD32+SG（JSQ31-GD32）</t>
  </si>
  <si>
    <t>林内（Rinnai）抽吸油烟机灶具套装欧式顶吸20m?大吸力烟灶套装 5KW大火力猛火智能定时灶具 NM05T+08MT</t>
  </si>
  <si>
    <t>林内（Rinnai）油烟机 顶吸式油烟机家用欧式抽油烟机 22立方 挥手智控 大吸力 一键爆炒单烟机 （NM10T）</t>
  </si>
  <si>
    <t>林内（Rinnai）燃气壁挂炉 采暖热水器两用【C33】【UER】系列空壳样机 非零售商品（需联系客服方可发货）</t>
  </si>
  <si>
    <t>林内（Rinnai）24升燃气热水器 零冷水即开即热 天然气 恒逸系列RUS-R24E32FRF（JSQ47-R32F）</t>
  </si>
  <si>
    <t>林内（Rinnai）抽吸油烟机灶具套装烟灶两件套侧吸式烟机 嵌入式4.2KW莲花火定时燃气灶NMW21J+2E01LT</t>
  </si>
  <si>
    <t>林内（Rinnai）净水器 厨下式 RO反渗透 家用纯水机直饮机低废水75G wifi 智能换芯提醒 RWTS-RO12-A</t>
  </si>
  <si>
    <t>林内（Rinnai）零冷水燃气壁挂炉 地暖生活水两用 APP智控恒温 天然气燃气热水器家用地暖暖气片 RBS-24C30+SG</t>
  </si>
  <si>
    <t>林内（Rinnai）厨房电器配件 烟管（20升）</t>
  </si>
  <si>
    <t>林内（Rinnai）马卡龙奶油白燃气灶4.2KW钢化玻璃面板超能双层莲花火家用灶 2E30L</t>
  </si>
  <si>
    <t>林内（Rinnai）油烟机灶具热水器厨房三件套升级恒温热水器23立方挥手智控烟机5KW智能定时灶NM11T+2E07MT+16GD32</t>
  </si>
  <si>
    <t>林内（Rinnai）燃气灶天然气 双灶具 家用三眼灶5.0kW猛火灶台嵌两用 熄火保护三区烹饪灶台以旧换新3E08M</t>
  </si>
  <si>
    <t>林内（Rinnai）【哪吒】油烟机厨房多件套23立方挥手智控5.2kW可调节底盘16升恒温热水器三件套11T+07MTX+16GD31</t>
  </si>
  <si>
    <t>林内（Rinnai）油烟机 抽油烟机吸油烟机 18立方 侧吸式智能换气一键爆炒触控（CXW-220-NMW21J）</t>
  </si>
  <si>
    <t>林内（Rinnai）家用 反渗透 净水器 原装 RO 反渗透滤芯-400加仑 自主换芯 智能提醒 RWTS-R063-A</t>
  </si>
  <si>
    <t>林内（Rinnai）【哪吒系列】家用烟机燃气灶烟灶套装 22m?挥手智控侧吸油烟机 5.2kW可调节底盘定时灶09J+07MTX</t>
  </si>
  <si>
    <t>林内（Rinnai）【哪吒系列】家用烟灶套装23立方挥手智控自清洗欧式油烟机5.2kW可调节底盘定时灶NM11T+2E07MTX</t>
  </si>
  <si>
    <t>林内（Rinnai）【哪吒】油烟机厨房多件套22立方挥手智控5.2kW可调节底盘13升恒温热水器三件套09J+07MTX+13GD31</t>
  </si>
  <si>
    <t>林内（Rinnai）燃气壁挂炉采暖热水两用APP智控恒温 天然气壁挂炉地暖生活水两用地暖暖气片采暖锅炉RBS-35C30(L)</t>
  </si>
  <si>
    <t>林内（Rinnai）天燃气灶双头 嵌入式4.2KW莲花火定时燃气灶2E02LT 天然气</t>
  </si>
  <si>
    <t>林内（Rinnai）油烟机燃气灶热水器套装 22立方 大吸力智能定时烟灶三件套NM09J+2E08MT+13QC05 以旧换新</t>
  </si>
  <si>
    <t>林内（Rinnai）全屋零冷水恒温燃气壁挂炉 Wifi智控即开即热采暖热水两用 燃气热水器家用地暖暖气锅炉RBS-28C66L</t>
  </si>
  <si>
    <t>林内（Rinnai）【一级能效变频】全预混冷凝壁挂炉 智控节能省气 水伺服燃气热水器采暖两用恒温LL1GBQ30-30Q55A</t>
  </si>
  <si>
    <t>林内（Rinnai）抽吸油烟机灶具套装欧式顶吸20m?大吸力烟灶套装 5.2KW大火力智能定时可调节底盘灶具NM05T+07MTX</t>
  </si>
  <si>
    <t>林内（Rinnai）净水器 厨下式RO反渗透家用纯水机直饮机低废水500G 智能双冲洗 RWTS-RO78-D</t>
  </si>
  <si>
    <t>林内（Rinnai） 22立方 大吸力自清洁挥手智控侧吸烟机 4.2kW感温防干烧烟灶套装NM09J+2E03LS 以旧换新</t>
  </si>
  <si>
    <t>林内 Rinnai 13套嵌入式洗碗机 侧吸式油烟机 莲花火燃气灶 烟灶洗三件套 JUW11G+2E03LS+M2</t>
  </si>
  <si>
    <t>林内（Rinnai）16升恒温 水气双调 ECO节能 防冻 燃气热水器RUS-16QD01（天然气）家电</t>
  </si>
  <si>
    <t>林内（Rinnai）净水器净热一体机 直饮机 RO反渗透台上台式速热饮水机 家用多档调温净饮机 RWTS-P150-3</t>
  </si>
  <si>
    <t>林内(Rinnai)燃气壁挂炉 家用地暖 暖气片天然气 采暖热水器 暖适系列24KW RBS-24G55(L1GB28-24G55)</t>
  </si>
  <si>
    <t>林内（Rinnai）燃气灶 防干烧 智能定时超能火安芯系列升级款 一级能效天然气4.2KW大火力 JZT-2E05LS</t>
  </si>
  <si>
    <t>林内（Rinnai）油烟机 侧吸式油烟机 近吸式 22立方 大吸力 挥手智控 自清洗侧吸烟机 NM09J 以旧换新</t>
  </si>
  <si>
    <t>林内（Rinnai）燃气壁挂炉 四大控温模式节能省气 天然气壁挂炉地暖生活水两用 冬季地暖暖气片采暖锅炉RBS-28C33</t>
  </si>
  <si>
    <t>林内（Rinnai）【热小智】13升燃气热水器水伺服京东小家智能生态零冷水套装语音APP智控13QD06W+SG(JSQ26-D06W)</t>
  </si>
  <si>
    <t>林内（Rinnai）13套嵌入式洗碗机+智控自清洗烟机+大火力定时燃气灶三件套WQD13-M2GB+NM11T+JZT-2E08MT</t>
  </si>
  <si>
    <t>林内（Rinnai）厨房电器配件 烟管(16升)</t>
  </si>
  <si>
    <t>林内（Rinnai）5套台式洗碗机 高温除菌 热风烘干 海鲜水果洗 全自动刷碗机 乐净系列M4 WTD5-M4GW</t>
  </si>
  <si>
    <t>林内（Rinnai） 60升电热水器 3000W速热 一级能效 6.5倍增容 DSG60-E04PD</t>
  </si>
  <si>
    <t>林内（Rinnai）燃气壁挂炉 WIFI语音双智控 【超二级能效】壁挂炉 生活热水家用地暖片采暖锅炉小鲸鱼RBS-18C39</t>
  </si>
  <si>
    <t>林内（Rinnai）【哪吒】油烟机厨房多件套22立方挥手智控5.2kW可调节底盘13升恒温热水器三件套09J+08MTX+13GD31</t>
  </si>
  <si>
    <t>林内（Rinnai）80升电热水器 3000W速热 一级能效 6.5倍增容 DSG80-E04PD</t>
  </si>
  <si>
    <t>林内（Rinnai）油烟机燃气灶热水器套装 22立方 大吸力智能定时烟灶三件套NM09J+2E08MT+16QC05 以旧换新</t>
  </si>
  <si>
    <t>林内（Rinnai）油烟机燃气灶热水器套装23立方大吸力5.0KW智能定时烟灶三件套NM11T+2E07MT+16GD31</t>
  </si>
  <si>
    <t>林内（Rinnai）油烟机燃气灶热水器三件套 22立方 大吸力4.2KW定时防干烧NM09J+2E03LS+13QD06W</t>
  </si>
  <si>
    <t>林内（Rinnai）欧式跨界抽烟机 23立方大吸力 挥手智控自热清洗 5.0KW大火力燃气灶 NM11T+2E07MT 天然气</t>
  </si>
  <si>
    <t>林内（Rinnai） 15套大容量 嵌入式 家用洗碗机 洗烘干一体 热风烘干 全自动刷碗机 乐净系列M3 WDD15-M3SB</t>
  </si>
  <si>
    <t>SKU</t>
  </si>
  <si>
    <t>品名</t>
  </si>
  <si>
    <t>类目</t>
  </si>
  <si>
    <t>林内(Rinnai)璀璨系列13升燃气热水器 升级智慧芯 水气双调 天然气12T RUS-13QC05（JSQ26-C05）</t>
  </si>
  <si>
    <t>林内(Rinnai)16升燃气热水器 澎湃大水量 百年定制 芯动力系列RUS-16QD31（JSQ31-D31）京品家电</t>
  </si>
  <si>
    <t>林内(Rinnai)璀璨系列16升燃气热水器 升级智慧芯 水气双调 天然气12T RUS-16QC05（JSQ31-C05）</t>
  </si>
  <si>
    <t>林内(Rinnai)13升燃气热水器 澎湃大水量 百年定制 芯动力系列RUS-13QD31（JSQ26-D31）京品家电</t>
  </si>
  <si>
    <t>林内（Rinnai）13升 经典恒温 防冻 燃气热水器 RUS-13QD03(天然气)JSQ26-D03家电</t>
  </si>
  <si>
    <t>13QD03</t>
  </si>
  <si>
    <t>林内Rinnai 16升 零干扰恒温防冻 燃气热水器 天然气 小京鱼APP智能水温按摩16QD06W (JSQ31-D06W)</t>
  </si>
  <si>
    <t>林内（Rinnai）16升 零干扰恒温 防冻 燃气热水器 天然气 RUS-16QD06 (JSQ31-D06)家电</t>
  </si>
  <si>
    <t>林内（Rinnai）16升 经典恒温 防冻 燃气热水器 RUS-16QD03 (天然气)JSQ31-D03家电</t>
  </si>
  <si>
    <t>16QD03</t>
  </si>
  <si>
    <t>林内Rinnai 13升零干扰恒温防冻 燃气热水器 天然气 小京鱼APP智能 水温按摩13QD06W (JSQ26-D06W)</t>
  </si>
  <si>
    <t>林内(Rinnai)16升燃气热水器 水量伺服 无线遥控 天然气 倚天系列 RUS-16E66FRF（JSQ31-66F）</t>
  </si>
  <si>
    <t>16E66FRF</t>
  </si>
  <si>
    <t>林内（Rinnai）家用恒温欧式厨房三件套20立方大吸力 5.0KW定时灶具 恒温热水器NM10T+2E08MT+13QC05</t>
  </si>
  <si>
    <t>NM10T+2E08MT+13QC05</t>
  </si>
  <si>
    <t>烟灶</t>
  </si>
  <si>
    <t>林内（Rinnai） 50升电热水器 3200W双胆速热 9倍增容 专利防电墙 DSG50-DE07PN</t>
  </si>
  <si>
    <t>DSG50-DE07PN</t>
  </si>
  <si>
    <t>电热</t>
  </si>
  <si>
    <t>林内（Rinnai）抽吸油烟机灶具套装欧式顶吸20m³大吸力烟灶套装 5.2KW大火力定时可调节底盘灶具NM05T+08MTX</t>
  </si>
  <si>
    <t>NM05T+2E08MTX</t>
  </si>
  <si>
    <t>林内（Rinnai）家用烟灶套装 欧式智能 20立方 抽油烟机 可调节底盘 5.2kW定时灶 钢化玻璃 NM08T+2E07MTX</t>
  </si>
  <si>
    <t>NM08T+2E07MTX</t>
  </si>
  <si>
    <t>林内（Rinnai）家用烟灶套装 挥手智控侧吸式 19立方抽油烟机 可调节底盘 5.2kW定时灶 不锈钢面板 NM08J+2E08MTX</t>
  </si>
  <si>
    <t>NM08J+2E08MTX</t>
  </si>
  <si>
    <t>林内（Rinnai）家用嵌入式天燃气灶 双层莲花火4.5kW双眼猛火定时灶 钢化玻璃 一级能效JZT-2E06LT(W)</t>
  </si>
  <si>
    <t>2E06LTW</t>
  </si>
  <si>
    <t>林内（Rinnai）燃气灶 天燃气灶双灶 嵌入式5KW超大火力猛火灶具 不锈钢面板 JZT-2E08M 天然气 一级能效</t>
  </si>
  <si>
    <t>2E08M</t>
  </si>
  <si>
    <t>林内（Rinnai）商用 反渗透 净水器 原装 RO 自主换芯 智能提醒 75G商用净水机RO膜滤芯 RF-BRO75-A</t>
  </si>
  <si>
    <t>BRO75</t>
  </si>
  <si>
    <t>净水器</t>
  </si>
  <si>
    <t>林内（Rinnai）【黑骑士】抽油烟机灶具侧吸式家用套装琢光系列24双循环风量5.2KW调节地盘定时灶10JD+07MTX</t>
  </si>
  <si>
    <t>10JD+2E07MTX</t>
  </si>
  <si>
    <t>林内（Rinnai）【黑骑士】抽油烟机灶具侧吸式家用套装琢光系列24双循环风量5.0KW大火力套装10JD+08M</t>
  </si>
  <si>
    <t>10JD+2E08M</t>
  </si>
  <si>
    <t>林内（Rinnai）智能安全升级家用 天然气 强排式 宽幅恒温燃气热水器 RUS-16QS41(JSQ31-S41)*</t>
  </si>
  <si>
    <t>16QS41</t>
  </si>
  <si>
    <t>林内（Rinnai）家用嵌入式天燃气灶 台嵌两用可调节底盘 5.2kW双眼猛火定时灶 钢化玻璃 JZT-2E07MTX *</t>
  </si>
  <si>
    <t>2E07MTX</t>
  </si>
  <si>
    <t>林内（Rinnai）16升 零干扰恒温 防冻 燃气热水器 天然气 RUS-16QD06 (JSQ31-D06)家电*</t>
  </si>
  <si>
    <t>林内（Rinnai）16升 经典恒温 防冻 燃气热水器 天然气 RUS-16QD03（JSQ31-D03）家电*</t>
  </si>
  <si>
    <t>林内（Rinnai）防CO超标 恒温升级家用强排式天然气 燃气热水器 防冻 以旧换新 RUS-13QS41(JSQ26-S41)*</t>
  </si>
  <si>
    <t>13QS41</t>
  </si>
  <si>
    <t>林内（Rinnai）家用烟灶套装 欧式智能 20立方 抽油烟机 可调节底盘 5.2kW定时灶 不锈钢面板 NM08T+2E08MTX</t>
  </si>
  <si>
    <t>NM08T+2E08MTX</t>
  </si>
  <si>
    <t>林内（Rinnai）燃气灶 天燃气灶双灶 嵌入式5KW超大火力猛火灶具 钢化玻璃 JZT-2E07M 天然气 一级能效</t>
  </si>
  <si>
    <t>2E07M</t>
  </si>
  <si>
    <t>林内（Rinnai）16升 水伺服恒温燃气热水器 防冻 水伺服器 燃气热水器下置风机 天然气（JSQ31-C08）</t>
  </si>
  <si>
    <t>16QC08</t>
  </si>
  <si>
    <t>林内（Rinnai）恒温热水器家用烟灶燃热厨房三件套22立方挥手智控5.0KW灶具13升级恒温热水器NM10T+2E07MT+13GD31</t>
  </si>
  <si>
    <t>NM10T+2E07MT+13GD31</t>
  </si>
  <si>
    <t>林内（Rinnai）【哪吒系列】家用嵌入式天燃气灶 台嵌两用可调节底盘 5.2kW双眼猛火定时灶 不锈钢 JZT-2E08MTX *</t>
  </si>
  <si>
    <t>2E08MTX</t>
  </si>
  <si>
    <t>林内（Rinnai）【哪吒系列】家用烟灶套装22立方挥手智控大吸力欧式油烟机5.2kW可调节底盘定时灶NM10T+2E08MTX</t>
  </si>
  <si>
    <t>NM10T+2E08MTX</t>
  </si>
  <si>
    <t>林内（Rinnai）【哪吒系列】家用烟机燃气灶烟灶套装 22m³挥手智控侧吸油烟机 5.2kW可调节底盘定时灶09J+07MTX *</t>
  </si>
  <si>
    <t>NM09J+2E07MTX</t>
  </si>
  <si>
    <t>林内（Rinnai）净水器 原装 自主换芯 商用净水机炭棒滤芯 RF-BCB-A</t>
  </si>
  <si>
    <t>RF-BCB-A</t>
  </si>
  <si>
    <t>林内（Rinnai）【小蛮腰Max】13L燃气热水器 全量水伺服恒温 0.5℃调温 变频节能安全 热水器 13GD72(JSQ26-GD72)</t>
  </si>
  <si>
    <t>13GD72</t>
  </si>
  <si>
    <t>NM10T+2E08MT</t>
  </si>
  <si>
    <t>林内（Rinnai）油烟机灶具热水器厨房三件套升级恒温热水器23立方挥手智控烟机5KW智能定时灶NM11T+2E07MT+13GD32</t>
  </si>
  <si>
    <t>NM11T+2E07MT+13GD32</t>
  </si>
  <si>
    <t>林内（Rinnai）60升电热水器 3200W速热 10倍增容 专利防电墙 DSG60-DE06PN*</t>
  </si>
  <si>
    <t>DSG60-DE06PN</t>
  </si>
  <si>
    <t>林内（Rinnai） 50升电热水器 3200W双胆速热 9倍增容 专利防电墙 DSG50-DE07PN*</t>
  </si>
  <si>
    <t>林内（Rinnai）马卡龙海盐蓝欧式20立方大吸力智能调控强排静音单烟机 NM09T</t>
  </si>
  <si>
    <t>NM09T</t>
  </si>
  <si>
    <t>林内（Rinnai）50升电热水器 3200W速热 10倍增容 专利防电墙 DSG50-DE06PN*</t>
  </si>
  <si>
    <t>DSG50-DE06PN</t>
  </si>
  <si>
    <t>林内（Rinnai）60升电热水器 3200W双胆速热 10倍增容 专利防电墙 DSG60-DE07PN*</t>
  </si>
  <si>
    <t>DSG60-DE07PN</t>
  </si>
  <si>
    <t>林内（Rinnai）欧式20立方 大吸力 顶吸式 智能调控强排静音单烟机 NM09T樱花粉</t>
  </si>
  <si>
    <t>林内（Rinnai）抽吸油烟机灶具套装欧式顶吸20m³大吸力烟灶套装 5.2KW大火力智能定时可调节底盘灶具NM05T+07MTX</t>
  </si>
  <si>
    <t>NM05T+2E07MTX</t>
  </si>
  <si>
    <t>林内（Rinnai）【鲸吨吨】20升燃气热水器智慧恒温 全新升级CPU 大升数 大水量精准控温热水器RUS-20GD31</t>
  </si>
  <si>
    <t>20GD31</t>
  </si>
  <si>
    <t>林内（Rinnai）【鲸吨吨】20升燃气热水器 零冷水即开即热即恒温 家用天然气 大水量热水器RUS-20GD61R</t>
  </si>
  <si>
    <t>20GD61R</t>
  </si>
  <si>
    <t>林内（Rinnai）【鲸吨吨】24升燃气热水器 零冷水即开即热即恒温 家用天然气 大水量热水器RUS-24GD61R</t>
  </si>
  <si>
    <t>24GD61R</t>
  </si>
  <si>
    <t>林内（Rinnai）【鲸吨吨】24升燃气热水器智慧恒温 全新升级CPU 大升数 大水量精准控温热水器RUS-24GD31</t>
  </si>
  <si>
    <t>24GD31</t>
  </si>
  <si>
    <t>林内（Rinnai）24升燃气热水器 零冷水即开即热即恒温 家用天然气 私拍不发货 RUS-24GS71R空壳机*</t>
  </si>
  <si>
    <t>24GS71R</t>
  </si>
  <si>
    <t>林内（Rinnai）50升电热水器 3200W双胆速热 10倍增容 DSG50-DE07PN</t>
  </si>
  <si>
    <t>林内（Rinnai）商用 反渗透 净水器 原装 RO 自主换芯 智能提醒 100G商用净水机RO膜滤芯 RF-BRO100-C</t>
  </si>
  <si>
    <t>RF-BRO100-C</t>
  </si>
  <si>
    <t>林内（Rinnai）【小蛮腰Max】16L燃气热水器 全量水伺服恒温 0.5℃调温 变频节能安全 热水器 16GD72(JSQ31-GD72)</t>
  </si>
  <si>
    <t>16GD72</t>
  </si>
  <si>
    <t>林内（Rinnai）【鲸吨吨】20升燃气热水器 零冷水即开即热即恒温 家用天然气 大水量热水器（RUS-20GD61R）</t>
  </si>
  <si>
    <t>林内（Rinnai）【鲸吨吨】24升燃气热水器智慧恒温 全新升级CPU 大升数 大水量精准控温热水器（RUS-24GD31）</t>
  </si>
  <si>
    <t>林内（Rinnai）【鲸吨吨】24升燃气热水器 零冷水即开即热即恒温 家用天然气 大水量热水器（RUS-24GD61R）</t>
  </si>
  <si>
    <t>林内（Rinnai）璀璨系列16升燃气热水器 升级智慧芯 全新燃烧器 RUS-16GC22*（JSQ31-GC22）**</t>
  </si>
  <si>
    <t>16GC22</t>
  </si>
  <si>
    <t>林内（Rinnai）恒温热水器家用烟灶燃热厨房三件套22立方挥手智控5.0KW灶具13升级恒温热水器NM10T+2E08MT+16GD31</t>
  </si>
  <si>
    <t>NM10T+2E08MT+16GD31</t>
  </si>
  <si>
    <t>林内（Rinnai）抽油烟机 燃气灶 樱花粉套装 欧式20立方大吸力 4.2KW莲花火灶具NM09T+2E30L</t>
  </si>
  <si>
    <t>NM09T+2E30L</t>
  </si>
  <si>
    <t>林内（Rinnai）13升燃气热水器 智慧恒温 全新升级CPU 黄金窄比 恒温系列RUS-13GT11（JSQ26-GT11）*</t>
  </si>
  <si>
    <t>13GT11</t>
  </si>
  <si>
    <t>林内（Rinnai）16升燃气热水器 智慧恒温 全新升级CPU 黄金窄比 恒温系列RUS-16GT11（JSQ31-GT11）*</t>
  </si>
  <si>
    <t>16GT11</t>
  </si>
  <si>
    <t>林内（Rinnai）13升 零干扰恒温 防冻 燃气热水器 天然气 RUS-13QD06 (JSQ26-D06)家电*</t>
  </si>
  <si>
    <t>13QD06</t>
  </si>
  <si>
    <t>林内（Rinnai）11升燃气热水器 智慧恒温 全新升级CPU 黄金窄比 恒温系列RUS-11GT11（JSQ22-GT11）**</t>
  </si>
  <si>
    <t>11GT11</t>
  </si>
  <si>
    <t>林内（Rinnai）22立方挥手智控自清洗侧吸油烟机 精准控温定时防干烧4.2kW智能套装NM09J+2Q2LGHP</t>
  </si>
  <si>
    <t>NM09J+2Q2LGHP</t>
  </si>
  <si>
    <t>林内（Rinnai）油烟机燃气灶热水器套装23m³/min大吸力5.0KW智能定时烟灶三件套NM11T+2E07MT+16GD31</t>
  </si>
  <si>
    <t>NM11T+2E07MT+16GD31</t>
  </si>
  <si>
    <t>林内（Rinnai）燃气壁挂炉 采暖热水器两用 恒温 天然气地暖锅炉 暖境系列18KW* RBS-18C30(L)*</t>
  </si>
  <si>
    <t>18C30</t>
  </si>
  <si>
    <t>林内（Rinnai）家用恒温欧式厨房三件套20立方大吸力 5.0KW定时灶具 恒温热水器NM10T+2E08MT+16QC05</t>
  </si>
  <si>
    <t>NM10T+2E08MT+16QC05</t>
  </si>
  <si>
    <t>林内（Rinnai）20升燃气热水器 零冷水即开即热即恒温 家用天然气 私拍不发货 RUS-20GS71R空壳机*</t>
  </si>
  <si>
    <t>20GS71R</t>
  </si>
  <si>
    <t>林内（Rinnai）全预混冷凝壁挂炉 天然气采暖炉家用地暖供暖全屋大水量热水洗浴智慧节能恒温LL1GBQ35-35Q55A*</t>
  </si>
  <si>
    <t>35Q55A</t>
  </si>
  <si>
    <t>林内（Rinnai）大升数烟管 RUS-PE-60</t>
  </si>
  <si>
    <t>其他</t>
  </si>
  <si>
    <t>林内（Rinnai）23立方挥手智控自清洗侧吸油烟机精准控温定时防干烧4.2kW天然气智能套装NM11T+2Q2LGHP</t>
  </si>
  <si>
    <t>NM11T+2Q2LGHP</t>
  </si>
  <si>
    <t>林内（Rinnai）油烟机燃气灶热水器三件套23立方 大吸力4.2KW定时防干烧NM11T+2E03LS+13QD06W</t>
  </si>
  <si>
    <t>NM11T+2E03LS+13QD06W</t>
  </si>
  <si>
    <t>林内（Rinnai）油烟机燃气灶热水器套装22立方大吸力5.0KW智能定时烟灶三件套NM09J+2E08MT+16GD31</t>
  </si>
  <si>
    <t>NM09J+2E08MT+16GD31</t>
  </si>
  <si>
    <t>林内（Rinnai）升级零冷水热水器油烟机燃气灶三件套 22立方大吸力 4.2kW定时防干烧 NM09J+2E03LS+16GD61R</t>
  </si>
  <si>
    <t>NM09J+2E03LS+16GD61R</t>
  </si>
  <si>
    <t>林内（Rinnai）星厨精准控温智能燃气灶 双灶 家用嵌入式天然气控温定时防干烧 JZT-2Q2LGHP</t>
  </si>
  <si>
    <t>2Q2LGHP</t>
  </si>
  <si>
    <t>林内（Rinnai）燃气壁挂炉 家用地暖 恒温智控 采暖热水器 暖域系列24KW RBS-24G56(L1GB28-24G56 )*</t>
  </si>
  <si>
    <t>林内（Rinnai）升级零冷水热水器油烟机燃气灶三件套23立方大吸力4.2KW定时防干烧NM11T+2E03LS+16GD61R</t>
  </si>
  <si>
    <t>NM11T+2E03LS+16GD61R</t>
  </si>
  <si>
    <t>林内（Rinnai）欧式20立方 大吸力 顶吸式 智能调控强排静音单烟机 NM09T薄荷绿</t>
  </si>
  <si>
    <t>林内（Rinnai）油烟机 顶吸式油烟机家用欧式抽油烟机 22m³/min挥手智控 大吸力 一键爆炒单烟机 NM10T*</t>
  </si>
  <si>
    <t>NM10T</t>
  </si>
  <si>
    <t>林内（Rinnai）双灶 燃气灶 4.2KW 进口钢化玻璃面板 超能双层莲花火 家用灶 2E30L海盐蓝</t>
  </si>
  <si>
    <t>2E30L</t>
  </si>
  <si>
    <t>林内（Rinnai）天燃气灶双灶 嵌入式5KW超大火力猛火智能定时灶具 钢化玻璃 JZT-2E07MT 天然气 以旧换新**</t>
  </si>
  <si>
    <t>2E07MT</t>
  </si>
  <si>
    <t>林内（Rinnai）全预混冷凝壁挂炉 天然气采暖炉家用地暖供暖全屋大水量热水洗浴智慧节能恒温LL1GBQ25-25Q55A*</t>
  </si>
  <si>
    <t>林内（Rinnai）厨房五件套洗碗机 挥手烟机 定时灶具 烟灶洗热净套装 09J+07MT+M2+16C05+78-D</t>
  </si>
  <si>
    <t>NM09J+07MT+M2+16C05+78-D</t>
  </si>
  <si>
    <t>洗碗机</t>
  </si>
  <si>
    <t>林内（Rinnai）燃气壁挂炉 采暖热水器两用 恒温 天然气地暖锅炉 暖境系列35KW* RBS-35C30(L)*</t>
  </si>
  <si>
    <t>35C30</t>
  </si>
  <si>
    <t>林内（Rinnai）双灶燃气灶 4.2KW 进口钢化玻璃面板 超能双层莲花火 家用灶 2E30L樱花粉</t>
  </si>
  <si>
    <t>林内（Rinnai）16升燃气热水器 零冷水即开即热即恒温 家用天然气 RUS-16GS71R（JSQ31-GS71R）*</t>
  </si>
  <si>
    <t>16GS71R</t>
  </si>
  <si>
    <t>林内(Rinnai)璀璨系列16升燃气热水器 升级智慧芯 全新燃烧器 RUS-16GC22空壳机（JSQ31-GC22）**</t>
  </si>
  <si>
    <t>林内（Rinnai）油烟机燃气灶热水器三件套 22m³/min大吸力4.2KW定时防干烧NM09J+2E03LS+13QD06W</t>
  </si>
  <si>
    <t>NM09J+2E03LS+13QD06W</t>
  </si>
  <si>
    <t>林内（Rinnai）13升燃气热水器 智慧恒温 全新升级CPU 黄金窄比 恒温系列RUS-13GT11（JSQ26-GT11）**</t>
  </si>
  <si>
    <t>林内（Rinnai）油烟机燃气灶热水器套装23m³/min大吸力5.0KW智能定时烟灶三件套NM11T+2E07MT+13GD31</t>
  </si>
  <si>
    <t>NM11T+2E07MT+13GD31</t>
  </si>
  <si>
    <t>林内（Rinnai）16升燃气热水器 智慧恒温 全新升级CPU 黄金窄比 恒温系列RUS-16GT11（JSQ31-GT11）**</t>
  </si>
  <si>
    <t>林内（Rinnai）全预混冷凝壁挂炉 天然气采暖炉家用地暖供暖全屋大水量热水洗浴智慧节能恒温LL1GBQ30-30Q55A</t>
  </si>
  <si>
    <t>30Q55A</t>
  </si>
  <si>
    <t>林内(Rinnai) 16升燃气热水器 零冷水即开即热 天然气 恒逸系列RUS-R16E32FBF（JSQ31-R32F）</t>
  </si>
  <si>
    <t>R16E32FBF</t>
  </si>
  <si>
    <t>林内（Rinnai）13升 零干扰恒温 防冻 燃气热水器 天然气 RUS-13QD06 (JSQ26-D06)家电</t>
  </si>
  <si>
    <t>林内(Rinnai) 20升燃气热水器 零冷水即开即热 天然气 恒逸系列RUS-R20E32FRF（JSQ40-R32F）</t>
  </si>
  <si>
    <t>R20E32FRF</t>
  </si>
  <si>
    <t>林内(Rinnai)燃气壁挂炉 采暖热水器两用 恒温 天然气地暖锅炉 暖境系列RBS-35C33(L1PB40-35C33)</t>
  </si>
  <si>
    <t>35C33</t>
  </si>
  <si>
    <t>林内（Rinnai）抽油烟机灶具套装 20立方超大风力烈焰聚火燃气灶NM05T+2E01M 天然气</t>
  </si>
  <si>
    <t>NM05T+2E01M</t>
  </si>
  <si>
    <t>林内（Rinnai）燃气壁挂炉 家用地暖 恒温智控 采暖热水器 暖域系列35KW RBS-35G56(L1GB41-35G56 )*</t>
  </si>
  <si>
    <t>35G56</t>
  </si>
  <si>
    <t>林内(Rinnai)11升燃气热水器 澎湃大水量 百年定制 芯动力系列RUS-11QD31（JSQ22-D31）京品家电</t>
  </si>
  <si>
    <t>11QD31</t>
  </si>
  <si>
    <t>林内(Rinnai)13升燃气热水器 水量伺服 无线遥控 天然气 倚天系列 RUS-13E66FRF（JSQ26-66F）</t>
  </si>
  <si>
    <t>13E66FRF</t>
  </si>
  <si>
    <t>林内（Rinnai）燃气灶 防干烧 智能定时超能火安芯系列钢化玻璃 家用 天然气 一级能效JZT-2WLGM天然气</t>
  </si>
  <si>
    <t>2WLGM</t>
  </si>
  <si>
    <t>林内(Rinnai)16升燃气热水器 零冷水套装 水量伺服 天然气 倚天系列RUS-16E66FRF+SG（JSQ31-66F）</t>
  </si>
  <si>
    <t>16E66FRF+SG</t>
  </si>
  <si>
    <t>林内(Rinnai)璀璨系列16升燃气热水器 升级智慧芯 水气双调 RUS-16GC22（JSQ31-GC22）**</t>
  </si>
  <si>
    <t>林内(Rinnai)16升燃气热水器 澎湃大水量 芯动力系列RUS-16GS41（JSQ31-GS41）**</t>
  </si>
  <si>
    <t>16GS41</t>
  </si>
  <si>
    <t>林内(Rinnai) 16升燃气热水器 家用天然气 语音智控 恒温防冻大水量 京东小家智能生态 JSQ31-D66W</t>
  </si>
  <si>
    <t>16QD66W</t>
  </si>
  <si>
    <t>林内(Rinnai) 13升燃气热水器 家用天然气 语音智控 恒温防冻大水量 京东小家智能生态 JSQ26-D66W</t>
  </si>
  <si>
    <t>13QD66W</t>
  </si>
  <si>
    <t>林内（Rinnai）燃气热水器 13升 智能APP&amp;语音双控制 恒温防冻大水量 定制宠物洗 13QS42W 天然气</t>
  </si>
  <si>
    <t>13QS42W</t>
  </si>
  <si>
    <t>林内（Rinnai）燃气热水器 16升 智能APP&amp;语音双控制 恒温防冻大水量 定制宠物洗 16QS42W 天然气</t>
  </si>
  <si>
    <t>16QS42W</t>
  </si>
  <si>
    <t>林内(Rinnai)13升燃气热水器 零冷水套装 水量伺服 天然气 倚天系列RUS-13E66FRF+SG（JSQ26-66F）</t>
  </si>
  <si>
    <t>13E66FRF+SG</t>
  </si>
  <si>
    <t>林内(Rinnai)10升燃气热水器 澎湃大水量 百年定制 芯动力系列RUS-10QD31（JSQ20-D31）京品家电</t>
  </si>
  <si>
    <t>10QD31</t>
  </si>
  <si>
    <t>林内(Rinnai)燃气壁挂炉 采暖热水器两用 恒温 天然气地暖锅炉 暖境系列RBS-28C33(L1PB32-28C33)</t>
  </si>
  <si>
    <t>28C33</t>
  </si>
  <si>
    <t>林内 Rinnai 侧吸式油烟机一键爆炒 22m³大吸力 安芯系列 烟灶套装超能火莲花火燃气灶 JUW11G+2WLGM</t>
  </si>
  <si>
    <t>JUW11G+2WLGM</t>
  </si>
  <si>
    <t>林内（Rinnai）燃气灶 天燃气灶双头 嵌入式烈焰聚火熄火保护装置强化玻璃JZT-2E01M 天然气</t>
  </si>
  <si>
    <t>2E01M</t>
  </si>
  <si>
    <t>林内 （Rinnai）聚能火钢化玻璃嵌入式燃气灶（天然气）JZT-2H2NMG</t>
  </si>
  <si>
    <t>2H2NMG</t>
  </si>
  <si>
    <t>林内（Rinnai）双灶燃气灶4.2KW进口钢化玻璃面板超能双层莲花火家用灶 2E30L奶油白</t>
  </si>
  <si>
    <t>林内 Rinnai 烟灶套装 欧式油烟机 挥手智控 大吸力安芯两件套莲花火燃气灶 NM10T+2E03LS</t>
  </si>
  <si>
    <t>NM10T+2E03LS</t>
  </si>
  <si>
    <t>林内（Rinnai）抽油烟机燃气灶具套装烟灶两件套侧吸近吸式抽油烟机 烈焰聚火燃气灶NMW21J+2E02SM（天然气）</t>
  </si>
  <si>
    <t>NMW21J+2E02SM</t>
  </si>
  <si>
    <t>林内（Rinnai） 家用近吸式抽油烟机 22m³大吸力挥手智控 自清洗侧吸油烟机 智能定时烟灶套装NM09J+2E08MT</t>
  </si>
  <si>
    <t>NM09J+2E08MT</t>
  </si>
  <si>
    <t>林内（Rinnai）抽油烟机灶具套装烟灶两件套 顶吸式油烟机 5KW超大火力燃气灶NM05T+2E08M 天然气</t>
  </si>
  <si>
    <t>NM05T+2E08M</t>
  </si>
  <si>
    <t>林内（Rinnai）侧吸式抽油烟机燃气灶热水器套装 22m³大吸力自清洗智能定时烟灶三件套NM09J+2E08MT+13QC05</t>
  </si>
  <si>
    <t>NM09J+2E08MT+13QC05</t>
  </si>
  <si>
    <t>林内 Rinnai 欧式抽油烟机燃气灶热水器烟灶套装 烟灶热三件套 20m³大吸力 5KW大火力 NM10T+2E07MT+16QC05</t>
  </si>
  <si>
    <t>NM10T+2E07MT+16QC05</t>
  </si>
  <si>
    <t>林内（Rinnai）油烟机 顶吸式油烟机家用欧式抽油烟机 挥手智控 大吸力 一键爆炒单烟机 NM10T</t>
  </si>
  <si>
    <t>林内（Rinnai） 家用近吸式抽油烟机 22m³大吸力挥手智控 自清洗侧吸油烟机 智能定时烟灶套装NM09J+2E07MT</t>
  </si>
  <si>
    <t>NM09J+2E07MT</t>
  </si>
  <si>
    <t>林内（Rinnai）侧吸式油烟机燃气灶热水器三件套 22m³大吸力挥手智控 定时防干烧 NM09J+2E03LS+16QD31</t>
  </si>
  <si>
    <t>NM09J+2E03LS+16QD31</t>
  </si>
  <si>
    <t>林内 Rinnai 欧式油烟机一键爆炒 22立方大吸力 嵌入式5.0KW智能定时燃气灶 ETW11G+2E08MT两件套</t>
  </si>
  <si>
    <t>ETW11G+2E08MT</t>
  </si>
  <si>
    <t>林内（Rinnai）抽油烟机灶具套装烟灶两件套 挥手智控 5KW超大火力定时燃气灶 NM10T+2E07MT 天然气</t>
  </si>
  <si>
    <t>NM10T+2E07MT</t>
  </si>
  <si>
    <t>林内 Rinnai 欧式油烟机一键爆炒 22立方大吸力 嵌入式5.0KW智能定时燃气灶 ETW11G+2E07MT两件套</t>
  </si>
  <si>
    <t>ETW11G+2E07MT</t>
  </si>
  <si>
    <t>林内 Rinnai 欧式22m³大吸力热清洗侧吸烟机燃气灶热水器智能防干烧烟灶三件套2E03LS+NM09J+JSQ31-R32F</t>
  </si>
  <si>
    <t>2E03LS+NM09J+R16E32FBF</t>
  </si>
  <si>
    <t>林内（Rinnai）家用侧吸油烟机 22m³大吸力自清洁挥手智控侧吸烟机智能定时 感温防干烧烟灶套装NM09J+2E03LS</t>
  </si>
  <si>
    <t>NM09J+2E03LS</t>
  </si>
  <si>
    <t>林内（Rinnai）抽油烟机灶具套装 侧吸烈焰聚火熄火保护装置燃气灶NMW21J+2E01M 天然气</t>
  </si>
  <si>
    <t>NMW21J+2E01M</t>
  </si>
  <si>
    <t>林内（Rinnai）侧吸式抽油烟机燃气灶热水器套装 22m³大吸力自清洗智能定时烟灶三件套NM09J+2E08MT+16QC05</t>
  </si>
  <si>
    <t>NM09J+2E08MT+16QC05</t>
  </si>
  <si>
    <t>林内（Rinnai）燃气灶 天燃气灶双灶 嵌入式 5KW 超大火力猛火钢化玻璃 JZT-2E03M 天然气</t>
  </si>
  <si>
    <t>2E03M</t>
  </si>
  <si>
    <t>林内（Rinnai）油烟机燃气灶热水器套装23m³/min大吸力5.0KW智能定时烟灶三件套NM11T+2E07MT+16QC05</t>
  </si>
  <si>
    <t>NM11T+2E07MT+16QC05</t>
  </si>
  <si>
    <t>林内 Rinnai挥手智控侧吸式家用抽油烟机定时星厨系列燃气灶家用2QLGH+NM08J两件套</t>
  </si>
  <si>
    <t>2QLGH+NM08J</t>
  </si>
  <si>
    <t>林内（Rinnai）侧吸式油烟机燃气灶热水器三件套 22m³大吸力挥手智控 定时防干烧 NM09J+2E03LS+13QD31</t>
  </si>
  <si>
    <t>NM09J+2E03LS+13QD31</t>
  </si>
  <si>
    <t>林内（Rinnai） 侧吸式抽油烟机燃气灶热水器套装 22m³大吸力自清洗智能定时烟灶三件套 NM09J+2E07MT+16QC05</t>
  </si>
  <si>
    <t>NM09J+2E07MT+16QC05</t>
  </si>
  <si>
    <t>林内（Rinnai） 侧吸式抽油烟机燃气灶热水器套装 22m³大吸力自清洗智能定时烟灶三件套 NM09J+2E07MT+13QC05</t>
  </si>
  <si>
    <t>NM09J+2E07MT+13QC05</t>
  </si>
  <si>
    <t>2E02LT</t>
  </si>
  <si>
    <t>林内（Rinnai）4.5KW爆炒火力 天燃气灶灶具 不锈钢拉丝面板大火力一级能效RB-2E02SM</t>
  </si>
  <si>
    <t>2E02SM</t>
  </si>
  <si>
    <t>林内 Rinnai 欧式抽油烟机燃气灶热水器烟灶套装 烟灶热厨房三件套 大吸力 5KW大火力 NM05T+2E03M+16QD31</t>
  </si>
  <si>
    <t>NM05T+2E03M+16QD31</t>
  </si>
  <si>
    <t>林内（Rinnai）燃气灶 天燃气灶双灶 嵌入式5KW超大火力猛火钢化玻璃JZT-2E03M 天然气</t>
  </si>
  <si>
    <t>林内（Rinnai）16升即享系列 智能预约 零等待 防冻 燃气热水器（天然气）JSQ32-R65A</t>
  </si>
  <si>
    <t>R16E65ARF</t>
  </si>
  <si>
    <t>林内 Rinnai 安芯系列烟灶套装大吸力欧式顶吸式油烟机智能定时防干烧燃气灶家用双灶NM05T+2WLGM</t>
  </si>
  <si>
    <t>NM05T+2WLGM</t>
  </si>
  <si>
    <t>林内Rinnai 侧吸式抽油烟机燃气灶热水器烟灶套装 烟灶热三件套 22m³大吸力 定时防干烧JUW11G+2WLGM+16QD31</t>
  </si>
  <si>
    <t>JUW11G+2WLGM+16QD31</t>
  </si>
  <si>
    <t>林内(Rinnai)16升燃气热水器 智慧恒温 全新升级CPU 黄金窄比 恒温系列RUS-16GD31（JSQ31-GD31）</t>
  </si>
  <si>
    <t>林内(Rinnai) 16升燃气热水器 智享恒温 全新智慧芯 用水零干扰 天然气12T RUS-16GD32（JSQ31-GD32）</t>
  </si>
  <si>
    <t>林内（Rinnai）20升水气双调恒温 智能大容量 防冻 燃气热水器 RUS-20E53ARF（天然气）(JSQ40-53A)</t>
  </si>
  <si>
    <t>20E53ARF</t>
  </si>
  <si>
    <t>林内(Rinnai)燃气壁挂炉 采暖热水器两用 恒温 天然气地暖锅炉 暖境系列RBS-24C33(L1PB27-24C33)</t>
  </si>
  <si>
    <t>林内（Rinnai）燃气灶 天燃气灶双灶灶具 烈焰聚火熄火保护装置钢化玻璃JZT-2E02M 天然气</t>
  </si>
  <si>
    <t>2E02M</t>
  </si>
  <si>
    <t>林内 Rinnai侧吸抽油烟机燃气灶热水器烟灶热套装 一键爆炒 5KW爆炒火力 智慧恒温芯 NMW21J+2E03M+16C05</t>
  </si>
  <si>
    <t>NMW21J+2E03M+16C05</t>
  </si>
  <si>
    <t>林内（Rinnai）燃气热水器 16升 智能精控恒温 水量伺服器 水温按摩 APP智控 RUS-16E66FYF 智能家电</t>
  </si>
  <si>
    <t>16E66FYF</t>
  </si>
  <si>
    <t>林内 Rinnai侧吸抽油烟机燃气灶热水器烟灶热套装 一键爆炒 5KW爆炒火力 智慧恒温芯 NMW21J+2E03M+13C05</t>
  </si>
  <si>
    <t>NMW21J+2E03M+13C05</t>
  </si>
  <si>
    <t>林内Rinnai 16升零冷水套装 循环水泵 零干扰恒温燃气热水器 小京鱼APP智能水温按摩16QD06W+SG (JSQ31-D06W)</t>
  </si>
  <si>
    <t>16QD06W+SG</t>
  </si>
  <si>
    <t>林内(Rinnai)16升燃气热水器 零冷水套装 澎湃大水量 百年定制 芯动力系列RUS-16QD31+SG（JSQ31-D31）</t>
  </si>
  <si>
    <t>16QD31+SG</t>
  </si>
  <si>
    <t>林内（Rinnai）抽油烟机灶具套装 侧吸触控大吸力超能火莲花火燃气灶NM05J+2E01L 天然气</t>
  </si>
  <si>
    <t>NM05J+2E01L</t>
  </si>
  <si>
    <t>林内(Rinnai)13升燃气热水器 零冷水套装 澎湃大水量 百年定制 芯动力系列RUS-13QD31+SG（JSQ26-D31）</t>
  </si>
  <si>
    <t>13QD31+SG</t>
  </si>
  <si>
    <t>林内（Rinnai）抽油烟机灶具套装 侧吸触控5KW超大火力燃气灶套装NM05J+2E03M 天然气</t>
  </si>
  <si>
    <t>NM05J+2E03M</t>
  </si>
  <si>
    <t>林内（Rinnai）燃气灶 双头 嵌入式4.2KW莲花火定时燃气灶2E01LT 天然气</t>
  </si>
  <si>
    <t>2E01LT</t>
  </si>
  <si>
    <t>林内（Rinnai）燃气灶双灶 钢化玻璃面板超能莲花火灶家用RB-2E01L 天然气</t>
  </si>
  <si>
    <t>2E01L</t>
  </si>
  <si>
    <t>林内（Rinnai）燃气灶 双头 智能定时高效聚能火家用RB-2E03NT 天然气</t>
  </si>
  <si>
    <t>2E03NT</t>
  </si>
  <si>
    <t>林内（Rinnai）欧式油烟机家用小尺寸抽油烟机 吸油烟机 大吸力顶吸式油烟机 单烟机 ETW41G</t>
  </si>
  <si>
    <t>ETW41G</t>
  </si>
  <si>
    <t>林内 （Rinnai）聚能火钢化玻璃嵌入式燃气灶（天然气）RB-2E01N</t>
  </si>
  <si>
    <t>2E01N</t>
  </si>
  <si>
    <t>林内（Rinnai）天燃气灶灶具 不锈钢烈焰聚火RB-2E02SM 天然气</t>
  </si>
  <si>
    <t>定金</t>
  </si>
  <si>
    <t>林内（Rinnai）1分钱9大特权 预约加赠沐浴礼盒 VIP 会员 粉丝福利 直播间下单抽奖（非商品）单拍不发货</t>
  </si>
  <si>
    <t>林内(Rinnai)璀璨系列16升零冷水燃气热水器套装 升级智慧芯 天然气 RUS-16QC05+SG（JSQ31-C05）</t>
  </si>
  <si>
    <t>16QC05+SG</t>
  </si>
  <si>
    <t>林内(Rinnai)16升燃气热水器 零冷水套装 澎湃大水量 芯动力系列RUS-16QD31+SG（JSQ31-D31）</t>
  </si>
  <si>
    <t>林内Rinnai 16升零冷水燃气热水器套装 循环水泵零干扰恒温 小京鱼APP智能16QD06W+SG(JSQ31-D06W)</t>
  </si>
  <si>
    <t>林内（Rinnai）燃气灶 天燃气灶双灶 智能定时星厨系列嵌入式JZT-2QLGH（S）天然气</t>
  </si>
  <si>
    <t>2QLGH(S)</t>
  </si>
  <si>
    <t>林内(Rinnai)13升燃气热水器 零冷水套装 澎湃大水量 芯动力系列RUS-13QD31+SG（JSQ26-D31）</t>
  </si>
  <si>
    <t>SG</t>
  </si>
  <si>
    <t>林内（Rinnai）燃气热水器 天然气 13升 水量伺服 WIFI智能恒温精控大屏防C0超标 百年纪念款13E66FHF-100A</t>
  </si>
  <si>
    <t>13E66FHF-100A</t>
  </si>
  <si>
    <t>林内 Rinnai侧吸式抽油烟机灶具热水器烟灶套装 烟灶热厨房三件套 一键爆炒 5KW大火力 NMW21J+2E03M+13QD31</t>
  </si>
  <si>
    <t>NMW21J+2E03M+13QD31</t>
  </si>
  <si>
    <t>林内(Rinnai)燃气壁挂炉 日本原装进口 全预混冷凝炉 双擎系列REB-A4058FF-CH(LL1GBQ36-A4058FF)</t>
  </si>
  <si>
    <t>REB-A4058FF-CH</t>
  </si>
  <si>
    <t>林内(Rinnai)燃气壁挂炉 两用采暖炉 家用供暖热水器 百年纪念款RBS-28G55-100A(L1GB33-28G55)</t>
  </si>
  <si>
    <t>28G55</t>
  </si>
  <si>
    <t>林内（Rinnai）抽油烟机灶具套装烟灶两件套 顶吸式5KW超大火力燃气灶NM05T+2E03M 天然气*</t>
  </si>
  <si>
    <t>NM05T+2E03M</t>
  </si>
  <si>
    <t>林内（Rinnai）抽油烟机灶具套装 智能定时大吸力一键爆炒燃气灶JUW11G+2QLGH 天然气 白色套装</t>
  </si>
  <si>
    <t>JUW11G+2QLGH</t>
  </si>
  <si>
    <t>林内 Rinnai 安芯侧吸式抽油烟机灶具套装 燃气灶 燃气热水器 烟灶热三件套装璀璨智慧芯NMW21J+2WLGM+16C05</t>
  </si>
  <si>
    <t>NMW21J+2WLGM+16C05</t>
  </si>
  <si>
    <t>林内(Rinnai)燃气壁挂炉 采暖热水器两用 恒温 天然气地暖锅炉 暖境系列RBS-18C33(L1PB20-18C33)</t>
  </si>
  <si>
    <t>18C33</t>
  </si>
  <si>
    <t>林内Rinnai 13升零冷水燃气热水器套装 循环水泵零干扰恒温 小京鱼APP智能13QD06W+SG(JSQ26-D06W)</t>
  </si>
  <si>
    <t>13QD06W+SG</t>
  </si>
  <si>
    <t>林内 Rinnai 欧式顶吸油烟机 20m³大吸力 烟灶套装安芯系列超能火莲花火燃气灶定时防干烧家用ETW11G+2WLGM</t>
  </si>
  <si>
    <t>ETW11G+2WLGM</t>
  </si>
  <si>
    <t>林内（Rinnai）燃气热水器 13升 智能精控恒温 水量伺服器 水温按摩 APP智控 RUS-13E66FYF 智能家电</t>
  </si>
  <si>
    <t>13E66FYF</t>
  </si>
  <si>
    <t>林内 Rinnai欧式抽油烟机燃气灶热水器烟灶套装 烟灶热三件套 22m³大吸力 定时放干烧 ETW11G+2WLGM+16QD31</t>
  </si>
  <si>
    <t>ETW11G+2WLGM+16QD31</t>
  </si>
  <si>
    <t>林内（Rinnai）燃气热水器 天然气 16升 水量伺服 WIFI智能恒温精控大屏防C0超标 百年纪念款16E66FHF-100A</t>
  </si>
  <si>
    <t>16E66FHF-100A</t>
  </si>
  <si>
    <t>林内 Rinnai 抽油烟机安芯燃气灶具套装烟灶热水器三件套欧式大吸力璀璨智慧芯NM05T+2WLGM+16C05</t>
  </si>
  <si>
    <t>NM05T+2WLGM+16C05</t>
  </si>
  <si>
    <t>林内 Rinnai 侧吸式抽油烟机灶具套装 燃气灶 燃气热水器 烟灶热三件套装NMW21J+2WLGM+13C05</t>
  </si>
  <si>
    <t>NMW21J+2WLGM+13C05</t>
  </si>
  <si>
    <t>林内(Rinnai)燃气壁挂炉 日本原装进口 全预混冷凝炉 双擎系列REB-A2747FF-CH(LL1GBQ25-A2747FF)</t>
  </si>
  <si>
    <t>A2747FF-CH</t>
  </si>
  <si>
    <t>林内(Rinnai)燃气壁挂炉 冷凝式环保节能热水器 云智能系列RBS-32K88 Plus(LL1GBD32-32K88 Plus)</t>
  </si>
  <si>
    <t>32K88Plus</t>
  </si>
  <si>
    <t>林内（Rinnai）24升水气双调恒温 智能大容量 防冻 燃气热水器 RUS-24E53ARF（天然气）(JSQ48-53A)</t>
  </si>
  <si>
    <t>24E53ARF</t>
  </si>
  <si>
    <t>林内(Rinnai)璀璨系列16升零冷水套装循环水泵 燃气热水器升级智慧芯 天然气12T RUS-16QC05+SG（JSQ31-C05）</t>
  </si>
  <si>
    <t>林内(Rinnai)燃气壁挂炉 家用地暖 天然气锅炉 供暖热水器两用 睿恒系列RBS-30UX(L1GB36-30UX)</t>
  </si>
  <si>
    <t>30UX</t>
  </si>
  <si>
    <t>林内 Rinnai 抽油烟机安芯燃气灶具套装烟灶热水器三件套欧式大吸力璀璨智慧芯NM05T+2WLGM+13C05</t>
  </si>
  <si>
    <t>NM05T+2WLGM+13C05</t>
  </si>
  <si>
    <t>林内（Rinnai）顶吸式欧式抽油烟机燃气灶具燃气热水器三件套 4T控烟 大吸力NM05T+2E02M+13QD03（天然气）</t>
  </si>
  <si>
    <t>NM05T+2E02M+13QD03</t>
  </si>
  <si>
    <t>林内（Rinnai）16升水量伺服器 CO安防恒温 防冻 燃气热水器 RUS-16E55CWNF（天然气）(JSQ32-55C)家电</t>
  </si>
  <si>
    <t>16E55CWNF</t>
  </si>
  <si>
    <t>林内(Rinnai)燃气壁挂炉 家用地暖锅炉天然气 采暖热水器两用 睿恒系列RBS-26UCA(L1GB31-26UC)</t>
  </si>
  <si>
    <t>26UCA</t>
  </si>
  <si>
    <t>林内 Rinnai 侧吸式油烟机一件爆炒烟灶套装家用超能火莲花火燃气灶安芯系列套装NMW21J+2WLGM</t>
  </si>
  <si>
    <t>NMW21J+2WLGM</t>
  </si>
  <si>
    <t>林内 Rinnai 欧式抽油烟机燃气灶热水器烟灶套装 烟灶热厨房三件套 大吸力 5KW大火力 NM05T+2E03M+13QD31</t>
  </si>
  <si>
    <t>NM05T+2E03M+13QD31</t>
  </si>
  <si>
    <t>林内（Rinnai）侧吸式抽油烟机燃气灶具燃气热水器三件套 一键爆炒 智能换气NMW21J+2E02M+16QD03（天然气）</t>
  </si>
  <si>
    <t>NMW21J+2E02M+16QD03</t>
  </si>
  <si>
    <t>林内(Rinnai)燃气壁挂炉 采暖热水器两用 家用小升数小户型地暖 睿恒系列RBS-22UCA(L1GB26-22UC)</t>
  </si>
  <si>
    <t>22UCA</t>
  </si>
  <si>
    <t>林内（Rinnai）燃气灶双灶 防干烧智能定时钢化玻璃燃气灶家用RB-2NGM 天然气</t>
  </si>
  <si>
    <t>2NGM</t>
  </si>
  <si>
    <t>林内（Rinnai）侧吸式抽油烟机燃气灶具燃气热水器三件套 一键爆炒 智能换气NMW21J+2E02M+13QD03（天然气）</t>
  </si>
  <si>
    <t>NMW21J+2E02M+13QD03</t>
  </si>
  <si>
    <t>林内(Rinnai)燃气壁挂炉 冷凝式环保节能热水器 云智能系列RBS-25K88 Plus(LL1GBD25-25K88 Plus)</t>
  </si>
  <si>
    <t>25K88Plus</t>
  </si>
  <si>
    <t>林内(Rinnai)燃气壁挂炉 天然气地暖全屋语音智控 采暖热水器两用恒温锅炉18KW RBS-18C39(L1PB20-18C39)</t>
  </si>
  <si>
    <t>18C39</t>
  </si>
  <si>
    <t>林内(Rinnai)燃气壁挂炉 天然气地暖全屋语音智控 采暖热水器两用恒温锅炉28KW RBS-28C39(L1PB32-28C39)</t>
  </si>
  <si>
    <t>28C39</t>
  </si>
  <si>
    <t>林内(Rinnai)燃气壁挂炉 天然气地暖全屋语音智控 采暖热水器两用恒温锅炉24KW RBS-24C39(L1PB27-24C39)</t>
  </si>
  <si>
    <t>24C39</t>
  </si>
  <si>
    <t>林内(Rinnai)零冷水天然气壁挂炉 全预混冷凝供暖锅炉 采暖热水两用APP智控 睿擎系列LL1GBQ25-25RQ85A</t>
  </si>
  <si>
    <t>25RQ85A</t>
  </si>
  <si>
    <t>林内(Rinnai)燃气壁挂炉 天然气地暖全屋语音智控 采暖热水器两用恒温锅炉35KW RBS-35C39(L1PB40-35C39)</t>
  </si>
  <si>
    <t>35C39</t>
  </si>
  <si>
    <t>林内(Rinnai)燃气壁挂炉 家用地暖 恒温智控 采暖热水器 暖域系列28KW RBS-28G56(L1GB33-28G56 )</t>
  </si>
  <si>
    <t>28G56</t>
  </si>
  <si>
    <t>林内(Rinnai)燃气壁挂炉 家用地暖 恒温智控 采暖热水器 暖域系列24KW RBS-24G56(L1GB28-24G56 )</t>
  </si>
  <si>
    <t>林内(Rinnai)燃气壁挂炉 家用地暖 天然气锅炉 供暖热水器两用 睿恒系列RBS-26UX(L1GB31-26UX)</t>
  </si>
  <si>
    <t>26UX</t>
  </si>
  <si>
    <t>林内(Rinnai)燃气壁挂炉 两用采暖炉 家用供暖热水器 百年纪念款RBS-24G55-100A(L1GB28-24G55)</t>
  </si>
  <si>
    <t>24G55-100A</t>
  </si>
  <si>
    <t>林内（Rinnai）烟灶热三件套热水器油烟机烟机燃气灶具NM05T+2E01M+13QD03 天然气</t>
  </si>
  <si>
    <t>NM05T+2E01M+13QD03</t>
  </si>
  <si>
    <t>林内 Rinnai侧吸式抽油烟机灶具热水器烟灶套装烟灶热三件套 一键爆炒 5KW大火力 16升 NMW21J+2E03M+16QD31</t>
  </si>
  <si>
    <t>NMW21J+2E03M+16QD31</t>
  </si>
  <si>
    <t>林内（Rinnai）顶吸式欧式抽油烟机燃气灶具燃气热水器三件套 4T控烟 大吸力NM05T+2E02M+16QD03（天然气）</t>
  </si>
  <si>
    <t>NM05T+2E02M+16QD03</t>
  </si>
  <si>
    <t>林内 Rinnai欧式抽油烟机燃气灶热水器烟灶套装 烟灶热三件套 22m³大吸力 定时放干烧 ETW11G+2WLGM+13QD31</t>
  </si>
  <si>
    <t>ETW11G+2WLGM+13QD31</t>
  </si>
  <si>
    <t>林内 Rinnai侧吸式抽油烟机燃气灶热水器烟灶套装 烟灶热三件套 22m³大吸力 定时放干烧 JUW11G+2WLGM+13QD31</t>
  </si>
  <si>
    <t>JUW11G+2WLGM+13QD31</t>
  </si>
  <si>
    <t>林内（Rinnai）油烟机 侧吸式油烟机家用近吸式抽油烟机 大吸力 一键爆炒单烟机 JUW11G</t>
  </si>
  <si>
    <t>JUW11G</t>
  </si>
  <si>
    <t>林内（Rinnai）24升即享系列 智能预约 0冷水 防冻 燃气热水器（天然气）JSQ48-R65A</t>
  </si>
  <si>
    <t>R24E65ARF</t>
  </si>
  <si>
    <t>林内（Rinnai）油烟机 抽油烟机吸油烟机 顶吸式大吸力20立方米瞬吸CXW-220-NM05T</t>
  </si>
  <si>
    <t>NM05T</t>
  </si>
  <si>
    <t>林内（Rinnai）20升即享系列 智能预约 0冷水 防冻 燃气热水器（天然气）JSQ40-R65A</t>
  </si>
  <si>
    <t>R20E65ARF</t>
  </si>
  <si>
    <t>林内（Rinnai）抽油烟机灶具套装 侧吸式5KW超大火力油烟机灶灶NMW21J+2E03M 天然气</t>
  </si>
  <si>
    <t>NMW21J+2E03M</t>
  </si>
  <si>
    <t>林内（Rinnai）油烟机 抽油烟机吸油烟机 侧吸式智能换气一键爆炒触控CXW-220-NMW21J</t>
  </si>
  <si>
    <t>NMW21J</t>
  </si>
  <si>
    <t>林内 Rinnai 欧式抽油烟机燃气灶热水器烟灶热套装 20m³大吸力 5KW爆炒火力 智慧恒温芯NM05T+2E03M+16C05</t>
  </si>
  <si>
    <t>NM05T+2E03M+16C05</t>
  </si>
  <si>
    <t>林内(Rinnai)璀璨系列13升燃气热水器 升级智慧芯 水气双调 防CO超标 天然气12T RUS-13QC05（JSQ26-C05）</t>
  </si>
  <si>
    <t>林内(Rinnai)燃气壁挂炉 两用采暖炉 家用供暖热水器 百年纪念款RBS-18G55-100A(L1GB21-18G55)</t>
  </si>
  <si>
    <t>18G55</t>
  </si>
  <si>
    <t>林内（Rinnai）侧吸式抽油烟机燃气灶具燃气热水器三件套 一键爆炒 智能换气NMW21J+2E02M+16QD06（天然气）</t>
  </si>
  <si>
    <t>NMW21J+2E02M+16QD06</t>
  </si>
  <si>
    <t>林内（Rinnai）12升智能精控恒温 CO安防 燃气热水器 RUS-12E22CWNF（天然气）(JSQ24-22C)</t>
  </si>
  <si>
    <t>12E22CWNF</t>
  </si>
  <si>
    <t>林内 Rinnai 林内（Rinnai）油烟机 顶吸式油烟机家用欧式抽油烟机 大吸力一键爆炒单烟机 ETW11G</t>
  </si>
  <si>
    <t>ETW11G</t>
  </si>
  <si>
    <t>林内(Rinnai)燃气壁挂炉 家用地暖锅炉天然气 采暖热水器两用 睿恒系列RBS-30UCA(L1GB36-30UC)</t>
  </si>
  <si>
    <t>30UCA</t>
  </si>
  <si>
    <t>林内（Rinnai）燃气灶 双灶 智能定时燃气灶星厨系列家用JZT-2QLGH 天然气</t>
  </si>
  <si>
    <t>2QLGH</t>
  </si>
  <si>
    <t>13QD01</t>
  </si>
  <si>
    <t>林内（Rinnai）油烟机 抽油烟机吸油烟机 一级能效18立方米触控大吸力CXW-220-NM05J</t>
  </si>
  <si>
    <t>NM05J</t>
  </si>
  <si>
    <t>林内（Rinnai）13升水量伺服器 CO安防恒温 防冻 燃气热水器 RUS-13E55CWNF（天然气）(JSQ26-55C)家电</t>
  </si>
  <si>
    <t>13E55CWNF</t>
  </si>
  <si>
    <t>林内(Rinnai)燃气壁挂炉 家用地暖 暖气片天然气 采暖热水器 暖适系列RBS-18G55(L1GB21-18G55)</t>
  </si>
  <si>
    <t>林内（Rinnai）抽油烟机灶具套装 顶吸式不锈钢洁净易清洁燃气灶NM05T+2E02SM 天然气</t>
  </si>
  <si>
    <t>NM05T+2E02SM</t>
  </si>
  <si>
    <t>林内（Rinnai）热水器烟机灶具灶三件套零温差感恒温燃气热水器抽油烟机灶具NMW21J+2E02M+13QD03（天然气）</t>
  </si>
  <si>
    <t>林内(Rinnai)燃气壁挂炉 冷凝式环保节能热水器 云智能系列RBS-42K88 Plus(LL1GBD42-42K88 Plus)</t>
  </si>
  <si>
    <t>42K88Plus</t>
  </si>
  <si>
    <t>林内 Rinnai 欧式抽油烟机燃气灶热水器烟灶热套装 20m³大吸力 5KW爆炒火力 智慧恒温芯NM05T+2E03M+13C05</t>
  </si>
  <si>
    <t>NM05T+2E03M+13C05</t>
  </si>
  <si>
    <t>林内（Rinnai）抽油烟机灶具套装 智能定时大吸力一键爆炒燃气灶JUW11G+2QLGH 天然气 黑色套装</t>
  </si>
  <si>
    <t>林内 Rinnai 欧式大吸力手势智控热清洗侧吸烟机 NM09J</t>
  </si>
  <si>
    <t>NM09J</t>
  </si>
  <si>
    <t>2E05LS</t>
  </si>
  <si>
    <t>林内 （Rinnai）不锈钢聚能火嵌入式燃气灶（天然气）RB-2E02N</t>
  </si>
  <si>
    <t>2E02N</t>
  </si>
  <si>
    <t>林内（Rinnai）抽油烟机灶具套装 侧吸式超能火莲花火智能换气NMW21J+2E01L 天然气</t>
  </si>
  <si>
    <t>NMW21J+2E01L</t>
  </si>
  <si>
    <t>林内（Rinnai）烟灶热三件套热水器油烟机烟机燃气灶具NM05T+2E01M+12QD03 天然气</t>
  </si>
  <si>
    <t>NM05T+2E01M+12QD03</t>
  </si>
  <si>
    <t>林内Rinnai 13升零冷水套装 循环水泵零干扰恒温燃气热水器 小京鱼APP智能水温按摩 13QD06W+SG (JSQ26-D06W)</t>
  </si>
  <si>
    <t>林内（Rinnai）油烟机吸油烟机 顶吸式大吸力20立方米瞬吸CXW-220-NM05T</t>
  </si>
  <si>
    <t>林内(Rinnai)燃气壁挂炉 家用地暖锅炉天然气 采暖热水器两用 睿恒系列RBS-35UCA(L1GB42-35UC)</t>
  </si>
  <si>
    <t>35UCA</t>
  </si>
  <si>
    <t>林内(Rinnai)13升燃气热水器 智慧恒温 全新升级CPU 黄金窄比 恒温系列RUS-13GD31（JSQ26-GD31）</t>
  </si>
  <si>
    <t>林内(Rinnai)16升燃气热水器 澎湃大水量 芯动力系列 RUS-16GS41*（JSQ31-GS41）**</t>
  </si>
  <si>
    <t>林内(Rinnai)璀璨系列16升燃气热水器 升级智慧芯 全新燃烧器 RUS-16GC22*（JSQ31-GC22）**</t>
  </si>
  <si>
    <t>林内(Rinnai) 13升燃气热水器 全新智慧芯 用水零干扰 焕境系列 天然气12T RUS-13GD32（JSQ26-GD32）</t>
  </si>
  <si>
    <t>林内(Rinnai) 16升燃气热水器 语音智控 恒温防冻大水量 京东小家智能生态 JSQ31-D66W零冷水套装*</t>
  </si>
  <si>
    <t>16D66W+SG</t>
  </si>
  <si>
    <t>林内（Rinnai）1元享特权 VIP 会员 粉丝福利 专卖店下单（非商品）单拍不发货</t>
  </si>
  <si>
    <t>林内（Rinnai） 近吸式抽油烟机 22m³/min大吸力 自清洗油烟机 5.0KW智能定时烟灶套装NM09J+2E08MT 以旧换新</t>
  </si>
  <si>
    <t>林内(Rinnai)燃气壁挂炉 采暖热水器两用 暖境系列C30系列空壳样机（需联系客服方可发货）</t>
  </si>
  <si>
    <t>林内(Rinnai) 80升电热水器 3000W速热 6.5倍增容 专利防电墙 DSG80-E04PD 空壳机*非零售商品</t>
  </si>
  <si>
    <t>林内（Rinnai）16升燃气热水器 语音智控 恒温防冻大水量 京东小家智能生态 *JSQ31-D66W零冷水套装*</t>
  </si>
  <si>
    <t>林内（Rinnai）13套大容量 嵌入式 家用洗碗机 洗烘干一体 热风烘干 全自动刷碗机 乐净系列M2 WQD13-M2GB*</t>
  </si>
  <si>
    <t>WQD13-M2GB</t>
  </si>
  <si>
    <t>林内（Rinnai）16升燃气热水器 零冷水即开即热 天然气 恒逸系列*RUS-R16E32FBF（JSQ31-R32F）*</t>
  </si>
  <si>
    <t>林内（Rinnai）16升燃气热水器 零冷水即开即热即恒温 家用天然气 RUS-16GD61R（JSQ31-GD61R）</t>
  </si>
  <si>
    <t>林内（Rinnai）天燃气灶双灶 嵌入式5KW超大火力猛火智能定时灶具 不锈钢面板 JZT-2E08MT 天然气*</t>
  </si>
  <si>
    <t>2E08MT</t>
  </si>
  <si>
    <t>林内（Rinnai）燃气壁挂炉 采暖热水器两用 恒温 天然气地暖锅炉 28KW* RBS-28UER（B)*</t>
  </si>
  <si>
    <t>28UER</t>
  </si>
  <si>
    <t>林内（Rinnai）燃气壁挂炉 采暖热水器两用 恒温 天然气地暖锅炉 暖境系列(L)24KW* RBS-24C33(适用于80-120㎡)*</t>
  </si>
  <si>
    <t>林内（Rinnai）全预混冷凝壁挂炉 天然气采暖炉家用地暖供暖全屋大水量热水洗浴智慧节能恒温LL1GBQ35-35Q55A</t>
  </si>
  <si>
    <t>林内（Rinnai）20升燃气热水器 零冷水即开即热 天然气 恒逸系列*RUS-R20E32FRF（JSQ40-R32F）*</t>
  </si>
  <si>
    <t>R20E32FBF</t>
  </si>
  <si>
    <t>RWTS-PF-10</t>
  </si>
  <si>
    <t>林内（Rinnai）抽油烟机 燃气灶 奶油白套装 欧式20立方大吸力 4.2KW莲花火灶具NM09T+2E30L</t>
  </si>
  <si>
    <t>林内（Rinnai）油烟机燃气灶热水器套装23m³/min大吸力5.0KW智能定时烟灶三件套NM11T+2E07MT+13QC05</t>
  </si>
  <si>
    <t>NM11T+2E07MT+13QC05</t>
  </si>
  <si>
    <t>M2GB+NM11T+JZT-2E08MT</t>
  </si>
  <si>
    <t>林内（Rinnai）燃气壁挂炉 采暖热水两用 恒温 天然气地暖锅炉 暖境系列(L)18KW* RBS-18C33(L1PB20-18C33)*</t>
  </si>
  <si>
    <t>林内（Rinnai）油烟机 抽油烟机吸油烟机 顶吸式大吸力20立方米瞬吸CXW-220-NM05T*</t>
  </si>
  <si>
    <t>林内（Rinnai）燃气壁挂炉 采暖热水器两用 恒温 天然气地暖锅炉 暖境系列(L)28KW* RBS-28C33(适用120-180㎡)*</t>
  </si>
  <si>
    <t>林内（Rinnai）燃气壁挂炉 采暖热水器两用 恒温 天然气地暖锅炉 24KW* RBS-24UER（B)*</t>
  </si>
  <si>
    <t>24UER</t>
  </si>
  <si>
    <t>林内（Rinnai）油烟机燃气灶热水器套装22m³/min大吸力5.0KW智能定时烟灶三件套NM09J+2E08MT+13GD31</t>
  </si>
  <si>
    <t>NM09J+2E08MT+13GD31</t>
  </si>
  <si>
    <t>林内（Rinnai）油烟机燃气灶热水器三件套23m³/min大吸力4.2KW定时防干烧NM11T+2E03LS+16QD06W</t>
  </si>
  <si>
    <t>NM11T+2E03LS+16QD06W</t>
  </si>
  <si>
    <t>林内（Rinnai）净水器 厨下式RO反渗透 家用纯水机直饮机低废水600G wifi智能换芯提醒 RWTS-RO95-A</t>
  </si>
  <si>
    <t>RWTS-RO95-A</t>
  </si>
  <si>
    <t>林内（Rinnai）油烟机燃气灶热水器三件套 22m³/min大吸力4.2KW定时防干烧NM09J+2E03LS+16QD06W</t>
  </si>
  <si>
    <t>NM09J+2E03LS+16QD06W</t>
  </si>
  <si>
    <t>RWTS-PF-11</t>
  </si>
  <si>
    <t>林内（Rinnai）双灶 燃气灶 4.2KW 进口钢化玻璃面板 超能双层莲花火 家用灶 2E30L奶油白</t>
  </si>
  <si>
    <t>林内（Rinnai）家用侧吸油烟机 大吸力自清洁挥手智控侧吸烟机智能定时感温防干烧烟灶套装NM09J+2E03LS*</t>
  </si>
  <si>
    <t>林内（Rinnai）燃气灶 天燃气灶双灶 嵌入式5KW超大火力猛火钢化玻璃JZT-2E03M 天然气*</t>
  </si>
  <si>
    <t>林内（Rinnai）50升电热水器 3000W速热 6.5倍增容 专利防电墙 *DSG50-E04PD*</t>
  </si>
  <si>
    <t>DSG50-E04PD</t>
  </si>
  <si>
    <t>林内（Rinnai）燃气壁挂炉 采暖热水器两用 恒温 天然气地暖锅炉 暖境系列28KW* RBS-28C30(L)*</t>
  </si>
  <si>
    <t>28C30</t>
  </si>
  <si>
    <t>林内（Rinnai）80升电热水器 3000W速热 6.5倍增容 专利防电墙 *DSG80-E04PD*</t>
  </si>
  <si>
    <t>DSG80-E04PD</t>
  </si>
  <si>
    <t>林内（Rinnai）回水器 循环泵 智能热水循环装置 回水泵 家用外置零冷水系统 RCD-SG（专卖店）*</t>
  </si>
  <si>
    <t>林内（Rinnai）零冷水燃气壁挂炉 全屋零冷水 采暖热水两用 APP智控 暖逸系列(L)24KW* RBS-24C66L(90-150㎡)*</t>
  </si>
  <si>
    <t>林内（Rinnai）燃气壁挂炉 采暖热水器两用 恒温 天然气地暖锅炉 暖境系列24KW* RBS-24C30(L)*</t>
  </si>
  <si>
    <t>林内（Rinnai） 家用近吸式抽油烟机 22m大吸力挥手智控 自清洗侧吸油烟机 智能定时烟灶套装NM09J+2E08MT*</t>
  </si>
  <si>
    <t>林内（Rinnai）零冷水燃气壁挂炉 全屋零冷水 采暖热水两用 APP智控 暖逸系列(L)28KW* RBS-28C66L(150-200㎡)*</t>
  </si>
  <si>
    <t>林内（Rinnai）13升燃气热水器 语音智控 恒温防冻大水量 京东小家智能生态 *JSQ26-D66W零冷水套装*</t>
  </si>
  <si>
    <t>林内（Rinnai）8套大容量 嵌入式 家用洗碗机 洗烘干一体 热风烘干 全自动刷碗机 乐净系列M1 WQD8-M1GB*</t>
  </si>
  <si>
    <t>WQD8-M1GB</t>
  </si>
  <si>
    <t>林内(Rinnai)零冷水燃气壁挂炉两件套 采暖热水两用 循环水泵秒出热水 暖境系列35KW RBS-35C30+SG</t>
  </si>
  <si>
    <t>35C30+SG</t>
  </si>
  <si>
    <t>林内（Rinnai）燃气灶 天燃气灶双头 嵌入式烈焰聚火熄火保护装置强化玻璃*JZT-2E01M 天然气*</t>
  </si>
  <si>
    <t>林内（Rinnai）60升电热水器 3000W速热 6.5倍增容 专利防电墙 *DSG60-E04PD*</t>
  </si>
  <si>
    <t>DSG60-E04PD</t>
  </si>
  <si>
    <t>林内（Rinnai） 家用近吸式抽油烟机 大吸力挥手智控 自清洗侧吸油烟机 智能定时烟灶套装NM09J+2E07MT*</t>
  </si>
  <si>
    <t>林内（Rinnai）13升燃气热水器 澎湃大水量 芯动力系列 RUS-13GS41*（JSQ26-GS41）**</t>
  </si>
  <si>
    <t>13GS41</t>
  </si>
  <si>
    <t>林内（Rinnai）燃气热水器 16升 智能APP&amp;语音双控制 恒温防冻大水量 定制宠物洗 16QS42W 天然气**</t>
  </si>
  <si>
    <t>林内(Rinnai) 13升燃气热水器 语音智控 恒温防冻大水量 京东小家智能生态 JSQ26-D66W零冷水套装*</t>
  </si>
  <si>
    <t>13QD66W+SG</t>
  </si>
  <si>
    <t>林内 Rinnai 抽油烟机燃气灶具套装 欧式顶吸抽油烟机 烈焰巨火不锈钢燃气灶NM05T+2E02SM（天然气）*</t>
  </si>
  <si>
    <t>林内(Rinnai) 13升燃气热水器 澎湃大水量 芯动力系列 RUS-13GS41*（JSQ26-GS41）**</t>
  </si>
  <si>
    <t>林内（Rinnai）全预混冷凝壁挂炉 天然气采暖炉家用地暖供暖全屋大水量热水洗浴智慧节能恒温LL1GBQ25-25Q55A</t>
  </si>
  <si>
    <t>林内（Rinnai）壁挂炉专享活动链接 1元享9大权益 预定专享福利</t>
  </si>
  <si>
    <t>林内（Rinnai）燃气灶 防干烧 智能定时超能火安芯系列升级款 一级能效天然气4.2KW大火力 JZT-2E03LS*</t>
  </si>
  <si>
    <t>2E03LS</t>
  </si>
  <si>
    <t>林内（Rinnai）全嵌入式洗碗机玻璃门板（黑色） WQD13-M5WB</t>
  </si>
  <si>
    <t>M5WB</t>
  </si>
  <si>
    <t>林内（Rinnai）欧式20m³/min 大吸力 顶吸式 智能调控强排静音单烟机 NM09T奶油白</t>
  </si>
  <si>
    <t>林内（Rinnai）净水器 厨下式RO反渗透家用纯水机直饮机低废水400G wifi智能换芯提醒 RWTS-RO63-A*</t>
  </si>
  <si>
    <t>RWTS-RO63-A</t>
  </si>
  <si>
    <t>林内(Rinnai) 50升电热水器 3000W速热 6.5倍增容 专利防电墙 DSG50-E04PD**</t>
  </si>
  <si>
    <t>林内（Rinnai）15套大容量 嵌入式 家用洗碗机 洗烘干一体 热风烘干 全自动刷碗机 乐净系列M3 WDD15-M3SB*</t>
  </si>
  <si>
    <t>WDD15-M3SB</t>
  </si>
  <si>
    <t>林内（Rinnai）13升燃气热水器 升级智慧芯 全新燃烧器 RUS-13GC22*（JSQ26-GC22）**</t>
  </si>
  <si>
    <t>13GC22</t>
  </si>
  <si>
    <t>林内（Rinnai）燃气壁挂炉 采暖热水器两用 恒温 天然气地暖锅炉 18KW* RBS-18UER(B)*</t>
  </si>
  <si>
    <t>18UER</t>
  </si>
  <si>
    <t>林内（Rinnai）零冷水燃气壁挂炉 全屋零冷水 采暖热水两用 APP智控 暖逸系列(L)35KW* RBS-35C66L(200-300㎡)*</t>
  </si>
  <si>
    <t>35C66L</t>
  </si>
  <si>
    <t>林内（Rinnai）油烟机燃气灶热水器套装22m³/min大吸力5.0KW智能定时烟灶三件套NM09J+2E07MT+13GD31</t>
  </si>
  <si>
    <t>NM09J+2E07MT+13GD31</t>
  </si>
  <si>
    <t>林内（Rinnai）燃气灶 天燃气灶双头 嵌入式4.5kW烈焰聚火熄火保护装置强化玻璃JZT-2E01M 天然气</t>
  </si>
  <si>
    <t>林内（Rinnai）抽油烟机灶具套装烟灶两件套 顶吸式4.5KW烈焰聚火燃气灶NM05T+2E02M 天然气</t>
  </si>
  <si>
    <t>NM05T+2E02M</t>
  </si>
  <si>
    <t>林内（Rinnai）零冷水燃气壁挂炉 全屋零冷水 采暖热水两用 APP智控 暖逸系列(L)18KW* RBS-18C66L(80-90㎡)*</t>
  </si>
  <si>
    <t>18C66L</t>
  </si>
  <si>
    <t>林内（Rinnai）燃气壁挂炉 天然气地暖全屋语音智控 采暖热水器两用恒温锅炉28KW RBS-28C39(L1PB32-28C39)</t>
  </si>
  <si>
    <t>林内（Rinnai）油烟机 侧吸式油烟机 近吸式 22m³/min大吸力 挥手智控 自清洗侧吸烟机 NM09J 以旧换新</t>
  </si>
  <si>
    <t>林内（Rinnai）燃气灶 天燃气灶双灶 嵌入式5KW超大火力猛火灶具 钢化玻璃 JZT-2E07M 天然气 一级能效*</t>
  </si>
  <si>
    <t>林内（Rinnai）燃气灶 天燃气灶双灶灶具 4.5kW烈焰聚火熄火保护装置钢化玻璃JZT-2E02M 天然气</t>
  </si>
  <si>
    <t>林内（Rinnai）油烟机燃气灶热水器套装22m³/min大吸力5.0KW智能定时烟灶三件套NM09J+2E07MT+16GD31</t>
  </si>
  <si>
    <t>NM09J+2E07MT+16GD31</t>
  </si>
  <si>
    <t>林内（Rinnai）油烟机 抽油烟机吸油烟机 20m³/min顶吸式大吸力20立方米瞬吸CXW-220-NM05T</t>
  </si>
  <si>
    <t>林内(Rinnai) 50升电热水器 3200W速热 10倍增容 专利防电墙 DSG50-DE06PN*</t>
  </si>
  <si>
    <t>林内(Rinnai) 80升电热水器 京东小家智能生态 3000W速热 智能语音APP控制 高配双动力 DSG80-E05CD*</t>
  </si>
  <si>
    <t>DSG80-E05CD</t>
  </si>
  <si>
    <t>林内(Rinnai) 80升电热水器 3000W速热 6.5倍增容 专利防电墙 DSG80-E04PD**</t>
  </si>
  <si>
    <t>林内(Rinnai)燃气壁挂炉 采暖热水器两用 暖境系列C33系列空壳样机（需联系客服方可发货）</t>
  </si>
  <si>
    <t>林内（Rinnai）1元享九大特权 VIP 会员 粉丝福利 直播间下单抽奖（非商品）单拍不发货</t>
  </si>
  <si>
    <t>林内（Rinnai）4.5KW爆炒火力 天燃气灶灶具 不锈钢拉丝面板大火力一级能效JZT-2E02SM*</t>
  </si>
  <si>
    <t>林内（Rinnai）燃气壁挂炉 天然气地暖全屋语音智控 采暖热水器两用恒温锅炉24KW RBS-24C39(L1PB27-24C39)</t>
  </si>
  <si>
    <t>林内(Rinnai)零冷水燃气壁挂炉两件套 采暖热水器两用 循环水泵秒出热水 暖境系列18KW RBS-18C30+SG</t>
  </si>
  <si>
    <t>18C30+SG</t>
  </si>
  <si>
    <t>林内(Rinnai) 16升燃气热水器 家用天然气 语音智控 恒温防冻大水量 京东小家智能生态 JSQ31-D66W**</t>
  </si>
  <si>
    <t>林内(Rinnai) 16升燃气热水器 家用天然气 语音智控 恒温防冻大水量 京东小家智能生态 JSQ31-D66W*</t>
  </si>
  <si>
    <t>NM11T+2E07MT</t>
  </si>
  <si>
    <t>林内(Rinnai)13升燃气热水器 升级智慧芯 全新燃烧器 RUS-13GC22*（JSQ26-GC22）**</t>
  </si>
  <si>
    <t>NM11T+2E03LS</t>
  </si>
  <si>
    <t>NM11T+2E08MT</t>
  </si>
  <si>
    <t>林内(Rinnai) 13升燃气热水器 家用天然气 语音智控 恒温防冻大水量 京东小家智能生态 JSQ26-D66W**</t>
  </si>
  <si>
    <t>林内（Rinnai）燃气热水器 13升 智能APP&amp;语音双控制 恒温防冻大水量 定制宠物洗 13QS42W 天然气**</t>
  </si>
  <si>
    <t>林内(Rinnai) 60升电热水器 3000W速热 6.5倍增容 专利防电墙 DSG60-E04PD**</t>
  </si>
  <si>
    <t>NM11T</t>
  </si>
  <si>
    <t>林内(Rinnai)零冷水燃气壁挂炉两件套 采暖热水器两用 循环水泵秒出热水 暖境系列28KW RBS-28C30+SG</t>
  </si>
  <si>
    <t>28C30+SG</t>
  </si>
  <si>
    <t>林内(Rinnai)燃气壁挂炉 采暖热水器两用 恒温 天然气地暖锅炉 UER系列空壳样机（需联系客服方可发货）</t>
  </si>
  <si>
    <t>林内(Rinnai)16升燃气热水器 澎湃大水量 芯动力系列RUS-16GS41空壳机（JSQ31-GS41）**</t>
  </si>
  <si>
    <t>林内(Rinnai) 16升燃气热水器 家用天然气 语音智控 恒温防冻大水量 JSQ31-D66W（空壳机）*非零售商品</t>
  </si>
  <si>
    <t>林内（Rinnai）抽油烟机灶具套装 侧吸触控大吸力烈焰聚火燃气灶NM05J+2E01M天然气</t>
  </si>
  <si>
    <t>NM05J+2E01M</t>
  </si>
  <si>
    <t>林内（Rinnai） 御厨控油温嵌入式智能燃气灶具 定时防干烧 智能烹饪模式 家用一级能效2QLGV(S)</t>
  </si>
  <si>
    <t>2QLGV(S)</t>
  </si>
  <si>
    <t>林内（Rinnai）热水器烟机灶具灶三件套零温差感恒温燃气热水器抽油烟机灶具NMW21J+2E03M+13QD03（天然气）</t>
  </si>
  <si>
    <t>NMW21J+2E03M+13QD03</t>
  </si>
  <si>
    <t>林内（Rinnai）抽油烟机灶具套装 顶吸式4.5KW烈焰聚火燃气灶NM05T+2E02M 天然气</t>
  </si>
  <si>
    <t>林内（Rinnai）抽油烟机灶具套装 顶吸式双层莲花火独立控制燃气灶NM05T+2E01L 天然气</t>
  </si>
  <si>
    <t>NM05T+2E01L</t>
  </si>
  <si>
    <t>林内（Rinnai）油烟机 侧吸式吸油烟机智能换气一键爆炒触控CXW-220-NMW21J</t>
  </si>
  <si>
    <t>16QD01</t>
  </si>
  <si>
    <t>林内 Rinnai烟灶热净四件套 5KW大火力 智慧芯 RO反渗透 NMW21J+2E03M+13C05+RWTS-RO63-A</t>
  </si>
  <si>
    <t>NMW21J+2E03M+13C05+RWTS-RO63-A</t>
  </si>
  <si>
    <t>林内（Rinnai）抽油烟机灶具套装 顶吸式5KW超大火力燃气灶NM05T+2E03M 天然气</t>
  </si>
  <si>
    <t>林内 Rinnai 侧吸式油烟机一键爆炒 22立方大吸力 嵌入式4.2KW莲花火定时燃气灶 JUW11G+2E02LT</t>
  </si>
  <si>
    <t>JUW11G+2E02LT</t>
  </si>
  <si>
    <t>林内（Rinnai）10升变频恒温 水气双调 防冻 小升数 燃气热水器RUS-10QD01（天然气）家电</t>
  </si>
  <si>
    <t>10QD01</t>
  </si>
  <si>
    <t>林内（Rinnai）12升 经典恒温 防冻 燃气热水器 RUS-12QD03(天然气)JSQ25-D03家电</t>
  </si>
  <si>
    <t>12QD03</t>
  </si>
  <si>
    <t>林内（Rinnai）13升智能精控恒温 CO安防 燃气热水器 RUS-13E22CWNF（天然气） (JSQ26-22C)</t>
  </si>
  <si>
    <t>13E22CWNF</t>
  </si>
  <si>
    <t>林内（Rinnai）抽油烟机燃气灶具套装侧吸近吸式抽油烟机 烈焰聚火燃气灶NMW21J+2E02SM（天然气）</t>
  </si>
  <si>
    <t>林内(Rinnai)燃气壁挂炉 采暖热水器两用 家用小升数小户型地暖 睿恒系列RBS-18UCA(L1GB21-18UC)</t>
  </si>
  <si>
    <t>18UCA</t>
  </si>
  <si>
    <t>林内(Rinnai)燃气壁挂炉 家用地暖 天然气锅炉 供暖热水器两用 睿恒系列RBS-22UX(L1GB26-22UX)</t>
  </si>
  <si>
    <t>22UX</t>
  </si>
  <si>
    <t>林内(Rinnai)燃气壁挂炉 采暖热水器两用 恒温 天然气地暖锅炉 暖境系列18KW RBS-18C30(L)</t>
  </si>
  <si>
    <t>林内(Rinnai)零冷水燃气壁挂炉两件套 采暖热水器两用 循环水泵秒出热水 暖境系列24KW RBS-24C30+SG</t>
  </si>
  <si>
    <t>24C30+SG</t>
  </si>
  <si>
    <t>林内(Rinnai)燃气壁挂炉 采暖热水器两用 恒温 天然气地暖锅炉 暖境系列24KW RBS-24C30(L)</t>
  </si>
  <si>
    <t>林内(Rinnai)燃气壁挂炉 采暖热水器两用 恒温 天然气地暖锅炉 暖境系列28KW RBS-28C30(L)</t>
  </si>
  <si>
    <t>林内(Rinnai)燃气壁挂炉 冷凝式环保节能热水器 云智能系列RBS-36K88 Plus(LL1GBD36-36K88 Plus)</t>
  </si>
  <si>
    <t>36K88Plus</t>
  </si>
  <si>
    <t>林内(Rinnai)璀璨系列16升燃气热水器 升级智慧芯 水气双调 防CO超标 天然气12T RUS-16QC05（JSQ31-C05）</t>
  </si>
  <si>
    <t>林内（Rinnai）烟灶热三件套热水器油烟机烟机燃气灶具NM05T+2E02M+13QD03 天然气</t>
  </si>
  <si>
    <t>林内（Rinnai）16升智能精控恒温 CO安防 燃气热水器 RUS-16E22CWNF（天然气）(JSQ32-22C)</t>
  </si>
  <si>
    <t>16E22CWNF</t>
  </si>
  <si>
    <t>林内（Rinnai）御厨智能烹饪燃气灶控油温嵌入式燃气灶具 钢化玻璃面板 定时防干烧 家用一级能效 2QLGV</t>
  </si>
  <si>
    <t>2QLGV</t>
  </si>
  <si>
    <t>林内（Rinnai）16升燃气热水器 零冷水即开即热即恒温 家用天然气 RUS-16GS71R（JSQ31-GS71R）**</t>
  </si>
  <si>
    <t>林内（Rinnai）13升零冷水两件套 零干扰 水量伺服器 防冻恒温 燃气热水器 天然气 RUS-13QC06+SG (JSQ26-C06)</t>
  </si>
  <si>
    <t>13QC06+SG</t>
  </si>
  <si>
    <t>林内（Rinnai）16升 零冷水两件套 零干扰 水量伺服器 防冻恒温 燃气热水器 天然气 RUS-16QC06+SG (JSQ31-C06)</t>
  </si>
  <si>
    <t>16QC06+SG</t>
  </si>
  <si>
    <t>林内（Rinnai）油烟机灶具热水器厨房三件套升级恒温热水器22立方挥手智控烟机5KW智能定时灶NM09J+2E07MT+13GD32</t>
  </si>
  <si>
    <t>NM09J+2E07MT+13GD32</t>
  </si>
  <si>
    <t>林内 Rinnai 侧吸式油烟机一键爆炒 22立方大吸力 嵌入式4.2KW莲花火定时燃气灶 JUW11G+2E01LT</t>
  </si>
  <si>
    <t>JUW11G+2E01LT</t>
  </si>
  <si>
    <t>林内（Rinnai）马卡龙海盐蓝烟灶套装欧式20立方大吸力 4.2KW莲花火灶具NM09T+2E30L</t>
  </si>
  <si>
    <t>NM11T+2E07MT+16GD32</t>
  </si>
  <si>
    <t>林内（Rinnai）油烟机灶具热水器厨房三件套升级恒温热水器22立方挥手智控烟机5KW智能定时灶NM09J+2E08MT+16GD32</t>
  </si>
  <si>
    <t>NM09J+2E08MT+16GD32</t>
  </si>
  <si>
    <t>林内（Rinnai）16升 零干扰 水量伺服器 防冻恒温 燃气热水器 天然气 RUS-16QC06 (JSQ31-C06)</t>
  </si>
  <si>
    <t>林内（Rinnai）13升 零干扰 水量伺服器 防冻恒温 燃气热水器 天然气 RUS-13QC06 (JSQ26-C06)</t>
  </si>
  <si>
    <t>13QC06</t>
  </si>
  <si>
    <t>林内（Rinnai）燃气壁挂炉 采暖热水器两用 恒温 天然气地暖锅炉 暖境系列(L)35KW* RBS-35C33(适用180-250㎡)*</t>
  </si>
  <si>
    <t>林内(Rinnai)燃气壁挂炉 家用地暖 天然气锅炉 供暖热水器两用 睿恒系列RBS-18UX(L1GB21-18UX)</t>
  </si>
  <si>
    <t>18UX</t>
  </si>
  <si>
    <t>林内(Rinnai)燃气壁挂炉 采暖热水器两用 恒温 天然气地暖锅炉 暖境系列35KW RBS-35C30(L)</t>
  </si>
  <si>
    <t>林内（Rinnai）抽油烟机灶具套装烟灶两件套 挥手智控 5KW超大火力定时燃气灶 NM10T+2E07MT 天然气*</t>
  </si>
  <si>
    <t>林内(Rinnai)燃气壁挂炉 家用地暖 天然气锅炉 供暖热水器两用 睿恒系列RBS-35UX(L1GB42-35UX)</t>
  </si>
  <si>
    <t>35UX</t>
  </si>
  <si>
    <t>林内（Rinnai）13升燃气热水器 家用天然气 语音智控 恒温防冻大水量 京东小家智能生态* RUS-13QD33W*</t>
  </si>
  <si>
    <t>13QD33W</t>
  </si>
  <si>
    <t>林内（Rinnai）16升燃气热水器 家用天然气 语音智控 恒温防冻大水量 京东小家智能生态* RUS-16QD33W*</t>
  </si>
  <si>
    <t>16QD33W</t>
  </si>
  <si>
    <t>林内（Rinnai）抽油烟机燃气灶具套装侧吸近吸式抽油烟机 烈焰巨火燃气灶NMW21J+2E02M（天然气）</t>
  </si>
  <si>
    <t>NMW21J+2E02M</t>
  </si>
  <si>
    <t>林内(Rinnai)燃气壁挂炉 两用采暖炉 家用供暖热水器 百年纪念款RBS-35G55-100A(L1GB41-35G55)</t>
  </si>
  <si>
    <t>35G55-100A</t>
  </si>
  <si>
    <t>林内（Rinnai）安享系列 16升平衡机（天然气）防冻 燃气热水器RUS-16U55ARF（JSG32-55A）+【免安装辅材费】</t>
  </si>
  <si>
    <t>16U55ARF+辅材</t>
  </si>
  <si>
    <t>林内（Rinnai）11升 恒温 水气双调 ECO节能 防冻 燃气热水器RUS-11QD01（天然气）家电</t>
  </si>
  <si>
    <t>11QD01</t>
  </si>
  <si>
    <t>林内（Rinnai）粉丝专享 10元定金 3个月内付尾款抵扣200元（百年纪念款专享 单拍不发货）</t>
  </si>
  <si>
    <t>林内（Rinnai）10升智能恒温 CO安防 燃气热水器 RUS-10E32BRNF(T)（天然气）(JSQ20-32B)</t>
  </si>
  <si>
    <t>10E32BRNF(T)</t>
  </si>
  <si>
    <t>林内（Rinnai）JSG32-22A 安享系列 商场同款 16升平衡机(天然气)智能恒温 防冻 燃气热水器</t>
  </si>
  <si>
    <t>16U22ARF</t>
  </si>
  <si>
    <t>林内（Rinnai）12升ECO节能 14秒即热 燃气热水器 RUS-12FEND(F)（天然气）(JSQ24-N)</t>
  </si>
  <si>
    <t>12FEND(F)</t>
  </si>
  <si>
    <t>林内（Rinnai）16升 水温按摩 无线遥控 防冻 燃气热水器 （天然气） RUS-16E76FRF （JSQ31-76F）</t>
  </si>
  <si>
    <t>16E76FRF</t>
  </si>
  <si>
    <t>林内（Rinnai）16升 水温按摩 无线遥控 防冻 燃气热水器 （天然气）RUS-16E66FRF（JSQ31-66F）</t>
  </si>
  <si>
    <t>林内（Rinnai）JSG22-22A 安享系列 商场同款 11升平衡机(天然气)智能恒温 防冻 燃气热水器</t>
  </si>
  <si>
    <t>11U22ARF</t>
  </si>
  <si>
    <t>林内（Rinnai）16升 经典恒温 防冻 燃气热水器 天然气 RUS-16QD03 (JSQ31-D03)家电</t>
  </si>
  <si>
    <t>林内(Rinnai)13升燃气热水器 澎湃大水量 百年定制 芯动力系列RUS-13QD31（JSQ26-D31）</t>
  </si>
  <si>
    <t>林内（Rinnai）11升智能精控恒温 CO安防 燃气热水器 RUS-11E22CWNF（天然气）(JSQ22-22C)</t>
  </si>
  <si>
    <t>11E22CWNF</t>
  </si>
  <si>
    <t>林内（Rinnai）JSG26-22A 安享系列 商场同款 13升平衡机(天然气)智能恒温 防冻 燃气热水器</t>
  </si>
  <si>
    <t>13U22ARF</t>
  </si>
  <si>
    <t>林内（Rinnai）明装暗装暖气片家用水暖散热片暖气地暖分水器壁挂炉 采暖80㎡-冷凝炉25K88Plus</t>
  </si>
  <si>
    <t>林内(Rinnai)16升燃气热水器 澎湃大水量 百年定制 芯动力系列RUS-16QD31（JSQ31-D31）</t>
  </si>
  <si>
    <t>林内（Rinnai）安享系列 11升平衡机（天然气）防冻 燃气热水器RUS-11U55ARF (JSG22-55A)+【免安装辅材费】</t>
  </si>
  <si>
    <t>11U55ARF</t>
  </si>
  <si>
    <t>林内（Rinnai）13升 水温按摩 无线遥控 防冻 燃气热水器 （天然气） RUS-13E76FRF （JSQ26-76F）</t>
  </si>
  <si>
    <t>13E76FRF</t>
  </si>
  <si>
    <t>林内（Rinnai）暖气地暖分水器 明装暗装暖气片 家用水暖散热片 采暖50㎡-非冷凝炉 22UCA</t>
  </si>
  <si>
    <t>林内 （Rinnai）聚能火钢化玻璃嵌入式燃气灶（天然气）RB-2E01NS</t>
  </si>
  <si>
    <t>2E01NS</t>
  </si>
  <si>
    <t>林内（Rinnai）明装暖气片 家用水暖散热片 暖气地暖分水器 冷凝炉 25K88-Puls</t>
  </si>
  <si>
    <t>25K88Puls</t>
  </si>
  <si>
    <t>林内（Rinnai）暗装暖气片 家用水暖散热片 暖气地暖分水器 5组暖气片-非冷凝炉 22UCA</t>
  </si>
  <si>
    <t>林内 Rinnai 安芯系列烟灶套装 欧式顶吸式油烟机智能自清洗超能火莲花火定时防干烧燃气灶NM01T+2WLGM</t>
  </si>
  <si>
    <t>NM01T+2WLGM</t>
  </si>
  <si>
    <t>林内（Rinnai）11升水量伺服器 CO安防恒温 防冻 燃气热水器 RUS-11E55CWNF（天然气）(JSQ22-55C)</t>
  </si>
  <si>
    <t>11E55CWNF</t>
  </si>
  <si>
    <t>林内（Rinnai）12升水量伺服器 CO安防恒温 防冻 燃气热水器 RUS-12E55CWNF（天然气）(JSQ24-55C)</t>
  </si>
  <si>
    <t>12E55CWNF</t>
  </si>
  <si>
    <t>林内（Rinnai）安享系列 13升平衡机（天然气）防冻 燃气热水器RUS-13U55ARF（JSG26-55A）+【免安装辅材费】</t>
  </si>
  <si>
    <t>13U55ARF</t>
  </si>
  <si>
    <t>林内（Rinnai）家用 反渗透 净水器 原装 RO 反渗透滤芯-600加仑 自主换芯 智能提醒 RWTS-R095-A</t>
  </si>
  <si>
    <t>RWTS-R095-A</t>
  </si>
  <si>
    <t>林内（Rinnai）家用 反渗透 净水器 原装 CF 复合滤芯 自主换芯 智能提醒 CF复合滤芯</t>
  </si>
  <si>
    <t>滤芯</t>
  </si>
  <si>
    <t>林内（Rinnai）燃气灶 原装进口聚能火高效节能燃气灶RB-2CGN-CH 天然气</t>
  </si>
  <si>
    <t>2CGN</t>
  </si>
  <si>
    <t>林内(Rinnai)燃气壁挂炉 家用地暖 暖气片天然气 采暖热水器 暖适系列RBS-24G55(L1GB28-24G55)</t>
  </si>
  <si>
    <t>24G55</t>
  </si>
  <si>
    <t>林内（Rinnai）16升 零干扰恒温 防冻 燃气热水器 天然气 RUS-16QD06 (JSQ31-D06)</t>
  </si>
  <si>
    <t>林内（Rinnai）烟灶热三件套热水器油烟机烟机燃气灶具NM05T+2E03M+16QD06 天然气</t>
  </si>
  <si>
    <t>NM05T+2E03M+16QD06</t>
  </si>
  <si>
    <t>林内（Rinnai）热水器烟机灶具灶三件套零温差感恒温燃气热水器抽油烟机灶具NMW21J+2E03M+16QD06（天然气）</t>
  </si>
  <si>
    <t>NMW21J+2E03M+16QD06</t>
  </si>
  <si>
    <t>RWTS-RO12-A</t>
  </si>
  <si>
    <t>RWTS-PF-1</t>
  </si>
  <si>
    <t>林内（Rinnai）御厨智能烹饪燃气灶控油温 嵌入式燃气灶具 定时防干烧 微晶面板 家用一级能效2QLCV(S)</t>
  </si>
  <si>
    <t>2QLCV(S)</t>
  </si>
  <si>
    <t>林内(Rinnai) 60升电热水器 3000W速热 一级能效 高配双动力 6.5倍增容 专利防电墙 DSG60-E02P</t>
  </si>
  <si>
    <t>DSG60-E02P</t>
  </si>
  <si>
    <t>林内(Rinnai)燃气壁挂炉 冷凝式环保节能热水器 云智能系列RBS-20K88 Plus(LL1GBD21-20K88 Plus)</t>
  </si>
  <si>
    <t>20K88Plus</t>
  </si>
  <si>
    <t>林内 Rinnai 净水器 家庭全屋净水系统 安装预付费 中央式净水机 软水机 前置 家用（RWTS-R063-A）</t>
  </si>
  <si>
    <t>林内（Rinnai）JZT-2QLGH-100A百年款 双灶嵌入式 智能定时 钢化玻璃燃气灶 星厨系列 新品上市（天然气）</t>
  </si>
  <si>
    <t>2QLGH-100A</t>
  </si>
  <si>
    <t>林内（Rinnai）电热水器 DSG6-M01L 家用6升储水式电热水器 6L速热恒温小厨宝</t>
  </si>
  <si>
    <t>DSG6-M01L</t>
  </si>
  <si>
    <t>林内(Rinnai) 50升电热水器 3000W速热 一级能效 高配双动力 6.5倍增容 专利防电墙 DSG50-E02P</t>
  </si>
  <si>
    <t>DSG50-E02P</t>
  </si>
  <si>
    <t>林内（Rinnai）家用 反渗透 净水器 原装 CB 炭棒滤芯 自主换芯 智能提醒 CB炭棒滤芯</t>
  </si>
  <si>
    <t>林内（Rinnai）净水器 厨下式RO反渗透家用纯水机直饮机低废水400G wifi智能换芯提醒 RWTS-RO63-A</t>
  </si>
  <si>
    <t>林内（Rinnai）嵌入式烤箱蒸箱套装 家用两件套 56L+30升大容量多功能烘焙智能 KQD56-BG+SQD30-BG</t>
  </si>
  <si>
    <t>KQD56-BG+SQD30-BG</t>
  </si>
  <si>
    <t>林内（Rinnai）燃气灶 原装进口三眼高效节能燃气灶家用RB-3CGN-CH 天然气</t>
  </si>
  <si>
    <t>3CGN</t>
  </si>
  <si>
    <t>林内（Rinnai）家用 反渗透 净水器 原装 RO 反渗透滤芯-75加仑 自主换芯 智能提醒 RWTS-R012-A</t>
  </si>
  <si>
    <t>RWTS-R012-A</t>
  </si>
  <si>
    <t>RWTS-R063-A</t>
  </si>
  <si>
    <t>林内（Rinnai）13升 零干扰恒温 防冻 燃气热水器 天然气 RUS-13QD06 (JSQ26-D06)</t>
  </si>
  <si>
    <t>林内（Rinnai）暗装暖气片 家用水暖散热片 暖气地暖分水器 7组暖气片-非冷凝炉 26UCA</t>
  </si>
  <si>
    <t>林内（Rinnai）20升原装进口燃气热水器（室内强排机）水量伺服器 智能防冻 REU-A2024WF(K)-CH（天然气）</t>
  </si>
  <si>
    <t>A2024WF(K)</t>
  </si>
  <si>
    <t>林内（Rinnai）暗装暖气片 家用水暖散热片 暖气地暖分水器 4组暖气片-冷凝炉 20K88-Puls</t>
  </si>
  <si>
    <t>20K88Puls</t>
  </si>
  <si>
    <t>林内（Rinnai）暗装暖气片 家用水暖散热片 暖气地暖分水器 4组暖气片-非冷凝炉 22UCA</t>
  </si>
  <si>
    <t>林内（Rinnai）明装暖气片 家用水暖散热片 暖气地暖分水器 4组暖气片-非冷凝炉 22UCA</t>
  </si>
  <si>
    <t>林内（Rinnai）暖气地暖分水器 明装暗装暖气片 家用水暖散热片 采暖60㎡-非冷凝炉 22UCA</t>
  </si>
  <si>
    <t>林内（Rinnai）明装暖气片 家用水暖散热片 暖气地暖分水器 6组暖气片-冷凝炉 25K88-Puls</t>
  </si>
  <si>
    <t>林内(Rinnai)零冷水天然气壁挂炉 全预混冷凝供暖锅炉 采暖热水两用APP智控 睿擎系列LL1GBQ35-35RQ85A</t>
  </si>
  <si>
    <t>35RQ85A</t>
  </si>
  <si>
    <t>林内（Rinnai）暖气地暖分水器 明装暗装暖气片 家用水暖散热片 采暖80㎡-非冷凝炉 26UCA</t>
  </si>
  <si>
    <t>林内（Rinnai）明装暖气片 家用水暖散热片 暖气地暖分水器 7组暖气片-非冷凝炉 26UCA</t>
  </si>
  <si>
    <t>林内（Rinnai）16升静音恒温 水气双调 防冻 燃气热水器RUS-16QD01（天然气）(JSQ31-C01)</t>
  </si>
  <si>
    <t>林内（Rinnai）12升 经典恒温 防冻 燃气热水器 RUS-12QD03天然气(JSQ25-D03)</t>
  </si>
  <si>
    <t>林内（Rinnai）16升 零温差感恒温 防冻 燃气热水器 天然气 RUS-16QD03 (JSQ31-D03)</t>
  </si>
  <si>
    <t>林内（Rinnai）热水器烟机灶具灶三件套零温差感恒温燃气热水器抽油烟机灶具NMW21J+2E03M+16QD03（天然气）</t>
  </si>
  <si>
    <t>NMW21J+2E03M+16QD03</t>
  </si>
  <si>
    <t>林内（Rinnai）暖气地暖分水器 明装暗装暖气片 家用水暖散热片 采暖70㎡-非冷凝炉 26UCA</t>
  </si>
  <si>
    <t>林内（Rinnai）暖气地暖分水器 明装暗装暖气片 家用水暖散热片 采暖50㎡-冷凝炉 20K88-Puls</t>
  </si>
  <si>
    <t>林内（Rinnai）明装暖气片 家用水暖散热片 暖气地暖分水器 5组暖气片-冷凝炉 20K88-Puls</t>
  </si>
  <si>
    <t>林内（Rinnai）明装暖气片 家用水暖散热片 暖气地暖分水器 6组暖气片-非冷凝炉 26UCA</t>
  </si>
  <si>
    <t>林内（Rinnai）暖气地暖分水器 明装暗装暖气片 家用水暖散热片 采暖60㎡-冷凝炉 20K88-Puls</t>
  </si>
  <si>
    <t>林内（Rinnai）明装暖气片 家用水暖散热片 暖气地暖分水器 7组暖气片-冷凝炉 25K88-Puls</t>
  </si>
  <si>
    <t>林内（Rinnai）13升 水温按摩 无线遥控 防冻 燃气热水器 （天然气） RUS-13E66FRF （JSQ26-66F）</t>
  </si>
  <si>
    <t>林内（Rinnai）60升电热水器 DSG60-M01P 家用储水式热水器 2000w速热 60L</t>
  </si>
  <si>
    <t>DSG60-M01P</t>
  </si>
  <si>
    <t>林内（Rinnai）50升电热水器 DSG50-M01P 家用储水式热水器 2000w速热 50L</t>
  </si>
  <si>
    <t>DSG50-M01P</t>
  </si>
  <si>
    <t>林内（Rinnai）净水器商用直饮机加热净水机反渗透RO膜过滤 即热式饮水机净饮一体机 RWTS-BR75-05AS</t>
  </si>
  <si>
    <t>RWTS-BR75-05AS</t>
  </si>
  <si>
    <t>林内Rinnai 厨下式RO反渗透 家用纯水机1级能效低废水600G净水器升级智慧芯璀璨热水器套装RUS-13C05+RO95</t>
  </si>
  <si>
    <t>13C05+RO95</t>
  </si>
  <si>
    <t>林内（Rinnai）软水器全屋家用壁挂式软水机 中央软化滤水器 家用沐浴离子软水机 RWTS-HS600-1</t>
  </si>
  <si>
    <t>RWTS-HS600-1</t>
  </si>
  <si>
    <t>林内Rinnai 厨下式RO反渗透 家用纯水机1级能效低废水600G净水器升级智慧芯璀璨热水器套装RUS-16C05+RO95</t>
  </si>
  <si>
    <t>16C05+RO95</t>
  </si>
  <si>
    <t>林内（Rinnai）UCA系列 燃气壁挂炉 采暖热水两用 家用地暖锅炉 恒温 26kw UCA 天然气</t>
  </si>
  <si>
    <t>林内（Rinnai）UCA系列 燃气壁挂炉 采暖热水两用 家用地暖锅炉 恒温 小升数 22kw UCA 天然气</t>
  </si>
  <si>
    <t>林内(Rinnai) 20升燃气热水器 零冷水即开即热 精控恒温 天然气 恒逸系列RUS-R20E32FBF（JSQ40-R32F）</t>
  </si>
  <si>
    <t>林内 Rinnai侧吸抽油烟机燃气灶零冷水烟灶热套装 一键爆炒 5KW爆炒火力 智慧恒温芯 NMW21J+2E03M+16C05+SG</t>
  </si>
  <si>
    <t>NMW21J+2E03M+16C05+SG</t>
  </si>
  <si>
    <t>林内（Rinnai）UCA系列 燃气壁挂炉 采暖热水两用 家用地暖锅炉 恒温 30kw UCA 天然气</t>
  </si>
  <si>
    <t>林内（Rinnai）采暖预付定金 采暖炉 壁挂炉 安装预付费 全套家用采暖 明装暗装暖气片 地暖系统</t>
  </si>
  <si>
    <t>林内（Rinnai）UCA系列 燃气壁挂炉 采暖热水两用 家用地暖锅炉 恒温 小升数小户型 18kw UCA 天然气</t>
  </si>
  <si>
    <t>林内（Rinnai）定金预售 京东&amp;林内联合狂欢 100元抵300 定金膨胀专拍链接 活动专享 特权定</t>
  </si>
  <si>
    <t>林内（rinnai） RUS-24FEJ（T） 24L家用燃气快速热水器 （适用于天然气）</t>
  </si>
  <si>
    <t>24FEJ(T)</t>
  </si>
  <si>
    <t>林内（rinnai） RUS-C10E32AR(T) 10L 冷凝式燃气热水器（天然气）</t>
  </si>
  <si>
    <t>C10E32AR(T)</t>
  </si>
  <si>
    <t>林内（Rinnai）RUS-C10E32AR(F)(T)</t>
  </si>
  <si>
    <t>C10E32AR(F)(T)</t>
  </si>
  <si>
    <t>林内（Rinnai）燃气灶 天燃气灶双灶 嵌入式5KW超大火力猛火钢化玻璃RB-2E03M 天然气</t>
  </si>
  <si>
    <t>林内 Rinnai 抽油烟机灶具套装大吸力欧式顶吸式油烟机4.2KW莲花火定时燃气灶 NM05T+2E01LT</t>
  </si>
  <si>
    <t>NM05T+2E01LT</t>
  </si>
  <si>
    <t>林内 Rinnai 抽油烟机灶具套装大吸力欧式顶吸式油烟机4.2KW莲花火定时燃气灶 NM05T+2E02LT</t>
  </si>
  <si>
    <t>NM05T+2E02LT</t>
  </si>
  <si>
    <t>林内（Rinnai）RUS-12E22CWNF 12L家用燃气快速热水器(天然气)</t>
  </si>
  <si>
    <t xml:space="preserve">林内（Rinnai）RUS-11E55CWNF 11L家用燃气快速热水器(天然气) </t>
  </si>
  <si>
    <t>林内（Rinnai） RUS-20FEJ(F)(T) 20L家用燃气快速热水器 （适用于天然气）</t>
  </si>
  <si>
    <t>20FEJ(F)(T)</t>
  </si>
  <si>
    <t>林内（rinnai） RUS-C12E32AR(T) 12L冷凝式燃气热水器 （适用于天然气）</t>
  </si>
  <si>
    <t>C12E32AR(T)</t>
  </si>
  <si>
    <t>林内（Rinnai）RUS-16E55CWNF 16L家用燃气快速热水器(天然气)</t>
  </si>
  <si>
    <t>林内（Rinnai）RUS-13E55CWNF 13L家用燃气快速热水器(天然气)</t>
  </si>
  <si>
    <t>林内（Rinnai）RUS-C12E32AR(F)(T)</t>
  </si>
  <si>
    <t>C12E32AR(F)(T)</t>
  </si>
  <si>
    <t>林内（Rinnai）12升零温差感恒温燃气热水器 欧式顶吸式抽油烟机 灶具 三件套 NM05T +2E01M+12QD03(天然气）</t>
  </si>
  <si>
    <t>NM05T +2E01M+12QD03</t>
  </si>
  <si>
    <t>林内 Rinnai 抽油烟机燃气灶具套装 欧式欧式顶吸式抽油烟机 烈焰巨火不锈钢燃气灶NM05T+2E02SM（天然气）</t>
  </si>
  <si>
    <t>林内（Rinnai）油烟机大吸力 一级能效 18立方米欧式顶吸式抽油烟机 智清洗触控式抽油烟机 CXW-220-ET08S</t>
  </si>
  <si>
    <t>ET08S</t>
  </si>
  <si>
    <t>林内（Rinnai）NMW21J+2E01L抽油烟机燃气灶具套装 智能换气油烟机 超能火燃气灶 林内烟灶套装（天然气）</t>
  </si>
  <si>
    <t>林内（Rinnai）NM05T+2E01L抽油烟机燃气灶具套装 欧式顶吸式抽油烟机 超能火燃气灶（天然气）</t>
  </si>
  <si>
    <t>林内（Rinnai）NM05T+2E01M抽油烟机燃气灶具套装 欧式欧式顶吸式抽油烟机 烈焰巨火燃气灶（天然气）</t>
  </si>
  <si>
    <t>林内（Rinnai）13升零温差感恒温燃气热水器 欧式顶吸式抽油烟机 灶具 三件套 NM05T +2E01M+13QD03(天然气)</t>
  </si>
  <si>
    <t>林内 Rinnai NMW21J+2E01M抽油烟机燃气灶具套装侧吸近吸式抽油烟机 烈焰巨火燃气灶（天然气）</t>
  </si>
  <si>
    <t>林内 Rinnai NMW21J+2E02M 抽油烟机燃气灶具套装一键爆炒侧吸近吸式抽油烟机 烈焰巨火燃气灶</t>
  </si>
  <si>
    <t>林内（Rinnai）热水器烟机灶具灶三件套零温差感恒温燃气热水器抽油烟机灶具NMW21J+2E01M+13QD03(天然气）</t>
  </si>
  <si>
    <t>NMW21J+2E01M+13QD03</t>
  </si>
  <si>
    <t>林内(Rinnai) 80升电热水器 3000W速热 一级能效 高配双动力 6.5倍增容 专利防电墙 DSG80-E01P</t>
  </si>
  <si>
    <t>DSG80-E01P</t>
  </si>
  <si>
    <t>林内（Rinnai）抽油烟机燃气灶具套装 智能换气油烟机 超能火燃气灶 林内烟灶套装 NMW21J+2E01L（天然气）</t>
  </si>
  <si>
    <t>林内（Rinnai）抽油烟机燃气灶具套装欧式18立方米大吸力油烟机 4.2KW超能火燃气灶NM02T+2E01L（天然气）</t>
  </si>
  <si>
    <t>NM02T+2E01L</t>
  </si>
  <si>
    <t>林内 （Rinnai） 欧式18立方米大吸力免拆洗油烟机 聚能火燃气灶 烟灶套装 NM01T+2E01NS</t>
  </si>
  <si>
    <t>NM01T+2E01NS</t>
  </si>
  <si>
    <t>林内（Rinnai）20升水气双调恒温 智能大容量 燃气热水器 RUS-20FEJ(F)(T) （天然气）(JSQ40-J)</t>
  </si>
  <si>
    <t>林内（Rinnai）12升冷凝精控恒温 一级能效 燃气热水器 RUS-C12E32AR(F)(T)（天然气）(LJSQ21-C32A)</t>
  </si>
  <si>
    <t>林内（Rinnai）10升冷凝精控恒温 一级能效 燃气热水器 RUS-C10E32AR(F)(T)（天然气）(LJSQ17-C32A)</t>
  </si>
  <si>
    <t>林内（Rinnai）24升水气双调恒温 智能大容量 燃气热水器 RUS-24FEJ(F)(T)（天然气）(JSQ48-J)</t>
  </si>
  <si>
    <t>24FEJ(F)(T)</t>
  </si>
  <si>
    <t>林内 （Rinnai）欧式抽油烟机燃气灶具套装 18立方米大吸力油烟机 聚能火燃气灶NM02T+2E01N（天然气）</t>
  </si>
  <si>
    <t>NM02T+2E01N</t>
  </si>
  <si>
    <t>林内 Rinnai欧式智能抽油烟定时星厨系列燃气灶家用2QLGH+NM08T两件套</t>
  </si>
  <si>
    <t>2QLGH+NM08T</t>
  </si>
  <si>
    <t>林内 （Rinnai）抽油烟机燃气灶具套装 家用吸油烟机燃气灶排烟灶套装 聚能火燃气灶NM03T+2E02N（天然气）</t>
  </si>
  <si>
    <t>NM03T+2E02N</t>
  </si>
  <si>
    <t>林内 （Rinnai）大吸力不锈钢欧式油烟机CXW-218-NM03T</t>
  </si>
  <si>
    <t>NM03T</t>
  </si>
  <si>
    <t>林内（Rinnai）NM01J+2E01NS 时尚侧吸 智能换气油烟机 聚能火燃气灶 烟灶套装</t>
  </si>
  <si>
    <t>NM01J+2E01NS</t>
  </si>
  <si>
    <t>林内 （Rinnai）油烟机大吸力 一级能效 18立方米瞬吸智能自清洗 欧式抽油烟机CXW-220-NM01T烟机</t>
  </si>
  <si>
    <t>NM01T</t>
  </si>
  <si>
    <t>林内（Rinnai）NM01J+2E01L 时尚侧吸 智能换气油烟机 超能火燃气灶 烟灶套装</t>
  </si>
  <si>
    <t>NM01J+2E01L</t>
  </si>
  <si>
    <t>林内 （Rinnai）油烟机大吸力 一级能效 18立方米瞬吸双轮排烟欧式抽油烟机CXW-218-NM02T烟机</t>
  </si>
  <si>
    <t>NM02T</t>
  </si>
  <si>
    <t>林内（Rinnai）RB-2E01L 4.2KW超能火 钢化玻璃面板燃气灶（天然气）</t>
  </si>
  <si>
    <t>林内（Rinnai）13升 零温差感恒温 防冻 燃气热水器 RUS-13QD03(天然气)JSQ26-D03</t>
  </si>
  <si>
    <t>林内（Rinnai）16升 零干扰恒温 防冻 燃气热水器 天然气 RUS-16QD06 (JSQ31-D06)+美膳雅热风炉套装</t>
  </si>
  <si>
    <t>林内（Rinnai）抽油烟机燃气灶具套装侧吸近吸式抽油烟机 烈焰巨火燃气灶NMW21J+2E01M（天然气）</t>
  </si>
  <si>
    <t>林内 （Rinnai）大吸力不锈钢欧式顶吸式抽油烟机 家用 CXW-220-NM05T</t>
  </si>
  <si>
    <t>林内 （Rinnai）油烟机大吸力 一级能效 18立方米瞬吸智能自清洗欧式抽油烟机CXW-220-NM01T烟机</t>
  </si>
  <si>
    <t>林内 （Rinnai）侧吸近吸式大吸力抽油烟机 触控 家用 CXW-220-NMW21J</t>
  </si>
  <si>
    <t>林内 （Rinnai） JZT-2E01M 双灶嵌入式 4.5Kw聚能火 燃气灶（天然气）</t>
  </si>
  <si>
    <t>林内（Rinnai）13升 零温差感恒温 防冻 燃气热水器 RUS-13QD03(天然气)JSQ26-D03 +美膳雅电蒸锅套装</t>
  </si>
  <si>
    <t>林内（Rinnai）欧式顶吸式抽油烟机 超能火燃气灶 烟灶套装 NM05T+2E01L</t>
  </si>
  <si>
    <t>林内（Rinnai）24升零冷水燃气热水器 即享系列R24E65ARF（JSQ48-R65A）</t>
  </si>
  <si>
    <t>林内(Rinnai) 80升电热水器 3000W速热 6.5倍增容 专利防电墙 DSG80-E04PD</t>
  </si>
  <si>
    <t>林内(Rinnai) 50升电热水器 3200W双胆速热 9倍增容 专利防电墙 DSG50-DE07PN*</t>
  </si>
  <si>
    <t>DSG50-DE07</t>
  </si>
  <si>
    <t>林内(Rinnai) 60升电热水器 3200W双胆速热 10倍增容 专利防电墙 DSG60-DE07PN</t>
  </si>
  <si>
    <t>林内(Rinnai) 50升电热水器 3000W速热 6.5倍增容 专利防电墙 DSG50-E04PD</t>
  </si>
  <si>
    <t>林内(Rinnai) 60升电热水器 3000W速热 6.5倍增容 专利防电墙 DSG60-E04PD</t>
  </si>
  <si>
    <t>林内 Rinnai 15套大容量 嵌入式 家用洗碗机 洗烘干一体 热风烘干 全自动刷碗机WDD15-M3SB</t>
  </si>
  <si>
    <t>林内 Rinnai 13套大容量 分层洗 双驱变频 热风烘干 全嵌入式洗碗机 乐净系列M5 WQD13-M5WB（不含门板）</t>
  </si>
  <si>
    <t>林内 Rinnai 8套大容量 嵌入式 家用洗碗机 洗烘干一体 热风烘干 全自动刷碗机WQD8-M1GB</t>
  </si>
  <si>
    <t>林内 Rinnai 13套大容量 嵌入式 家用洗碗机 洗烘干一体 热风烘干 全自动刷碗机WQD13-M2GB</t>
  </si>
  <si>
    <t>林内(Rinnai)零冷水燃气壁挂炉套装 采暖热水器两用 循环水泵恒温 暖境系列RBS-35C33+SG(L1PB40-35C33)</t>
  </si>
  <si>
    <t>35C33+SG</t>
  </si>
  <si>
    <t>林内(Rinnai)零冷水燃气壁挂炉套装 采暖热水器两用 循环水泵恒温 暖境系列RBS-24C33+SG(L1PB27-24C33)</t>
  </si>
  <si>
    <t>24C33+SG</t>
  </si>
  <si>
    <t>林内(Rinnai) 80升电热水器 3000W速热 智能语音 APP控制 一级能效 高配双动力 专利防电墙 DSG80-E05CD</t>
  </si>
  <si>
    <t>林内(Rinnai) 60升电热水器 3000W速热 智能语音 APP控制 一级能效 高配双动力 专利防电墙 DSG60-E05CD</t>
  </si>
  <si>
    <t>DSG60-E05CD</t>
  </si>
  <si>
    <t>林内（Rinnai）1元享10大特权 预约加赠浴巾礼盒 VIP 会员 粉丝福利 直播间下单抽奖（非商品）单拍不发货</t>
  </si>
  <si>
    <t>林内（Rinnai）采暖系统 活动地区专享（服务区域测试）下单勿付款不发货</t>
  </si>
  <si>
    <t>林内（Rinnai）20升燃气热水器 零冷水即开即热即恒温 家用天然气 RUS-20GS71R（JSQ40-GS71R）*</t>
  </si>
  <si>
    <t>林内(Rinnai) 50升电热水器 3200W速热 8倍增容 专利防电墙 DSG50-DE06PN</t>
  </si>
  <si>
    <t>林内（Rinnai）24升燃气热水器 零冷水即开即热即恒温 家用天然气 RUS-24GS71R（JSQ47-GS71R）*</t>
  </si>
  <si>
    <t>林内(Rinnai) 60升电热水器 3200W速热 8倍增容 专利防电墙 DSG60-DE06PN</t>
  </si>
  <si>
    <t>林内 Rinnai 8套洗碗机 全自动家用嵌入式智能高温热洗 洗烘干一体 WQD8-AG</t>
  </si>
  <si>
    <t>WQD8-AG</t>
  </si>
  <si>
    <t>林内(Rinnai)零冷水燃气壁挂炉两件套 采暖热水两用 循环水泵恒温 暖境系列35KW RBS-35C33+SG(180-250㎡)</t>
  </si>
  <si>
    <t>暖气片</t>
  </si>
  <si>
    <t>林内(Rinnai)零冷水燃气壁挂炉两件套 采暖热水两用 循环水泵秒出热水 暖境系列24KW RBS-24C33+SG(80-120㎡)</t>
  </si>
  <si>
    <t>林内(Rinnai)13升燃气热水器 语音APP双智控 定制宠物洗 RUS-13QD33W（JSQ26-D33W）京品家电</t>
  </si>
  <si>
    <t>林内(Rinnai)16升燃气热水器 语音APP双智控 定制宠物洗 RUS-16QD33W（JSQ31-D33W）京品家电</t>
  </si>
  <si>
    <t>林内(Rinnai) 24升燃气热水器 零冷水即开即热 天然气 恒逸系列RUS-R24E32FRF（JSQ47-R32F）</t>
  </si>
  <si>
    <t>R24E32FRF</t>
  </si>
  <si>
    <t>林内(Rinnai)13升燃气热水器 零冷水两件套 语音APP双智控 定制宠物洗 RUS-13QD33W+SG（JSQ26-D33W）</t>
  </si>
  <si>
    <t>13QD33W+SG</t>
  </si>
  <si>
    <t>林内(Rinnai)16升燃气热水器 零冷水两件套 语音APP双智控 定制宠物洗 RUS-16QD33W+SG（JSQ31-D33W）</t>
  </si>
  <si>
    <t>16QD33W+SG</t>
  </si>
  <si>
    <t>林内（Rinnai）净水器家用直饮机加热净水机反渗透RO膜过滤 即热式饮水机台上式净饮一体机 RWTS-RO16-C3</t>
  </si>
  <si>
    <t>RWTS-RO16-C3</t>
  </si>
  <si>
    <t>林内（Rinnai）抽油烟机灶具套装烟灶两件套 20m³侧吸式5KW超大火力燃气灶NMW21J+2E08M 天然气</t>
  </si>
  <si>
    <t>NMW21J+2E08M</t>
  </si>
  <si>
    <t>林内 Rinnai侧吸抽油烟机燃气灶热水器烟灶热自清洗 5KW爆炒火力语音APP宠物洗 NM08T+2E03LS+16QD33W三件套</t>
  </si>
  <si>
    <t>NM08T+2E03LS+16QD33W</t>
  </si>
  <si>
    <t>林内（Rinnai）抽油烟机灶具套装烟灶两件套 20m³顶吸式油烟机 5KW超大火力燃气灶NM05T+2E07M 天然气</t>
  </si>
  <si>
    <t>NM05T+2E07M</t>
  </si>
  <si>
    <t>林内（Rinnai）燃气灶 防干烧 智能定时超能火安芯系列升级款 一级能效天然气4.2KW大火力 JZT-2E03LS</t>
  </si>
  <si>
    <t>林内 Rinnai侧吸抽油烟机燃气灶热水器烟灶热自清洗 5KW爆炒火力 定制宠物洗 NM08J+2E03LS+13QD33W三件套</t>
  </si>
  <si>
    <t>NM08J+2E03LS+13QD33W</t>
  </si>
  <si>
    <t>林内 Rinnai 烟灶套装 侧吸式 智控油烟机 自清洗 大吸力 安芯系列 两件套莲花火防干烧燃气灶 NM08J+2E03LS</t>
  </si>
  <si>
    <t>NM08J+2E03LS</t>
  </si>
  <si>
    <t>林内（Rinnai）油烟机 智能影音FM抽油烟机自清洗吸油烟机 一键爆炒 直流变频欧式20m?大吸力CXW-188-NM08T</t>
  </si>
  <si>
    <t>NM08T</t>
  </si>
  <si>
    <t>林内 Rinnai侧吸抽油烟机燃气灶热水器烟灶热自清洗 5KW爆炒火力 语音APP宠物洗 NM08T+2E03LS+13QD33W三件套</t>
  </si>
  <si>
    <t>NM08T+2E03LS+13QD33W</t>
  </si>
  <si>
    <t>林内（Rinnai）抽油烟机灶具套装烟灶两件套 20m?侧吸式5KW超大火力燃气灶NMW21J+2E07M 天然气</t>
  </si>
  <si>
    <t>NMW21J+2E07M</t>
  </si>
  <si>
    <t>林内 Rinnai 侧吸式油烟机一键爆炒 22m?大吸力 安芯系列 烟灶套装两件套超能火莲花火燃气灶 JUW11G+2E03LS</t>
  </si>
  <si>
    <t>JUW11G+2E03LS</t>
  </si>
  <si>
    <t>林内 Rinnai 烟灶套装 欧式油烟机 智能影音FM自清洗烟机 20m?大吸力安芯两件套莲花火燃气灶 NM08T+2E03LS</t>
  </si>
  <si>
    <t>NM08T+2E03LS</t>
  </si>
  <si>
    <t>林内 Rinnai侧吸抽油烟机燃气灶热水器烟灶热自清洗 5KW爆炒火力 语音APP双智控 NM08J+2E03LS+16QD33W三件套</t>
  </si>
  <si>
    <t>NM08J+2E03LS+16QD33W</t>
  </si>
  <si>
    <t>林内 Rinnai 欧式顶吸油烟机 22m?大吸力 烟灶套装两件套安芯系列莲花火燃气灶定时防干烧家用ETW11G+2E03LS</t>
  </si>
  <si>
    <t>ETW11G+2E03LS</t>
  </si>
  <si>
    <t>林内（Rinnai）吸油烟机 挥手智控侧吸式家用抽油烟机 自清洗油烟机 油杯检测 21m?超大风量 CXW-188-NM08J</t>
  </si>
  <si>
    <t>NM08J</t>
  </si>
  <si>
    <t>RWTS-P150-3</t>
  </si>
  <si>
    <t>林内 Rinnai 13套嵌入式洗碗机 侧吸式油烟机 5KW大火力定时燃气灶 烟灶洗三件套 NM09J+2E08MT＋M2</t>
  </si>
  <si>
    <t>NM09J+2E08MT＋M2</t>
  </si>
  <si>
    <t>林内 Rinnai 5套台式洗碗机 高温除菌 热风烘干 海鲜水果洗 全自动刷碗机 乐净系列M4 WTD5-M4GW</t>
  </si>
  <si>
    <t>WTD5-M4GW</t>
  </si>
  <si>
    <t>林内 Rinnai 13套嵌入式洗碗机+智能自清洗烟机+日本进口莲花火燃气灶三件套 （M2GB+NM08T+2E03LS）</t>
  </si>
  <si>
    <t>M2GB+NM08T+2E03LS</t>
  </si>
  <si>
    <t>林内 Rinnai 13套嵌入式洗碗机+璀璨系列13升燃气热水器两件套（M2GB+13QC05 ）</t>
  </si>
  <si>
    <t>M2GB+13QC05</t>
  </si>
  <si>
    <t>林内(Rinnai)燃气壁挂炉 采暖热水器两用 恒温 天然气地暖锅炉 24KW RBS-24UER</t>
  </si>
  <si>
    <t>Rinnai/林内 JUW11G+2E03LS+M2 燃气灶油烟机洗碗机三件套装</t>
  </si>
  <si>
    <t>JUW11G+2E03LS+M2</t>
  </si>
  <si>
    <t>林内(Rinnai)燃气壁挂炉 采暖热水器两用 恒温 天然气地暖锅炉 28KW RBS-28UER（B）</t>
  </si>
  <si>
    <t>林内(Rinnai)燃气壁挂炉 采暖热水器两用 恒温 天然气地暖锅炉 24KW RBS-24UER（B）</t>
  </si>
  <si>
    <t>林内(Rinnai)燃气壁挂炉 采暖热水器两用 恒温 天然气地暖锅炉 18KW RBS-18UER</t>
  </si>
  <si>
    <t>林内(Rinnai)燃气壁挂炉 采暖热水器两用 恒温 天然气地暖锅炉 28KW RBS-28UER</t>
  </si>
  <si>
    <t>Rinnai/林内 ETW11G+2E03LS+M2 燃气灶油烟机洗碗机三件套装</t>
  </si>
  <si>
    <t>ETW11G+2E03LS+M2</t>
  </si>
  <si>
    <t>林内(Rinnai)燃气壁挂炉 采暖热水器两用 恒温 天然气地暖锅炉 18KW RBS-18UER(B)</t>
  </si>
  <si>
    <t>林内（Rinnai）净水器 前置过滤器 免拆反冲洗 家用大通量管道排污 中央滤水机 全屋净化器 RWTS-PF-5</t>
  </si>
  <si>
    <t>RWTS-PF-5</t>
  </si>
  <si>
    <t>林内(Rinnai) 16升燃气热水器 家用天然气 语音APP智控 恒温防冻大水量 RUS-16QD33W（JSQ31-D33W）京品家电</t>
  </si>
  <si>
    <t>林内(Rinnai)13升燃气热水器 零冷水两件套 家用天然气 语音APP智控 恒温防冻 RUS-13QD33W+SG（JSQ26-D33W）</t>
  </si>
  <si>
    <t>林内(Rinnai)16升燃气热水器 零冷水两件套 家用天然气 语音APP智控 恒温防冻 RUS-16QD33W+SG（JSQ31-D33W）</t>
  </si>
  <si>
    <t>林内(Rinnai) 13升燃气热水器 家用天然气 语音APP智控 恒温防冻大水量 RUS-13QD33W（JSQ26-D33W）京品家电</t>
  </si>
  <si>
    <t>林内(Rinnai)燃气壁挂炉 采暖热水器两用 恒温 天然气地暖锅炉 暖境系列28KW RBS-28C33+SG(适用于120-180㎡)</t>
  </si>
  <si>
    <t>28C33+SG</t>
  </si>
  <si>
    <t>林内（Rinnai）燃气热水器旧机代扣商品 请勿下单 13L</t>
  </si>
  <si>
    <t>林内(Rinnai)燃气壁挂炉 采暖热水器两用 恒温 天然气地暖锅炉 暖境系列18KW RBS-18C33+SG(L1PB20-18C33)</t>
  </si>
  <si>
    <t>18C33+SG</t>
  </si>
  <si>
    <t>RUS-16QD33W</t>
  </si>
  <si>
    <t>林内(Rinnai)燃气壁挂炉 采暖热水器两用 恒温 天然气地暖锅炉RBS-UER（B）系列空壳样机</t>
  </si>
  <si>
    <t>林内(Rinnai)零冷水燃气壁挂炉 全屋零冷水 采暖热水两用 APP智能操控 暖逸系列35KW RBS-35C66L(200-300㎡)</t>
  </si>
  <si>
    <t>林内(Rinnai)零冷水燃气壁挂炉 全屋零冷水 采暖热水两用 APP智能操控 暖逸系列24KW RBS-24C66L(90-150㎡)</t>
  </si>
  <si>
    <t>林内(Rinnai)燃气壁挂炉 采暖热水器两用 恒温 天然气地暖锅炉 暖境系列C33系列空壳样机</t>
  </si>
  <si>
    <t>林内(Rinnai)零冷水燃气壁挂炉 全屋零冷水 采暖热水两用 APP智能操控 暖逸系列18KW RBS-18C66L(80-90㎡)</t>
  </si>
  <si>
    <t>18C66</t>
  </si>
  <si>
    <t>林内(Rinnai)零冷水燃气壁挂炉 全屋零冷水 采暖热水两用 APP智能操控 暖逸系列28KW RBS-28C66L(150-200㎡)</t>
  </si>
  <si>
    <t>林内（Rinnai）家用天然气灶嵌入式燃气灶 台嵌两用可调节底盘 5.2kW双眼猛火定时灶 钢化玻璃 JZT-2E07MTX</t>
  </si>
  <si>
    <t>林内（Rinnai）家用天然气灶嵌入式燃气灶 台嵌两用可调节底盘 5.2kW双眼猛火定时灶 不锈钢 JZT-2E08MTX</t>
  </si>
  <si>
    <t>林内（Rinnai）家用烟机燃气灶烟灶套装 23立方挥手智控自清洗欧式油烟机 5.2kW可调节底盘定时灶NM11T+2E07MTX</t>
  </si>
  <si>
    <t>NM11T+2E07MTX</t>
  </si>
  <si>
    <t>林内（Rinnai）抽吸油烟机灶具套装欧式顶吸20m³大吸力烟灶套装 5KW大火力猛火智能定时灶具 NM05T+08MT</t>
  </si>
  <si>
    <t>NM05T+2E08MT</t>
  </si>
  <si>
    <t>3E07M</t>
  </si>
  <si>
    <t>NMW21J）</t>
  </si>
  <si>
    <t>林内（Rinnai）恒温热水器家用烟灶燃热厨房三件套22立方挥手智控5.0KW灶具13升级恒温热水器NM10T+2E07MT+16GD31</t>
  </si>
  <si>
    <t>NM10T+2E07MT+16GD31</t>
  </si>
  <si>
    <t>NMW21J+2E01LT</t>
  </si>
  <si>
    <t>林内（Rinnai）集悦烟灶消集成灶消毒柜 自清洁油烟机 19立方+5.2KW 猛火烟灶消一体 JJZT-2H01X</t>
  </si>
  <si>
    <t>2H01X</t>
  </si>
  <si>
    <t>3E08M</t>
  </si>
  <si>
    <t>NMW21J+2E08MT</t>
  </si>
  <si>
    <t>林内（Rinnai）家用烟机燃气灶烟灶套装 23立方挥手智控自清洗欧式油烟机 5.2kW可调节底盘定时灶NM11T+2E08MTX</t>
  </si>
  <si>
    <t>NM11T+2E08MTX</t>
  </si>
  <si>
    <t>林内（Rinnai）家用烟机燃气灶烟灶套装 22立方挥手智控自清洗侧吸油烟机 5.2kW可调节底盘定时灶NM09J+2E07MTX</t>
  </si>
  <si>
    <t>林内（Rinnai）家用烟机燃气灶烟灶套装 22立方挥手智控自清洗侧吸油烟机 5.2kW可调节底盘定时灶NM09J+2E08MTX</t>
  </si>
  <si>
    <t>NM09J+2E08MTX</t>
  </si>
  <si>
    <t>林内（Rinnai）油烟机厨房多件套 22立方挥手智控 5.2kW可调节底盘 13升恒温热水器三件套NM09J+2E07MTX+13GD31</t>
  </si>
  <si>
    <t>2E07MTX+NM09J+13GD31</t>
  </si>
  <si>
    <t>林内（Rinnai）抽吸油烟机灶具套装烟灶两件套侧吸式烟机 5.2KW大火力猛火智能定时可调节底盘灶具 NMW21J+08MTX</t>
  </si>
  <si>
    <t>NMW21J+2E08MTX</t>
  </si>
  <si>
    <t>林内（Rinnai）零冷水燃气壁挂炉两件套 天然气地暖全屋零冷水智能远控 供暖炉家用热水器锅炉 35KW RBS-35C39+SG</t>
  </si>
  <si>
    <t>35C39+SG</t>
  </si>
  <si>
    <t>林内（Rinnai）油烟机厨房多件套 22立方挥手智控 5.2kW可调节底盘 16升恒温热水器三件套NM09J+2E07MTX+16GD31</t>
  </si>
  <si>
    <t>2E07MTX+NM09J+16GD31</t>
  </si>
  <si>
    <t>林内（Rinnai）油烟机厨房多件套 22立方挥手智控 5.2kW可调节底盘 13升恒温热水器三件套NM09J+2E08MTX+13GD31</t>
  </si>
  <si>
    <t>2E08MTX+NM09J+13GD31</t>
  </si>
  <si>
    <t>林内（Rinnai）油烟机厨房多件套 22立方挥手智控 5.2kW可调节底盘 16升恒温热水器三件套NM09J+2E08MTX+16GD31</t>
  </si>
  <si>
    <t>2E08MTX+NM09J+16GD31</t>
  </si>
  <si>
    <t>林内（Rinnai）油烟机厨房多件套 23立方挥手智控 5.2kW可调节底盘 13升恒温热水器三件套NM11T+2E07MTX+13GD31</t>
  </si>
  <si>
    <t>2E07MTX+NM11T+13GD31</t>
  </si>
  <si>
    <t>林内（Rinnai）油烟机厨房多件套 23立方挥手智控 5.2kW可调节底盘 16升恒温热水器三件套NM11T+2E07MTX+16GD31</t>
  </si>
  <si>
    <t>2E07MTX+NM11T+16GD31</t>
  </si>
  <si>
    <t>林内（Rinnai）油烟机厨房多件套 23立方挥手智控 5.2kW可调节底盘 13升恒温热水器三件套NM11T+2E08MTX+13GD31</t>
  </si>
  <si>
    <t>2E08MTX+NM11T+13GD31</t>
  </si>
  <si>
    <t>林内（Rinnai）油烟机厨房多件套 23立方挥手智控 5.2kW可调节底盘 16升恒温热水器三件套NM11T+2E08MTX+16GD31</t>
  </si>
  <si>
    <t>2E08MTX+NM11T+16GD31</t>
  </si>
  <si>
    <t>林内（Rinnai）抽油烟机灶具套装烟灶两件套 侧吸式5KW超大火力油烟机灶具NMW21J+2E03M 天然气</t>
  </si>
  <si>
    <t>林内（Rinnai）恒温热水器家用烟灶燃热厨房三件套22立方挥手智控5.0KW灶具13升级恒温热水器NM10T+2E08MT+13GD31</t>
  </si>
  <si>
    <t>NM10T+2E08MT+13GD31</t>
  </si>
  <si>
    <t>林内（Rinnai）家用净水器 台式净热一体机碳棒滤芯 滤芯耗材 RF-CB-3</t>
  </si>
  <si>
    <t>RF-CB-3</t>
  </si>
  <si>
    <t>林内（Rinnai）净水器 原装 复合滤芯 自主换芯 智能提醒 商用净水机复合滤芯 RF-BCF-A</t>
  </si>
  <si>
    <t>RF-BCF-A</t>
  </si>
  <si>
    <t>林内（Rinnai）家用净水器 台式净热一体机复合滤芯 滤芯耗材 RF-CF-3</t>
  </si>
  <si>
    <t>RF-CF-3</t>
  </si>
  <si>
    <t>林内（Rinnai）燃气壁挂炉 家用地暖 恒温智控 采暖热水器 暖域系列35KW RBS-35G56(L1GB41-35G56 )</t>
  </si>
  <si>
    <t>林内（Rinnai）零冷水燃气壁挂炉两件套 天然气地暖全屋智控 采暖热水器两用锅炉 智能小鲸鱼 24KW RBS-24C39+SG</t>
  </si>
  <si>
    <t>24C39+SG</t>
  </si>
  <si>
    <t>林内（Rinnai）1元享10大特权 预约加赠浴巾礼盒 VIP会员 粉丝福利 壁挂炉专用（非商品）单拍不发货</t>
  </si>
  <si>
    <t>林内 Rinnai 13套嵌入式洗碗机 侧吸式油烟机 防干烧莲花火燃气灶 烟灶洗三件套 JUW11G+2WLGM＋M2</t>
  </si>
  <si>
    <t>JUW11G+2WLGM＋M2</t>
  </si>
  <si>
    <t>林内 Rinnai 13套嵌入式洗碗机 欧式顶吸油烟机 防干烧莲花火燃气灶 烟灶洗三件套ETW11G+2WLGM＋M2</t>
  </si>
  <si>
    <t>ETW11G+2WLGM＋M2</t>
  </si>
  <si>
    <t>林内(Rinnai)16升燃气热水器 微纳活氧 变频节能恒温 氧沐系列RUS-M16E73FFF（JSQ31-M73FB）粉色</t>
  </si>
  <si>
    <t>RUS-M16E73FFF</t>
  </si>
  <si>
    <t>林内(Rinnai)16升燃气热水器 微纳活氧 变频节能恒温 氧沐系列RUS-M16E73FBF（JSQ31-M73FB）奶白色</t>
  </si>
  <si>
    <t>RUS-M16E73FBF</t>
  </si>
  <si>
    <t>林内(Rinnai)16升燃气热水器 微纳活氧 变频节能恒温 氧沐系列RUS-M16E73FHF（JSQ31-M73FB）银灰色</t>
  </si>
  <si>
    <t>RUS-M16E73FHF</t>
  </si>
  <si>
    <t>RWTS-RO63-D</t>
  </si>
  <si>
    <t>林内（Rinnai）净水器商用直饮机加热净水机反渗透RO膜过滤 即热式饮水机净饮一体机 RWTS-BR100-10CS</t>
  </si>
  <si>
    <t>RWTS-BR100-10CS</t>
  </si>
  <si>
    <t>林内（Rinnai）净水器商用直饮机加热净水机反渗透RO膜过滤 饮水机净饮一体机（租售款）RWTS-BR100-10CR</t>
  </si>
  <si>
    <t>RWTS-BR100-10CR</t>
  </si>
  <si>
    <t>RWTS-RO78-D</t>
  </si>
  <si>
    <t>林内 Rinnai 侧吸式油烟机一键爆炒 22m³大吸力 5KW超大火力 烟灶套装两件套 JUW11G+2E03M 专</t>
  </si>
  <si>
    <t>JUW11G+2E03M</t>
  </si>
  <si>
    <t>林内(Rinnai) 48升蒸烤一体机嵌入式 蒸箱烤箱二合一 智能预约 精准控温大容量蒸汽烤箱 SKQ48-CG</t>
  </si>
  <si>
    <t>SKQ48-CG</t>
  </si>
  <si>
    <t>林内 Rinnai欧式抽油烟机燃气灶热水器烟灶套装 烟灶热三件套 22m³大吸力 定时防干烧 ETW11G+2E03LS+16QD31</t>
  </si>
  <si>
    <t>ETW11G+2E03LS+16QD31</t>
  </si>
  <si>
    <t>林内 Rinnai欧式抽油烟机燃气灶热水器烟灶套装 烟灶热三件套 22m³大吸力 定时防干烧 ETW11G+2E03LS+13QD31</t>
  </si>
  <si>
    <t>ETW11G+2E03LS+13QD31</t>
  </si>
  <si>
    <t>林内（Rinnai）天燃气灶双灶 嵌入式5KW超大火力猛火智能定时灶具 不锈钢面板 JZT-2E08MT 天然气 一级能效</t>
  </si>
  <si>
    <t>林内 Rinnai 侧吸式油烟机一键爆炒 22立方大吸力 嵌入式5.0KW智能定时燃气灶 JUW11G+2E07MT两件套</t>
  </si>
  <si>
    <t>JUW11G+2E07MT</t>
  </si>
  <si>
    <t>林内（Rinnai）天燃气灶双灶 嵌入式5KW超大火力猛火智能定时灶具 钢化玻璃 JZT-2E07MT 天然气 一级能效</t>
  </si>
  <si>
    <t>林内 Rinnai 侧吸式抽油烟机灶具套装 燃气灶 燃气热水器 烟灶热三件套装 JUW11G+2E03LS+13QC05</t>
  </si>
  <si>
    <t>JUW11G+2E03LS+13QC05</t>
  </si>
  <si>
    <t>林内 Rinnai 侧吸式抽油烟机灶具套装 燃气灶 燃气热水器 烟灶热三件套装 JUW11G+2E03LS+16QC05</t>
  </si>
  <si>
    <t>JUW11G+2E03LS+16QC05</t>
  </si>
  <si>
    <t>林内 Rinnai欧式抽油烟机燃气灶热水器烟灶套装 烟灶热三件套 22m³大吸力 定时防干烧 ETW11G+2E03LS+13QC05</t>
  </si>
  <si>
    <t>ETW11G+2E03LS+13QC05</t>
  </si>
  <si>
    <t>林内 Rinnai 侧吸式抽油烟机灶具套装 燃气灶 燃气热水器 烟灶热三件套装 JUW11G+2E03LS+16QD31</t>
  </si>
  <si>
    <t>JUW11G+2E03LS+16QD31</t>
  </si>
  <si>
    <t>林内 Rinnai 侧吸式抽油烟机灶具套装 燃气灶 燃气热水器 烟灶热三件套装 JUW11G+2E03LS+13QD31</t>
  </si>
  <si>
    <t>JUW11G+2E03LS+13QD31</t>
  </si>
  <si>
    <t>林内 Rinnai欧式抽油烟机燃气灶热水器烟灶套装 烟灶热三件套 22m³大吸力 定时防干烧 ETW11G+2E03LS+16QC05</t>
  </si>
  <si>
    <t>ETW11G+2E03LS+16QC05</t>
  </si>
  <si>
    <t>林内 Rinnai 侧吸式油烟机一键爆炒 22m³大吸力 5KW超大火力 烟灶套装两件套 JUW11G+2E03M</t>
  </si>
  <si>
    <t>林内 Rinnai 13套嵌入式 洗烘干一体 洗碗机 澎湃大水量 百年定制 16升燃气热水器 两件套M2+16QD31</t>
  </si>
  <si>
    <t>M2+16QD31</t>
  </si>
  <si>
    <t>林内 Rinnai 13套嵌入式 洗烘干一体 洗碗机 16升 零干扰恒温防冻 语音APP智控 燃气热水器 M2+16QD06W</t>
  </si>
  <si>
    <t>M2+16QD06W</t>
  </si>
  <si>
    <t>林内 Rinnai 13套嵌入式洗碗机 16升零冷水套装 零干扰恒温防冻 语音APP智控 燃气热水器 M2+16QD06W+SG</t>
  </si>
  <si>
    <t>M2+16QD06W+SG</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</si>
</sst>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0_);\(0\)"/>
    <numFmt numFmtId="179" formatCode="0.00_ "/>
    <numFmt numFmtId="180" formatCode="0_);[Red]\(0\)"/>
    <numFmt numFmtId="181" formatCode="0_ "/>
    <numFmt numFmtId="182" formatCode="0.0_ "/>
  </numFmts>
  <fonts count="38">
    <font>
      <sz val="10"/>
      <color theme="1"/>
      <name val="等线"/>
      <charset val="134"/>
      <scheme val="minor"/>
    </font>
    <font>
      <sz val="9"/>
      <color rgb="FF000000"/>
      <name val="等线"/>
      <charset val="134"/>
      <scheme val="minor"/>
    </font>
    <font>
      <b/>
      <sz val="9"/>
      <color rgb="FF000000"/>
      <name val="等线"/>
      <charset val="134"/>
      <scheme val="minor"/>
    </font>
    <font>
      <sz val="9"/>
      <color rgb="FF1F2329"/>
      <name val="等线"/>
      <charset val="134"/>
      <scheme val="minor"/>
    </font>
    <font>
      <sz val="9"/>
      <color theme="1"/>
      <name val="Calibri"/>
      <charset val="134"/>
    </font>
    <font>
      <sz val="9"/>
      <color theme="1"/>
      <name val="等线"/>
      <charset val="134"/>
    </font>
    <font>
      <sz val="9"/>
      <color rgb="FF1F2329"/>
      <name val="等线"/>
      <charset val="134"/>
    </font>
    <font>
      <sz val="9"/>
      <color theme="1"/>
      <name val="等线"/>
      <charset val="134"/>
      <scheme val="minor"/>
    </font>
    <font>
      <b/>
      <sz val="12"/>
      <color rgb="FF000000"/>
      <name val="等线"/>
      <charset val="134"/>
      <scheme val="minor"/>
    </font>
    <font>
      <b/>
      <sz val="9"/>
      <color rgb="FFFF0000"/>
      <name val="等线"/>
      <charset val="134"/>
      <scheme val="minor"/>
    </font>
    <font>
      <b/>
      <sz val="12"/>
      <color rgb="FFF54A45"/>
      <name val="等线"/>
      <charset val="134"/>
      <scheme val="minor"/>
    </font>
    <font>
      <sz val="9"/>
      <color rgb="FF373C43"/>
      <name val="等线"/>
      <charset val="134"/>
      <scheme val="minor"/>
    </font>
    <font>
      <sz val="12"/>
      <color rgb="FF000000"/>
      <name val="等线"/>
      <charset val="134"/>
      <scheme val="minor"/>
    </font>
    <font>
      <sz val="9"/>
      <color rgb="FFF54A45"/>
      <name val="等线"/>
      <charset val="134"/>
      <scheme val="minor"/>
    </font>
    <font>
      <b/>
      <sz val="9"/>
      <color rgb="FFF54A45"/>
      <name val="等线"/>
      <charset val="134"/>
      <scheme val="minor"/>
    </font>
    <font>
      <sz val="9"/>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u/>
      <sz val="9"/>
      <color theme="10"/>
      <name val="Calibri"/>
      <charset val="134"/>
    </font>
    <font>
      <u/>
      <sz val="9"/>
      <color theme="10"/>
      <name val="Calibri"/>
      <charset val="134"/>
    </font>
  </fonts>
  <fills count="58">
    <fill>
      <patternFill patternType="none"/>
    </fill>
    <fill>
      <patternFill patternType="gray125"/>
    </fill>
    <fill>
      <patternFill patternType="solid">
        <fgColor rgb="FFDEE0E3"/>
        <bgColor indexed="64"/>
      </patternFill>
    </fill>
    <fill>
      <patternFill patternType="solid">
        <fgColor rgb="FFD9F3FD"/>
        <bgColor indexed="64"/>
      </patternFill>
    </fill>
    <fill>
      <patternFill patternType="solid">
        <fgColor rgb="FFFFFF00"/>
        <bgColor indexed="64"/>
      </patternFill>
    </fill>
    <fill>
      <patternFill patternType="solid">
        <fgColor rgb="FF00FF00"/>
        <bgColor indexed="64"/>
      </patternFill>
    </fill>
    <fill>
      <patternFill patternType="solid">
        <fgColor rgb="FFFFE598"/>
        <bgColor indexed="64"/>
      </patternFill>
    </fill>
    <fill>
      <patternFill patternType="solid">
        <fgColor rgb="FFB4C6E7"/>
        <bgColor indexed="64"/>
      </patternFill>
    </fill>
    <fill>
      <patternFill patternType="solid">
        <fgColor rgb="FF00B050"/>
        <bgColor indexed="64"/>
      </patternFill>
    </fill>
    <fill>
      <patternFill patternType="solid">
        <fgColor rgb="FFF7CBAC"/>
        <bgColor indexed="64"/>
      </patternFill>
    </fill>
    <fill>
      <patternFill patternType="solid">
        <fgColor rgb="FFFFE599"/>
        <bgColor indexed="64"/>
      </patternFill>
    </fill>
    <fill>
      <patternFill patternType="solid">
        <fgColor rgb="FFCCFFCC"/>
        <bgColor indexed="64"/>
      </patternFill>
    </fill>
    <fill>
      <patternFill patternType="solid">
        <fgColor rgb="FFA9CD90"/>
        <bgColor indexed="64"/>
      </patternFill>
    </fill>
    <fill>
      <patternFill patternType="solid">
        <fgColor rgb="FFDBDBDB"/>
        <bgColor indexed="64"/>
      </patternFill>
    </fill>
    <fill>
      <patternFill patternType="solid">
        <fgColor rgb="FFE2EFDA"/>
        <bgColor indexed="64"/>
      </patternFill>
    </fill>
    <fill>
      <patternFill patternType="solid">
        <fgColor rgb="FFF8CBAD"/>
        <bgColor indexed="64"/>
      </patternFill>
    </fill>
    <fill>
      <patternFill patternType="solid">
        <fgColor rgb="FFBDD7EE"/>
        <bgColor indexed="64"/>
      </patternFill>
    </fill>
    <fill>
      <patternFill patternType="solid">
        <fgColor rgb="FFC6E0B4"/>
        <bgColor indexed="64"/>
      </patternFill>
    </fill>
    <fill>
      <patternFill patternType="solid">
        <fgColor rgb="FFFCE4D6"/>
        <bgColor indexed="64"/>
      </patternFill>
    </fill>
    <fill>
      <patternFill patternType="solid">
        <fgColor rgb="FFFFC000"/>
        <bgColor indexed="64"/>
      </patternFill>
    </fill>
    <fill>
      <patternFill patternType="solid">
        <fgColor rgb="FFF54A45"/>
        <bgColor indexed="64"/>
      </patternFill>
    </fill>
    <fill>
      <patternFill patternType="solid">
        <fgColor rgb="FFE6B8B7"/>
        <bgColor indexed="64"/>
      </patternFill>
    </fill>
    <fill>
      <patternFill patternType="solid">
        <fgColor rgb="FFF2DCDB"/>
        <bgColor indexed="64"/>
      </patternFill>
    </fill>
    <fill>
      <patternFill patternType="solid">
        <fgColor rgb="FFFFF258"/>
        <bgColor indexed="64"/>
      </patternFill>
    </fill>
    <fill>
      <patternFill patternType="solid">
        <fgColor rgb="FFAD82F7"/>
        <bgColor indexed="64"/>
      </patternFill>
    </fill>
    <fill>
      <patternFill patternType="solid">
        <fgColor rgb="FFF6F7FB"/>
        <bgColor indexed="64"/>
      </patternFill>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000000"/>
      </right>
      <top style="thin">
        <color rgb="FF000000"/>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DEE0E3"/>
      </bottom>
      <diagonal/>
    </border>
    <border>
      <left style="thin">
        <color rgb="FF1F2329"/>
      </left>
      <right style="thin">
        <color rgb="FF000000"/>
      </right>
      <top style="thin">
        <color rgb="FF000000"/>
      </top>
      <bottom style="thin">
        <color rgb="FFDEE0E3"/>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1F2329"/>
      </left>
      <right style="thin">
        <color rgb="FF1F2329"/>
      </right>
      <top style="thin">
        <color rgb="FF1F2329"/>
      </top>
      <bottom/>
      <diagonal/>
    </border>
    <border>
      <left/>
      <right/>
      <top style="thin">
        <color rgb="FF1F2329"/>
      </top>
      <bottom style="thin">
        <color rgb="FF1F2329"/>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1F2329"/>
      </left>
      <right style="thin">
        <color rgb="FF1F2329"/>
      </right>
      <top/>
      <bottom/>
      <diagonal/>
    </border>
    <border>
      <left/>
      <right style="thin">
        <color rgb="FF000000"/>
      </right>
      <top/>
      <bottom/>
      <diagonal/>
    </border>
    <border>
      <left/>
      <right style="thin">
        <color rgb="FF1F2329"/>
      </right>
      <top style="thin">
        <color rgb="FF1F2329"/>
      </top>
      <bottom/>
      <diagonal/>
    </border>
    <border>
      <left style="thin">
        <color rgb="FF1F2329"/>
      </left>
      <right/>
      <top style="thin">
        <color rgb="FF1F2329"/>
      </top>
      <bottom/>
      <diagonal/>
    </border>
    <border>
      <left style="thin">
        <color rgb="FF1F2329"/>
      </left>
      <right/>
      <top/>
      <bottom/>
      <diagonal/>
    </border>
    <border>
      <left style="thin">
        <color rgb="FF1F2329"/>
      </left>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27" borderId="2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9" applyNumberFormat="0" applyFill="0" applyAlignment="0" applyProtection="0">
      <alignment vertical="center"/>
    </xf>
    <xf numFmtId="0" fontId="23" fillId="0" borderId="29" applyNumberFormat="0" applyFill="0" applyAlignment="0" applyProtection="0">
      <alignment vertical="center"/>
    </xf>
    <xf numFmtId="0" fontId="24" fillId="0" borderId="30" applyNumberFormat="0" applyFill="0" applyAlignment="0" applyProtection="0">
      <alignment vertical="center"/>
    </xf>
    <xf numFmtId="0" fontId="24" fillId="0" borderId="0" applyNumberFormat="0" applyFill="0" applyBorder="0" applyAlignment="0" applyProtection="0">
      <alignment vertical="center"/>
    </xf>
    <xf numFmtId="0" fontId="25" fillId="28" borderId="31" applyNumberFormat="0" applyAlignment="0" applyProtection="0">
      <alignment vertical="center"/>
    </xf>
    <xf numFmtId="0" fontId="26" fillId="29" borderId="32" applyNumberFormat="0" applyAlignment="0" applyProtection="0">
      <alignment vertical="center"/>
    </xf>
    <xf numFmtId="0" fontId="27" fillId="29" borderId="31" applyNumberFormat="0" applyAlignment="0" applyProtection="0">
      <alignment vertical="center"/>
    </xf>
    <xf numFmtId="0" fontId="28" fillId="30" borderId="33" applyNumberFormat="0" applyAlignment="0" applyProtection="0">
      <alignment vertical="center"/>
    </xf>
    <xf numFmtId="0" fontId="29" fillId="0" borderId="34" applyNumberFormat="0" applyFill="0" applyAlignment="0" applyProtection="0">
      <alignment vertical="center"/>
    </xf>
    <xf numFmtId="0" fontId="30" fillId="0" borderId="35" applyNumberFormat="0" applyFill="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5" fillId="43" borderId="0" applyNumberFormat="0" applyBorder="0" applyAlignment="0" applyProtection="0">
      <alignment vertical="center"/>
    </xf>
    <xf numFmtId="0" fontId="35" fillId="44" borderId="0" applyNumberFormat="0" applyBorder="0" applyAlignment="0" applyProtection="0">
      <alignment vertical="center"/>
    </xf>
    <xf numFmtId="0" fontId="34" fillId="45" borderId="0" applyNumberFormat="0" applyBorder="0" applyAlignment="0" applyProtection="0">
      <alignment vertical="center"/>
    </xf>
    <xf numFmtId="0" fontId="34" fillId="46" borderId="0" applyNumberFormat="0" applyBorder="0" applyAlignment="0" applyProtection="0">
      <alignment vertical="center"/>
    </xf>
    <xf numFmtId="0" fontId="35" fillId="47" borderId="0" applyNumberFormat="0" applyBorder="0" applyAlignment="0" applyProtection="0">
      <alignment vertical="center"/>
    </xf>
    <xf numFmtId="0" fontId="35" fillId="48" borderId="0" applyNumberFormat="0" applyBorder="0" applyAlignment="0" applyProtection="0">
      <alignment vertical="center"/>
    </xf>
    <xf numFmtId="0" fontId="34" fillId="49" borderId="0" applyNumberFormat="0" applyBorder="0" applyAlignment="0" applyProtection="0">
      <alignment vertical="center"/>
    </xf>
    <xf numFmtId="0" fontId="34" fillId="50" borderId="0" applyNumberFormat="0" applyBorder="0" applyAlignment="0" applyProtection="0">
      <alignment vertical="center"/>
    </xf>
    <xf numFmtId="0" fontId="35" fillId="51" borderId="0" applyNumberFormat="0" applyBorder="0" applyAlignment="0" applyProtection="0">
      <alignment vertical="center"/>
    </xf>
    <xf numFmtId="0" fontId="35" fillId="52" borderId="0" applyNumberFormat="0" applyBorder="0" applyAlignment="0" applyProtection="0">
      <alignment vertical="center"/>
    </xf>
    <xf numFmtId="0" fontId="34" fillId="53" borderId="0" applyNumberFormat="0" applyBorder="0" applyAlignment="0" applyProtection="0">
      <alignment vertical="center"/>
    </xf>
    <xf numFmtId="0" fontId="34" fillId="54" borderId="0" applyNumberFormat="0" applyBorder="0" applyAlignment="0" applyProtection="0">
      <alignment vertical="center"/>
    </xf>
    <xf numFmtId="0" fontId="35" fillId="55" borderId="0" applyNumberFormat="0" applyBorder="0" applyAlignment="0" applyProtection="0">
      <alignment vertical="center"/>
    </xf>
    <xf numFmtId="0" fontId="35" fillId="56" borderId="0" applyNumberFormat="0" applyBorder="0" applyAlignment="0" applyProtection="0">
      <alignment vertical="center"/>
    </xf>
    <xf numFmtId="0" fontId="34" fillId="57" borderId="0" applyNumberFormat="0" applyBorder="0" applyAlignment="0" applyProtection="0">
      <alignment vertical="center"/>
    </xf>
  </cellStyleXfs>
  <cellXfs count="321">
    <xf numFmtId="0" fontId="0" fillId="0" borderId="0" xfId="0" applyAlignment="1">
      <alignment vertical="center"/>
    </xf>
    <xf numFmtId="0" fontId="1" fillId="0" borderId="0" xfId="0" applyNumberFormat="1" applyFont="1" applyAlignment="1">
      <alignment horizontal="center" vertical="center"/>
    </xf>
    <xf numFmtId="1" fontId="1" fillId="0" borderId="0" xfId="0" applyNumberFormat="1" applyFont="1" applyAlignment="1">
      <alignment vertical="center"/>
    </xf>
    <xf numFmtId="11" fontId="1" fillId="0" borderId="0" xfId="0" applyNumberFormat="1" applyFont="1" applyAlignment="1">
      <alignment vertical="center"/>
    </xf>
    <xf numFmtId="0" fontId="1" fillId="0" borderId="0" xfId="0" applyNumberFormat="1" applyFont="1" applyAlignment="1"/>
    <xf numFmtId="0" fontId="1" fillId="0" borderId="0" xfId="0" applyNumberFormat="1" applyFont="1" applyAlignment="1">
      <alignment horizontal="left" vertical="center"/>
    </xf>
    <xf numFmtId="14" fontId="1" fillId="0" borderId="0" xfId="0" applyNumberFormat="1" applyFont="1" applyAlignment="1">
      <alignment horizontal="center" vertical="center"/>
    </xf>
    <xf numFmtId="0" fontId="1" fillId="0" borderId="1" xfId="0" applyNumberFormat="1" applyFont="1" applyBorder="1" applyAlignment="1">
      <alignment horizontal="center" vertical="center"/>
    </xf>
    <xf numFmtId="0" fontId="2" fillId="2"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2" fontId="2" fillId="3" borderId="1" xfId="0"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wrapText="1"/>
    </xf>
    <xf numFmtId="10" fontId="2"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0" fontId="2" fillId="3"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2" fontId="1" fillId="3" borderId="1" xfId="0" applyNumberFormat="1" applyFont="1" applyFill="1" applyBorder="1" applyAlignment="1">
      <alignment horizontal="center" vertical="center" wrapText="1"/>
    </xf>
    <xf numFmtId="0"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176" fontId="1"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176" fontId="1" fillId="3" borderId="1" xfId="0" applyNumberFormat="1" applyFont="1" applyFill="1" applyBorder="1" applyAlignment="1">
      <alignment horizontal="center" vertical="center"/>
    </xf>
    <xf numFmtId="176" fontId="2" fillId="3" borderId="1" xfId="0" applyNumberFormat="1" applyFont="1" applyFill="1" applyBorder="1" applyAlignment="1">
      <alignment horizontal="center" vertical="center"/>
    </xf>
    <xf numFmtId="176" fontId="3" fillId="3" borderId="1" xfId="0" applyNumberFormat="1" applyFont="1" applyFill="1" applyBorder="1" applyAlignment="1">
      <alignment horizontal="center" vertical="center"/>
    </xf>
    <xf numFmtId="2" fontId="2" fillId="0" borderId="1" xfId="0" applyNumberFormat="1" applyFont="1" applyBorder="1" applyAlignment="1">
      <alignment horizontal="center" vertical="center"/>
    </xf>
    <xf numFmtId="9" fontId="2" fillId="3" borderId="1" xfId="0" applyNumberFormat="1" applyFont="1" applyFill="1" applyBorder="1" applyAlignment="1">
      <alignment horizontal="center" vertical="center"/>
    </xf>
    <xf numFmtId="9" fontId="1" fillId="3" borderId="1" xfId="0" applyNumberFormat="1" applyFont="1" applyFill="1" applyBorder="1" applyAlignment="1">
      <alignment horizontal="center" vertical="center"/>
    </xf>
    <xf numFmtId="1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177"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1" fontId="2" fillId="2" borderId="1" xfId="0" applyNumberFormat="1" applyFont="1" applyFill="1" applyBorder="1" applyAlignment="1">
      <alignment horizontal="center" vertical="center"/>
    </xf>
    <xf numFmtId="1" fontId="1" fillId="2" borderId="1" xfId="0" applyNumberFormat="1" applyFont="1" applyFill="1" applyBorder="1" applyAlignment="1">
      <alignment horizontal="center" vertical="center"/>
    </xf>
    <xf numFmtId="2" fontId="1" fillId="0" borderId="0" xfId="0" applyNumberFormat="1" applyFont="1" applyAlignment="1">
      <alignment horizontal="center" vertical="center"/>
    </xf>
    <xf numFmtId="178" fontId="1" fillId="0" borderId="1" xfId="0" applyNumberFormat="1" applyFont="1" applyBorder="1" applyAlignment="1">
      <alignment horizontal="center" vertical="center"/>
    </xf>
    <xf numFmtId="0" fontId="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2" fontId="1" fillId="0" borderId="3" xfId="0" applyNumberFormat="1" applyFont="1" applyBorder="1" applyAlignment="1">
      <alignment horizontal="center" vertical="center"/>
    </xf>
    <xf numFmtId="179" fontId="1" fillId="0" borderId="3" xfId="0" applyNumberFormat="1" applyFont="1" applyBorder="1" applyAlignment="1">
      <alignment horizontal="center" vertical="center"/>
    </xf>
    <xf numFmtId="176" fontId="3" fillId="3" borderId="4" xfId="0" applyNumberFormat="1" applyFont="1" applyFill="1" applyBorder="1" applyAlignment="1">
      <alignment horizontal="center" vertical="center"/>
    </xf>
    <xf numFmtId="176" fontId="1" fillId="3" borderId="5" xfId="0" applyNumberFormat="1" applyFont="1" applyFill="1" applyBorder="1" applyAlignment="1">
      <alignment horizontal="center" vertical="center"/>
    </xf>
    <xf numFmtId="2" fontId="2" fillId="0" borderId="6" xfId="0" applyNumberFormat="1" applyFont="1" applyBorder="1" applyAlignment="1">
      <alignment horizontal="center" vertical="center"/>
    </xf>
    <xf numFmtId="1" fontId="2" fillId="0" borderId="6" xfId="0" applyNumberFormat="1" applyFont="1" applyBorder="1" applyAlignment="1">
      <alignment horizontal="center" vertical="center"/>
    </xf>
    <xf numFmtId="0" fontId="1" fillId="0" borderId="7" xfId="0" applyNumberFormat="1" applyFont="1" applyBorder="1" applyAlignment="1">
      <alignment horizontal="center" vertical="center"/>
    </xf>
    <xf numFmtId="2" fontId="1" fillId="0" borderId="8" xfId="0" applyNumberFormat="1" applyFont="1" applyBorder="1" applyAlignment="1">
      <alignment horizontal="center" vertical="center"/>
    </xf>
    <xf numFmtId="179" fontId="1" fillId="0" borderId="1" xfId="0" applyNumberFormat="1" applyFont="1" applyBorder="1" applyAlignment="1">
      <alignment horizontal="center" vertical="center"/>
    </xf>
    <xf numFmtId="179" fontId="1" fillId="0" borderId="7" xfId="0" applyNumberFormat="1" applyFont="1" applyBorder="1" applyAlignment="1">
      <alignment horizontal="center" vertical="center"/>
    </xf>
    <xf numFmtId="0" fontId="1" fillId="0" borderId="1" xfId="0" applyFont="1" applyBorder="1" applyAlignment="1">
      <alignment horizontal="center" vertical="center"/>
    </xf>
    <xf numFmtId="0" fontId="4" fillId="0" borderId="7" xfId="0" applyFont="1" applyFill="1" applyBorder="1" applyAlignment="1">
      <alignment horizontal="center" vertical="center"/>
    </xf>
    <xf numFmtId="0" fontId="4" fillId="0" borderId="2" xfId="0" applyFont="1" applyFill="1" applyBorder="1" applyAlignment="1">
      <alignment horizontal="center" vertical="center"/>
    </xf>
    <xf numFmtId="0" fontId="5" fillId="0" borderId="8" xfId="0" applyFont="1" applyBorder="1" applyAlignment="1">
      <alignment horizontal="center" vertical="center"/>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xf>
    <xf numFmtId="10"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9" fontId="5" fillId="0" borderId="1" xfId="0" applyNumberFormat="1" applyFont="1" applyBorder="1" applyAlignment="1">
      <alignment horizontal="center" vertical="center"/>
    </xf>
    <xf numFmtId="0" fontId="5" fillId="0" borderId="7" xfId="0" applyFont="1" applyBorder="1" applyAlignment="1">
      <alignment horizontal="center" vertical="center"/>
    </xf>
    <xf numFmtId="10" fontId="5" fillId="3" borderId="1" xfId="0" applyNumberFormat="1" applyFont="1" applyFill="1" applyBorder="1" applyAlignment="1">
      <alignment horizontal="center" vertical="center"/>
    </xf>
    <xf numFmtId="10" fontId="6"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8" fillId="5" borderId="9" xfId="0" applyNumberFormat="1" applyFont="1" applyFill="1" applyBorder="1" applyAlignment="1">
      <alignment horizontal="center" vertical="center"/>
    </xf>
    <xf numFmtId="0" fontId="8" fillId="5" borderId="10" xfId="0" applyNumberFormat="1" applyFont="1" applyFill="1" applyBorder="1" applyAlignment="1">
      <alignment horizontal="center" vertical="center"/>
    </xf>
    <xf numFmtId="180" fontId="2" fillId="6" borderId="11" xfId="0" applyNumberFormat="1" applyFont="1" applyFill="1" applyBorder="1" applyAlignment="1">
      <alignment horizontal="center" vertical="center" wrapText="1"/>
    </xf>
    <xf numFmtId="180" fontId="2" fillId="7" borderId="9" xfId="0" applyNumberFormat="1" applyFont="1" applyFill="1" applyBorder="1" applyAlignment="1">
      <alignment horizontal="center" vertical="center"/>
    </xf>
    <xf numFmtId="180" fontId="2" fillId="7" borderId="10" xfId="0" applyNumberFormat="1" applyFont="1" applyFill="1" applyBorder="1" applyAlignment="1">
      <alignment horizontal="center" vertical="center"/>
    </xf>
    <xf numFmtId="0" fontId="2" fillId="8" borderId="11" xfId="0" applyNumberFormat="1" applyFont="1" applyFill="1" applyBorder="1" applyAlignment="1">
      <alignment horizontal="center" vertical="center" wrapText="1"/>
    </xf>
    <xf numFmtId="0" fontId="1" fillId="4" borderId="11" xfId="0" applyNumberFormat="1" applyFont="1" applyFill="1" applyBorder="1" applyAlignment="1">
      <alignment horizontal="center" vertical="center" wrapText="1"/>
    </xf>
    <xf numFmtId="180" fontId="2" fillId="9" borderId="11" xfId="0" applyNumberFormat="1" applyFont="1" applyFill="1" applyBorder="1" applyAlignment="1">
      <alignment horizontal="center" vertical="center" wrapText="1"/>
    </xf>
    <xf numFmtId="180" fontId="2" fillId="10" borderId="12" xfId="0" applyNumberFormat="1" applyFont="1" applyFill="1" applyBorder="1" applyAlignment="1">
      <alignment horizontal="center" vertical="center" wrapText="1"/>
    </xf>
    <xf numFmtId="0" fontId="1" fillId="7" borderId="11" xfId="0" applyNumberFormat="1" applyFont="1" applyFill="1" applyBorder="1" applyAlignment="1">
      <alignment horizontal="center" vertical="center"/>
    </xf>
    <xf numFmtId="0" fontId="2" fillId="0" borderId="2" xfId="0" applyNumberFormat="1" applyFont="1" applyBorder="1" applyAlignment="1">
      <alignment horizontal="center" vertical="center"/>
    </xf>
    <xf numFmtId="0" fontId="2" fillId="0" borderId="13" xfId="0" applyNumberFormat="1" applyFont="1" applyBorder="1" applyAlignment="1">
      <alignment horizontal="center" vertical="center"/>
    </xf>
    <xf numFmtId="0" fontId="2" fillId="0" borderId="14" xfId="0" applyNumberFormat="1" applyFont="1" applyBorder="1" applyAlignment="1">
      <alignment horizontal="center" vertical="center"/>
    </xf>
    <xf numFmtId="9" fontId="2" fillId="6" borderId="13" xfId="0" applyNumberFormat="1" applyFont="1" applyFill="1" applyBorder="1" applyAlignment="1">
      <alignment horizontal="center" vertical="center" wrapText="1"/>
    </xf>
    <xf numFmtId="9" fontId="2" fillId="6" borderId="12" xfId="0" applyNumberFormat="1" applyFont="1" applyFill="1" applyBorder="1" applyAlignment="1">
      <alignment horizontal="center" vertical="center" wrapText="1"/>
    </xf>
    <xf numFmtId="9" fontId="2" fillId="6" borderId="14" xfId="0" applyNumberFormat="1" applyFont="1" applyFill="1" applyBorder="1" applyAlignment="1">
      <alignment horizontal="center" vertical="center" wrapText="1"/>
    </xf>
    <xf numFmtId="180" fontId="2" fillId="7" borderId="13" xfId="0" applyNumberFormat="1" applyFont="1" applyFill="1" applyBorder="1" applyAlignment="1">
      <alignment horizontal="center" vertical="center"/>
    </xf>
    <xf numFmtId="180" fontId="2" fillId="7" borderId="14" xfId="0" applyNumberFormat="1" applyFont="1" applyFill="1" applyBorder="1" applyAlignment="1">
      <alignment horizontal="center" vertical="center"/>
    </xf>
    <xf numFmtId="0" fontId="2" fillId="7" borderId="13" xfId="0" applyNumberFormat="1" applyFont="1" applyFill="1" applyBorder="1" applyAlignment="1">
      <alignment horizontal="center" vertical="center" wrapText="1"/>
    </xf>
    <xf numFmtId="0" fontId="2" fillId="7" borderId="14" xfId="0" applyNumberFormat="1" applyFont="1" applyFill="1" applyBorder="1" applyAlignment="1">
      <alignment horizontal="center" vertical="center" wrapText="1"/>
    </xf>
    <xf numFmtId="0" fontId="2" fillId="11" borderId="13" xfId="0" applyNumberFormat="1" applyFont="1" applyFill="1" applyBorder="1" applyAlignment="1">
      <alignment horizontal="center" vertical="center" wrapText="1"/>
    </xf>
    <xf numFmtId="0" fontId="2" fillId="11" borderId="14" xfId="0" applyNumberFormat="1" applyFont="1" applyFill="1" applyBorder="1" applyAlignment="1">
      <alignment horizontal="center" vertical="center" wrapText="1"/>
    </xf>
    <xf numFmtId="0" fontId="2" fillId="12" borderId="13" xfId="0" applyNumberFormat="1" applyFont="1" applyFill="1" applyBorder="1" applyAlignment="1">
      <alignment horizontal="center" vertical="center" wrapText="1"/>
    </xf>
    <xf numFmtId="0" fontId="2" fillId="12" borderId="14" xfId="0" applyNumberFormat="1" applyFont="1" applyFill="1" applyBorder="1" applyAlignment="1">
      <alignment horizontal="center" vertical="center" wrapText="1"/>
    </xf>
    <xf numFmtId="10" fontId="2" fillId="8" borderId="11" xfId="0" applyNumberFormat="1" applyFont="1" applyFill="1" applyBorder="1" applyAlignment="1">
      <alignment horizontal="center" vertical="center"/>
    </xf>
    <xf numFmtId="0" fontId="2" fillId="8" borderId="11" xfId="0" applyNumberFormat="1" applyFont="1" applyFill="1" applyBorder="1" applyAlignment="1">
      <alignment horizontal="center" vertical="center"/>
    </xf>
    <xf numFmtId="10" fontId="2" fillId="13" borderId="11" xfId="0" applyNumberFormat="1" applyFont="1" applyFill="1" applyBorder="1" applyAlignment="1">
      <alignment horizontal="center" vertical="center"/>
    </xf>
    <xf numFmtId="180" fontId="2" fillId="10" borderId="14" xfId="0" applyNumberFormat="1" applyFont="1" applyFill="1" applyBorder="1" applyAlignment="1">
      <alignment horizontal="center" vertical="center" wrapText="1"/>
    </xf>
    <xf numFmtId="0" fontId="2" fillId="0" borderId="15" xfId="0" applyNumberFormat="1" applyFont="1" applyBorder="1" applyAlignment="1">
      <alignment horizontal="center" vertical="center"/>
    </xf>
    <xf numFmtId="0" fontId="2" fillId="0" borderId="11" xfId="0" applyNumberFormat="1" applyFont="1" applyBorder="1" applyAlignment="1">
      <alignment horizontal="center" vertical="center"/>
    </xf>
    <xf numFmtId="10" fontId="2" fillId="6" borderId="11" xfId="0" applyNumberFormat="1" applyFont="1" applyFill="1" applyBorder="1" applyAlignment="1">
      <alignment horizontal="center" vertical="center" wrapText="1"/>
    </xf>
    <xf numFmtId="180" fontId="2" fillId="7" borderId="11" xfId="0" applyNumberFormat="1" applyFont="1" applyFill="1" applyBorder="1" applyAlignment="1">
      <alignment horizontal="center" vertical="center"/>
    </xf>
    <xf numFmtId="0" fontId="2" fillId="7" borderId="11" xfId="0" applyNumberFormat="1" applyFont="1" applyFill="1" applyBorder="1" applyAlignment="1">
      <alignment horizontal="center" vertical="center" wrapText="1"/>
    </xf>
    <xf numFmtId="0" fontId="2" fillId="11" borderId="11" xfId="0" applyNumberFormat="1" applyFont="1" applyFill="1" applyBorder="1" applyAlignment="1">
      <alignment horizontal="center" vertical="center" wrapText="1"/>
    </xf>
    <xf numFmtId="0" fontId="2" fillId="12" borderId="11" xfId="0" applyNumberFormat="1" applyFont="1" applyFill="1" applyBorder="1" applyAlignment="1">
      <alignment horizontal="center" vertical="center" wrapText="1"/>
    </xf>
    <xf numFmtId="10" fontId="2" fillId="8" borderId="11" xfId="0" applyNumberFormat="1" applyFont="1" applyFill="1" applyBorder="1" applyAlignment="1">
      <alignment horizontal="center" vertical="center" wrapText="1"/>
    </xf>
    <xf numFmtId="10" fontId="2" fillId="13" borderId="11" xfId="0" applyNumberFormat="1" applyFont="1" applyFill="1" applyBorder="1" applyAlignment="1">
      <alignment horizontal="center" vertical="center" wrapText="1"/>
    </xf>
    <xf numFmtId="9" fontId="2" fillId="9" borderId="11" xfId="0" applyNumberFormat="1" applyFont="1" applyFill="1" applyBorder="1" applyAlignment="1">
      <alignment horizontal="center" vertical="center" wrapText="1"/>
    </xf>
    <xf numFmtId="180" fontId="2" fillId="9" borderId="14" xfId="0" applyNumberFormat="1" applyFont="1" applyFill="1" applyBorder="1" applyAlignment="1">
      <alignment horizontal="center" vertical="center" wrapText="1"/>
    </xf>
    <xf numFmtId="0" fontId="9" fillId="4" borderId="15" xfId="0" applyNumberFormat="1" applyFont="1" applyFill="1" applyBorder="1" applyAlignment="1">
      <alignment horizontal="center" vertical="center" wrapText="1"/>
    </xf>
    <xf numFmtId="0" fontId="2" fillId="4" borderId="11" xfId="0" applyNumberFormat="1" applyFont="1" applyFill="1" applyBorder="1" applyAlignment="1">
      <alignment horizontal="center" vertical="center"/>
    </xf>
    <xf numFmtId="0" fontId="2" fillId="4" borderId="2" xfId="0" applyNumberFormat="1" applyFont="1" applyFill="1" applyBorder="1" applyAlignment="1">
      <alignment horizontal="center" vertical="center"/>
    </xf>
    <xf numFmtId="0" fontId="1" fillId="4" borderId="11" xfId="0" applyNumberFormat="1" applyFont="1" applyFill="1" applyBorder="1" applyAlignment="1">
      <alignment horizontal="center" vertical="center"/>
    </xf>
    <xf numFmtId="0" fontId="2" fillId="4" borderId="14" xfId="0" applyNumberFormat="1" applyFont="1" applyFill="1" applyBorder="1" applyAlignment="1">
      <alignment horizontal="center" vertical="center"/>
    </xf>
    <xf numFmtId="14" fontId="1" fillId="0" borderId="11" xfId="0" applyNumberFormat="1" applyFont="1" applyBorder="1" applyAlignment="1">
      <alignment horizontal="center" vertical="center"/>
    </xf>
    <xf numFmtId="0" fontId="1" fillId="0" borderId="11" xfId="0" applyNumberFormat="1" applyFont="1" applyBorder="1" applyAlignment="1">
      <alignment horizontal="center" vertical="center"/>
    </xf>
    <xf numFmtId="177" fontId="1" fillId="0" borderId="11" xfId="0" applyNumberFormat="1" applyFont="1" applyBorder="1" applyAlignment="1">
      <alignment horizontal="center" vertical="center"/>
    </xf>
    <xf numFmtId="9" fontId="2" fillId="0" borderId="11" xfId="0" applyNumberFormat="1" applyFont="1" applyBorder="1" applyAlignment="1">
      <alignment horizontal="center" vertical="center"/>
    </xf>
    <xf numFmtId="0" fontId="1" fillId="0" borderId="15" xfId="0" applyNumberFormat="1" applyFont="1" applyBorder="1" applyAlignment="1">
      <alignment horizontal="center" vertical="center" wrapText="1"/>
    </xf>
    <xf numFmtId="0" fontId="1" fillId="14" borderId="11" xfId="0" applyNumberFormat="1" applyFont="1" applyFill="1" applyBorder="1" applyAlignment="1">
      <alignment horizontal="center" vertical="center"/>
    </xf>
    <xf numFmtId="0" fontId="1" fillId="0" borderId="11" xfId="0" applyNumberFormat="1" applyFont="1" applyBorder="1" applyAlignment="1">
      <alignment horizontal="center"/>
    </xf>
    <xf numFmtId="0" fontId="1" fillId="0" borderId="16" xfId="0" applyNumberFormat="1" applyFont="1" applyBorder="1" applyAlignment="1">
      <alignment horizontal="center" vertical="center" wrapText="1"/>
    </xf>
    <xf numFmtId="0" fontId="1" fillId="14" borderId="14" xfId="0" applyNumberFormat="1" applyFont="1" applyFill="1" applyBorder="1" applyAlignment="1">
      <alignment horizontal="center" vertical="center"/>
    </xf>
    <xf numFmtId="3" fontId="1" fillId="0" borderId="11" xfId="0" applyNumberFormat="1" applyFont="1" applyBorder="1" applyAlignment="1">
      <alignment horizontal="center" vertical="center"/>
    </xf>
    <xf numFmtId="0" fontId="1" fillId="0" borderId="1" xfId="0" applyNumberFormat="1" applyFont="1" applyBorder="1" applyAlignment="1">
      <alignment vertical="center"/>
    </xf>
    <xf numFmtId="0" fontId="1" fillId="0" borderId="1" xfId="0" applyNumberFormat="1" applyFont="1" applyBorder="1" applyAlignment="1">
      <alignment horizontal="center" vertical="center" wrapText="1"/>
    </xf>
    <xf numFmtId="0" fontId="1" fillId="0" borderId="17" xfId="0" applyNumberFormat="1" applyFont="1" applyBorder="1" applyAlignment="1">
      <alignment horizontal="center" vertical="center"/>
    </xf>
    <xf numFmtId="0" fontId="1" fillId="0" borderId="4" xfId="0" applyNumberFormat="1" applyFont="1" applyBorder="1" applyAlignment="1">
      <alignment horizontal="center" vertical="center"/>
    </xf>
    <xf numFmtId="0" fontId="1" fillId="0" borderId="18" xfId="0" applyNumberFormat="1" applyFont="1" applyBorder="1" applyAlignment="1">
      <alignment horizontal="center" vertical="center"/>
    </xf>
    <xf numFmtId="0" fontId="1" fillId="0" borderId="5" xfId="0" applyNumberFormat="1" applyFont="1" applyBorder="1" applyAlignment="1">
      <alignment horizontal="center" vertical="center"/>
    </xf>
    <xf numFmtId="10" fontId="1" fillId="0" borderId="0" xfId="0" applyNumberFormat="1" applyFont="1" applyAlignment="1">
      <alignment vertical="center"/>
    </xf>
    <xf numFmtId="0" fontId="1" fillId="0" borderId="13" xfId="0" applyNumberFormat="1" applyFont="1" applyBorder="1" applyAlignment="1">
      <alignment horizontal="center" vertical="center"/>
    </xf>
    <xf numFmtId="3" fontId="2" fillId="0" borderId="11" xfId="0" applyNumberFormat="1" applyFont="1" applyBorder="1" applyAlignment="1">
      <alignment horizontal="center" vertical="center"/>
    </xf>
    <xf numFmtId="0" fontId="1" fillId="0" borderId="0" xfId="0" applyNumberFormat="1" applyFont="1" applyAlignment="1">
      <alignment vertical="center"/>
    </xf>
    <xf numFmtId="3" fontId="1" fillId="0" borderId="1" xfId="0" applyNumberFormat="1" applyFont="1" applyBorder="1" applyAlignment="1">
      <alignment horizontal="center" vertical="center"/>
    </xf>
    <xf numFmtId="9" fontId="2" fillId="0" borderId="14" xfId="0" applyNumberFormat="1" applyFont="1" applyBorder="1" applyAlignment="1">
      <alignment horizontal="center" vertical="center"/>
    </xf>
    <xf numFmtId="3" fontId="1" fillId="0" borderId="4" xfId="0" applyNumberFormat="1" applyFont="1" applyBorder="1" applyAlignment="1">
      <alignment horizontal="center" vertical="center"/>
    </xf>
    <xf numFmtId="179" fontId="1" fillId="0" borderId="0" xfId="0" applyNumberFormat="1" applyFont="1" applyAlignment="1">
      <alignment horizontal="center" vertical="center"/>
    </xf>
    <xf numFmtId="0" fontId="2" fillId="0" borderId="11" xfId="0" applyNumberFormat="1" applyFont="1" applyBorder="1" applyAlignment="1">
      <alignment horizontal="center" vertical="top"/>
    </xf>
    <xf numFmtId="0" fontId="2" fillId="0" borderId="13" xfId="0" applyNumberFormat="1" applyFont="1" applyBorder="1" applyAlignment="1">
      <alignment horizontal="center" vertical="top"/>
    </xf>
    <xf numFmtId="10" fontId="2" fillId="0" borderId="12" xfId="0" applyNumberFormat="1" applyFont="1" applyBorder="1" applyAlignment="1">
      <alignment horizontal="center" vertical="top"/>
    </xf>
    <xf numFmtId="10" fontId="2" fillId="0" borderId="14" xfId="0" applyNumberFormat="1" applyFont="1" applyBorder="1" applyAlignment="1">
      <alignment horizontal="center" vertical="top"/>
    </xf>
    <xf numFmtId="10" fontId="1" fillId="0" borderId="12" xfId="0" applyNumberFormat="1" applyFont="1" applyBorder="1" applyAlignment="1">
      <alignment horizontal="center" vertical="top"/>
    </xf>
    <xf numFmtId="0" fontId="1" fillId="0" borderId="14" xfId="0" applyNumberFormat="1" applyFont="1" applyBorder="1" applyAlignment="1">
      <alignment horizontal="center" vertical="top"/>
    </xf>
    <xf numFmtId="0" fontId="1" fillId="0" borderId="0" xfId="0" applyNumberFormat="1" applyFont="1" applyAlignment="1">
      <alignment horizontal="center" vertical="top"/>
    </xf>
    <xf numFmtId="181" fontId="1" fillId="0" borderId="0" xfId="0" applyNumberFormat="1" applyFont="1" applyAlignment="1">
      <alignment horizontal="center" vertical="center"/>
    </xf>
    <xf numFmtId="10" fontId="1" fillId="0" borderId="0" xfId="0" applyNumberFormat="1" applyFont="1" applyAlignment="1">
      <alignment horizontal="center" vertical="center"/>
    </xf>
    <xf numFmtId="10" fontId="2" fillId="0" borderId="13" xfId="0" applyNumberFormat="1" applyFont="1" applyBorder="1" applyAlignment="1">
      <alignment horizontal="center" vertical="top"/>
    </xf>
    <xf numFmtId="9" fontId="1" fillId="0" borderId="11" xfId="0" applyNumberFormat="1" applyFont="1" applyBorder="1" applyAlignment="1">
      <alignment horizontal="center" vertical="center"/>
    </xf>
    <xf numFmtId="177" fontId="1" fillId="0" borderId="13" xfId="0" applyNumberFormat="1" applyFont="1" applyBorder="1" applyAlignment="1">
      <alignment horizontal="center" vertical="center"/>
    </xf>
    <xf numFmtId="1" fontId="1" fillId="0" borderId="13" xfId="0" applyNumberFormat="1" applyFont="1" applyBorder="1" applyAlignment="1">
      <alignment horizontal="center" vertical="center"/>
    </xf>
    <xf numFmtId="176" fontId="1" fillId="0" borderId="13" xfId="0" applyNumberFormat="1" applyFont="1" applyBorder="1" applyAlignment="1">
      <alignment horizontal="center" vertical="center"/>
    </xf>
    <xf numFmtId="10" fontId="1" fillId="0" borderId="13" xfId="0" applyNumberFormat="1" applyFont="1" applyBorder="1" applyAlignment="1">
      <alignment horizontal="center" vertical="center"/>
    </xf>
    <xf numFmtId="181" fontId="2" fillId="0" borderId="11" xfId="0" applyNumberFormat="1" applyFont="1" applyBorder="1" applyAlignment="1">
      <alignment horizontal="center" vertical="center"/>
    </xf>
    <xf numFmtId="182" fontId="1" fillId="0" borderId="11" xfId="0" applyNumberFormat="1" applyFont="1" applyBorder="1" applyAlignment="1">
      <alignment horizontal="center" vertical="center"/>
    </xf>
    <xf numFmtId="0" fontId="10" fillId="5" borderId="9" xfId="0" applyNumberFormat="1" applyFont="1" applyFill="1" applyBorder="1" applyAlignment="1">
      <alignment horizontal="center" vertical="center"/>
    </xf>
    <xf numFmtId="0" fontId="2" fillId="4" borderId="11" xfId="0" applyNumberFormat="1" applyFont="1" applyFill="1" applyBorder="1" applyAlignment="1">
      <alignment horizontal="center" vertical="center" wrapText="1"/>
    </xf>
    <xf numFmtId="180" fontId="2" fillId="9" borderId="12" xfId="0" applyNumberFormat="1" applyFont="1" applyFill="1" applyBorder="1" applyAlignment="1">
      <alignment horizontal="center" vertical="center" wrapText="1"/>
    </xf>
    <xf numFmtId="180" fontId="2" fillId="9" borderId="13" xfId="0" applyNumberFormat="1" applyFont="1" applyFill="1" applyBorder="1" applyAlignment="1">
      <alignment horizontal="center" vertical="center" wrapText="1"/>
    </xf>
    <xf numFmtId="9" fontId="2" fillId="6" borderId="11" xfId="0" applyNumberFormat="1" applyFont="1" applyFill="1" applyBorder="1" applyAlignment="1">
      <alignment horizontal="center" vertical="center" wrapText="1"/>
    </xf>
    <xf numFmtId="9" fontId="2" fillId="9" borderId="14" xfId="0" applyNumberFormat="1" applyFont="1" applyFill="1" applyBorder="1" applyAlignment="1">
      <alignment horizontal="center" vertical="center" wrapText="1"/>
    </xf>
    <xf numFmtId="9" fontId="2" fillId="4" borderId="11" xfId="0" applyNumberFormat="1" applyFont="1" applyFill="1" applyBorder="1" applyAlignment="1">
      <alignment horizontal="center" vertical="center"/>
    </xf>
    <xf numFmtId="0" fontId="1" fillId="0" borderId="14" xfId="0" applyNumberFormat="1" applyFont="1" applyBorder="1" applyAlignment="1">
      <alignment horizontal="center" vertical="center"/>
    </xf>
    <xf numFmtId="176" fontId="1" fillId="0" borderId="15" xfId="0" applyNumberFormat="1" applyFont="1" applyBorder="1" applyAlignment="1">
      <alignment horizontal="center" vertical="center"/>
    </xf>
    <xf numFmtId="0" fontId="1" fillId="0" borderId="1" xfId="0" applyNumberFormat="1" applyFont="1" applyBorder="1" applyAlignment="1">
      <alignment horizontal="center"/>
    </xf>
    <xf numFmtId="177" fontId="1" fillId="0" borderId="2" xfId="0" applyNumberFormat="1" applyFont="1" applyBorder="1" applyAlignment="1">
      <alignment horizontal="center" vertical="center"/>
    </xf>
    <xf numFmtId="1" fontId="1" fillId="0" borderId="6" xfId="0" applyNumberFormat="1" applyFont="1" applyBorder="1" applyAlignment="1">
      <alignment horizontal="center" vertical="center"/>
    </xf>
    <xf numFmtId="0" fontId="1" fillId="0" borderId="19" xfId="0" applyNumberFormat="1" applyFont="1" applyBorder="1" applyAlignment="1">
      <alignment horizontal="center" vertical="center"/>
    </xf>
    <xf numFmtId="9" fontId="1" fillId="0" borderId="15" xfId="0" applyNumberFormat="1" applyFont="1" applyBorder="1" applyAlignment="1">
      <alignment horizontal="center" vertical="center"/>
    </xf>
    <xf numFmtId="0" fontId="1" fillId="0" borderId="15" xfId="0" applyNumberFormat="1" applyFont="1" applyBorder="1" applyAlignment="1">
      <alignment horizontal="center" vertical="center"/>
    </xf>
    <xf numFmtId="0" fontId="1" fillId="0" borderId="12" xfId="0" applyNumberFormat="1" applyFont="1" applyBorder="1" applyAlignment="1">
      <alignment horizontal="center" vertical="center"/>
    </xf>
    <xf numFmtId="9" fontId="1" fillId="0" borderId="19" xfId="0" applyNumberFormat="1" applyFont="1" applyBorder="1" applyAlignment="1">
      <alignment horizontal="center" vertical="center"/>
    </xf>
    <xf numFmtId="0" fontId="1" fillId="0" borderId="16" xfId="0" applyNumberFormat="1" applyFont="1" applyBorder="1" applyAlignment="1">
      <alignment horizontal="center" vertical="center"/>
    </xf>
    <xf numFmtId="0" fontId="1" fillId="0" borderId="20" xfId="0" applyNumberFormat="1" applyFont="1" applyBorder="1" applyAlignment="1">
      <alignment horizontal="center" vertical="center"/>
    </xf>
    <xf numFmtId="9" fontId="1" fillId="0" borderId="5" xfId="0" applyNumberFormat="1" applyFont="1" applyBorder="1" applyAlignment="1">
      <alignment horizontal="center" vertical="center"/>
    </xf>
    <xf numFmtId="2" fontId="1" fillId="0" borderId="4" xfId="0" applyNumberFormat="1" applyFont="1" applyBorder="1" applyAlignment="1">
      <alignment horizontal="center" vertical="center"/>
    </xf>
    <xf numFmtId="9" fontId="1" fillId="0" borderId="0" xfId="0" applyNumberFormat="1" applyFont="1" applyAlignment="1">
      <alignment horizontal="center" vertical="center"/>
    </xf>
    <xf numFmtId="9" fontId="1" fillId="0" borderId="17" xfId="0" applyNumberFormat="1" applyFont="1" applyBorder="1" applyAlignment="1">
      <alignment horizontal="center" vertical="center"/>
    </xf>
    <xf numFmtId="14" fontId="1" fillId="0" borderId="2" xfId="0" applyNumberFormat="1" applyFont="1" applyBorder="1" applyAlignment="1">
      <alignment horizontal="center" vertical="center"/>
    </xf>
    <xf numFmtId="1" fontId="1" fillId="0" borderId="17" xfId="0" applyNumberFormat="1" applyFont="1" applyBorder="1" applyAlignment="1">
      <alignment horizontal="center" vertical="center"/>
    </xf>
    <xf numFmtId="0" fontId="1" fillId="0" borderId="21" xfId="0" applyNumberFormat="1" applyFont="1" applyBorder="1" applyAlignment="1">
      <alignment horizontal="center" vertical="center"/>
    </xf>
    <xf numFmtId="9" fontId="1" fillId="0" borderId="2" xfId="0" applyNumberFormat="1" applyFont="1" applyBorder="1" applyAlignment="1">
      <alignment horizontal="center" vertical="center"/>
    </xf>
    <xf numFmtId="177" fontId="1" fillId="0" borderId="17" xfId="0" applyNumberFormat="1" applyFont="1" applyBorder="1" applyAlignment="1">
      <alignment horizontal="center" vertical="center"/>
    </xf>
    <xf numFmtId="0" fontId="1" fillId="0" borderId="17" xfId="0" applyNumberFormat="1" applyFont="1" applyBorder="1" applyAlignment="1">
      <alignment horizontal="center"/>
    </xf>
    <xf numFmtId="0" fontId="2" fillId="0" borderId="17" xfId="0" applyNumberFormat="1" applyFont="1" applyBorder="1" applyAlignment="1">
      <alignment horizontal="center" vertical="center"/>
    </xf>
    <xf numFmtId="1" fontId="1" fillId="0" borderId="22" xfId="0" applyNumberFormat="1" applyFont="1" applyBorder="1" applyAlignment="1">
      <alignment horizontal="center" vertical="center"/>
    </xf>
    <xf numFmtId="0" fontId="1" fillId="0" borderId="23" xfId="0" applyNumberFormat="1" applyFont="1" applyBorder="1" applyAlignment="1">
      <alignment horizontal="center" vertical="center"/>
    </xf>
    <xf numFmtId="0" fontId="2" fillId="0" borderId="4" xfId="0" applyNumberFormat="1" applyFont="1" applyBorder="1" applyAlignment="1">
      <alignment horizontal="center" vertical="center"/>
    </xf>
    <xf numFmtId="1" fontId="1" fillId="0" borderId="0" xfId="0" applyNumberFormat="1" applyFont="1" applyAlignment="1">
      <alignment horizontal="center" vertical="center"/>
    </xf>
    <xf numFmtId="1" fontId="2" fillId="6" borderId="11" xfId="0" applyNumberFormat="1" applyFont="1" applyFill="1" applyBorder="1" applyAlignment="1">
      <alignment horizontal="center" vertical="center" wrapText="1"/>
    </xf>
    <xf numFmtId="1" fontId="2" fillId="6" borderId="13" xfId="0" applyNumberFormat="1" applyFont="1" applyFill="1" applyBorder="1" applyAlignment="1">
      <alignment horizontal="center" vertical="center" wrapText="1"/>
    </xf>
    <xf numFmtId="10" fontId="2" fillId="4" borderId="11" xfId="0" applyNumberFormat="1" applyFont="1" applyFill="1" applyBorder="1" applyAlignment="1">
      <alignment horizontal="center" vertical="center" wrapText="1"/>
    </xf>
    <xf numFmtId="1" fontId="2" fillId="4" borderId="11" xfId="0" applyNumberFormat="1" applyFont="1" applyFill="1" applyBorder="1" applyAlignment="1">
      <alignment horizontal="center" vertical="center" wrapText="1"/>
    </xf>
    <xf numFmtId="180" fontId="2" fillId="4" borderId="11" xfId="0" applyNumberFormat="1" applyFont="1" applyFill="1" applyBorder="1" applyAlignment="1">
      <alignment horizontal="center" vertical="center" wrapText="1"/>
    </xf>
    <xf numFmtId="10" fontId="2" fillId="0" borderId="11" xfId="0" applyNumberFormat="1" applyFont="1" applyBorder="1" applyAlignment="1">
      <alignment horizontal="center" vertical="center"/>
    </xf>
    <xf numFmtId="0" fontId="1" fillId="15" borderId="11" xfId="0" applyNumberFormat="1" applyFont="1" applyFill="1" applyBorder="1" applyAlignment="1">
      <alignment horizontal="center" vertical="center"/>
    </xf>
    <xf numFmtId="0" fontId="2" fillId="0" borderId="11" xfId="0" applyNumberFormat="1" applyFont="1" applyBorder="1" applyAlignment="1">
      <alignment horizontal="center" vertical="center" wrapText="1"/>
    </xf>
    <xf numFmtId="0" fontId="1" fillId="16" borderId="11" xfId="0" applyNumberFormat="1" applyFont="1" applyFill="1" applyBorder="1" applyAlignment="1">
      <alignment horizontal="center" vertical="center"/>
    </xf>
    <xf numFmtId="0" fontId="1" fillId="17" borderId="11" xfId="0" applyNumberFormat="1" applyFont="1" applyFill="1" applyBorder="1" applyAlignment="1">
      <alignment horizontal="center" vertical="center"/>
    </xf>
    <xf numFmtId="9" fontId="11" fillId="0" borderId="11" xfId="0" applyNumberFormat="1" applyFont="1" applyBorder="1" applyAlignment="1">
      <alignment horizontal="center" vertical="center"/>
    </xf>
    <xf numFmtId="0" fontId="1" fillId="15" borderId="11" xfId="0" applyNumberFormat="1" applyFont="1" applyFill="1" applyBorder="1" applyAlignment="1">
      <alignment horizontal="left" vertical="center"/>
    </xf>
    <xf numFmtId="0" fontId="1" fillId="18" borderId="11" xfId="0" applyNumberFormat="1" applyFont="1" applyFill="1" applyBorder="1" applyAlignment="1">
      <alignment horizontal="center" vertical="center"/>
    </xf>
    <xf numFmtId="2" fontId="2" fillId="0" borderId="11" xfId="0" applyNumberFormat="1" applyFont="1" applyBorder="1" applyAlignment="1">
      <alignment horizontal="center" vertical="center"/>
    </xf>
    <xf numFmtId="0" fontId="1" fillId="19" borderId="11" xfId="0" applyNumberFormat="1" applyFont="1" applyFill="1" applyBorder="1" applyAlignment="1">
      <alignment horizontal="center" vertical="center"/>
    </xf>
    <xf numFmtId="177" fontId="12" fillId="4" borderId="11" xfId="0" applyNumberFormat="1" applyFont="1" applyFill="1" applyBorder="1" applyAlignment="1">
      <alignment horizontal="center" vertical="center"/>
    </xf>
    <xf numFmtId="1" fontId="1" fillId="0" borderId="11" xfId="0" applyNumberFormat="1" applyFont="1" applyBorder="1" applyAlignment="1">
      <alignment horizontal="center" vertical="center"/>
    </xf>
    <xf numFmtId="10" fontId="1" fillId="0" borderId="11" xfId="0" applyNumberFormat="1" applyFont="1" applyBorder="1" applyAlignment="1">
      <alignment horizontal="center" vertical="center"/>
    </xf>
    <xf numFmtId="176" fontId="1" fillId="0" borderId="11" xfId="0" applyNumberFormat="1" applyFont="1" applyBorder="1" applyAlignment="1">
      <alignment horizontal="center" vertical="center"/>
    </xf>
    <xf numFmtId="0" fontId="13" fillId="0" borderId="11" xfId="0" applyNumberFormat="1" applyFont="1" applyBorder="1" applyAlignment="1">
      <alignment horizontal="center" vertical="center"/>
    </xf>
    <xf numFmtId="177" fontId="12" fillId="0" borderId="11" xfId="0" applyNumberFormat="1" applyFont="1" applyBorder="1" applyAlignment="1">
      <alignment horizontal="center" vertical="center"/>
    </xf>
    <xf numFmtId="177" fontId="12" fillId="19" borderId="11" xfId="0" applyNumberFormat="1" applyFont="1" applyFill="1" applyBorder="1" applyAlignment="1">
      <alignment horizontal="center" vertical="center"/>
    </xf>
    <xf numFmtId="1" fontId="1" fillId="0" borderId="5" xfId="0" applyNumberFormat="1" applyFont="1" applyBorder="1" applyAlignment="1">
      <alignment horizontal="center" vertical="center"/>
    </xf>
    <xf numFmtId="1" fontId="1" fillId="0" borderId="24" xfId="0" applyNumberFormat="1" applyFont="1" applyBorder="1" applyAlignment="1">
      <alignment horizontal="center" vertical="center"/>
    </xf>
    <xf numFmtId="0" fontId="2" fillId="20" borderId="11" xfId="0" applyNumberFormat="1" applyFont="1" applyFill="1" applyBorder="1" applyAlignment="1">
      <alignment horizontal="center" vertical="center"/>
    </xf>
    <xf numFmtId="49" fontId="1" fillId="0" borderId="11" xfId="0" applyNumberFormat="1" applyFont="1" applyBorder="1" applyAlignment="1">
      <alignment horizontal="center" vertical="center"/>
    </xf>
    <xf numFmtId="0" fontId="14" fillId="0" borderId="1" xfId="0" applyNumberFormat="1" applyFont="1" applyBorder="1" applyAlignment="1">
      <alignment horizontal="center" vertical="center"/>
    </xf>
    <xf numFmtId="0" fontId="2" fillId="0" borderId="21" xfId="0" applyNumberFormat="1" applyFont="1" applyBorder="1" applyAlignment="1">
      <alignment horizontal="center" vertical="center"/>
    </xf>
    <xf numFmtId="176" fontId="1" fillId="0" borderId="14" xfId="0" applyNumberFormat="1" applyFont="1" applyBorder="1" applyAlignment="1">
      <alignment horizontal="center" vertical="center"/>
    </xf>
    <xf numFmtId="9" fontId="1" fillId="0" borderId="13" xfId="0" applyNumberFormat="1" applyFont="1" applyBorder="1" applyAlignment="1">
      <alignment horizontal="center" vertical="center"/>
    </xf>
    <xf numFmtId="3" fontId="2" fillId="0" borderId="1" xfId="0" applyNumberFormat="1" applyFont="1" applyBorder="1" applyAlignment="1">
      <alignment horizontal="center" vertical="center"/>
    </xf>
    <xf numFmtId="9" fontId="1" fillId="0" borderId="20" xfId="0" applyNumberFormat="1" applyFont="1" applyBorder="1" applyAlignment="1">
      <alignment horizontal="center" vertical="center"/>
    </xf>
    <xf numFmtId="176" fontId="1" fillId="0" borderId="2" xfId="0" applyNumberFormat="1" applyFont="1" applyBorder="1" applyAlignment="1">
      <alignment horizontal="center" vertical="center"/>
    </xf>
    <xf numFmtId="1" fontId="1" fillId="0" borderId="4" xfId="0" applyNumberFormat="1" applyFont="1" applyBorder="1" applyAlignment="1">
      <alignment horizontal="center" vertical="center"/>
    </xf>
    <xf numFmtId="9" fontId="1" fillId="0" borderId="21" xfId="0" applyNumberFormat="1" applyFont="1" applyBorder="1" applyAlignment="1">
      <alignment horizontal="center" vertical="center"/>
    </xf>
    <xf numFmtId="0" fontId="1" fillId="0" borderId="1" xfId="0" applyNumberFormat="1" applyFont="1" applyBorder="1" applyAlignment="1">
      <alignment horizontal="center" vertical="top"/>
    </xf>
    <xf numFmtId="181" fontId="1" fillId="0" borderId="1" xfId="0" applyNumberFormat="1" applyFont="1" applyBorder="1" applyAlignment="1">
      <alignment horizontal="center" vertical="center"/>
    </xf>
    <xf numFmtId="1" fontId="1" fillId="0" borderId="25" xfId="0" applyNumberFormat="1" applyFont="1" applyBorder="1" applyAlignment="1">
      <alignment horizontal="center" vertical="center"/>
    </xf>
    <xf numFmtId="1" fontId="1" fillId="0" borderId="26" xfId="0" applyNumberFormat="1" applyFont="1" applyBorder="1" applyAlignment="1">
      <alignment horizontal="center" vertical="center"/>
    </xf>
    <xf numFmtId="179" fontId="1" fillId="0" borderId="17" xfId="0" applyNumberFormat="1" applyFont="1" applyBorder="1" applyAlignment="1">
      <alignment horizontal="center" vertical="center"/>
    </xf>
    <xf numFmtId="179" fontId="1" fillId="0" borderId="5" xfId="0" applyNumberFormat="1" applyFont="1" applyBorder="1" applyAlignment="1">
      <alignment horizontal="center" vertical="center"/>
    </xf>
    <xf numFmtId="9" fontId="1" fillId="0" borderId="24" xfId="0" applyNumberFormat="1" applyFont="1" applyBorder="1" applyAlignment="1">
      <alignment horizontal="center" vertical="center"/>
    </xf>
    <xf numFmtId="0" fontId="1" fillId="0" borderId="17" xfId="0" applyNumberFormat="1" applyFont="1" applyBorder="1" applyAlignment="1">
      <alignment vertical="center"/>
    </xf>
    <xf numFmtId="0" fontId="1" fillId="0" borderId="4" xfId="0" applyNumberFormat="1" applyFont="1" applyBorder="1" applyAlignment="1">
      <alignment vertical="center"/>
    </xf>
    <xf numFmtId="0" fontId="1" fillId="0" borderId="5" xfId="0" applyNumberFormat="1" applyFont="1" applyBorder="1" applyAlignment="1">
      <alignment vertical="center"/>
    </xf>
    <xf numFmtId="0" fontId="1" fillId="0" borderId="11" xfId="0" applyNumberFormat="1" applyFont="1" applyBorder="1" applyAlignment="1">
      <alignment vertical="center"/>
    </xf>
    <xf numFmtId="182" fontId="1" fillId="0" borderId="11" xfId="0" applyNumberFormat="1" applyFont="1" applyBorder="1" applyAlignment="1">
      <alignment vertical="center"/>
    </xf>
    <xf numFmtId="0" fontId="2" fillId="5" borderId="9" xfId="0" applyNumberFormat="1" applyFont="1" applyFill="1" applyBorder="1" applyAlignment="1">
      <alignment horizontal="center" vertical="center"/>
    </xf>
    <xf numFmtId="180" fontId="2" fillId="6" borderId="13" xfId="0" applyNumberFormat="1" applyFont="1" applyFill="1" applyBorder="1" applyAlignment="1">
      <alignment horizontal="center" vertical="center" wrapText="1"/>
    </xf>
    <xf numFmtId="1" fontId="2" fillId="6" borderId="1" xfId="0" applyNumberFormat="1" applyFont="1" applyFill="1" applyBorder="1" applyAlignment="1">
      <alignment horizontal="center" vertical="center" wrapText="1"/>
    </xf>
    <xf numFmtId="180" fontId="2" fillId="6" borderId="14" xfId="0" applyNumberFormat="1" applyFont="1" applyFill="1" applyBorder="1" applyAlignment="1">
      <alignment horizontal="center" vertical="center" wrapText="1"/>
    </xf>
    <xf numFmtId="10" fontId="2" fillId="4" borderId="13"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80" fontId="2" fillId="4" borderId="14" xfId="0" applyNumberFormat="1" applyFont="1" applyFill="1" applyBorder="1" applyAlignment="1">
      <alignment horizontal="center" vertical="center" wrapText="1"/>
    </xf>
    <xf numFmtId="1" fontId="2" fillId="0" borderId="11" xfId="0" applyNumberFormat="1" applyFont="1" applyBorder="1" applyAlignment="1">
      <alignment horizontal="center" vertical="center"/>
    </xf>
    <xf numFmtId="0" fontId="1" fillId="21" borderId="11" xfId="0" applyNumberFormat="1" applyFont="1" applyFill="1" applyBorder="1" applyAlignment="1">
      <alignment horizontal="center" vertical="center"/>
    </xf>
    <xf numFmtId="0" fontId="1" fillId="22" borderId="11" xfId="0" applyNumberFormat="1" applyFont="1" applyFill="1" applyBorder="1" applyAlignment="1">
      <alignment horizontal="center" vertical="center"/>
    </xf>
    <xf numFmtId="176" fontId="1" fillId="0" borderId="0" xfId="0" applyNumberFormat="1" applyFont="1" applyAlignment="1">
      <alignment horizontal="center" vertical="center"/>
    </xf>
    <xf numFmtId="0" fontId="1" fillId="23" borderId="11" xfId="0" applyNumberFormat="1" applyFont="1" applyFill="1" applyBorder="1" applyAlignment="1">
      <alignment horizontal="center" vertical="center"/>
    </xf>
    <xf numFmtId="177" fontId="2" fillId="0" borderId="11" xfId="0" applyNumberFormat="1" applyFont="1" applyBorder="1" applyAlignment="1">
      <alignment horizontal="center" vertical="center"/>
    </xf>
    <xf numFmtId="177" fontId="1" fillId="0" borderId="14" xfId="0" applyNumberFormat="1" applyFont="1" applyBorder="1" applyAlignment="1">
      <alignment horizontal="center" vertical="center"/>
    </xf>
    <xf numFmtId="0" fontId="1" fillId="0" borderId="24" xfId="0" applyNumberFormat="1" applyFont="1" applyBorder="1" applyAlignment="1">
      <alignment horizontal="center" vertical="center"/>
    </xf>
    <xf numFmtId="177" fontId="1" fillId="0" borderId="21" xfId="0" applyNumberFormat="1" applyFont="1" applyBorder="1" applyAlignment="1">
      <alignment horizontal="center" vertical="center"/>
    </xf>
    <xf numFmtId="3" fontId="2" fillId="0" borderId="2" xfId="0" applyNumberFormat="1" applyFont="1" applyBorder="1" applyAlignment="1">
      <alignment horizontal="center" vertical="center"/>
    </xf>
    <xf numFmtId="9" fontId="1" fillId="0" borderId="4" xfId="0" applyNumberFormat="1" applyFont="1" applyBorder="1" applyAlignment="1">
      <alignment horizontal="center" vertical="center"/>
    </xf>
    <xf numFmtId="0" fontId="1" fillId="5" borderId="9" xfId="0" applyNumberFormat="1" applyFont="1" applyFill="1" applyBorder="1" applyAlignment="1">
      <alignment horizontal="center" vertical="center"/>
    </xf>
    <xf numFmtId="0" fontId="1" fillId="5" borderId="10" xfId="0" applyNumberFormat="1" applyFont="1" applyFill="1" applyBorder="1" applyAlignment="1">
      <alignment horizontal="center" vertical="center"/>
    </xf>
    <xf numFmtId="180" fontId="1" fillId="6" borderId="11" xfId="0" applyNumberFormat="1" applyFont="1" applyFill="1" applyBorder="1" applyAlignment="1">
      <alignment horizontal="center" vertical="center" wrapText="1"/>
    </xf>
    <xf numFmtId="180" fontId="1" fillId="6" borderId="13" xfId="0" applyNumberFormat="1"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180" fontId="1" fillId="6" borderId="14" xfId="0" applyNumberFormat="1" applyFont="1" applyFill="1" applyBorder="1" applyAlignment="1">
      <alignment horizontal="center" vertical="center" wrapText="1"/>
    </xf>
    <xf numFmtId="180" fontId="1" fillId="7" borderId="9" xfId="0" applyNumberFormat="1" applyFont="1" applyFill="1" applyBorder="1" applyAlignment="1">
      <alignment horizontal="center" vertical="center"/>
    </xf>
    <xf numFmtId="180" fontId="1" fillId="7" borderId="10" xfId="0" applyNumberFormat="1" applyFont="1" applyFill="1" applyBorder="1" applyAlignment="1">
      <alignment horizontal="center" vertical="center"/>
    </xf>
    <xf numFmtId="0" fontId="1" fillId="8" borderId="11" xfId="0" applyNumberFormat="1" applyFont="1" applyFill="1" applyBorder="1" applyAlignment="1">
      <alignment horizontal="center" vertical="center" wrapText="1"/>
    </xf>
    <xf numFmtId="180" fontId="1" fillId="9" borderId="12" xfId="0" applyNumberFormat="1" applyFont="1" applyFill="1" applyBorder="1" applyAlignment="1">
      <alignment horizontal="center" vertical="center" wrapText="1"/>
    </xf>
    <xf numFmtId="180" fontId="1" fillId="9" borderId="14" xfId="0" applyNumberFormat="1" applyFont="1" applyFill="1" applyBorder="1" applyAlignment="1">
      <alignment horizontal="center" vertical="center" wrapText="1"/>
    </xf>
    <xf numFmtId="180" fontId="1" fillId="10" borderId="12" xfId="0" applyNumberFormat="1" applyFont="1" applyFill="1" applyBorder="1" applyAlignment="1">
      <alignment horizontal="center" vertical="center" wrapText="1"/>
    </xf>
    <xf numFmtId="180" fontId="1" fillId="10" borderId="14" xfId="0" applyNumberFormat="1" applyFont="1" applyFill="1" applyBorder="1" applyAlignment="1">
      <alignment horizontal="center" vertical="center" wrapText="1"/>
    </xf>
    <xf numFmtId="9" fontId="1" fillId="6" borderId="13" xfId="0" applyNumberFormat="1" applyFont="1" applyFill="1" applyBorder="1" applyAlignment="1">
      <alignment horizontal="center" vertical="center" wrapText="1"/>
    </xf>
    <xf numFmtId="9" fontId="1" fillId="6" borderId="12" xfId="0" applyNumberFormat="1" applyFont="1" applyFill="1" applyBorder="1" applyAlignment="1">
      <alignment horizontal="center" vertical="center" wrapText="1"/>
    </xf>
    <xf numFmtId="9" fontId="1" fillId="6" borderId="14" xfId="0" applyNumberFormat="1" applyFont="1" applyFill="1" applyBorder="1" applyAlignment="1">
      <alignment horizontal="center" vertical="center" wrapText="1"/>
    </xf>
    <xf numFmtId="180" fontId="1" fillId="7" borderId="13" xfId="0" applyNumberFormat="1" applyFont="1" applyFill="1" applyBorder="1" applyAlignment="1">
      <alignment horizontal="center" vertical="center"/>
    </xf>
    <xf numFmtId="180" fontId="1" fillId="7" borderId="14" xfId="0" applyNumberFormat="1" applyFont="1" applyFill="1" applyBorder="1" applyAlignment="1">
      <alignment horizontal="center" vertical="center"/>
    </xf>
    <xf numFmtId="0" fontId="1" fillId="7" borderId="13" xfId="0" applyNumberFormat="1" applyFont="1" applyFill="1" applyBorder="1" applyAlignment="1">
      <alignment horizontal="center" vertical="center" wrapText="1"/>
    </xf>
    <xf numFmtId="0" fontId="1" fillId="7" borderId="14" xfId="0" applyNumberFormat="1" applyFont="1" applyFill="1" applyBorder="1" applyAlignment="1">
      <alignment horizontal="center" vertical="center" wrapText="1"/>
    </xf>
    <xf numFmtId="0" fontId="1" fillId="11" borderId="13" xfId="0" applyNumberFormat="1" applyFont="1" applyFill="1" applyBorder="1" applyAlignment="1">
      <alignment horizontal="center" vertical="center" wrapText="1"/>
    </xf>
    <xf numFmtId="0" fontId="1" fillId="11" borderId="14" xfId="0" applyNumberFormat="1" applyFont="1" applyFill="1" applyBorder="1" applyAlignment="1">
      <alignment horizontal="center" vertical="center" wrapText="1"/>
    </xf>
    <xf numFmtId="0" fontId="1" fillId="12" borderId="13" xfId="0" applyNumberFormat="1" applyFont="1" applyFill="1" applyBorder="1" applyAlignment="1">
      <alignment horizontal="center" vertical="center" wrapText="1"/>
    </xf>
    <xf numFmtId="0" fontId="1" fillId="12" borderId="14" xfId="0" applyNumberFormat="1" applyFont="1" applyFill="1" applyBorder="1" applyAlignment="1">
      <alignment horizontal="center" vertical="center" wrapText="1"/>
    </xf>
    <xf numFmtId="10" fontId="1" fillId="8" borderId="11" xfId="0" applyNumberFormat="1" applyFont="1" applyFill="1" applyBorder="1" applyAlignment="1">
      <alignment horizontal="center" vertical="center"/>
    </xf>
    <xf numFmtId="0" fontId="1" fillId="8" borderId="11" xfId="0" applyNumberFormat="1" applyFont="1" applyFill="1" applyBorder="1" applyAlignment="1">
      <alignment horizontal="center" vertical="center"/>
    </xf>
    <xf numFmtId="10" fontId="1" fillId="13" borderId="11" xfId="0" applyNumberFormat="1" applyFont="1" applyFill="1" applyBorder="1" applyAlignment="1">
      <alignment horizontal="center" vertical="center"/>
    </xf>
    <xf numFmtId="180" fontId="1" fillId="9" borderId="13" xfId="0" applyNumberFormat="1" applyFont="1" applyFill="1" applyBorder="1" applyAlignment="1">
      <alignment horizontal="center" vertical="center" wrapText="1"/>
    </xf>
    <xf numFmtId="10" fontId="1" fillId="6" borderId="11" xfId="0" applyNumberFormat="1" applyFont="1" applyFill="1" applyBorder="1" applyAlignment="1">
      <alignment horizontal="center" vertical="center" wrapText="1"/>
    </xf>
    <xf numFmtId="180" fontId="1" fillId="7" borderId="11" xfId="0" applyNumberFormat="1" applyFont="1" applyFill="1" applyBorder="1" applyAlignment="1">
      <alignment horizontal="center" vertical="center"/>
    </xf>
    <xf numFmtId="0" fontId="1" fillId="7" borderId="11" xfId="0" applyNumberFormat="1" applyFont="1" applyFill="1" applyBorder="1" applyAlignment="1">
      <alignment horizontal="center" vertical="center" wrapText="1"/>
    </xf>
    <xf numFmtId="0" fontId="1" fillId="11" borderId="11" xfId="0" applyNumberFormat="1" applyFont="1" applyFill="1" applyBorder="1" applyAlignment="1">
      <alignment horizontal="center" vertical="center" wrapText="1"/>
    </xf>
    <xf numFmtId="0" fontId="1" fillId="12" borderId="11" xfId="0" applyNumberFormat="1" applyFont="1" applyFill="1" applyBorder="1" applyAlignment="1">
      <alignment horizontal="center" vertical="center" wrapText="1"/>
    </xf>
    <xf numFmtId="10" fontId="1" fillId="8" borderId="11" xfId="0" applyNumberFormat="1" applyFont="1" applyFill="1" applyBorder="1" applyAlignment="1">
      <alignment horizontal="center" vertical="center" wrapText="1"/>
    </xf>
    <xf numFmtId="10" fontId="1" fillId="13" borderId="11" xfId="0" applyNumberFormat="1" applyFont="1" applyFill="1" applyBorder="1" applyAlignment="1">
      <alignment horizontal="center" vertical="center" wrapText="1"/>
    </xf>
    <xf numFmtId="9" fontId="1" fillId="9" borderId="14" xfId="0" applyNumberFormat="1" applyFont="1" applyFill="1" applyBorder="1" applyAlignment="1">
      <alignment horizontal="center" vertical="center" wrapText="1"/>
    </xf>
    <xf numFmtId="9" fontId="1" fillId="9" borderId="11" xfId="0" applyNumberFormat="1" applyFont="1" applyFill="1" applyBorder="1" applyAlignment="1">
      <alignment horizontal="center" vertical="center" wrapText="1"/>
    </xf>
    <xf numFmtId="0" fontId="15" fillId="4" borderId="15" xfId="0" applyNumberFormat="1" applyFont="1" applyFill="1" applyBorder="1" applyAlignment="1">
      <alignment horizontal="center" vertical="center" wrapText="1"/>
    </xf>
    <xf numFmtId="10" fontId="1" fillId="4" borderId="11" xfId="0" applyNumberFormat="1" applyFont="1" applyFill="1" applyBorder="1" applyAlignment="1">
      <alignment horizontal="center" vertical="center" wrapText="1"/>
    </xf>
    <xf numFmtId="10" fontId="1" fillId="4" borderId="13" xfId="0" applyNumberFormat="1" applyFont="1" applyFill="1" applyBorder="1" applyAlignment="1">
      <alignment horizontal="center" vertical="center" wrapText="1"/>
    </xf>
    <xf numFmtId="1" fontId="1" fillId="4" borderId="1" xfId="0" applyNumberFormat="1" applyFont="1" applyFill="1" applyBorder="1" applyAlignment="1">
      <alignment horizontal="center" vertical="center" wrapText="1"/>
    </xf>
    <xf numFmtId="180" fontId="1" fillId="4" borderId="14" xfId="0" applyNumberFormat="1" applyFont="1" applyFill="1" applyBorder="1" applyAlignment="1">
      <alignment horizontal="center" vertical="center" wrapText="1"/>
    </xf>
    <xf numFmtId="180" fontId="1" fillId="4" borderId="11" xfId="0" applyNumberFormat="1" applyFont="1" applyFill="1" applyBorder="1" applyAlignment="1">
      <alignment horizontal="center" vertical="center" wrapText="1"/>
    </xf>
    <xf numFmtId="0" fontId="2" fillId="24" borderId="11" xfId="0" applyNumberFormat="1" applyFont="1" applyFill="1" applyBorder="1" applyAlignment="1">
      <alignment horizontal="center" vertical="center" wrapText="1"/>
    </xf>
    <xf numFmtId="2" fontId="1" fillId="0" borderId="11" xfId="0" applyNumberFormat="1" applyFont="1" applyBorder="1" applyAlignment="1">
      <alignment horizontal="center" vertical="center"/>
    </xf>
    <xf numFmtId="0" fontId="1" fillId="25" borderId="0" xfId="0" applyNumberFormat="1" applyFont="1" applyFill="1" applyAlignment="1">
      <alignment horizontal="right" vertical="center" wrapText="1"/>
    </xf>
    <xf numFmtId="0" fontId="1" fillId="26" borderId="0" xfId="0" applyNumberFormat="1" applyFont="1" applyFill="1" applyAlignment="1">
      <alignment vertical="center"/>
    </xf>
    <xf numFmtId="1" fontId="1" fillId="0" borderId="27" xfId="0" applyNumberFormat="1" applyFont="1" applyBorder="1" applyAlignment="1">
      <alignment horizontal="center" vertical="center"/>
    </xf>
    <xf numFmtId="0" fontId="12" fillId="5" borderId="9" xfId="0" applyNumberFormat="1" applyFont="1" applyFill="1" applyBorder="1" applyAlignment="1">
      <alignment horizontal="center" vertical="center"/>
    </xf>
    <xf numFmtId="0" fontId="12" fillId="5" borderId="10" xfId="0" applyNumberFormat="1" applyFont="1" applyFill="1" applyBorder="1" applyAlignment="1">
      <alignment horizontal="center" vertical="center"/>
    </xf>
    <xf numFmtId="181" fontId="1" fillId="0" borderId="11" xfId="0" applyNumberFormat="1" applyFont="1" applyBorder="1" applyAlignment="1">
      <alignment horizontal="center" vertical="center"/>
    </xf>
    <xf numFmtId="3" fontId="1" fillId="6" borderId="11" xfId="0" applyNumberFormat="1" applyFont="1" applyFill="1" applyBorder="1" applyAlignment="1">
      <alignment horizontal="center" vertical="center" wrapText="1"/>
    </xf>
    <xf numFmtId="3" fontId="1" fillId="6" borderId="13" xfId="0" applyNumberFormat="1" applyFont="1" applyFill="1" applyBorder="1" applyAlignment="1">
      <alignment horizontal="center" vertical="center" wrapText="1"/>
    </xf>
    <xf numFmtId="0" fontId="15" fillId="4" borderId="16" xfId="0" applyNumberFormat="1" applyFont="1" applyFill="1" applyBorder="1" applyAlignment="1">
      <alignment horizontal="center" vertical="center" wrapText="1"/>
    </xf>
    <xf numFmtId="0" fontId="1" fillId="4" borderId="2" xfId="0" applyNumberFormat="1" applyFont="1" applyFill="1" applyBorder="1" applyAlignment="1">
      <alignment horizontal="center" vertical="center"/>
    </xf>
    <xf numFmtId="10" fontId="1" fillId="4" borderId="2" xfId="0" applyNumberFormat="1" applyFont="1" applyFill="1" applyBorder="1" applyAlignment="1">
      <alignment horizontal="center" vertical="center" wrapText="1"/>
    </xf>
    <xf numFmtId="3" fontId="1" fillId="4" borderId="2" xfId="0" applyNumberFormat="1" applyFont="1" applyFill="1" applyBorder="1" applyAlignment="1">
      <alignment horizontal="center" vertical="center" wrapText="1"/>
    </xf>
    <xf numFmtId="180" fontId="1" fillId="4" borderId="2" xfId="0" applyNumberFormat="1" applyFont="1" applyFill="1" applyBorder="1" applyAlignment="1">
      <alignment horizontal="center" vertical="center" wrapText="1"/>
    </xf>
    <xf numFmtId="0" fontId="1" fillId="4" borderId="2" xfId="0" applyNumberFormat="1" applyFont="1" applyFill="1" applyBorder="1" applyAlignment="1">
      <alignment horizontal="center" vertical="center" wrapText="1"/>
    </xf>
    <xf numFmtId="10" fontId="1" fillId="0" borderId="1" xfId="0" applyNumberFormat="1" applyFont="1" applyBorder="1" applyAlignment="1">
      <alignment horizontal="center" vertical="center"/>
    </xf>
    <xf numFmtId="0" fontId="1" fillId="15" borderId="1" xfId="0" applyNumberFormat="1" applyFont="1" applyFill="1" applyBorder="1" applyAlignment="1">
      <alignment horizontal="center" vertical="center"/>
    </xf>
    <xf numFmtId="0" fontId="1" fillId="17" borderId="1" xfId="0" applyNumberFormat="1" applyFont="1" applyFill="1" applyBorder="1" applyAlignment="1">
      <alignment horizontal="center" vertical="center"/>
    </xf>
    <xf numFmtId="0" fontId="1" fillId="24" borderId="1" xfId="0" applyNumberFormat="1" applyFont="1" applyFill="1" applyBorder="1" applyAlignment="1">
      <alignment horizontal="center" vertical="center" wrapText="1"/>
    </xf>
    <xf numFmtId="0" fontId="1" fillId="18" borderId="1" xfId="0" applyNumberFormat="1" applyFont="1" applyFill="1" applyBorder="1" applyAlignment="1">
      <alignment horizontal="center" vertical="center"/>
    </xf>
    <xf numFmtId="0" fontId="1" fillId="4" borderId="1" xfId="0" applyNumberFormat="1" applyFont="1" applyFill="1" applyBorder="1" applyAlignment="1">
      <alignment horizontal="center" vertical="center"/>
    </xf>
    <xf numFmtId="0" fontId="1" fillId="16" borderId="1" xfId="0" applyNumberFormat="1" applyFont="1" applyFill="1" applyBorder="1" applyAlignment="1">
      <alignment horizontal="center" vertical="center"/>
    </xf>
    <xf numFmtId="0" fontId="1" fillId="19" borderId="1" xfId="0" applyNumberFormat="1" applyFont="1" applyFill="1" applyBorder="1" applyAlignment="1">
      <alignment horizontal="center" vertical="center"/>
    </xf>
    <xf numFmtId="176" fontId="1" fillId="0" borderId="1" xfId="0" applyNumberFormat="1" applyFont="1" applyBorder="1" applyAlignment="1">
      <alignment horizontal="center" vertical="center"/>
    </xf>
    <xf numFmtId="177" fontId="1" fillId="19" borderId="1" xfId="0" applyNumberFormat="1" applyFont="1" applyFill="1" applyBorder="1" applyAlignment="1">
      <alignment horizontal="center" vertical="center"/>
    </xf>
    <xf numFmtId="177" fontId="1" fillId="4"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1" fontId="1" fillId="0" borderId="1" xfId="0" applyNumberFormat="1" applyFont="1" applyBorder="1" applyAlignment="1">
      <alignment vertical="center"/>
    </xf>
    <xf numFmtId="3" fontId="1" fillId="0" borderId="0" xfId="0" applyNumberFormat="1" applyFont="1" applyAlignment="1">
      <alignment horizontal="center" vertical="center"/>
    </xf>
    <xf numFmtId="3" fontId="1" fillId="0" borderId="13"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9" Type="http://schemas.openxmlformats.org/officeDocument/2006/relationships/hyperlink" Target="https://item.jd.com/100019121361.html" TargetMode="External"/><Relationship Id="rId8" Type="http://schemas.openxmlformats.org/officeDocument/2006/relationships/hyperlink" Target="https://item.jd.com/100023271455.html" TargetMode="External"/><Relationship Id="rId7" Type="http://schemas.openxmlformats.org/officeDocument/2006/relationships/hyperlink" Target="https://item.jd.com/100057678547.html" TargetMode="External"/><Relationship Id="rId6" Type="http://schemas.openxmlformats.org/officeDocument/2006/relationships/hyperlink" Target="https://item.jd.com/100044938329.html" TargetMode="External"/><Relationship Id="rId5" Type="http://schemas.openxmlformats.org/officeDocument/2006/relationships/hyperlink" Target="https://item.jd.com/100037296247.html" TargetMode="External"/><Relationship Id="rId4" Type="http://schemas.openxmlformats.org/officeDocument/2006/relationships/hyperlink" Target="https://item.jd.com/100023271449.html" TargetMode="External"/><Relationship Id="rId3" Type="http://schemas.openxmlformats.org/officeDocument/2006/relationships/hyperlink" Target="https://item.jd.com/100003152535.html" TargetMode="External"/><Relationship Id="rId2" Type="http://schemas.openxmlformats.org/officeDocument/2006/relationships/hyperlink" Target="https://item.jd.com/100044938307.html" TargetMode="External"/><Relationship Id="rId19" Type="http://schemas.openxmlformats.org/officeDocument/2006/relationships/hyperlink" Target="https://item.jd.com/100007591349.html" TargetMode="External"/><Relationship Id="rId18" Type="http://schemas.openxmlformats.org/officeDocument/2006/relationships/hyperlink" Target="https://item.jd.com/100011741770.html" TargetMode="External"/><Relationship Id="rId17" Type="http://schemas.openxmlformats.org/officeDocument/2006/relationships/hyperlink" Target="https://item.jd.com/10074859125121.html" TargetMode="External"/><Relationship Id="rId16" Type="http://schemas.openxmlformats.org/officeDocument/2006/relationships/hyperlink" Target="https://item.jd.com/10059691201780.html" TargetMode="External"/><Relationship Id="rId15" Type="http://schemas.openxmlformats.org/officeDocument/2006/relationships/hyperlink" Target="https://item.jd.com/10060082160117.html" TargetMode="External"/><Relationship Id="rId14" Type="http://schemas.openxmlformats.org/officeDocument/2006/relationships/hyperlink" Target="https://item.jd.com/100024539022.html" TargetMode="External"/><Relationship Id="rId13" Type="http://schemas.openxmlformats.org/officeDocument/2006/relationships/hyperlink" Target="https://item.jd.com/10059512083629.html" TargetMode="External"/><Relationship Id="rId12" Type="http://schemas.openxmlformats.org/officeDocument/2006/relationships/hyperlink" Target="https://item.jd.com/100033816230.html" TargetMode="External"/><Relationship Id="rId11" Type="http://schemas.openxmlformats.org/officeDocument/2006/relationships/hyperlink" Target="https://item.jd.com/10060718476231.html" TargetMode="External"/><Relationship Id="rId10" Type="http://schemas.openxmlformats.org/officeDocument/2006/relationships/hyperlink" Target="https://item.jd.com/100002363448.html" TargetMode="External"/><Relationship Id="rId1" Type="http://schemas.openxmlformats.org/officeDocument/2006/relationships/hyperlink" Target="https://item.jd.com/100019904059.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20"/>
  <sheetViews>
    <sheetView workbookViewId="0">
      <selection activeCell="A1" sqref="A1"/>
    </sheetView>
  </sheetViews>
  <sheetFormatPr defaultColWidth="14" defaultRowHeight="12.75"/>
  <cols>
    <col min="1" max="20" width="17" customWidth="1"/>
  </cols>
  <sheetData>
    <row r="1" ht="19" customHeight="1"/>
    <row r="2" ht="19" customHeight="1"/>
    <row r="3" ht="19" customHeight="1"/>
    <row r="4" ht="19" customHeight="1"/>
    <row r="5" ht="19" customHeight="1"/>
    <row r="6" ht="19" customHeight="1"/>
    <row r="7" ht="19" customHeight="1"/>
    <row r="8" ht="19" customHeight="1"/>
    <row r="9" ht="19" customHeight="1"/>
    <row r="10" ht="19" customHeight="1"/>
    <row r="11" ht="19" customHeight="1"/>
    <row r="12" ht="19" customHeight="1"/>
    <row r="13" ht="19" customHeight="1"/>
    <row r="14" ht="19" customHeight="1"/>
    <row r="15" ht="19" customHeight="1"/>
    <row r="16" ht="19" customHeight="1"/>
    <row r="17" ht="19" customHeight="1"/>
    <row r="18" ht="19" customHeight="1"/>
    <row r="19" ht="19" customHeight="1"/>
    <row r="20" ht="19"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F194"/>
  <sheetViews>
    <sheetView workbookViewId="0">
      <pane xSplit="3" ySplit="4" topLeftCell="D5" activePane="bottomRight" state="frozen"/>
      <selection/>
      <selection pane="topRight"/>
      <selection pane="bottomLeft"/>
      <selection pane="bottomRight" activeCell="A1" sqref="A1:C1"/>
    </sheetView>
  </sheetViews>
  <sheetFormatPr defaultColWidth="14" defaultRowHeight="12.75"/>
  <cols>
    <col min="1" max="2" width="11" customWidth="1"/>
    <col min="3" max="3" width="7" customWidth="1"/>
    <col min="4" max="5" width="11" customWidth="1"/>
    <col min="6" max="8" width="10" customWidth="1"/>
    <col min="9" max="9" width="12" customWidth="1"/>
    <col min="10" max="10" width="9" customWidth="1"/>
    <col min="11" max="11" width="10" customWidth="1"/>
    <col min="12" max="12" width="14" customWidth="1"/>
    <col min="13" max="14" width="7" customWidth="1"/>
    <col min="15" max="15" width="14" customWidth="1"/>
    <col min="16" max="16" width="11" customWidth="1"/>
    <col min="17" max="17" width="10" customWidth="1"/>
    <col min="18" max="18" width="9" customWidth="1"/>
    <col min="19" max="21" width="7" customWidth="1"/>
    <col min="22" max="22" width="9" customWidth="1"/>
    <col min="23" max="23" width="7" customWidth="1"/>
    <col min="24" max="24" width="9" customWidth="1"/>
    <col min="25" max="27" width="7" customWidth="1"/>
    <col min="28" max="28" width="8" customWidth="1"/>
    <col min="29" max="29" width="7" customWidth="1"/>
    <col min="30" max="30" width="9" hidden="1" customWidth="1"/>
    <col min="31" max="31" width="7" hidden="1" customWidth="1"/>
    <col min="32" max="33" width="7" customWidth="1"/>
    <col min="34" max="34" width="17" customWidth="1"/>
    <col min="35" max="35" width="7" customWidth="1"/>
    <col min="36" max="36" width="17" customWidth="1"/>
    <col min="37" max="37" width="7" customWidth="1"/>
    <col min="38" max="38" width="17" customWidth="1"/>
    <col min="39" max="39" width="7" customWidth="1"/>
    <col min="40" max="40" width="17" customWidth="1"/>
    <col min="41" max="41" width="7" customWidth="1"/>
    <col min="42" max="42" width="17" customWidth="1"/>
    <col min="43" max="43" width="7" customWidth="1"/>
    <col min="44" max="44" width="17" customWidth="1"/>
    <col min="45" max="45" width="8" customWidth="1"/>
    <col min="46" max="46" width="10" customWidth="1"/>
    <col min="47" max="48" width="8" customWidth="1"/>
    <col min="49" max="49" width="7" customWidth="1"/>
    <col min="50" max="50" width="9" customWidth="1"/>
    <col min="51" max="51" width="8" customWidth="1"/>
    <col min="52" max="52" width="10" customWidth="1"/>
    <col min="53" max="53" width="7" customWidth="1"/>
    <col min="54" max="54" width="10" customWidth="1"/>
    <col min="55" max="56" width="8" customWidth="1"/>
    <col min="57" max="58" width="7" customWidth="1"/>
    <col min="59" max="59" width="9" customWidth="1"/>
    <col min="60" max="60" width="12" customWidth="1"/>
    <col min="61" max="62" width="9" customWidth="1"/>
    <col min="63" max="63" width="10" customWidth="1"/>
    <col min="64" max="64" width="14" customWidth="1"/>
    <col min="65" max="66" width="9" customWidth="1"/>
    <col min="67" max="67" width="10" customWidth="1"/>
    <col min="68" max="68" width="14" customWidth="1"/>
    <col min="69" max="73" width="8" customWidth="1"/>
    <col min="74" max="74" width="13" customWidth="1"/>
    <col min="75" max="75" width="15" customWidth="1"/>
    <col min="76" max="76" width="17" customWidth="1"/>
    <col min="77" max="78" width="15" customWidth="1"/>
    <col min="79" max="79" width="18" customWidth="1"/>
    <col min="80" max="80" width="17" customWidth="1"/>
    <col min="81" max="81" width="15" customWidth="1"/>
    <col min="82" max="83" width="20" customWidth="1"/>
    <col min="84" max="84" width="15" customWidth="1"/>
  </cols>
  <sheetData>
    <row r="1" ht="23" customHeight="1" spans="1:84">
      <c r="A1" s="247" t="s">
        <v>0</v>
      </c>
      <c r="B1" s="248" t="s">
        <v>1</v>
      </c>
      <c r="C1" s="248" t="s">
        <v>1</v>
      </c>
      <c r="D1" s="249" t="s">
        <v>2</v>
      </c>
      <c r="E1" s="249" t="s">
        <v>1</v>
      </c>
      <c r="F1" s="249" t="s">
        <v>1</v>
      </c>
      <c r="G1" s="249" t="s">
        <v>1</v>
      </c>
      <c r="H1" s="249" t="s">
        <v>1</v>
      </c>
      <c r="I1" s="249" t="s">
        <v>1</v>
      </c>
      <c r="J1" s="249" t="s">
        <v>1</v>
      </c>
      <c r="K1" s="249" t="s">
        <v>1</v>
      </c>
      <c r="L1" s="298" t="s">
        <v>1</v>
      </c>
      <c r="M1" s="249" t="s">
        <v>1</v>
      </c>
      <c r="N1" s="249" t="s">
        <v>1</v>
      </c>
      <c r="O1" s="249" t="s">
        <v>1</v>
      </c>
      <c r="P1" s="249" t="s">
        <v>1</v>
      </c>
      <c r="Q1" s="249" t="s">
        <v>1</v>
      </c>
      <c r="R1" s="249" t="s">
        <v>1</v>
      </c>
      <c r="S1" s="249" t="s">
        <v>1</v>
      </c>
      <c r="T1" s="249" t="s">
        <v>1</v>
      </c>
      <c r="U1" s="249" t="s">
        <v>1</v>
      </c>
      <c r="V1" s="253" t="s">
        <v>3</v>
      </c>
      <c r="W1" s="254" t="s">
        <v>1</v>
      </c>
      <c r="X1" s="254" t="s">
        <v>1</v>
      </c>
      <c r="Y1" s="254" t="s">
        <v>1</v>
      </c>
      <c r="Z1" s="254" t="s">
        <v>1</v>
      </c>
      <c r="AA1" s="254" t="s">
        <v>1</v>
      </c>
      <c r="AB1" s="254" t="s">
        <v>1</v>
      </c>
      <c r="AC1" s="254" t="s">
        <v>1</v>
      </c>
      <c r="AD1" s="254" t="s">
        <v>1</v>
      </c>
      <c r="AE1" s="254" t="s">
        <v>1</v>
      </c>
      <c r="AF1" s="254" t="s">
        <v>1</v>
      </c>
      <c r="AG1" s="254" t="s">
        <v>1</v>
      </c>
      <c r="AH1" s="254" t="s">
        <v>1</v>
      </c>
      <c r="AI1" s="254" t="s">
        <v>1</v>
      </c>
      <c r="AJ1" s="254" t="s">
        <v>1</v>
      </c>
      <c r="AK1" s="254" t="s">
        <v>1</v>
      </c>
      <c r="AL1" s="254" t="s">
        <v>1</v>
      </c>
      <c r="AM1" s="254" t="s">
        <v>1</v>
      </c>
      <c r="AN1" s="254" t="s">
        <v>1</v>
      </c>
      <c r="AO1" s="254" t="s">
        <v>1</v>
      </c>
      <c r="AP1" s="254" t="s">
        <v>1</v>
      </c>
      <c r="AQ1" s="254" t="s">
        <v>1</v>
      </c>
      <c r="AR1" s="254" t="s">
        <v>1</v>
      </c>
      <c r="AS1" s="254" t="s">
        <v>1</v>
      </c>
      <c r="AT1" s="255" t="s">
        <v>4</v>
      </c>
      <c r="AU1" s="255" t="s">
        <v>1</v>
      </c>
      <c r="AV1" s="255" t="s">
        <v>1</v>
      </c>
      <c r="AW1" s="255" t="s">
        <v>1</v>
      </c>
      <c r="AX1" s="255" t="s">
        <v>1</v>
      </c>
      <c r="AY1" s="255" t="s">
        <v>1</v>
      </c>
      <c r="AZ1" s="255" t="s">
        <v>1</v>
      </c>
      <c r="BA1" s="255" t="s">
        <v>1</v>
      </c>
      <c r="BB1" s="255" t="s">
        <v>1</v>
      </c>
      <c r="BC1" s="255" t="s">
        <v>1</v>
      </c>
      <c r="BD1" s="255" t="s">
        <v>1</v>
      </c>
      <c r="BE1" s="255" t="s">
        <v>1</v>
      </c>
      <c r="BF1" s="255" t="s">
        <v>1</v>
      </c>
      <c r="BG1" s="255" t="s">
        <v>1</v>
      </c>
      <c r="BH1" s="69" t="s">
        <v>5</v>
      </c>
      <c r="BI1" s="256" t="s">
        <v>6</v>
      </c>
      <c r="BJ1" s="256" t="s">
        <v>1</v>
      </c>
      <c r="BK1" s="256" t="s">
        <v>1</v>
      </c>
      <c r="BL1" s="256" t="s">
        <v>1</v>
      </c>
      <c r="BM1" s="256" t="s">
        <v>1</v>
      </c>
      <c r="BN1" s="256" t="s">
        <v>1</v>
      </c>
      <c r="BO1" s="256" t="s">
        <v>1</v>
      </c>
      <c r="BP1" s="257" t="s">
        <v>1</v>
      </c>
      <c r="BQ1" s="258" t="s">
        <v>7</v>
      </c>
      <c r="BR1" s="258" t="s">
        <v>1</v>
      </c>
      <c r="BS1" s="258" t="s">
        <v>1</v>
      </c>
      <c r="BT1" s="258" t="s">
        <v>1</v>
      </c>
      <c r="BU1" s="258" t="s">
        <v>1</v>
      </c>
      <c r="BV1" s="258" t="s">
        <v>1</v>
      </c>
      <c r="BW1" s="258" t="s">
        <v>1</v>
      </c>
      <c r="BX1" s="258" t="s">
        <v>1</v>
      </c>
      <c r="BY1" s="258" t="s">
        <v>1</v>
      </c>
      <c r="BZ1" s="258" t="s">
        <v>1</v>
      </c>
      <c r="CA1" s="258" t="s">
        <v>1</v>
      </c>
      <c r="CB1" s="258" t="s">
        <v>1</v>
      </c>
      <c r="CC1" s="258" t="s">
        <v>1</v>
      </c>
      <c r="CD1" s="258" t="s">
        <v>1</v>
      </c>
      <c r="CE1" s="259" t="s">
        <v>1</v>
      </c>
      <c r="CF1" s="72" t="s">
        <v>8</v>
      </c>
    </row>
    <row r="2" ht="25" customHeight="1" spans="1:84">
      <c r="A2" s="38" t="s">
        <v>9</v>
      </c>
      <c r="B2" s="124" t="s">
        <v>10</v>
      </c>
      <c r="C2" s="155" t="s">
        <v>1</v>
      </c>
      <c r="D2" s="260" t="s">
        <v>11</v>
      </c>
      <c r="E2" s="261" t="s">
        <v>1</v>
      </c>
      <c r="F2" s="261" t="s">
        <v>1</v>
      </c>
      <c r="G2" s="261" t="s">
        <v>1</v>
      </c>
      <c r="H2" s="261" t="s">
        <v>1</v>
      </c>
      <c r="I2" s="261" t="s">
        <v>1</v>
      </c>
      <c r="J2" s="261" t="s">
        <v>1</v>
      </c>
      <c r="K2" s="261" t="s">
        <v>1</v>
      </c>
      <c r="L2" s="299" t="s">
        <v>12</v>
      </c>
      <c r="M2" s="261" t="s">
        <v>1</v>
      </c>
      <c r="N2" s="261" t="s">
        <v>1</v>
      </c>
      <c r="O2" s="261" t="s">
        <v>1</v>
      </c>
      <c r="P2" s="261" t="s">
        <v>1</v>
      </c>
      <c r="Q2" s="261" t="s">
        <v>1</v>
      </c>
      <c r="R2" s="261" t="s">
        <v>1</v>
      </c>
      <c r="S2" s="261" t="s">
        <v>1</v>
      </c>
      <c r="T2" s="261" t="s">
        <v>1</v>
      </c>
      <c r="U2" s="262" t="s">
        <v>1</v>
      </c>
      <c r="V2" s="263" t="s">
        <v>13</v>
      </c>
      <c r="W2" s="264" t="s">
        <v>1</v>
      </c>
      <c r="X2" s="265" t="s">
        <v>14</v>
      </c>
      <c r="Y2" s="266" t="s">
        <v>1</v>
      </c>
      <c r="Z2" s="265" t="s">
        <v>15</v>
      </c>
      <c r="AA2" s="266" t="s">
        <v>1</v>
      </c>
      <c r="AB2" s="265" t="s">
        <v>16</v>
      </c>
      <c r="AC2" s="266" t="s">
        <v>1</v>
      </c>
      <c r="AD2" s="265" t="s">
        <v>17</v>
      </c>
      <c r="AE2" s="266" t="s">
        <v>1</v>
      </c>
      <c r="AF2" s="265" t="s">
        <v>18</v>
      </c>
      <c r="AG2" s="266" t="s">
        <v>1</v>
      </c>
      <c r="AH2" s="267" t="s">
        <v>19</v>
      </c>
      <c r="AI2" s="268" t="s">
        <v>1</v>
      </c>
      <c r="AJ2" s="267" t="s">
        <v>20</v>
      </c>
      <c r="AK2" s="268" t="s">
        <v>1</v>
      </c>
      <c r="AL2" s="267" t="s">
        <v>21</v>
      </c>
      <c r="AM2" s="268" t="s">
        <v>1</v>
      </c>
      <c r="AN2" s="267" t="s">
        <v>22</v>
      </c>
      <c r="AO2" s="268" t="s">
        <v>1</v>
      </c>
      <c r="AP2" s="269" t="s">
        <v>23</v>
      </c>
      <c r="AQ2" s="270" t="s">
        <v>1</v>
      </c>
      <c r="AR2" s="269" t="s">
        <v>24</v>
      </c>
      <c r="AS2" s="270" t="s">
        <v>1</v>
      </c>
      <c r="AT2" s="255" t="s">
        <v>25</v>
      </c>
      <c r="AU2" s="255" t="s">
        <v>1</v>
      </c>
      <c r="AV2" s="271" t="s">
        <v>26</v>
      </c>
      <c r="AW2" s="271" t="s">
        <v>1</v>
      </c>
      <c r="AX2" s="271" t="s">
        <v>27</v>
      </c>
      <c r="AY2" s="271" t="s">
        <v>1</v>
      </c>
      <c r="AZ2" s="272" t="s">
        <v>28</v>
      </c>
      <c r="BA2" s="272" t="s">
        <v>1</v>
      </c>
      <c r="BB2" s="271" t="s">
        <v>29</v>
      </c>
      <c r="BC2" s="271" t="s">
        <v>1</v>
      </c>
      <c r="BD2" s="273" t="s">
        <v>30</v>
      </c>
      <c r="BE2" s="273" t="s">
        <v>1</v>
      </c>
      <c r="BF2" s="273" t="s">
        <v>31</v>
      </c>
      <c r="BG2" s="273" t="s">
        <v>1</v>
      </c>
      <c r="BH2" s="69" t="s">
        <v>1</v>
      </c>
      <c r="BI2" s="256" t="s">
        <v>32</v>
      </c>
      <c r="BJ2" s="256" t="s">
        <v>1</v>
      </c>
      <c r="BK2" s="256" t="s">
        <v>1</v>
      </c>
      <c r="BL2" s="256" t="s">
        <v>1</v>
      </c>
      <c r="BM2" s="274" t="s">
        <v>33</v>
      </c>
      <c r="BN2" s="256" t="s">
        <v>1</v>
      </c>
      <c r="BO2" s="256" t="s">
        <v>1</v>
      </c>
      <c r="BP2" s="257" t="s">
        <v>1</v>
      </c>
      <c r="BQ2" s="258" t="s">
        <v>34</v>
      </c>
      <c r="BR2" s="258" t="s">
        <v>1</v>
      </c>
      <c r="BS2" s="258" t="s">
        <v>1</v>
      </c>
      <c r="BT2" s="258" t="s">
        <v>1</v>
      </c>
      <c r="BU2" s="259" t="s">
        <v>1</v>
      </c>
      <c r="BV2" s="258" t="s">
        <v>35</v>
      </c>
      <c r="BW2" s="258" t="s">
        <v>1</v>
      </c>
      <c r="BX2" s="258" t="s">
        <v>1</v>
      </c>
      <c r="BY2" s="258" t="s">
        <v>1</v>
      </c>
      <c r="BZ2" s="258" t="s">
        <v>1</v>
      </c>
      <c r="CA2" s="258" t="s">
        <v>1</v>
      </c>
      <c r="CB2" s="258" t="s">
        <v>1</v>
      </c>
      <c r="CC2" s="258" t="s">
        <v>1</v>
      </c>
      <c r="CD2" s="258" t="s">
        <v>1</v>
      </c>
      <c r="CE2" s="259" t="s">
        <v>1</v>
      </c>
      <c r="CF2" s="72" t="s">
        <v>1</v>
      </c>
    </row>
    <row r="3" ht="33" customHeight="1" spans="1:84">
      <c r="A3" s="162" t="s">
        <v>1</v>
      </c>
      <c r="B3" s="108" t="s">
        <v>36</v>
      </c>
      <c r="C3" s="108" t="s">
        <v>37</v>
      </c>
      <c r="D3" s="275" t="s">
        <v>38</v>
      </c>
      <c r="E3" s="275" t="s">
        <v>39</v>
      </c>
      <c r="F3" s="275" t="s">
        <v>40</v>
      </c>
      <c r="G3" s="249" t="s">
        <v>41</v>
      </c>
      <c r="H3" s="249" t="s">
        <v>42</v>
      </c>
      <c r="I3" s="249" t="s">
        <v>43</v>
      </c>
      <c r="J3" s="249" t="s">
        <v>44</v>
      </c>
      <c r="K3" s="249" t="s">
        <v>45</v>
      </c>
      <c r="L3" s="298" t="s">
        <v>46</v>
      </c>
      <c r="M3" s="249" t="s">
        <v>42</v>
      </c>
      <c r="N3" s="249" t="s">
        <v>47</v>
      </c>
      <c r="O3" s="249" t="s">
        <v>48</v>
      </c>
      <c r="P3" s="249" t="s">
        <v>42</v>
      </c>
      <c r="Q3" s="249" t="s">
        <v>47</v>
      </c>
      <c r="R3" s="249" t="s">
        <v>36</v>
      </c>
      <c r="S3" s="249" t="s">
        <v>37</v>
      </c>
      <c r="T3" s="249" t="s">
        <v>42</v>
      </c>
      <c r="U3" s="249" t="s">
        <v>47</v>
      </c>
      <c r="V3" s="276" t="s">
        <v>36</v>
      </c>
      <c r="W3" s="276" t="s">
        <v>37</v>
      </c>
      <c r="X3" s="277" t="s">
        <v>36</v>
      </c>
      <c r="Y3" s="277" t="s">
        <v>37</v>
      </c>
      <c r="Z3" s="277" t="s">
        <v>36</v>
      </c>
      <c r="AA3" s="277" t="s">
        <v>37</v>
      </c>
      <c r="AB3" s="277" t="s">
        <v>36</v>
      </c>
      <c r="AC3" s="277" t="s">
        <v>37</v>
      </c>
      <c r="AD3" s="277" t="s">
        <v>36</v>
      </c>
      <c r="AE3" s="277" t="s">
        <v>37</v>
      </c>
      <c r="AF3" s="277" t="s">
        <v>36</v>
      </c>
      <c r="AG3" s="277" t="s">
        <v>37</v>
      </c>
      <c r="AH3" s="278" t="s">
        <v>36</v>
      </c>
      <c r="AI3" s="278" t="s">
        <v>37</v>
      </c>
      <c r="AJ3" s="278" t="s">
        <v>36</v>
      </c>
      <c r="AK3" s="278" t="s">
        <v>37</v>
      </c>
      <c r="AL3" s="278" t="s">
        <v>36</v>
      </c>
      <c r="AM3" s="278" t="s">
        <v>37</v>
      </c>
      <c r="AN3" s="278" t="s">
        <v>36</v>
      </c>
      <c r="AO3" s="278" t="s">
        <v>37</v>
      </c>
      <c r="AP3" s="279" t="s">
        <v>36</v>
      </c>
      <c r="AQ3" s="279" t="s">
        <v>37</v>
      </c>
      <c r="AR3" s="279" t="s">
        <v>36</v>
      </c>
      <c r="AS3" s="279" t="s">
        <v>37</v>
      </c>
      <c r="AT3" s="255" t="s">
        <v>36</v>
      </c>
      <c r="AU3" s="255" t="s">
        <v>37</v>
      </c>
      <c r="AV3" s="280" t="s">
        <v>36</v>
      </c>
      <c r="AW3" s="280" t="s">
        <v>37</v>
      </c>
      <c r="AX3" s="280" t="s">
        <v>36</v>
      </c>
      <c r="AY3" s="280" t="s">
        <v>37</v>
      </c>
      <c r="AZ3" s="255" t="s">
        <v>36</v>
      </c>
      <c r="BA3" s="255" t="s">
        <v>37</v>
      </c>
      <c r="BB3" s="280" t="s">
        <v>36</v>
      </c>
      <c r="BC3" s="280" t="s">
        <v>37</v>
      </c>
      <c r="BD3" s="281" t="s">
        <v>36</v>
      </c>
      <c r="BE3" s="281" t="s">
        <v>37</v>
      </c>
      <c r="BF3" s="281" t="s">
        <v>36</v>
      </c>
      <c r="BG3" s="281" t="s">
        <v>37</v>
      </c>
      <c r="BH3" s="69" t="s">
        <v>1</v>
      </c>
      <c r="BI3" s="282" t="s">
        <v>49</v>
      </c>
      <c r="BJ3" s="283" t="s">
        <v>50</v>
      </c>
      <c r="BK3" s="283" t="s">
        <v>51</v>
      </c>
      <c r="BL3" s="257" t="s">
        <v>52</v>
      </c>
      <c r="BM3" s="283" t="s">
        <v>49</v>
      </c>
      <c r="BN3" s="283" t="s">
        <v>50</v>
      </c>
      <c r="BO3" s="283" t="s">
        <v>51</v>
      </c>
      <c r="BP3" s="257" t="s">
        <v>52</v>
      </c>
      <c r="BQ3" s="259" t="s">
        <v>53</v>
      </c>
      <c r="BR3" s="259" t="s">
        <v>54</v>
      </c>
      <c r="BS3" s="259" t="s">
        <v>55</v>
      </c>
      <c r="BT3" s="259" t="s">
        <v>56</v>
      </c>
      <c r="BU3" s="259" t="s">
        <v>57</v>
      </c>
      <c r="BV3" s="259" t="s">
        <v>53</v>
      </c>
      <c r="BW3" s="259" t="s">
        <v>54</v>
      </c>
      <c r="BX3" s="259" t="s">
        <v>55</v>
      </c>
      <c r="BY3" s="259" t="s">
        <v>56</v>
      </c>
      <c r="BZ3" s="259" t="s">
        <v>57</v>
      </c>
      <c r="CA3" s="259" t="s">
        <v>58</v>
      </c>
      <c r="CB3" s="259" t="s">
        <v>59</v>
      </c>
      <c r="CC3" s="259" t="s">
        <v>60</v>
      </c>
      <c r="CD3" s="259" t="s">
        <v>61</v>
      </c>
      <c r="CE3" s="259" t="s">
        <v>62</v>
      </c>
      <c r="CF3" s="72" t="s">
        <v>1</v>
      </c>
    </row>
    <row r="4" ht="28" customHeight="1" spans="1:84">
      <c r="A4" s="300" t="s">
        <v>63</v>
      </c>
      <c r="B4" s="301" t="s">
        <v>64</v>
      </c>
      <c r="C4" s="301" t="s">
        <v>64</v>
      </c>
      <c r="D4" s="302" t="s">
        <v>65</v>
      </c>
      <c r="E4" s="302" t="s">
        <v>65</v>
      </c>
      <c r="F4" s="301" t="s">
        <v>64</v>
      </c>
      <c r="G4" s="302" t="s">
        <v>65</v>
      </c>
      <c r="H4" s="302" t="s">
        <v>65</v>
      </c>
      <c r="I4" s="302" t="s">
        <v>65</v>
      </c>
      <c r="J4" s="302" t="s">
        <v>65</v>
      </c>
      <c r="K4" s="302" t="s">
        <v>65</v>
      </c>
      <c r="L4" s="303" t="s">
        <v>66</v>
      </c>
      <c r="M4" s="304" t="s">
        <v>66</v>
      </c>
      <c r="N4" s="304" t="s">
        <v>66</v>
      </c>
      <c r="O4" s="304" t="s">
        <v>67</v>
      </c>
      <c r="P4" s="304" t="s">
        <v>67</v>
      </c>
      <c r="Q4" s="304" t="s">
        <v>67</v>
      </c>
      <c r="R4" s="304" t="s">
        <v>68</v>
      </c>
      <c r="S4" s="304" t="s">
        <v>68</v>
      </c>
      <c r="T4" s="304" t="s">
        <v>68</v>
      </c>
      <c r="U4" s="304" t="s">
        <v>68</v>
      </c>
      <c r="V4" s="301" t="s">
        <v>64</v>
      </c>
      <c r="W4" s="301" t="s">
        <v>64</v>
      </c>
      <c r="X4" s="301" t="s">
        <v>64</v>
      </c>
      <c r="Y4" s="301" t="s">
        <v>64</v>
      </c>
      <c r="Z4" s="301" t="s">
        <v>64</v>
      </c>
      <c r="AA4" s="301" t="s">
        <v>64</v>
      </c>
      <c r="AB4" s="301" t="s">
        <v>64</v>
      </c>
      <c r="AC4" s="301" t="s">
        <v>64</v>
      </c>
      <c r="AD4" s="301" t="s">
        <v>64</v>
      </c>
      <c r="AE4" s="301" t="s">
        <v>64</v>
      </c>
      <c r="AF4" s="301" t="s">
        <v>64</v>
      </c>
      <c r="AG4" s="301" t="s">
        <v>64</v>
      </c>
      <c r="AH4" s="301" t="s">
        <v>64</v>
      </c>
      <c r="AI4" s="301" t="s">
        <v>64</v>
      </c>
      <c r="AJ4" s="301" t="s">
        <v>64</v>
      </c>
      <c r="AK4" s="301" t="s">
        <v>64</v>
      </c>
      <c r="AL4" s="301" t="s">
        <v>64</v>
      </c>
      <c r="AM4" s="301" t="s">
        <v>64</v>
      </c>
      <c r="AN4" s="301" t="s">
        <v>64</v>
      </c>
      <c r="AO4" s="301" t="s">
        <v>64</v>
      </c>
      <c r="AP4" s="301" t="s">
        <v>64</v>
      </c>
      <c r="AQ4" s="301" t="s">
        <v>64</v>
      </c>
      <c r="AR4" s="301" t="s">
        <v>64</v>
      </c>
      <c r="AS4" s="301" t="s">
        <v>64</v>
      </c>
      <c r="AT4" s="305" t="s">
        <v>67</v>
      </c>
      <c r="AU4" s="305" t="s">
        <v>67</v>
      </c>
      <c r="AV4" s="305" t="s">
        <v>67</v>
      </c>
      <c r="AW4" s="305" t="s">
        <v>67</v>
      </c>
      <c r="AX4" s="305" t="s">
        <v>67</v>
      </c>
      <c r="AY4" s="305" t="s">
        <v>67</v>
      </c>
      <c r="AZ4" s="305" t="s">
        <v>67</v>
      </c>
      <c r="BA4" s="305" t="s">
        <v>67</v>
      </c>
      <c r="BB4" s="305" t="s">
        <v>67</v>
      </c>
      <c r="BC4" s="305" t="s">
        <v>67</v>
      </c>
      <c r="BD4" s="305" t="s">
        <v>67</v>
      </c>
      <c r="BE4" s="305" t="s">
        <v>67</v>
      </c>
      <c r="BF4" s="305" t="s">
        <v>67</v>
      </c>
      <c r="BG4" s="305" t="s">
        <v>67</v>
      </c>
      <c r="BH4" s="305" t="s">
        <v>69</v>
      </c>
      <c r="BI4" s="305" t="s">
        <v>64</v>
      </c>
      <c r="BJ4" s="305" t="s">
        <v>64</v>
      </c>
      <c r="BK4" s="305" t="s">
        <v>64</v>
      </c>
      <c r="BL4" s="305" t="s">
        <v>64</v>
      </c>
      <c r="BM4" s="305" t="s">
        <v>64</v>
      </c>
      <c r="BN4" s="305" t="s">
        <v>64</v>
      </c>
      <c r="BO4" s="305" t="s">
        <v>64</v>
      </c>
      <c r="BP4" s="305" t="s">
        <v>64</v>
      </c>
      <c r="BQ4" s="305" t="s">
        <v>64</v>
      </c>
      <c r="BR4" s="305" t="s">
        <v>64</v>
      </c>
      <c r="BS4" s="305" t="s">
        <v>64</v>
      </c>
      <c r="BT4" s="305" t="s">
        <v>64</v>
      </c>
      <c r="BU4" s="305" t="s">
        <v>64</v>
      </c>
      <c r="BV4" s="305" t="s">
        <v>64</v>
      </c>
      <c r="BW4" s="305" t="s">
        <v>64</v>
      </c>
      <c r="BX4" s="305" t="s">
        <v>64</v>
      </c>
      <c r="BY4" s="305" t="s">
        <v>64</v>
      </c>
      <c r="BZ4" s="305" t="s">
        <v>64</v>
      </c>
      <c r="CA4" s="305" t="s">
        <v>64</v>
      </c>
      <c r="CB4" s="305" t="s">
        <v>64</v>
      </c>
      <c r="CC4" s="305" t="s">
        <v>64</v>
      </c>
      <c r="CD4" s="305" t="s">
        <v>64</v>
      </c>
      <c r="CE4" s="305" t="s">
        <v>64</v>
      </c>
      <c r="CF4" s="305" t="s">
        <v>64</v>
      </c>
    </row>
    <row r="5" ht="21" customHeight="1" spans="1:84">
      <c r="A5" s="29">
        <v>45108</v>
      </c>
      <c r="B5" s="7" t="s">
        <v>70</v>
      </c>
      <c r="C5" s="7" t="s">
        <v>71</v>
      </c>
      <c r="D5" s="30" t="s">
        <v>1</v>
      </c>
      <c r="E5" s="30" t="s">
        <v>1</v>
      </c>
      <c r="F5" s="30">
        <v>5.5081</v>
      </c>
      <c r="G5" s="7" t="s">
        <v>1</v>
      </c>
      <c r="H5" s="7" t="str">
        <f t="shared" ref="H5:H35" si="0">IFERROR(E5/G5-1,"")</f>
        <v/>
      </c>
      <c r="I5" s="30">
        <v>5.2784</v>
      </c>
      <c r="J5" s="31" t="str">
        <f t="shared" ref="J5:J68" si="1">IFERROR(E5/I5,"")</f>
        <v/>
      </c>
      <c r="K5" s="31" t="str">
        <f>IFERROR(E5/#REF!,"")</f>
        <v/>
      </c>
      <c r="L5" s="127">
        <v>43345</v>
      </c>
      <c r="M5" s="7" t="s">
        <v>72</v>
      </c>
      <c r="N5" s="7" t="s">
        <v>1</v>
      </c>
      <c r="O5" s="7" t="s">
        <v>1</v>
      </c>
      <c r="P5" s="7" t="s">
        <v>1</v>
      </c>
      <c r="Q5" s="7" t="s">
        <v>1</v>
      </c>
      <c r="R5" s="30">
        <v>0</v>
      </c>
      <c r="S5" s="7">
        <v>0</v>
      </c>
      <c r="T5" s="7" t="s">
        <v>1</v>
      </c>
      <c r="U5" s="7" t="s">
        <v>1</v>
      </c>
      <c r="V5" s="7" t="s">
        <v>1</v>
      </c>
      <c r="W5" s="7" t="s">
        <v>72</v>
      </c>
      <c r="X5" s="7" t="s">
        <v>1</v>
      </c>
      <c r="Y5" s="7" t="s">
        <v>72</v>
      </c>
      <c r="Z5" s="7" t="s">
        <v>1</v>
      </c>
      <c r="AA5" s="30" t="s">
        <v>72</v>
      </c>
      <c r="AB5" s="7" t="s">
        <v>1</v>
      </c>
      <c r="AC5" s="7" t="s">
        <v>72</v>
      </c>
      <c r="AD5" s="7">
        <v>18</v>
      </c>
      <c r="AE5" s="7" t="s">
        <v>72</v>
      </c>
      <c r="AF5" s="7" t="s">
        <v>1</v>
      </c>
      <c r="AG5" s="7" t="s">
        <v>72</v>
      </c>
      <c r="AH5" s="7">
        <v>1291</v>
      </c>
      <c r="AI5" s="7" t="s">
        <v>72</v>
      </c>
      <c r="AJ5" s="7">
        <v>262</v>
      </c>
      <c r="AK5" s="7" t="s">
        <v>72</v>
      </c>
      <c r="AL5" s="7">
        <v>33</v>
      </c>
      <c r="AM5" s="7" t="s">
        <v>72</v>
      </c>
      <c r="AN5" s="7">
        <v>12</v>
      </c>
      <c r="AO5" s="7" t="s">
        <v>72</v>
      </c>
      <c r="AP5" s="7">
        <v>591</v>
      </c>
      <c r="AQ5" s="7" t="s">
        <v>72</v>
      </c>
      <c r="AR5" s="7">
        <v>169</v>
      </c>
      <c r="AS5" s="7" t="s">
        <v>72</v>
      </c>
      <c r="AT5" s="306">
        <v>0.0122</v>
      </c>
      <c r="AU5" s="7" t="s">
        <v>72</v>
      </c>
      <c r="AV5" s="7" t="s">
        <v>1</v>
      </c>
      <c r="AW5" s="7" t="s">
        <v>1</v>
      </c>
      <c r="AX5" s="7" t="s">
        <v>1</v>
      </c>
      <c r="AY5" s="7" t="s">
        <v>1</v>
      </c>
      <c r="AZ5" s="7" t="s">
        <v>1</v>
      </c>
      <c r="BA5" s="7" t="s">
        <v>1</v>
      </c>
      <c r="BB5" s="7" t="s">
        <v>1</v>
      </c>
      <c r="BC5" s="7" t="s">
        <v>1</v>
      </c>
      <c r="BD5" s="7" t="s">
        <v>1</v>
      </c>
      <c r="BE5" s="7" t="s">
        <v>1</v>
      </c>
      <c r="BF5" s="7" t="s">
        <v>1</v>
      </c>
      <c r="BG5" s="7" t="s">
        <v>1</v>
      </c>
      <c r="BH5" s="31">
        <v>1</v>
      </c>
      <c r="BI5" s="7" t="s">
        <v>73</v>
      </c>
      <c r="BJ5" s="7">
        <v>85</v>
      </c>
      <c r="BK5" s="7">
        <v>877</v>
      </c>
      <c r="BL5" s="7" t="s">
        <v>72</v>
      </c>
      <c r="BM5" s="7" t="s">
        <v>74</v>
      </c>
      <c r="BN5" s="7">
        <v>383</v>
      </c>
      <c r="BO5" s="7">
        <v>342</v>
      </c>
      <c r="BP5" s="7" t="s">
        <v>72</v>
      </c>
      <c r="BQ5" s="7" t="s">
        <v>1</v>
      </c>
      <c r="BR5" s="7" t="s">
        <v>1</v>
      </c>
      <c r="BS5" s="7" t="s">
        <v>1</v>
      </c>
      <c r="BT5" s="7" t="s">
        <v>1</v>
      </c>
      <c r="BU5" s="7" t="s">
        <v>1</v>
      </c>
      <c r="BV5" s="7" t="s">
        <v>1</v>
      </c>
      <c r="BW5" s="7" t="s">
        <v>1</v>
      </c>
      <c r="BX5" s="7" t="s">
        <v>1</v>
      </c>
      <c r="BY5" s="7" t="s">
        <v>1</v>
      </c>
      <c r="BZ5" s="7" t="s">
        <v>1</v>
      </c>
      <c r="CA5" s="7" t="s">
        <v>1</v>
      </c>
      <c r="CB5" s="7" t="s">
        <v>1</v>
      </c>
      <c r="CC5" s="7" t="s">
        <v>1</v>
      </c>
      <c r="CD5" s="7" t="s">
        <v>1</v>
      </c>
      <c r="CE5" s="7" t="s">
        <v>1</v>
      </c>
      <c r="CF5" s="7" t="s">
        <v>1</v>
      </c>
    </row>
    <row r="6" ht="21" customHeight="1" spans="1:84">
      <c r="A6" s="29">
        <v>45109</v>
      </c>
      <c r="B6" s="7" t="s">
        <v>70</v>
      </c>
      <c r="C6" s="7" t="s">
        <v>71</v>
      </c>
      <c r="D6" s="30" t="s">
        <v>1</v>
      </c>
      <c r="E6" s="30" t="s">
        <v>1</v>
      </c>
      <c r="F6" s="30">
        <v>4.6384</v>
      </c>
      <c r="G6" s="7" t="s">
        <v>1</v>
      </c>
      <c r="H6" s="7" t="str">
        <f t="shared" si="0"/>
        <v/>
      </c>
      <c r="I6" s="30">
        <v>5.6086</v>
      </c>
      <c r="J6" s="31" t="str">
        <f t="shared" si="1"/>
        <v/>
      </c>
      <c r="K6" s="31" t="str">
        <f>IFERROR(E6/#REF!,"")</f>
        <v/>
      </c>
      <c r="L6" s="127">
        <v>18394</v>
      </c>
      <c r="M6" s="7" t="s">
        <v>72</v>
      </c>
      <c r="N6" s="7" t="s">
        <v>1</v>
      </c>
      <c r="O6" s="7" t="s">
        <v>1</v>
      </c>
      <c r="P6" s="7" t="s">
        <v>1</v>
      </c>
      <c r="Q6" s="7" t="s">
        <v>1</v>
      </c>
      <c r="R6" s="30">
        <v>2899</v>
      </c>
      <c r="S6" s="7">
        <v>0</v>
      </c>
      <c r="T6" s="7" t="s">
        <v>1</v>
      </c>
      <c r="U6" s="7" t="s">
        <v>1</v>
      </c>
      <c r="V6" s="7" t="s">
        <v>1</v>
      </c>
      <c r="W6" s="7" t="s">
        <v>72</v>
      </c>
      <c r="X6" s="7" t="s">
        <v>1</v>
      </c>
      <c r="Y6" s="7" t="s">
        <v>72</v>
      </c>
      <c r="Z6" s="7" t="s">
        <v>1</v>
      </c>
      <c r="AA6" s="30" t="s">
        <v>72</v>
      </c>
      <c r="AB6" s="7" t="s">
        <v>1</v>
      </c>
      <c r="AC6" s="7" t="s">
        <v>72</v>
      </c>
      <c r="AD6" s="7">
        <v>12</v>
      </c>
      <c r="AE6" s="7" t="s">
        <v>72</v>
      </c>
      <c r="AF6" s="7" t="s">
        <v>1</v>
      </c>
      <c r="AG6" s="7" t="s">
        <v>72</v>
      </c>
      <c r="AH6" s="7">
        <v>1461</v>
      </c>
      <c r="AI6" s="7" t="s">
        <v>72</v>
      </c>
      <c r="AJ6" s="7">
        <v>327</v>
      </c>
      <c r="AK6" s="7" t="s">
        <v>72</v>
      </c>
      <c r="AL6" s="7">
        <v>39</v>
      </c>
      <c r="AM6" s="7" t="s">
        <v>72</v>
      </c>
      <c r="AN6" s="7">
        <v>11</v>
      </c>
      <c r="AO6" s="7" t="s">
        <v>72</v>
      </c>
      <c r="AP6" s="7">
        <v>716</v>
      </c>
      <c r="AQ6" s="7" t="s">
        <v>72</v>
      </c>
      <c r="AR6" s="7">
        <v>173</v>
      </c>
      <c r="AS6" s="7" t="s">
        <v>72</v>
      </c>
      <c r="AT6" s="306">
        <v>0.0094</v>
      </c>
      <c r="AU6" s="7" t="s">
        <v>72</v>
      </c>
      <c r="AV6" s="7" t="s">
        <v>1</v>
      </c>
      <c r="AW6" s="7" t="s">
        <v>1</v>
      </c>
      <c r="AX6" s="7" t="s">
        <v>1</v>
      </c>
      <c r="AY6" s="7" t="s">
        <v>1</v>
      </c>
      <c r="AZ6" s="7" t="s">
        <v>1</v>
      </c>
      <c r="BA6" s="7" t="s">
        <v>1</v>
      </c>
      <c r="BB6" s="7" t="s">
        <v>1</v>
      </c>
      <c r="BC6" s="7" t="s">
        <v>1</v>
      </c>
      <c r="BD6" s="7" t="s">
        <v>1</v>
      </c>
      <c r="BE6" s="7" t="s">
        <v>1</v>
      </c>
      <c r="BF6" s="7" t="s">
        <v>1</v>
      </c>
      <c r="BG6" s="7" t="s">
        <v>1</v>
      </c>
      <c r="BH6" s="31">
        <v>1</v>
      </c>
      <c r="BI6" s="7" t="s">
        <v>73</v>
      </c>
      <c r="BJ6" s="7">
        <v>66</v>
      </c>
      <c r="BK6" s="7">
        <v>1205</v>
      </c>
      <c r="BL6" s="7" t="s">
        <v>72</v>
      </c>
      <c r="BM6" s="7" t="s">
        <v>74</v>
      </c>
      <c r="BN6" s="7">
        <v>353</v>
      </c>
      <c r="BO6" s="7">
        <v>365</v>
      </c>
      <c r="BP6" s="7" t="s">
        <v>72</v>
      </c>
      <c r="BQ6" s="7" t="s">
        <v>1</v>
      </c>
      <c r="BR6" s="7" t="s">
        <v>1</v>
      </c>
      <c r="BS6" s="7" t="s">
        <v>1</v>
      </c>
      <c r="BT6" s="7" t="s">
        <v>1</v>
      </c>
      <c r="BU6" s="7" t="s">
        <v>1</v>
      </c>
      <c r="BV6" s="7" t="s">
        <v>1</v>
      </c>
      <c r="BW6" s="7" t="s">
        <v>1</v>
      </c>
      <c r="BX6" s="7" t="s">
        <v>1</v>
      </c>
      <c r="BY6" s="7" t="s">
        <v>1</v>
      </c>
      <c r="BZ6" s="7" t="s">
        <v>1</v>
      </c>
      <c r="CA6" s="7" t="s">
        <v>1</v>
      </c>
      <c r="CB6" s="7" t="s">
        <v>1</v>
      </c>
      <c r="CC6" s="7" t="s">
        <v>1</v>
      </c>
      <c r="CD6" s="7" t="s">
        <v>1</v>
      </c>
      <c r="CE6" s="7" t="s">
        <v>1</v>
      </c>
      <c r="CF6" s="7" t="s">
        <v>1</v>
      </c>
    </row>
    <row r="7" ht="21" customHeight="1" spans="1:84">
      <c r="A7" s="29">
        <v>45110</v>
      </c>
      <c r="B7" s="307" t="s">
        <v>75</v>
      </c>
      <c r="C7" s="7" t="s">
        <v>71</v>
      </c>
      <c r="D7" s="30" t="s">
        <v>1</v>
      </c>
      <c r="E7" s="30" t="s">
        <v>1</v>
      </c>
      <c r="F7" s="30">
        <v>0</v>
      </c>
      <c r="G7" s="7" t="s">
        <v>1</v>
      </c>
      <c r="H7" s="7" t="str">
        <f t="shared" si="0"/>
        <v/>
      </c>
      <c r="I7" s="30">
        <v>0</v>
      </c>
      <c r="J7" s="31" t="str">
        <f t="shared" si="1"/>
        <v/>
      </c>
      <c r="K7" s="31" t="str">
        <f>IFERROR(E7/#REF!,"")</f>
        <v/>
      </c>
      <c r="L7" s="127">
        <v>10817</v>
      </c>
      <c r="M7" s="7" t="s">
        <v>72</v>
      </c>
      <c r="N7" s="7" t="s">
        <v>1</v>
      </c>
      <c r="O7" s="7" t="s">
        <v>1</v>
      </c>
      <c r="P7" s="7" t="s">
        <v>1</v>
      </c>
      <c r="Q7" s="7" t="s">
        <v>1</v>
      </c>
      <c r="R7" s="30">
        <v>0</v>
      </c>
      <c r="S7" s="7">
        <v>0</v>
      </c>
      <c r="T7" s="7" t="s">
        <v>1</v>
      </c>
      <c r="U7" s="7" t="s">
        <v>1</v>
      </c>
      <c r="V7" s="7" t="s">
        <v>1</v>
      </c>
      <c r="W7" s="7" t="s">
        <v>72</v>
      </c>
      <c r="X7" s="7" t="s">
        <v>1</v>
      </c>
      <c r="Y7" s="7" t="s">
        <v>72</v>
      </c>
      <c r="Z7" s="7" t="s">
        <v>1</v>
      </c>
      <c r="AA7" s="30" t="s">
        <v>72</v>
      </c>
      <c r="AB7" s="7" t="s">
        <v>1</v>
      </c>
      <c r="AC7" s="7" t="s">
        <v>72</v>
      </c>
      <c r="AD7" s="7">
        <v>19</v>
      </c>
      <c r="AE7" s="7" t="s">
        <v>72</v>
      </c>
      <c r="AF7" s="7" t="s">
        <v>1</v>
      </c>
      <c r="AG7" s="7" t="s">
        <v>72</v>
      </c>
      <c r="AH7" s="7">
        <v>1221</v>
      </c>
      <c r="AI7" s="7" t="s">
        <v>72</v>
      </c>
      <c r="AJ7" s="7">
        <v>399</v>
      </c>
      <c r="AK7" s="7" t="s">
        <v>72</v>
      </c>
      <c r="AL7" s="7">
        <v>36</v>
      </c>
      <c r="AM7" s="7" t="s">
        <v>72</v>
      </c>
      <c r="AN7" s="7">
        <v>13</v>
      </c>
      <c r="AO7" s="7" t="s">
        <v>72</v>
      </c>
      <c r="AP7" s="7">
        <v>543</v>
      </c>
      <c r="AQ7" s="7" t="s">
        <v>72</v>
      </c>
      <c r="AR7" s="7">
        <v>156</v>
      </c>
      <c r="AS7" s="7" t="s">
        <v>72</v>
      </c>
      <c r="AT7" s="306">
        <v>0</v>
      </c>
      <c r="AU7" s="7" t="s">
        <v>72</v>
      </c>
      <c r="AV7" s="7" t="s">
        <v>1</v>
      </c>
      <c r="AW7" s="7" t="s">
        <v>1</v>
      </c>
      <c r="AX7" s="7" t="s">
        <v>1</v>
      </c>
      <c r="AY7" s="7" t="s">
        <v>1</v>
      </c>
      <c r="AZ7" s="7" t="s">
        <v>1</v>
      </c>
      <c r="BA7" s="7" t="s">
        <v>1</v>
      </c>
      <c r="BB7" s="7" t="s">
        <v>1</v>
      </c>
      <c r="BC7" s="7" t="s">
        <v>1</v>
      </c>
      <c r="BD7" s="7" t="s">
        <v>1</v>
      </c>
      <c r="BE7" s="7" t="s">
        <v>1</v>
      </c>
      <c r="BF7" s="7" t="s">
        <v>1</v>
      </c>
      <c r="BG7" s="7" t="s">
        <v>1</v>
      </c>
      <c r="BH7" s="31">
        <v>1</v>
      </c>
      <c r="BI7" s="7" t="s">
        <v>73</v>
      </c>
      <c r="BJ7" s="7">
        <v>92</v>
      </c>
      <c r="BK7" s="7">
        <v>771</v>
      </c>
      <c r="BL7" s="7" t="s">
        <v>72</v>
      </c>
      <c r="BM7" s="7" t="s">
        <v>74</v>
      </c>
      <c r="BN7" s="7">
        <v>553</v>
      </c>
      <c r="BO7" s="7">
        <v>198</v>
      </c>
      <c r="BP7" s="7" t="s">
        <v>72</v>
      </c>
      <c r="BQ7" s="7" t="s">
        <v>1</v>
      </c>
      <c r="BR7" s="7" t="s">
        <v>1</v>
      </c>
      <c r="BS7" s="7" t="s">
        <v>1</v>
      </c>
      <c r="BT7" s="7" t="s">
        <v>1</v>
      </c>
      <c r="BU7" s="7" t="s">
        <v>1</v>
      </c>
      <c r="BV7" s="118" t="s">
        <v>76</v>
      </c>
      <c r="BW7" s="307" t="s">
        <v>77</v>
      </c>
      <c r="BX7" s="118" t="s">
        <v>78</v>
      </c>
      <c r="BY7" s="118" t="s">
        <v>79</v>
      </c>
      <c r="BZ7" s="118" t="s">
        <v>80</v>
      </c>
      <c r="CA7" s="118" t="s">
        <v>81</v>
      </c>
      <c r="CB7" s="307" t="s">
        <v>82</v>
      </c>
      <c r="CC7" s="118" t="s">
        <v>83</v>
      </c>
      <c r="CD7" s="118" t="s">
        <v>84</v>
      </c>
      <c r="CE7" s="308" t="s">
        <v>85</v>
      </c>
      <c r="CF7" s="7" t="s">
        <v>1</v>
      </c>
    </row>
    <row r="8" ht="21" customHeight="1" spans="1:84">
      <c r="A8" s="29">
        <v>45111</v>
      </c>
      <c r="B8" s="7" t="s">
        <v>70</v>
      </c>
      <c r="C8" s="7" t="s">
        <v>71</v>
      </c>
      <c r="D8" s="30" t="s">
        <v>1</v>
      </c>
      <c r="E8" s="30" t="s">
        <v>1</v>
      </c>
      <c r="F8" s="30">
        <v>11.3064</v>
      </c>
      <c r="G8" s="7" t="s">
        <v>1</v>
      </c>
      <c r="H8" s="7" t="str">
        <f t="shared" si="0"/>
        <v/>
      </c>
      <c r="I8" s="30">
        <v>6.9279</v>
      </c>
      <c r="J8" s="31" t="str">
        <f t="shared" si="1"/>
        <v/>
      </c>
      <c r="K8" s="31" t="str">
        <f>IFERROR(E8/#REF!,"")</f>
        <v/>
      </c>
      <c r="L8" s="127">
        <v>27091</v>
      </c>
      <c r="M8" s="7" t="s">
        <v>72</v>
      </c>
      <c r="N8" s="7" t="s">
        <v>1</v>
      </c>
      <c r="O8" s="7" t="s">
        <v>1</v>
      </c>
      <c r="P8" s="7" t="s">
        <v>1</v>
      </c>
      <c r="Q8" s="7" t="s">
        <v>1</v>
      </c>
      <c r="R8" s="30">
        <v>0</v>
      </c>
      <c r="S8" s="7">
        <v>0</v>
      </c>
      <c r="T8" s="7" t="s">
        <v>1</v>
      </c>
      <c r="U8" s="7" t="s">
        <v>1</v>
      </c>
      <c r="V8" s="7" t="s">
        <v>1</v>
      </c>
      <c r="W8" s="7" t="s">
        <v>72</v>
      </c>
      <c r="X8" s="7" t="s">
        <v>1</v>
      </c>
      <c r="Y8" s="7" t="s">
        <v>72</v>
      </c>
      <c r="Z8" s="7" t="s">
        <v>1</v>
      </c>
      <c r="AA8" s="30" t="s">
        <v>72</v>
      </c>
      <c r="AB8" s="7" t="s">
        <v>1</v>
      </c>
      <c r="AC8" s="7" t="s">
        <v>72</v>
      </c>
      <c r="AD8" s="7">
        <v>33</v>
      </c>
      <c r="AE8" s="7" t="s">
        <v>72</v>
      </c>
      <c r="AF8" s="7" t="s">
        <v>1</v>
      </c>
      <c r="AG8" s="7" t="s">
        <v>72</v>
      </c>
      <c r="AH8" s="7">
        <v>1259</v>
      </c>
      <c r="AI8" s="7" t="s">
        <v>72</v>
      </c>
      <c r="AJ8" s="7">
        <v>378</v>
      </c>
      <c r="AK8" s="7" t="s">
        <v>72</v>
      </c>
      <c r="AL8" s="7">
        <v>35</v>
      </c>
      <c r="AM8" s="7" t="s">
        <v>72</v>
      </c>
      <c r="AN8" s="7">
        <v>16</v>
      </c>
      <c r="AO8" s="7" t="s">
        <v>72</v>
      </c>
      <c r="AP8" s="7">
        <v>525</v>
      </c>
      <c r="AQ8" s="7" t="s">
        <v>72</v>
      </c>
      <c r="AR8" s="7">
        <v>141</v>
      </c>
      <c r="AS8" s="7" t="s">
        <v>72</v>
      </c>
      <c r="AT8" s="306">
        <v>0.0256</v>
      </c>
      <c r="AU8" s="7" t="s">
        <v>72</v>
      </c>
      <c r="AV8" s="7" t="s">
        <v>1</v>
      </c>
      <c r="AW8" s="7" t="s">
        <v>1</v>
      </c>
      <c r="AX8" s="7" t="s">
        <v>1</v>
      </c>
      <c r="AY8" s="7" t="s">
        <v>1</v>
      </c>
      <c r="AZ8" s="7" t="s">
        <v>1</v>
      </c>
      <c r="BA8" s="7" t="s">
        <v>1</v>
      </c>
      <c r="BB8" s="7" t="s">
        <v>1</v>
      </c>
      <c r="BC8" s="7" t="s">
        <v>1</v>
      </c>
      <c r="BD8" s="7" t="s">
        <v>1</v>
      </c>
      <c r="BE8" s="7" t="s">
        <v>1</v>
      </c>
      <c r="BF8" s="7" t="s">
        <v>1</v>
      </c>
      <c r="BG8" s="7" t="s">
        <v>1</v>
      </c>
      <c r="BH8" s="31">
        <v>1</v>
      </c>
      <c r="BI8" s="7" t="s">
        <v>73</v>
      </c>
      <c r="BJ8" s="7">
        <v>93</v>
      </c>
      <c r="BK8" s="7">
        <v>743</v>
      </c>
      <c r="BL8" s="7" t="s">
        <v>72</v>
      </c>
      <c r="BM8" s="7" t="s">
        <v>74</v>
      </c>
      <c r="BN8" s="7">
        <v>447</v>
      </c>
      <c r="BO8" s="7">
        <v>248</v>
      </c>
      <c r="BP8" s="7" t="s">
        <v>72</v>
      </c>
      <c r="BQ8" s="7" t="s">
        <v>1</v>
      </c>
      <c r="BR8" s="7" t="s">
        <v>1</v>
      </c>
      <c r="BS8" s="7" t="s">
        <v>1</v>
      </c>
      <c r="BT8" s="7" t="s">
        <v>1</v>
      </c>
      <c r="BU8" s="7" t="s">
        <v>1</v>
      </c>
      <c r="BV8" s="118" t="s">
        <v>1</v>
      </c>
      <c r="BW8" s="307" t="s">
        <v>1</v>
      </c>
      <c r="BX8" s="118" t="s">
        <v>1</v>
      </c>
      <c r="BY8" s="118" t="s">
        <v>1</v>
      </c>
      <c r="BZ8" s="118" t="s">
        <v>1</v>
      </c>
      <c r="CA8" s="118" t="s">
        <v>1</v>
      </c>
      <c r="CB8" s="307" t="s">
        <v>1</v>
      </c>
      <c r="CC8" s="118" t="s">
        <v>1</v>
      </c>
      <c r="CD8" s="118" t="s">
        <v>1</v>
      </c>
      <c r="CE8" s="308" t="s">
        <v>1</v>
      </c>
      <c r="CF8" s="7" t="s">
        <v>1</v>
      </c>
    </row>
    <row r="9" ht="21" customHeight="1" spans="1:84">
      <c r="A9" s="29">
        <v>45112</v>
      </c>
      <c r="B9" s="7" t="s">
        <v>70</v>
      </c>
      <c r="C9" s="7" t="s">
        <v>71</v>
      </c>
      <c r="D9" s="30" t="s">
        <v>1</v>
      </c>
      <c r="E9" s="30" t="s">
        <v>1</v>
      </c>
      <c r="F9" s="30">
        <v>8.687</v>
      </c>
      <c r="G9" s="7" t="s">
        <v>1</v>
      </c>
      <c r="H9" s="7" t="str">
        <f t="shared" si="0"/>
        <v/>
      </c>
      <c r="I9" s="30">
        <v>10.5571</v>
      </c>
      <c r="J9" s="31" t="str">
        <f t="shared" si="1"/>
        <v/>
      </c>
      <c r="K9" s="31" t="str">
        <f>IFERROR(E9/#REF!,"")</f>
        <v/>
      </c>
      <c r="L9" s="127">
        <v>44505</v>
      </c>
      <c r="M9" s="7" t="s">
        <v>72</v>
      </c>
      <c r="N9" s="7" t="s">
        <v>1</v>
      </c>
      <c r="O9" s="7" t="s">
        <v>1</v>
      </c>
      <c r="P9" s="7" t="s">
        <v>1</v>
      </c>
      <c r="Q9" s="7" t="s">
        <v>1</v>
      </c>
      <c r="R9" s="30">
        <v>0</v>
      </c>
      <c r="S9" s="7">
        <v>0</v>
      </c>
      <c r="T9" s="7" t="s">
        <v>1</v>
      </c>
      <c r="U9" s="7" t="s">
        <v>1</v>
      </c>
      <c r="V9" s="7" t="s">
        <v>1</v>
      </c>
      <c r="W9" s="7" t="s">
        <v>72</v>
      </c>
      <c r="X9" s="7" t="s">
        <v>1</v>
      </c>
      <c r="Y9" s="7" t="s">
        <v>72</v>
      </c>
      <c r="Z9" s="7" t="s">
        <v>1</v>
      </c>
      <c r="AA9" s="30" t="s">
        <v>72</v>
      </c>
      <c r="AB9" s="7" t="s">
        <v>1</v>
      </c>
      <c r="AC9" s="7" t="s">
        <v>72</v>
      </c>
      <c r="AD9" s="7">
        <v>27</v>
      </c>
      <c r="AE9" s="7" t="s">
        <v>72</v>
      </c>
      <c r="AF9" s="7" t="s">
        <v>1</v>
      </c>
      <c r="AG9" s="7" t="s">
        <v>72</v>
      </c>
      <c r="AH9" s="7">
        <v>1459</v>
      </c>
      <c r="AI9" s="7" t="s">
        <v>72</v>
      </c>
      <c r="AJ9" s="7">
        <v>414</v>
      </c>
      <c r="AK9" s="7" t="s">
        <v>72</v>
      </c>
      <c r="AL9" s="7">
        <v>49</v>
      </c>
      <c r="AM9" s="7" t="s">
        <v>72</v>
      </c>
      <c r="AN9" s="7">
        <v>16</v>
      </c>
      <c r="AO9" s="7" t="s">
        <v>72</v>
      </c>
      <c r="AP9" s="7">
        <v>697</v>
      </c>
      <c r="AQ9" s="7" t="s">
        <v>72</v>
      </c>
      <c r="AR9" s="7">
        <v>119</v>
      </c>
      <c r="AS9" s="7" t="s">
        <v>72</v>
      </c>
      <c r="AT9" s="306">
        <v>0.0165</v>
      </c>
      <c r="AU9" s="7" t="s">
        <v>72</v>
      </c>
      <c r="AV9" s="7" t="s">
        <v>1</v>
      </c>
      <c r="AW9" s="7" t="s">
        <v>1</v>
      </c>
      <c r="AX9" s="7" t="s">
        <v>1</v>
      </c>
      <c r="AY9" s="7" t="s">
        <v>1</v>
      </c>
      <c r="AZ9" s="7" t="s">
        <v>1</v>
      </c>
      <c r="BA9" s="7" t="s">
        <v>1</v>
      </c>
      <c r="BB9" s="7" t="s">
        <v>1</v>
      </c>
      <c r="BC9" s="7" t="s">
        <v>1</v>
      </c>
      <c r="BD9" s="7" t="s">
        <v>1</v>
      </c>
      <c r="BE9" s="7" t="s">
        <v>1</v>
      </c>
      <c r="BF9" s="7" t="s">
        <v>1</v>
      </c>
      <c r="BG9" s="7" t="s">
        <v>1</v>
      </c>
      <c r="BH9" s="31">
        <v>0.95</v>
      </c>
      <c r="BI9" s="7" t="s">
        <v>73</v>
      </c>
      <c r="BJ9" s="7">
        <v>68</v>
      </c>
      <c r="BK9" s="7">
        <v>961</v>
      </c>
      <c r="BL9" s="7" t="s">
        <v>72</v>
      </c>
      <c r="BM9" s="7" t="s">
        <v>74</v>
      </c>
      <c r="BN9" s="7">
        <v>319</v>
      </c>
      <c r="BO9" s="7">
        <v>357</v>
      </c>
      <c r="BP9" s="7" t="s">
        <v>72</v>
      </c>
      <c r="BQ9" s="7" t="s">
        <v>1</v>
      </c>
      <c r="BR9" s="7" t="s">
        <v>1</v>
      </c>
      <c r="BS9" s="7" t="s">
        <v>1</v>
      </c>
      <c r="BT9" s="7" t="s">
        <v>1</v>
      </c>
      <c r="BU9" s="7" t="s">
        <v>1</v>
      </c>
      <c r="BV9" s="118" t="s">
        <v>1</v>
      </c>
      <c r="BW9" s="307" t="s">
        <v>1</v>
      </c>
      <c r="BX9" s="118" t="s">
        <v>1</v>
      </c>
      <c r="BY9" s="118" t="s">
        <v>1</v>
      </c>
      <c r="BZ9" s="118" t="s">
        <v>1</v>
      </c>
      <c r="CA9" s="118" t="s">
        <v>1</v>
      </c>
      <c r="CB9" s="307" t="s">
        <v>1</v>
      </c>
      <c r="CC9" s="118" t="s">
        <v>1</v>
      </c>
      <c r="CD9" s="118" t="s">
        <v>1</v>
      </c>
      <c r="CE9" s="308" t="s">
        <v>1</v>
      </c>
      <c r="CF9" s="7" t="s">
        <v>1</v>
      </c>
    </row>
    <row r="10" ht="21" customHeight="1" spans="1:84">
      <c r="A10" s="29">
        <v>45113</v>
      </c>
      <c r="B10" s="307" t="s">
        <v>75</v>
      </c>
      <c r="C10" s="7" t="s">
        <v>71</v>
      </c>
      <c r="D10" s="30" t="s">
        <v>1</v>
      </c>
      <c r="E10" s="30" t="s">
        <v>1</v>
      </c>
      <c r="F10" s="30">
        <v>0.2799</v>
      </c>
      <c r="G10" s="7" t="s">
        <v>1</v>
      </c>
      <c r="H10" s="7" t="str">
        <f t="shared" si="0"/>
        <v/>
      </c>
      <c r="I10" s="30">
        <v>0.8998</v>
      </c>
      <c r="J10" s="31" t="str">
        <f t="shared" si="1"/>
        <v/>
      </c>
      <c r="K10" s="31" t="str">
        <f>IFERROR(E10/#REF!,"")</f>
        <v/>
      </c>
      <c r="L10" s="127">
        <v>8757</v>
      </c>
      <c r="M10" s="7" t="s">
        <v>72</v>
      </c>
      <c r="N10" s="7" t="s">
        <v>1</v>
      </c>
      <c r="O10" s="7" t="s">
        <v>1</v>
      </c>
      <c r="P10" s="7" t="s">
        <v>1</v>
      </c>
      <c r="Q10" s="7" t="s">
        <v>1</v>
      </c>
      <c r="R10" s="30">
        <v>0</v>
      </c>
      <c r="S10" s="7">
        <v>0</v>
      </c>
      <c r="T10" s="7" t="s">
        <v>1</v>
      </c>
      <c r="U10" s="7" t="s">
        <v>1</v>
      </c>
      <c r="V10" s="7" t="s">
        <v>1</v>
      </c>
      <c r="W10" s="7" t="s">
        <v>72</v>
      </c>
      <c r="X10" s="7" t="s">
        <v>1</v>
      </c>
      <c r="Y10" s="7" t="s">
        <v>72</v>
      </c>
      <c r="Z10" s="7" t="s">
        <v>1</v>
      </c>
      <c r="AA10" s="30" t="s">
        <v>72</v>
      </c>
      <c r="AB10" s="7" t="s">
        <v>1</v>
      </c>
      <c r="AC10" s="7" t="s">
        <v>72</v>
      </c>
      <c r="AD10" s="7">
        <v>22</v>
      </c>
      <c r="AE10" s="7" t="s">
        <v>72</v>
      </c>
      <c r="AF10" s="7" t="s">
        <v>1</v>
      </c>
      <c r="AG10" s="7" t="s">
        <v>72</v>
      </c>
      <c r="AH10" s="7">
        <v>973</v>
      </c>
      <c r="AI10" s="7" t="s">
        <v>72</v>
      </c>
      <c r="AJ10" s="7">
        <v>430</v>
      </c>
      <c r="AK10" s="7" t="s">
        <v>72</v>
      </c>
      <c r="AL10" s="7">
        <v>33</v>
      </c>
      <c r="AM10" s="7" t="s">
        <v>72</v>
      </c>
      <c r="AN10" s="7">
        <v>16</v>
      </c>
      <c r="AO10" s="7" t="s">
        <v>72</v>
      </c>
      <c r="AP10" s="7">
        <v>377</v>
      </c>
      <c r="AQ10" s="7" t="s">
        <v>72</v>
      </c>
      <c r="AR10" s="7">
        <v>113</v>
      </c>
      <c r="AS10" s="7" t="s">
        <v>72</v>
      </c>
      <c r="AT10" s="306">
        <v>0</v>
      </c>
      <c r="AU10" s="7" t="s">
        <v>72</v>
      </c>
      <c r="AV10" s="7" t="s">
        <v>1</v>
      </c>
      <c r="AW10" s="7" t="s">
        <v>1</v>
      </c>
      <c r="AX10" s="7" t="s">
        <v>1</v>
      </c>
      <c r="AY10" s="7" t="s">
        <v>1</v>
      </c>
      <c r="AZ10" s="7" t="s">
        <v>1</v>
      </c>
      <c r="BA10" s="7" t="s">
        <v>1</v>
      </c>
      <c r="BB10" s="7" t="s">
        <v>1</v>
      </c>
      <c r="BC10" s="7" t="s">
        <v>1</v>
      </c>
      <c r="BD10" s="7" t="s">
        <v>1</v>
      </c>
      <c r="BE10" s="7" t="s">
        <v>1</v>
      </c>
      <c r="BF10" s="7" t="s">
        <v>1</v>
      </c>
      <c r="BG10" s="7" t="s">
        <v>1</v>
      </c>
      <c r="BH10" s="31">
        <v>0.95</v>
      </c>
      <c r="BI10" s="7" t="s">
        <v>74</v>
      </c>
      <c r="BJ10" s="7">
        <v>121</v>
      </c>
      <c r="BK10" s="7">
        <v>482</v>
      </c>
      <c r="BL10" s="7" t="s">
        <v>72</v>
      </c>
      <c r="BM10" s="7" t="s">
        <v>74</v>
      </c>
      <c r="BN10" s="7">
        <v>464</v>
      </c>
      <c r="BO10" s="7">
        <v>229</v>
      </c>
      <c r="BP10" s="7" t="s">
        <v>72</v>
      </c>
      <c r="BQ10" s="7" t="s">
        <v>1</v>
      </c>
      <c r="BR10" s="7" t="s">
        <v>1</v>
      </c>
      <c r="BS10" s="7" t="s">
        <v>1</v>
      </c>
      <c r="BT10" s="7" t="s">
        <v>1</v>
      </c>
      <c r="BU10" s="7" t="s">
        <v>1</v>
      </c>
      <c r="BV10" s="118" t="s">
        <v>1</v>
      </c>
      <c r="BW10" s="307" t="s">
        <v>1</v>
      </c>
      <c r="BX10" s="118" t="s">
        <v>1</v>
      </c>
      <c r="BY10" s="118" t="s">
        <v>1</v>
      </c>
      <c r="BZ10" s="118" t="s">
        <v>1</v>
      </c>
      <c r="CA10" s="118" t="s">
        <v>1</v>
      </c>
      <c r="CB10" s="307" t="s">
        <v>1</v>
      </c>
      <c r="CC10" s="118" t="s">
        <v>1</v>
      </c>
      <c r="CD10" s="118" t="s">
        <v>1</v>
      </c>
      <c r="CE10" s="308" t="s">
        <v>1</v>
      </c>
      <c r="CF10" s="7" t="s">
        <v>1</v>
      </c>
    </row>
    <row r="11" ht="21" customHeight="1" spans="1:84">
      <c r="A11" s="29">
        <v>45114</v>
      </c>
      <c r="B11" s="7" t="s">
        <v>70</v>
      </c>
      <c r="C11" s="7" t="s">
        <v>71</v>
      </c>
      <c r="D11" s="30" t="s">
        <v>1</v>
      </c>
      <c r="E11" s="30" t="s">
        <v>1</v>
      </c>
      <c r="F11" s="30">
        <v>8.697</v>
      </c>
      <c r="G11" s="7" t="s">
        <v>1</v>
      </c>
      <c r="H11" s="7" t="str">
        <f t="shared" si="0"/>
        <v/>
      </c>
      <c r="I11" s="30">
        <v>8.9073</v>
      </c>
      <c r="J11" s="31" t="str">
        <f t="shared" si="1"/>
        <v/>
      </c>
      <c r="K11" s="31" t="str">
        <f>IFERROR(E11/#REF!,"")</f>
        <v/>
      </c>
      <c r="L11" s="127">
        <v>28790</v>
      </c>
      <c r="M11" s="7" t="s">
        <v>72</v>
      </c>
      <c r="N11" s="7" t="s">
        <v>1</v>
      </c>
      <c r="O11" s="7" t="s">
        <v>1</v>
      </c>
      <c r="P11" s="7" t="s">
        <v>1</v>
      </c>
      <c r="Q11" s="7" t="s">
        <v>1</v>
      </c>
      <c r="R11" s="30">
        <v>0</v>
      </c>
      <c r="S11" s="7">
        <v>0</v>
      </c>
      <c r="T11" s="7" t="s">
        <v>1</v>
      </c>
      <c r="U11" s="7" t="s">
        <v>1</v>
      </c>
      <c r="V11" s="7" t="s">
        <v>1</v>
      </c>
      <c r="W11" s="7" t="s">
        <v>72</v>
      </c>
      <c r="X11" s="7" t="s">
        <v>1</v>
      </c>
      <c r="Y11" s="7" t="s">
        <v>72</v>
      </c>
      <c r="Z11" s="7" t="s">
        <v>1</v>
      </c>
      <c r="AA11" s="30" t="s">
        <v>72</v>
      </c>
      <c r="AB11" s="7" t="s">
        <v>1</v>
      </c>
      <c r="AC11" s="7" t="s">
        <v>72</v>
      </c>
      <c r="AD11" s="7">
        <v>24</v>
      </c>
      <c r="AE11" s="7" t="s">
        <v>72</v>
      </c>
      <c r="AF11" s="7" t="s">
        <v>1</v>
      </c>
      <c r="AG11" s="7" t="s">
        <v>72</v>
      </c>
      <c r="AH11" s="7">
        <v>1219</v>
      </c>
      <c r="AI11" s="7" t="s">
        <v>72</v>
      </c>
      <c r="AJ11" s="7">
        <v>361</v>
      </c>
      <c r="AK11" s="7" t="s">
        <v>72</v>
      </c>
      <c r="AL11" s="7">
        <v>23</v>
      </c>
      <c r="AM11" s="7" t="s">
        <v>72</v>
      </c>
      <c r="AN11" s="7">
        <v>13</v>
      </c>
      <c r="AO11" s="7" t="s">
        <v>72</v>
      </c>
      <c r="AP11" s="7">
        <v>628</v>
      </c>
      <c r="AQ11" s="7" t="s">
        <v>72</v>
      </c>
      <c r="AR11" s="7">
        <v>91</v>
      </c>
      <c r="AS11" s="7" t="s">
        <v>72</v>
      </c>
      <c r="AT11" s="306">
        <v>0.0189</v>
      </c>
      <c r="AU11" s="7" t="s">
        <v>72</v>
      </c>
      <c r="AV11" s="7" t="s">
        <v>1</v>
      </c>
      <c r="AW11" s="7" t="s">
        <v>1</v>
      </c>
      <c r="AX11" s="7" t="s">
        <v>1</v>
      </c>
      <c r="AY11" s="7" t="s">
        <v>1</v>
      </c>
      <c r="AZ11" s="7" t="s">
        <v>1</v>
      </c>
      <c r="BA11" s="7" t="s">
        <v>1</v>
      </c>
      <c r="BB11" s="7" t="s">
        <v>1</v>
      </c>
      <c r="BC11" s="7" t="s">
        <v>1</v>
      </c>
      <c r="BD11" s="7" t="s">
        <v>1</v>
      </c>
      <c r="BE11" s="7" t="s">
        <v>1</v>
      </c>
      <c r="BF11" s="7" t="s">
        <v>1</v>
      </c>
      <c r="BG11" s="7" t="s">
        <v>1</v>
      </c>
      <c r="BH11" s="31">
        <v>0.95</v>
      </c>
      <c r="BI11" s="7" t="s">
        <v>73</v>
      </c>
      <c r="BJ11" s="7">
        <v>90</v>
      </c>
      <c r="BK11" s="7">
        <v>684</v>
      </c>
      <c r="BL11" s="7" t="s">
        <v>72</v>
      </c>
      <c r="BM11" s="7" t="s">
        <v>74</v>
      </c>
      <c r="BN11" s="7">
        <v>427</v>
      </c>
      <c r="BO11" s="7">
        <v>233</v>
      </c>
      <c r="BP11" s="7" t="s">
        <v>72</v>
      </c>
      <c r="BQ11" s="7" t="s">
        <v>1</v>
      </c>
      <c r="BR11" s="7" t="s">
        <v>1</v>
      </c>
      <c r="BS11" s="7" t="s">
        <v>1</v>
      </c>
      <c r="BT11" s="7" t="s">
        <v>1</v>
      </c>
      <c r="BU11" s="7" t="s">
        <v>1</v>
      </c>
      <c r="BV11" s="118" t="s">
        <v>1</v>
      </c>
      <c r="BW11" s="307" t="s">
        <v>1</v>
      </c>
      <c r="BX11" s="118" t="s">
        <v>1</v>
      </c>
      <c r="BY11" s="118" t="s">
        <v>1</v>
      </c>
      <c r="BZ11" s="118" t="s">
        <v>1</v>
      </c>
      <c r="CA11" s="118" t="s">
        <v>1</v>
      </c>
      <c r="CB11" s="307" t="s">
        <v>1</v>
      </c>
      <c r="CC11" s="118" t="s">
        <v>1</v>
      </c>
      <c r="CD11" s="118" t="s">
        <v>1</v>
      </c>
      <c r="CE11" s="308" t="s">
        <v>1</v>
      </c>
      <c r="CF11" s="7" t="s">
        <v>1</v>
      </c>
    </row>
    <row r="12" ht="21" customHeight="1" spans="1:84">
      <c r="A12" s="29">
        <v>45115</v>
      </c>
      <c r="B12" s="7" t="s">
        <v>70</v>
      </c>
      <c r="C12" s="7" t="s">
        <v>71</v>
      </c>
      <c r="D12" s="30" t="s">
        <v>1</v>
      </c>
      <c r="E12" s="30" t="s">
        <v>1</v>
      </c>
      <c r="F12" s="30">
        <v>5.798</v>
      </c>
      <c r="G12" s="7" t="s">
        <v>1</v>
      </c>
      <c r="H12" s="7" t="str">
        <f t="shared" si="0"/>
        <v/>
      </c>
      <c r="I12" s="30">
        <v>5.9385</v>
      </c>
      <c r="J12" s="31" t="str">
        <f t="shared" si="1"/>
        <v/>
      </c>
      <c r="K12" s="31" t="str">
        <f>IFERROR(E12/#REF!,"")</f>
        <v/>
      </c>
      <c r="L12" s="127">
        <v>14405</v>
      </c>
      <c r="M12" s="7" t="s">
        <v>72</v>
      </c>
      <c r="N12" s="7" t="s">
        <v>1</v>
      </c>
      <c r="O12" s="7" t="s">
        <v>1</v>
      </c>
      <c r="P12" s="31" t="s">
        <v>1</v>
      </c>
      <c r="Q12" s="7" t="s">
        <v>1</v>
      </c>
      <c r="R12" s="30">
        <v>0</v>
      </c>
      <c r="S12" s="7">
        <v>0</v>
      </c>
      <c r="T12" s="7" t="s">
        <v>1</v>
      </c>
      <c r="U12" s="7" t="s">
        <v>1</v>
      </c>
      <c r="V12" s="7" t="s">
        <v>1</v>
      </c>
      <c r="W12" s="7" t="s">
        <v>72</v>
      </c>
      <c r="X12" s="7" t="s">
        <v>1</v>
      </c>
      <c r="Y12" s="7" t="s">
        <v>72</v>
      </c>
      <c r="Z12" s="7" t="s">
        <v>1</v>
      </c>
      <c r="AA12" s="30" t="s">
        <v>72</v>
      </c>
      <c r="AB12" s="7" t="s">
        <v>1</v>
      </c>
      <c r="AC12" s="7" t="s">
        <v>72</v>
      </c>
      <c r="AD12" s="7">
        <v>24</v>
      </c>
      <c r="AE12" s="7" t="s">
        <v>72</v>
      </c>
      <c r="AF12" s="7" t="s">
        <v>1</v>
      </c>
      <c r="AG12" s="7" t="s">
        <v>72</v>
      </c>
      <c r="AH12" s="7">
        <v>1471</v>
      </c>
      <c r="AI12" s="7" t="s">
        <v>72</v>
      </c>
      <c r="AJ12" s="7">
        <v>468</v>
      </c>
      <c r="AK12" s="7" t="s">
        <v>72</v>
      </c>
      <c r="AL12" s="7">
        <v>41</v>
      </c>
      <c r="AM12" s="7" t="s">
        <v>72</v>
      </c>
      <c r="AN12" s="7">
        <v>11</v>
      </c>
      <c r="AO12" s="7" t="s">
        <v>72</v>
      </c>
      <c r="AP12" s="7">
        <v>799</v>
      </c>
      <c r="AQ12" s="7" t="s">
        <v>72</v>
      </c>
      <c r="AR12" s="7">
        <v>106</v>
      </c>
      <c r="AS12" s="7" t="s">
        <v>72</v>
      </c>
      <c r="AT12" s="306">
        <v>0.0111</v>
      </c>
      <c r="AU12" s="7" t="s">
        <v>72</v>
      </c>
      <c r="AV12" s="7" t="s">
        <v>1</v>
      </c>
      <c r="AW12" s="7" t="s">
        <v>1</v>
      </c>
      <c r="AX12" s="7" t="s">
        <v>1</v>
      </c>
      <c r="AY12" s="7" t="s">
        <v>1</v>
      </c>
      <c r="AZ12" s="7" t="s">
        <v>1</v>
      </c>
      <c r="BA12" s="7" t="s">
        <v>1</v>
      </c>
      <c r="BB12" s="7" t="s">
        <v>1</v>
      </c>
      <c r="BC12" s="7" t="s">
        <v>1</v>
      </c>
      <c r="BD12" s="7" t="s">
        <v>1</v>
      </c>
      <c r="BE12" s="7" t="s">
        <v>1</v>
      </c>
      <c r="BF12" s="7" t="s">
        <v>1</v>
      </c>
      <c r="BG12" s="7" t="s">
        <v>1</v>
      </c>
      <c r="BH12" s="31">
        <v>0.93</v>
      </c>
      <c r="BI12" s="7" t="s">
        <v>73</v>
      </c>
      <c r="BJ12" s="7">
        <v>67</v>
      </c>
      <c r="BK12" s="7">
        <v>1041</v>
      </c>
      <c r="BL12" s="7" t="s">
        <v>72</v>
      </c>
      <c r="BM12" s="7" t="s">
        <v>74</v>
      </c>
      <c r="BN12" s="7">
        <v>267</v>
      </c>
      <c r="BO12" s="7">
        <v>470</v>
      </c>
      <c r="BP12" s="7" t="s">
        <v>72</v>
      </c>
      <c r="BQ12" s="7" t="s">
        <v>1</v>
      </c>
      <c r="BR12" s="7" t="s">
        <v>1</v>
      </c>
      <c r="BS12" s="7" t="s">
        <v>1</v>
      </c>
      <c r="BT12" s="7" t="s">
        <v>1</v>
      </c>
      <c r="BU12" s="7" t="s">
        <v>1</v>
      </c>
      <c r="BV12" s="118" t="s">
        <v>1</v>
      </c>
      <c r="BW12" s="307" t="s">
        <v>1</v>
      </c>
      <c r="BX12" s="118" t="s">
        <v>1</v>
      </c>
      <c r="BY12" s="118" t="s">
        <v>1</v>
      </c>
      <c r="BZ12" s="118" t="s">
        <v>1</v>
      </c>
      <c r="CA12" s="118" t="s">
        <v>1</v>
      </c>
      <c r="CB12" s="307" t="s">
        <v>1</v>
      </c>
      <c r="CC12" s="118" t="s">
        <v>1</v>
      </c>
      <c r="CD12" s="118" t="s">
        <v>1</v>
      </c>
      <c r="CE12" s="308" t="s">
        <v>1</v>
      </c>
      <c r="CF12" s="7" t="s">
        <v>1</v>
      </c>
    </row>
    <row r="13" ht="21" customHeight="1" spans="1:84">
      <c r="A13" s="29">
        <v>45116</v>
      </c>
      <c r="B13" s="307" t="s">
        <v>75</v>
      </c>
      <c r="C13" s="7" t="s">
        <v>71</v>
      </c>
      <c r="D13" s="30" t="s">
        <v>1</v>
      </c>
      <c r="E13" s="30" t="s">
        <v>1</v>
      </c>
      <c r="F13" s="30">
        <v>0</v>
      </c>
      <c r="G13" s="7" t="s">
        <v>1</v>
      </c>
      <c r="H13" s="7" t="str">
        <f t="shared" si="0"/>
        <v/>
      </c>
      <c r="I13" s="30">
        <v>0</v>
      </c>
      <c r="J13" s="31" t="str">
        <f t="shared" si="1"/>
        <v/>
      </c>
      <c r="K13" s="31" t="str">
        <f>IFERROR(E13/#REF!,"")</f>
        <v/>
      </c>
      <c r="L13" s="127">
        <v>22082</v>
      </c>
      <c r="M13" s="7" t="s">
        <v>72</v>
      </c>
      <c r="N13" s="7" t="s">
        <v>1</v>
      </c>
      <c r="O13" s="7" t="s">
        <v>1</v>
      </c>
      <c r="P13" s="7" t="s">
        <v>1</v>
      </c>
      <c r="Q13" s="7" t="s">
        <v>1</v>
      </c>
      <c r="R13" s="30">
        <v>0</v>
      </c>
      <c r="S13" s="7">
        <v>0</v>
      </c>
      <c r="T13" s="7" t="s">
        <v>1</v>
      </c>
      <c r="U13" s="7" t="s">
        <v>1</v>
      </c>
      <c r="V13" s="7" t="s">
        <v>1</v>
      </c>
      <c r="W13" s="7" t="s">
        <v>72</v>
      </c>
      <c r="X13" s="7" t="s">
        <v>1</v>
      </c>
      <c r="Y13" s="7" t="s">
        <v>72</v>
      </c>
      <c r="Z13" s="7" t="s">
        <v>1</v>
      </c>
      <c r="AA13" s="30" t="s">
        <v>72</v>
      </c>
      <c r="AB13" s="7" t="s">
        <v>1</v>
      </c>
      <c r="AC13" s="7" t="s">
        <v>72</v>
      </c>
      <c r="AD13" s="7">
        <v>32</v>
      </c>
      <c r="AE13" s="7" t="s">
        <v>72</v>
      </c>
      <c r="AF13" s="7" t="s">
        <v>1</v>
      </c>
      <c r="AG13" s="7" t="s">
        <v>72</v>
      </c>
      <c r="AH13" s="7">
        <v>1237</v>
      </c>
      <c r="AI13" s="7" t="s">
        <v>72</v>
      </c>
      <c r="AJ13" s="7">
        <v>503</v>
      </c>
      <c r="AK13" s="7" t="s">
        <v>72</v>
      </c>
      <c r="AL13" s="7">
        <v>28</v>
      </c>
      <c r="AM13" s="7" t="s">
        <v>72</v>
      </c>
      <c r="AN13" s="7">
        <v>12</v>
      </c>
      <c r="AO13" s="7" t="s">
        <v>72</v>
      </c>
      <c r="AP13" s="7">
        <v>511</v>
      </c>
      <c r="AQ13" s="7" t="s">
        <v>72</v>
      </c>
      <c r="AR13" s="7">
        <v>132</v>
      </c>
      <c r="AS13" s="7" t="s">
        <v>72</v>
      </c>
      <c r="AT13" s="306">
        <v>0</v>
      </c>
      <c r="AU13" s="7" t="s">
        <v>72</v>
      </c>
      <c r="AV13" s="7" t="s">
        <v>1</v>
      </c>
      <c r="AW13" s="7" t="s">
        <v>1</v>
      </c>
      <c r="AX13" s="7" t="s">
        <v>1</v>
      </c>
      <c r="AY13" s="7" t="s">
        <v>1</v>
      </c>
      <c r="AZ13" s="7" t="s">
        <v>1</v>
      </c>
      <c r="BA13" s="7" t="s">
        <v>1</v>
      </c>
      <c r="BB13" s="7" t="s">
        <v>1</v>
      </c>
      <c r="BC13" s="7" t="s">
        <v>1</v>
      </c>
      <c r="BD13" s="7" t="s">
        <v>1</v>
      </c>
      <c r="BE13" s="7" t="s">
        <v>1</v>
      </c>
      <c r="BF13" s="7" t="s">
        <v>1</v>
      </c>
      <c r="BG13" s="7" t="s">
        <v>1</v>
      </c>
      <c r="BH13" s="7" t="s">
        <v>1</v>
      </c>
      <c r="BI13" s="7" t="s">
        <v>73</v>
      </c>
      <c r="BJ13" s="7">
        <v>98</v>
      </c>
      <c r="BK13" s="7">
        <v>741</v>
      </c>
      <c r="BL13" s="7" t="s">
        <v>72</v>
      </c>
      <c r="BM13" s="7" t="s">
        <v>74</v>
      </c>
      <c r="BN13" s="7">
        <v>574</v>
      </c>
      <c r="BO13" s="7">
        <v>192</v>
      </c>
      <c r="BP13" s="7" t="s">
        <v>72</v>
      </c>
      <c r="BQ13" s="7" t="s">
        <v>1</v>
      </c>
      <c r="BR13" s="7" t="s">
        <v>1</v>
      </c>
      <c r="BS13" s="7" t="s">
        <v>1</v>
      </c>
      <c r="BT13" s="7" t="s">
        <v>1</v>
      </c>
      <c r="BU13" s="7" t="s">
        <v>1</v>
      </c>
      <c r="BV13" s="118" t="s">
        <v>1</v>
      </c>
      <c r="BW13" s="307" t="s">
        <v>1</v>
      </c>
      <c r="BX13" s="118" t="s">
        <v>1</v>
      </c>
      <c r="BY13" s="118" t="s">
        <v>1</v>
      </c>
      <c r="BZ13" s="118" t="s">
        <v>1</v>
      </c>
      <c r="CA13" s="118" t="s">
        <v>1</v>
      </c>
      <c r="CB13" s="307" t="s">
        <v>1</v>
      </c>
      <c r="CC13" s="118" t="s">
        <v>1</v>
      </c>
      <c r="CD13" s="118" t="s">
        <v>1</v>
      </c>
      <c r="CE13" s="308" t="s">
        <v>1</v>
      </c>
      <c r="CF13" s="7" t="s">
        <v>1</v>
      </c>
    </row>
    <row r="14" ht="21" customHeight="1" spans="1:84">
      <c r="A14" s="29">
        <v>45117</v>
      </c>
      <c r="B14" s="307" t="s">
        <v>75</v>
      </c>
      <c r="C14" s="7" t="s">
        <v>71</v>
      </c>
      <c r="D14" s="30" t="s">
        <v>1</v>
      </c>
      <c r="E14" s="30" t="s">
        <v>1</v>
      </c>
      <c r="F14" s="30">
        <v>0.5598</v>
      </c>
      <c r="G14" s="7" t="s">
        <v>1</v>
      </c>
      <c r="H14" s="7" t="str">
        <f t="shared" si="0"/>
        <v/>
      </c>
      <c r="I14" s="30">
        <v>0</v>
      </c>
      <c r="J14" s="31" t="str">
        <f t="shared" si="1"/>
        <v/>
      </c>
      <c r="K14" s="31" t="str">
        <f>IFERROR(E14/#REF!,"")</f>
        <v/>
      </c>
      <c r="L14" s="127">
        <v>15715</v>
      </c>
      <c r="M14" s="7" t="s">
        <v>72</v>
      </c>
      <c r="N14" s="7" t="s">
        <v>1</v>
      </c>
      <c r="O14" s="7" t="s">
        <v>1</v>
      </c>
      <c r="P14" s="7" t="s">
        <v>1</v>
      </c>
      <c r="Q14" s="7" t="s">
        <v>1</v>
      </c>
      <c r="R14" s="30">
        <v>0</v>
      </c>
      <c r="S14" s="7">
        <v>0</v>
      </c>
      <c r="T14" s="7" t="s">
        <v>1</v>
      </c>
      <c r="U14" s="7" t="s">
        <v>1</v>
      </c>
      <c r="V14" s="7" t="s">
        <v>1</v>
      </c>
      <c r="W14" s="7" t="s">
        <v>72</v>
      </c>
      <c r="X14" s="7" t="s">
        <v>1</v>
      </c>
      <c r="Y14" s="7" t="s">
        <v>72</v>
      </c>
      <c r="Z14" s="7" t="s">
        <v>1</v>
      </c>
      <c r="AA14" s="30" t="s">
        <v>72</v>
      </c>
      <c r="AB14" s="7" t="s">
        <v>1</v>
      </c>
      <c r="AC14" s="7" t="s">
        <v>72</v>
      </c>
      <c r="AD14" s="7">
        <v>27</v>
      </c>
      <c r="AE14" s="7" t="s">
        <v>72</v>
      </c>
      <c r="AF14" s="7" t="s">
        <v>1</v>
      </c>
      <c r="AG14" s="7" t="s">
        <v>72</v>
      </c>
      <c r="AH14" s="7">
        <v>1008</v>
      </c>
      <c r="AI14" s="7" t="s">
        <v>72</v>
      </c>
      <c r="AJ14" s="7">
        <v>414</v>
      </c>
      <c r="AK14" s="7" t="s">
        <v>72</v>
      </c>
      <c r="AL14" s="7">
        <v>48</v>
      </c>
      <c r="AM14" s="7" t="s">
        <v>72</v>
      </c>
      <c r="AN14" s="7">
        <v>16</v>
      </c>
      <c r="AO14" s="7" t="s">
        <v>72</v>
      </c>
      <c r="AP14" s="7">
        <v>362</v>
      </c>
      <c r="AQ14" s="7" t="s">
        <v>72</v>
      </c>
      <c r="AR14" s="7">
        <v>114</v>
      </c>
      <c r="AS14" s="7" t="s">
        <v>72</v>
      </c>
      <c r="AT14" s="306">
        <v>0</v>
      </c>
      <c r="AU14" s="7" t="s">
        <v>72</v>
      </c>
      <c r="AV14" s="7" t="s">
        <v>1</v>
      </c>
      <c r="AW14" s="7" t="s">
        <v>1</v>
      </c>
      <c r="AX14" s="7" t="s">
        <v>1</v>
      </c>
      <c r="AY14" s="7" t="s">
        <v>1</v>
      </c>
      <c r="AZ14" s="7" t="s">
        <v>1</v>
      </c>
      <c r="BA14" s="7" t="s">
        <v>1</v>
      </c>
      <c r="BB14" s="7" t="s">
        <v>1</v>
      </c>
      <c r="BC14" s="7" t="s">
        <v>1</v>
      </c>
      <c r="BD14" s="7" t="s">
        <v>1</v>
      </c>
      <c r="BE14" s="7" t="s">
        <v>1</v>
      </c>
      <c r="BF14" s="7" t="s">
        <v>1</v>
      </c>
      <c r="BG14" s="7" t="s">
        <v>1</v>
      </c>
      <c r="BH14" s="31">
        <v>0.95</v>
      </c>
      <c r="BI14" s="7" t="s">
        <v>74</v>
      </c>
      <c r="BJ14" s="7">
        <v>162</v>
      </c>
      <c r="BK14" s="7">
        <v>413</v>
      </c>
      <c r="BL14" s="7" t="s">
        <v>72</v>
      </c>
      <c r="BM14" s="7" t="s">
        <v>74</v>
      </c>
      <c r="BN14" s="7">
        <v>779</v>
      </c>
      <c r="BO14" s="7">
        <v>119</v>
      </c>
      <c r="BP14" s="7" t="s">
        <v>72</v>
      </c>
      <c r="BQ14" s="7" t="s">
        <v>1</v>
      </c>
      <c r="BR14" s="7" t="s">
        <v>1</v>
      </c>
      <c r="BS14" s="7" t="s">
        <v>1</v>
      </c>
      <c r="BT14" s="7" t="s">
        <v>1</v>
      </c>
      <c r="BU14" s="7" t="s">
        <v>1</v>
      </c>
      <c r="BV14" s="7" t="s">
        <v>1</v>
      </c>
      <c r="BW14" s="7" t="s">
        <v>1</v>
      </c>
      <c r="BX14" s="7" t="s">
        <v>1</v>
      </c>
      <c r="BY14" s="7" t="s">
        <v>1</v>
      </c>
      <c r="BZ14" s="7" t="s">
        <v>1</v>
      </c>
      <c r="CA14" s="7" t="s">
        <v>1</v>
      </c>
      <c r="CB14" s="7" t="s">
        <v>1</v>
      </c>
      <c r="CC14" s="7" t="s">
        <v>1</v>
      </c>
      <c r="CD14" s="7" t="s">
        <v>1</v>
      </c>
      <c r="CE14" s="7" t="s">
        <v>1</v>
      </c>
      <c r="CF14" s="7" t="s">
        <v>1</v>
      </c>
    </row>
    <row r="15" ht="21" customHeight="1" spans="1:84">
      <c r="A15" s="29">
        <v>45118</v>
      </c>
      <c r="B15" s="7" t="s">
        <v>70</v>
      </c>
      <c r="C15" s="7" t="s">
        <v>71</v>
      </c>
      <c r="D15" s="30" t="s">
        <v>1</v>
      </c>
      <c r="E15" s="30" t="s">
        <v>1</v>
      </c>
      <c r="F15" s="30">
        <v>7.8273</v>
      </c>
      <c r="G15" s="7" t="s">
        <v>1</v>
      </c>
      <c r="H15" s="7" t="str">
        <f t="shared" si="0"/>
        <v/>
      </c>
      <c r="I15" s="30">
        <v>10.5568</v>
      </c>
      <c r="J15" s="31" t="str">
        <f t="shared" si="1"/>
        <v/>
      </c>
      <c r="K15" s="31" t="str">
        <f>IFERROR(E15/#REF!,"")</f>
        <v/>
      </c>
      <c r="L15" s="127">
        <v>61678</v>
      </c>
      <c r="M15" s="7" t="s">
        <v>72</v>
      </c>
      <c r="N15" s="7" t="s">
        <v>1</v>
      </c>
      <c r="O15" s="7" t="s">
        <v>1</v>
      </c>
      <c r="P15" s="7" t="s">
        <v>1</v>
      </c>
      <c r="Q15" s="7" t="s">
        <v>1</v>
      </c>
      <c r="R15" s="30">
        <v>2998</v>
      </c>
      <c r="S15" s="7">
        <v>0</v>
      </c>
      <c r="T15" s="7" t="s">
        <v>1</v>
      </c>
      <c r="U15" s="7" t="s">
        <v>1</v>
      </c>
      <c r="V15" s="7" t="s">
        <v>1</v>
      </c>
      <c r="W15" s="7" t="s">
        <v>72</v>
      </c>
      <c r="X15" s="7" t="s">
        <v>1</v>
      </c>
      <c r="Y15" s="7" t="s">
        <v>72</v>
      </c>
      <c r="Z15" s="7" t="s">
        <v>1</v>
      </c>
      <c r="AA15" s="30" t="s">
        <v>72</v>
      </c>
      <c r="AB15" s="7" t="s">
        <v>1</v>
      </c>
      <c r="AC15" s="7" t="s">
        <v>72</v>
      </c>
      <c r="AD15" s="7">
        <v>44</v>
      </c>
      <c r="AE15" s="7" t="s">
        <v>72</v>
      </c>
      <c r="AF15" s="7" t="s">
        <v>1</v>
      </c>
      <c r="AG15" s="7" t="s">
        <v>72</v>
      </c>
      <c r="AH15" s="7">
        <v>1129</v>
      </c>
      <c r="AI15" s="7" t="s">
        <v>72</v>
      </c>
      <c r="AJ15" s="7">
        <v>443</v>
      </c>
      <c r="AK15" s="7" t="s">
        <v>72</v>
      </c>
      <c r="AL15" s="7">
        <v>45</v>
      </c>
      <c r="AM15" s="7" t="s">
        <v>72</v>
      </c>
      <c r="AN15" s="7">
        <v>6</v>
      </c>
      <c r="AO15" s="7" t="s">
        <v>72</v>
      </c>
      <c r="AP15" s="7">
        <v>500</v>
      </c>
      <c r="AQ15" s="7" t="s">
        <v>72</v>
      </c>
      <c r="AR15" s="7">
        <v>146</v>
      </c>
      <c r="AS15" s="7" t="s">
        <v>72</v>
      </c>
      <c r="AT15" s="306">
        <v>0.018</v>
      </c>
      <c r="AU15" s="7" t="s">
        <v>72</v>
      </c>
      <c r="AV15" s="7" t="s">
        <v>1</v>
      </c>
      <c r="AW15" s="7" t="s">
        <v>1</v>
      </c>
      <c r="AX15" s="7" t="s">
        <v>1</v>
      </c>
      <c r="AY15" s="7" t="s">
        <v>1</v>
      </c>
      <c r="AZ15" s="7" t="s">
        <v>1</v>
      </c>
      <c r="BA15" s="7" t="s">
        <v>1</v>
      </c>
      <c r="BB15" s="7" t="s">
        <v>1</v>
      </c>
      <c r="BC15" s="7" t="s">
        <v>1</v>
      </c>
      <c r="BD15" s="7" t="s">
        <v>1</v>
      </c>
      <c r="BE15" s="7" t="s">
        <v>1</v>
      </c>
      <c r="BF15" s="7" t="s">
        <v>1</v>
      </c>
      <c r="BG15" s="7" t="s">
        <v>1</v>
      </c>
      <c r="BH15" s="7" t="s">
        <v>1</v>
      </c>
      <c r="BI15" s="7" t="s">
        <v>74</v>
      </c>
      <c r="BJ15" s="7">
        <v>102</v>
      </c>
      <c r="BK15" s="7">
        <v>623</v>
      </c>
      <c r="BL15" s="7" t="s">
        <v>72</v>
      </c>
      <c r="BM15" s="7" t="s">
        <v>74</v>
      </c>
      <c r="BN15" s="7">
        <v>467</v>
      </c>
      <c r="BO15" s="7">
        <v>229</v>
      </c>
      <c r="BP15" s="7" t="s">
        <v>72</v>
      </c>
      <c r="BQ15" s="7" t="s">
        <v>1</v>
      </c>
      <c r="BR15" s="7" t="s">
        <v>1</v>
      </c>
      <c r="BS15" s="7" t="s">
        <v>1</v>
      </c>
      <c r="BT15" s="7" t="s">
        <v>1</v>
      </c>
      <c r="BU15" s="7" t="s">
        <v>1</v>
      </c>
      <c r="BV15" s="118" t="s">
        <v>76</v>
      </c>
      <c r="BW15" s="118" t="s">
        <v>79</v>
      </c>
      <c r="BX15" s="118" t="s">
        <v>78</v>
      </c>
      <c r="BY15" s="307" t="s">
        <v>77</v>
      </c>
      <c r="BZ15" s="118" t="s">
        <v>80</v>
      </c>
      <c r="CA15" s="307" t="s">
        <v>82</v>
      </c>
      <c r="CB15" s="118" t="s">
        <v>86</v>
      </c>
      <c r="CC15" s="118" t="s">
        <v>87</v>
      </c>
      <c r="CD15" s="118" t="s">
        <v>81</v>
      </c>
      <c r="CE15" s="309" t="s">
        <v>88</v>
      </c>
      <c r="CF15" s="7" t="s">
        <v>1</v>
      </c>
    </row>
    <row r="16" ht="21" customHeight="1" spans="1:84">
      <c r="A16" s="29">
        <v>45119</v>
      </c>
      <c r="B16" s="7" t="s">
        <v>70</v>
      </c>
      <c r="C16" s="7" t="s">
        <v>71</v>
      </c>
      <c r="D16" s="30" t="s">
        <v>1</v>
      </c>
      <c r="E16" s="30" t="s">
        <v>1</v>
      </c>
      <c r="F16" s="30">
        <v>4.6384</v>
      </c>
      <c r="G16" s="7" t="s">
        <v>1</v>
      </c>
      <c r="H16" s="7" t="str">
        <f t="shared" si="0"/>
        <v/>
      </c>
      <c r="I16" s="30">
        <v>14.3</v>
      </c>
      <c r="J16" s="31" t="str">
        <f t="shared" si="1"/>
        <v/>
      </c>
      <c r="K16" s="31" t="str">
        <f>IFERROR(E16/#REF!,"")</f>
        <v/>
      </c>
      <c r="L16" s="127">
        <v>27290</v>
      </c>
      <c r="M16" s="7" t="s">
        <v>72</v>
      </c>
      <c r="N16" s="7" t="s">
        <v>1</v>
      </c>
      <c r="O16" s="7" t="s">
        <v>1</v>
      </c>
      <c r="P16" s="7" t="s">
        <v>1</v>
      </c>
      <c r="Q16" s="7" t="s">
        <v>1</v>
      </c>
      <c r="R16" s="30">
        <v>2899</v>
      </c>
      <c r="S16" s="7">
        <v>0</v>
      </c>
      <c r="T16" s="7" t="s">
        <v>1</v>
      </c>
      <c r="U16" s="7" t="s">
        <v>1</v>
      </c>
      <c r="V16" s="7" t="s">
        <v>1</v>
      </c>
      <c r="W16" s="7" t="s">
        <v>72</v>
      </c>
      <c r="X16" s="7" t="s">
        <v>1</v>
      </c>
      <c r="Y16" s="7" t="s">
        <v>72</v>
      </c>
      <c r="Z16" s="7" t="s">
        <v>1</v>
      </c>
      <c r="AA16" s="30" t="s">
        <v>72</v>
      </c>
      <c r="AB16" s="7" t="s">
        <v>1</v>
      </c>
      <c r="AC16" s="7" t="s">
        <v>72</v>
      </c>
      <c r="AD16" s="7">
        <v>37</v>
      </c>
      <c r="AE16" s="7" t="s">
        <v>72</v>
      </c>
      <c r="AF16" s="7" t="s">
        <v>1</v>
      </c>
      <c r="AG16" s="7" t="s">
        <v>72</v>
      </c>
      <c r="AH16" s="7">
        <v>1229</v>
      </c>
      <c r="AI16" s="7" t="s">
        <v>72</v>
      </c>
      <c r="AJ16" s="7">
        <v>335</v>
      </c>
      <c r="AK16" s="7" t="s">
        <v>72</v>
      </c>
      <c r="AL16" s="7">
        <v>37</v>
      </c>
      <c r="AM16" s="7" t="s">
        <v>72</v>
      </c>
      <c r="AN16" s="7">
        <v>13</v>
      </c>
      <c r="AO16" s="7" t="s">
        <v>72</v>
      </c>
      <c r="AP16" s="7">
        <v>592</v>
      </c>
      <c r="AQ16" s="7" t="s">
        <v>72</v>
      </c>
      <c r="AR16" s="7">
        <v>120</v>
      </c>
      <c r="AS16" s="7" t="s">
        <v>72</v>
      </c>
      <c r="AT16" s="306">
        <v>0.0109</v>
      </c>
      <c r="AU16" s="7" t="s">
        <v>72</v>
      </c>
      <c r="AV16" s="7" t="s">
        <v>1</v>
      </c>
      <c r="AW16" s="7" t="s">
        <v>1</v>
      </c>
      <c r="AX16" s="7" t="s">
        <v>1</v>
      </c>
      <c r="AY16" s="7" t="s">
        <v>1</v>
      </c>
      <c r="AZ16" s="7" t="s">
        <v>1</v>
      </c>
      <c r="BA16" s="7" t="s">
        <v>1</v>
      </c>
      <c r="BB16" s="7" t="s">
        <v>1</v>
      </c>
      <c r="BC16" s="7" t="s">
        <v>1</v>
      </c>
      <c r="BD16" s="7" t="s">
        <v>1</v>
      </c>
      <c r="BE16" s="7" t="s">
        <v>1</v>
      </c>
      <c r="BF16" s="7" t="s">
        <v>1</v>
      </c>
      <c r="BG16" s="7" t="s">
        <v>1</v>
      </c>
      <c r="BH16" s="31">
        <v>1</v>
      </c>
      <c r="BI16" s="7" t="s">
        <v>73</v>
      </c>
      <c r="BJ16" s="7">
        <v>78</v>
      </c>
      <c r="BK16" s="7">
        <v>883</v>
      </c>
      <c r="BL16" s="7" t="s">
        <v>72</v>
      </c>
      <c r="BM16" s="7" t="s">
        <v>74</v>
      </c>
      <c r="BN16" s="7">
        <v>403</v>
      </c>
      <c r="BO16" s="7">
        <v>282</v>
      </c>
      <c r="BP16" s="7" t="s">
        <v>72</v>
      </c>
      <c r="BQ16" s="7" t="s">
        <v>1</v>
      </c>
      <c r="BR16" s="7" t="s">
        <v>1</v>
      </c>
      <c r="BS16" s="7" t="s">
        <v>1</v>
      </c>
      <c r="BT16" s="7" t="s">
        <v>1</v>
      </c>
      <c r="BU16" s="7" t="s">
        <v>1</v>
      </c>
      <c r="BV16" s="118" t="s">
        <v>1</v>
      </c>
      <c r="BW16" s="118" t="s">
        <v>1</v>
      </c>
      <c r="BX16" s="118" t="s">
        <v>1</v>
      </c>
      <c r="BY16" s="307" t="s">
        <v>1</v>
      </c>
      <c r="BZ16" s="118" t="s">
        <v>1</v>
      </c>
      <c r="CA16" s="307" t="s">
        <v>1</v>
      </c>
      <c r="CB16" s="118" t="s">
        <v>1</v>
      </c>
      <c r="CC16" s="118" t="s">
        <v>1</v>
      </c>
      <c r="CD16" s="118" t="s">
        <v>1</v>
      </c>
      <c r="CE16" s="309" t="s">
        <v>1</v>
      </c>
      <c r="CF16" s="7" t="s">
        <v>1</v>
      </c>
    </row>
    <row r="17" ht="21" customHeight="1" spans="1:84">
      <c r="A17" s="29">
        <v>45120</v>
      </c>
      <c r="B17" s="7" t="s">
        <v>70</v>
      </c>
      <c r="C17" s="7" t="s">
        <v>71</v>
      </c>
      <c r="D17" s="30" t="s">
        <v>1</v>
      </c>
      <c r="E17" s="30" t="s">
        <v>1</v>
      </c>
      <c r="F17" s="30">
        <v>8.697</v>
      </c>
      <c r="G17" s="7" t="s">
        <v>1</v>
      </c>
      <c r="H17" s="7" t="str">
        <f t="shared" si="0"/>
        <v/>
      </c>
      <c r="I17" s="30">
        <v>11.7</v>
      </c>
      <c r="J17" s="31" t="str">
        <f t="shared" si="1"/>
        <v/>
      </c>
      <c r="K17" s="31" t="str">
        <f>IFERROR(E17/#REF!,"")</f>
        <v/>
      </c>
      <c r="L17" s="127">
        <v>53304</v>
      </c>
      <c r="M17" s="7" t="s">
        <v>72</v>
      </c>
      <c r="N17" s="7" t="s">
        <v>1</v>
      </c>
      <c r="O17" s="7" t="s">
        <v>1</v>
      </c>
      <c r="P17" s="7" t="s">
        <v>1</v>
      </c>
      <c r="Q17" s="7" t="s">
        <v>1</v>
      </c>
      <c r="R17" s="30">
        <v>11596</v>
      </c>
      <c r="S17" s="7">
        <v>0</v>
      </c>
      <c r="T17" s="7" t="s">
        <v>1</v>
      </c>
      <c r="U17" s="7" t="s">
        <v>1</v>
      </c>
      <c r="V17" s="7" t="s">
        <v>1</v>
      </c>
      <c r="W17" s="7" t="s">
        <v>72</v>
      </c>
      <c r="X17" s="7" t="s">
        <v>1</v>
      </c>
      <c r="Y17" s="7" t="s">
        <v>72</v>
      </c>
      <c r="Z17" s="7" t="s">
        <v>1</v>
      </c>
      <c r="AA17" s="30" t="s">
        <v>72</v>
      </c>
      <c r="AB17" s="7" t="s">
        <v>1</v>
      </c>
      <c r="AC17" s="7" t="s">
        <v>72</v>
      </c>
      <c r="AD17" s="7">
        <v>18</v>
      </c>
      <c r="AE17" s="7" t="s">
        <v>72</v>
      </c>
      <c r="AF17" s="7" t="s">
        <v>1</v>
      </c>
      <c r="AG17" s="7" t="s">
        <v>72</v>
      </c>
      <c r="AH17" s="7">
        <v>1295</v>
      </c>
      <c r="AI17" s="7" t="s">
        <v>72</v>
      </c>
      <c r="AJ17" s="7">
        <v>471</v>
      </c>
      <c r="AK17" s="7" t="s">
        <v>72</v>
      </c>
      <c r="AL17" s="7">
        <v>47</v>
      </c>
      <c r="AM17" s="7" t="s">
        <v>72</v>
      </c>
      <c r="AN17" s="7">
        <v>29</v>
      </c>
      <c r="AO17" s="7" t="s">
        <v>72</v>
      </c>
      <c r="AP17" s="7">
        <v>661</v>
      </c>
      <c r="AQ17" s="7" t="s">
        <v>72</v>
      </c>
      <c r="AR17" s="7">
        <v>114</v>
      </c>
      <c r="AS17" s="7" t="s">
        <v>72</v>
      </c>
      <c r="AT17" s="306">
        <v>0.0187</v>
      </c>
      <c r="AU17" s="7" t="s">
        <v>72</v>
      </c>
      <c r="AV17" s="7" t="s">
        <v>1</v>
      </c>
      <c r="AW17" s="7" t="s">
        <v>1</v>
      </c>
      <c r="AX17" s="7" t="s">
        <v>1</v>
      </c>
      <c r="AY17" s="7" t="s">
        <v>1</v>
      </c>
      <c r="AZ17" s="7" t="s">
        <v>1</v>
      </c>
      <c r="BA17" s="7" t="s">
        <v>1</v>
      </c>
      <c r="BB17" s="7" t="s">
        <v>1</v>
      </c>
      <c r="BC17" s="7" t="s">
        <v>1</v>
      </c>
      <c r="BD17" s="7" t="s">
        <v>1</v>
      </c>
      <c r="BE17" s="7" t="s">
        <v>1</v>
      </c>
      <c r="BF17" s="7" t="s">
        <v>1</v>
      </c>
      <c r="BG17" s="7" t="s">
        <v>1</v>
      </c>
      <c r="BH17" s="31">
        <v>1</v>
      </c>
      <c r="BI17" s="7" t="s">
        <v>73</v>
      </c>
      <c r="BJ17" s="7">
        <v>78</v>
      </c>
      <c r="BK17" s="7">
        <v>893</v>
      </c>
      <c r="BL17" s="7" t="s">
        <v>72</v>
      </c>
      <c r="BM17" s="7" t="s">
        <v>74</v>
      </c>
      <c r="BN17" s="7">
        <v>440</v>
      </c>
      <c r="BO17" s="7">
        <v>254</v>
      </c>
      <c r="BP17" s="7" t="s">
        <v>72</v>
      </c>
      <c r="BQ17" s="7" t="s">
        <v>1</v>
      </c>
      <c r="BR17" s="7" t="s">
        <v>1</v>
      </c>
      <c r="BS17" s="7" t="s">
        <v>1</v>
      </c>
      <c r="BT17" s="7" t="s">
        <v>1</v>
      </c>
      <c r="BU17" s="7" t="s">
        <v>1</v>
      </c>
      <c r="BV17" s="118" t="s">
        <v>1</v>
      </c>
      <c r="BW17" s="118" t="s">
        <v>1</v>
      </c>
      <c r="BX17" s="118" t="s">
        <v>1</v>
      </c>
      <c r="BY17" s="307" t="s">
        <v>1</v>
      </c>
      <c r="BZ17" s="118" t="s">
        <v>1</v>
      </c>
      <c r="CA17" s="307" t="s">
        <v>1</v>
      </c>
      <c r="CB17" s="118" t="s">
        <v>1</v>
      </c>
      <c r="CC17" s="118" t="s">
        <v>1</v>
      </c>
      <c r="CD17" s="118" t="s">
        <v>1</v>
      </c>
      <c r="CE17" s="309" t="s">
        <v>1</v>
      </c>
      <c r="CF17" s="7" t="s">
        <v>1</v>
      </c>
    </row>
    <row r="18" ht="21" customHeight="1" spans="1:84">
      <c r="A18" s="29">
        <v>45121</v>
      </c>
      <c r="B18" s="310" t="s">
        <v>89</v>
      </c>
      <c r="C18" s="7" t="s">
        <v>71</v>
      </c>
      <c r="D18" s="30" t="s">
        <v>1</v>
      </c>
      <c r="E18" s="30" t="s">
        <v>1</v>
      </c>
      <c r="F18" s="30">
        <v>0</v>
      </c>
      <c r="G18" s="7" t="s">
        <v>1</v>
      </c>
      <c r="H18" s="7" t="str">
        <f t="shared" si="0"/>
        <v/>
      </c>
      <c r="I18" s="30">
        <v>0</v>
      </c>
      <c r="J18" s="31" t="str">
        <f t="shared" si="1"/>
        <v/>
      </c>
      <c r="K18" s="31" t="str">
        <f>IFERROR(E18/#REF!,"")</f>
        <v/>
      </c>
      <c r="L18" s="127">
        <v>73478</v>
      </c>
      <c r="M18" s="7" t="s">
        <v>72</v>
      </c>
      <c r="N18" s="7" t="s">
        <v>1</v>
      </c>
      <c r="O18" s="7" t="s">
        <v>1</v>
      </c>
      <c r="P18" s="7" t="s">
        <v>1</v>
      </c>
      <c r="Q18" s="7" t="s">
        <v>1</v>
      </c>
      <c r="R18" s="30" t="s">
        <v>90</v>
      </c>
      <c r="S18" s="7">
        <v>0</v>
      </c>
      <c r="T18" s="7" t="s">
        <v>1</v>
      </c>
      <c r="U18" s="7" t="s">
        <v>1</v>
      </c>
      <c r="V18" s="7" t="s">
        <v>1</v>
      </c>
      <c r="W18" s="7" t="s">
        <v>72</v>
      </c>
      <c r="X18" s="7" t="s">
        <v>1</v>
      </c>
      <c r="Y18" s="7" t="s">
        <v>72</v>
      </c>
      <c r="Z18" s="7" t="s">
        <v>1</v>
      </c>
      <c r="AA18" s="30" t="s">
        <v>72</v>
      </c>
      <c r="AB18" s="7" t="s">
        <v>1</v>
      </c>
      <c r="AC18" s="7" t="s">
        <v>72</v>
      </c>
      <c r="AD18" s="7">
        <v>28</v>
      </c>
      <c r="AE18" s="7" t="s">
        <v>72</v>
      </c>
      <c r="AF18" s="7" t="s">
        <v>1</v>
      </c>
      <c r="AG18" s="7" t="s">
        <v>72</v>
      </c>
      <c r="AH18" s="7">
        <v>1514</v>
      </c>
      <c r="AI18" s="7" t="s">
        <v>72</v>
      </c>
      <c r="AJ18" s="7">
        <v>665</v>
      </c>
      <c r="AK18" s="7" t="s">
        <v>72</v>
      </c>
      <c r="AL18" s="7">
        <v>60</v>
      </c>
      <c r="AM18" s="7" t="s">
        <v>72</v>
      </c>
      <c r="AN18" s="7">
        <v>18</v>
      </c>
      <c r="AO18" s="7" t="s">
        <v>72</v>
      </c>
      <c r="AP18" s="7">
        <v>805</v>
      </c>
      <c r="AQ18" s="7" t="s">
        <v>72</v>
      </c>
      <c r="AR18" s="7">
        <v>146</v>
      </c>
      <c r="AS18" s="7" t="s">
        <v>72</v>
      </c>
      <c r="AT18" s="306">
        <v>0</v>
      </c>
      <c r="AU18" s="7" t="s">
        <v>72</v>
      </c>
      <c r="AV18" s="7" t="s">
        <v>1</v>
      </c>
      <c r="AW18" s="7" t="s">
        <v>1</v>
      </c>
      <c r="AX18" s="7" t="s">
        <v>1</v>
      </c>
      <c r="AY18" s="7" t="s">
        <v>1</v>
      </c>
      <c r="AZ18" s="7" t="s">
        <v>1</v>
      </c>
      <c r="BA18" s="7" t="s">
        <v>1</v>
      </c>
      <c r="BB18" s="7" t="s">
        <v>1</v>
      </c>
      <c r="BC18" s="7" t="s">
        <v>1</v>
      </c>
      <c r="BD18" s="7" t="s">
        <v>1</v>
      </c>
      <c r="BE18" s="7" t="s">
        <v>1</v>
      </c>
      <c r="BF18" s="7" t="s">
        <v>1</v>
      </c>
      <c r="BG18" s="7" t="s">
        <v>1</v>
      </c>
      <c r="BH18" s="31">
        <v>1</v>
      </c>
      <c r="BI18" s="7" t="s">
        <v>73</v>
      </c>
      <c r="BJ18" s="7">
        <v>70</v>
      </c>
      <c r="BK18" s="7">
        <v>936</v>
      </c>
      <c r="BL18" s="7" t="s">
        <v>72</v>
      </c>
      <c r="BM18" s="7" t="s">
        <v>74</v>
      </c>
      <c r="BN18" s="7">
        <v>393</v>
      </c>
      <c r="BO18" s="7">
        <v>301</v>
      </c>
      <c r="BP18" s="7" t="s">
        <v>72</v>
      </c>
      <c r="BQ18" s="7" t="s">
        <v>1</v>
      </c>
      <c r="BR18" s="7" t="s">
        <v>1</v>
      </c>
      <c r="BS18" s="7" t="s">
        <v>1</v>
      </c>
      <c r="BT18" s="7" t="s">
        <v>1</v>
      </c>
      <c r="BU18" s="7" t="s">
        <v>1</v>
      </c>
      <c r="BV18" s="118" t="s">
        <v>1</v>
      </c>
      <c r="BW18" s="118" t="s">
        <v>1</v>
      </c>
      <c r="BX18" s="118" t="s">
        <v>1</v>
      </c>
      <c r="BY18" s="307" t="s">
        <v>1</v>
      </c>
      <c r="BZ18" s="118" t="s">
        <v>1</v>
      </c>
      <c r="CA18" s="307" t="s">
        <v>1</v>
      </c>
      <c r="CB18" s="118" t="s">
        <v>1</v>
      </c>
      <c r="CC18" s="118" t="s">
        <v>1</v>
      </c>
      <c r="CD18" s="118" t="s">
        <v>1</v>
      </c>
      <c r="CE18" s="309" t="s">
        <v>1</v>
      </c>
      <c r="CF18" s="7" t="s">
        <v>1</v>
      </c>
    </row>
    <row r="19" ht="21" customHeight="1" spans="1:84">
      <c r="A19" s="29">
        <v>45122</v>
      </c>
      <c r="B19" s="310" t="s">
        <v>89</v>
      </c>
      <c r="C19" s="7" t="s">
        <v>71</v>
      </c>
      <c r="D19" s="30" t="s">
        <v>1</v>
      </c>
      <c r="E19" s="30" t="s">
        <v>1</v>
      </c>
      <c r="F19" s="30">
        <v>0</v>
      </c>
      <c r="G19" s="7" t="s">
        <v>1</v>
      </c>
      <c r="H19" s="7" t="str">
        <f t="shared" si="0"/>
        <v/>
      </c>
      <c r="I19" s="30">
        <v>0</v>
      </c>
      <c r="J19" s="31" t="str">
        <f t="shared" si="1"/>
        <v/>
      </c>
      <c r="K19" s="31" t="str">
        <f>IFERROR(E19/#REF!,"")</f>
        <v/>
      </c>
      <c r="L19" s="127">
        <v>70076</v>
      </c>
      <c r="M19" s="7" t="s">
        <v>72</v>
      </c>
      <c r="N19" s="7" t="s">
        <v>1</v>
      </c>
      <c r="O19" s="7" t="s">
        <v>1</v>
      </c>
      <c r="P19" s="7" t="s">
        <v>1</v>
      </c>
      <c r="Q19" s="7" t="s">
        <v>1</v>
      </c>
      <c r="R19" s="30">
        <v>0</v>
      </c>
      <c r="S19" s="7">
        <v>0</v>
      </c>
      <c r="T19" s="7" t="s">
        <v>1</v>
      </c>
      <c r="U19" s="7" t="s">
        <v>1</v>
      </c>
      <c r="V19" s="7" t="s">
        <v>1</v>
      </c>
      <c r="W19" s="7" t="s">
        <v>72</v>
      </c>
      <c r="X19" s="7" t="s">
        <v>1</v>
      </c>
      <c r="Y19" s="7" t="s">
        <v>72</v>
      </c>
      <c r="Z19" s="7" t="s">
        <v>1</v>
      </c>
      <c r="AA19" s="30" t="s">
        <v>72</v>
      </c>
      <c r="AB19" s="7" t="s">
        <v>1</v>
      </c>
      <c r="AC19" s="7" t="s">
        <v>72</v>
      </c>
      <c r="AD19" s="7">
        <v>26</v>
      </c>
      <c r="AE19" s="7" t="s">
        <v>72</v>
      </c>
      <c r="AF19" s="7" t="s">
        <v>1</v>
      </c>
      <c r="AG19" s="7" t="s">
        <v>72</v>
      </c>
      <c r="AH19" s="7">
        <v>1804</v>
      </c>
      <c r="AI19" s="7" t="s">
        <v>72</v>
      </c>
      <c r="AJ19" s="7">
        <v>726</v>
      </c>
      <c r="AK19" s="7" t="s">
        <v>72</v>
      </c>
      <c r="AL19" s="7">
        <v>64</v>
      </c>
      <c r="AM19" s="7" t="s">
        <v>72</v>
      </c>
      <c r="AN19" s="7">
        <v>26</v>
      </c>
      <c r="AO19" s="7" t="s">
        <v>72</v>
      </c>
      <c r="AP19" s="7">
        <v>1041</v>
      </c>
      <c r="AQ19" s="7" t="s">
        <v>72</v>
      </c>
      <c r="AR19" s="7">
        <v>120</v>
      </c>
      <c r="AS19" s="7" t="s">
        <v>72</v>
      </c>
      <c r="AT19" s="306">
        <v>0</v>
      </c>
      <c r="AU19" s="7" t="s">
        <v>72</v>
      </c>
      <c r="AV19" s="7" t="s">
        <v>1</v>
      </c>
      <c r="AW19" s="7" t="s">
        <v>1</v>
      </c>
      <c r="AX19" s="7" t="s">
        <v>1</v>
      </c>
      <c r="AY19" s="7" t="s">
        <v>1</v>
      </c>
      <c r="AZ19" s="7" t="s">
        <v>1</v>
      </c>
      <c r="BA19" s="7" t="s">
        <v>1</v>
      </c>
      <c r="BB19" s="7" t="s">
        <v>1</v>
      </c>
      <c r="BC19" s="7" t="s">
        <v>1</v>
      </c>
      <c r="BD19" s="7" t="s">
        <v>1</v>
      </c>
      <c r="BE19" s="7" t="s">
        <v>1</v>
      </c>
      <c r="BF19" s="7" t="s">
        <v>1</v>
      </c>
      <c r="BG19" s="7" t="s">
        <v>1</v>
      </c>
      <c r="BH19" s="7" t="s">
        <v>1</v>
      </c>
      <c r="BI19" s="7" t="s">
        <v>73</v>
      </c>
      <c r="BJ19" s="7">
        <v>61</v>
      </c>
      <c r="BK19" s="7">
        <v>1155</v>
      </c>
      <c r="BL19" s="7" t="s">
        <v>72</v>
      </c>
      <c r="BM19" s="7" t="s">
        <v>74</v>
      </c>
      <c r="BN19" s="7">
        <v>241</v>
      </c>
      <c r="BO19" s="7">
        <v>509</v>
      </c>
      <c r="BP19" s="7" t="s">
        <v>72</v>
      </c>
      <c r="BQ19" s="7" t="s">
        <v>1</v>
      </c>
      <c r="BR19" s="7" t="s">
        <v>1</v>
      </c>
      <c r="BS19" s="7" t="s">
        <v>1</v>
      </c>
      <c r="BT19" s="7" t="s">
        <v>1</v>
      </c>
      <c r="BU19" s="7" t="s">
        <v>1</v>
      </c>
      <c r="BV19" s="118" t="s">
        <v>1</v>
      </c>
      <c r="BW19" s="118" t="s">
        <v>1</v>
      </c>
      <c r="BX19" s="118" t="s">
        <v>1</v>
      </c>
      <c r="BY19" s="307" t="s">
        <v>1</v>
      </c>
      <c r="BZ19" s="118" t="s">
        <v>1</v>
      </c>
      <c r="CA19" s="307" t="s">
        <v>1</v>
      </c>
      <c r="CB19" s="118" t="s">
        <v>1</v>
      </c>
      <c r="CC19" s="118" t="s">
        <v>1</v>
      </c>
      <c r="CD19" s="118" t="s">
        <v>1</v>
      </c>
      <c r="CE19" s="309" t="s">
        <v>1</v>
      </c>
      <c r="CF19" s="7" t="s">
        <v>1</v>
      </c>
    </row>
    <row r="20" ht="21" customHeight="1" spans="1:84">
      <c r="A20" s="29">
        <v>45123</v>
      </c>
      <c r="B20" s="311" t="s">
        <v>91</v>
      </c>
      <c r="C20" s="7" t="s">
        <v>71</v>
      </c>
      <c r="D20" s="30" t="s">
        <v>1</v>
      </c>
      <c r="E20" s="30" t="s">
        <v>1</v>
      </c>
      <c r="F20" s="30">
        <v>22.1923</v>
      </c>
      <c r="G20" s="7" t="s">
        <v>1</v>
      </c>
      <c r="H20" s="7" t="str">
        <f t="shared" si="0"/>
        <v/>
      </c>
      <c r="I20" s="30">
        <v>36.4</v>
      </c>
      <c r="J20" s="31" t="str">
        <f t="shared" si="1"/>
        <v/>
      </c>
      <c r="K20" s="31" t="str">
        <f>IFERROR(E20/#REF!,"")</f>
        <v/>
      </c>
      <c r="L20" s="127">
        <v>71151</v>
      </c>
      <c r="M20" s="7" t="s">
        <v>72</v>
      </c>
      <c r="N20" s="7" t="s">
        <v>1</v>
      </c>
      <c r="O20" s="7" t="s">
        <v>1</v>
      </c>
      <c r="P20" s="7" t="s">
        <v>1</v>
      </c>
      <c r="Q20" s="7" t="s">
        <v>1</v>
      </c>
      <c r="R20" s="30">
        <v>0</v>
      </c>
      <c r="S20" s="7">
        <v>0</v>
      </c>
      <c r="T20" s="7" t="s">
        <v>1</v>
      </c>
      <c r="U20" s="7" t="s">
        <v>1</v>
      </c>
      <c r="V20" s="7" t="s">
        <v>1</v>
      </c>
      <c r="W20" s="7" t="s">
        <v>72</v>
      </c>
      <c r="X20" s="7" t="s">
        <v>1</v>
      </c>
      <c r="Y20" s="7" t="s">
        <v>72</v>
      </c>
      <c r="Z20" s="7" t="s">
        <v>1</v>
      </c>
      <c r="AA20" s="30" t="s">
        <v>72</v>
      </c>
      <c r="AB20" s="7" t="s">
        <v>1</v>
      </c>
      <c r="AC20" s="7" t="s">
        <v>72</v>
      </c>
      <c r="AD20" s="7">
        <v>41</v>
      </c>
      <c r="AE20" s="7" t="s">
        <v>72</v>
      </c>
      <c r="AF20" s="7" t="s">
        <v>1</v>
      </c>
      <c r="AG20" s="7" t="s">
        <v>72</v>
      </c>
      <c r="AH20" s="7">
        <v>1368</v>
      </c>
      <c r="AI20" s="7" t="s">
        <v>72</v>
      </c>
      <c r="AJ20" s="7">
        <v>570</v>
      </c>
      <c r="AK20" s="7" t="s">
        <v>72</v>
      </c>
      <c r="AL20" s="7">
        <v>56</v>
      </c>
      <c r="AM20" s="7" t="s">
        <v>72</v>
      </c>
      <c r="AN20" s="7">
        <v>27</v>
      </c>
      <c r="AO20" s="7" t="s">
        <v>72</v>
      </c>
      <c r="AP20" s="7">
        <v>613</v>
      </c>
      <c r="AQ20" s="7" t="s">
        <v>72</v>
      </c>
      <c r="AR20" s="7">
        <v>87</v>
      </c>
      <c r="AS20" s="7" t="s">
        <v>72</v>
      </c>
      <c r="AT20" s="306">
        <v>0.0386</v>
      </c>
      <c r="AU20" s="7" t="s">
        <v>72</v>
      </c>
      <c r="AV20" s="7" t="s">
        <v>1</v>
      </c>
      <c r="AW20" s="7" t="s">
        <v>1</v>
      </c>
      <c r="AX20" s="7" t="s">
        <v>1</v>
      </c>
      <c r="AY20" s="7" t="s">
        <v>1</v>
      </c>
      <c r="AZ20" s="7" t="s">
        <v>1</v>
      </c>
      <c r="BA20" s="7" t="s">
        <v>1</v>
      </c>
      <c r="BB20" s="7" t="s">
        <v>1</v>
      </c>
      <c r="BC20" s="7" t="s">
        <v>1</v>
      </c>
      <c r="BD20" s="7" t="s">
        <v>1</v>
      </c>
      <c r="BE20" s="7" t="s">
        <v>1</v>
      </c>
      <c r="BF20" s="7" t="s">
        <v>1</v>
      </c>
      <c r="BG20" s="7" t="s">
        <v>1</v>
      </c>
      <c r="BH20" s="7" t="s">
        <v>1</v>
      </c>
      <c r="BI20" s="7" t="s">
        <v>74</v>
      </c>
      <c r="BJ20" s="7">
        <v>101</v>
      </c>
      <c r="BK20" s="7">
        <v>713</v>
      </c>
      <c r="BL20" s="7" t="s">
        <v>72</v>
      </c>
      <c r="BM20" s="7" t="s">
        <v>74</v>
      </c>
      <c r="BN20" s="7">
        <v>881</v>
      </c>
      <c r="BO20" s="7">
        <v>170</v>
      </c>
      <c r="BP20" s="7" t="s">
        <v>72</v>
      </c>
      <c r="BQ20" s="7" t="s">
        <v>1</v>
      </c>
      <c r="BR20" s="7" t="s">
        <v>1</v>
      </c>
      <c r="BS20" s="7" t="s">
        <v>1</v>
      </c>
      <c r="BT20" s="7" t="s">
        <v>1</v>
      </c>
      <c r="BU20" s="7" t="s">
        <v>1</v>
      </c>
      <c r="BV20" s="118" t="s">
        <v>1</v>
      </c>
      <c r="BW20" s="118" t="s">
        <v>1</v>
      </c>
      <c r="BX20" s="118" t="s">
        <v>1</v>
      </c>
      <c r="BY20" s="307" t="s">
        <v>1</v>
      </c>
      <c r="BZ20" s="118" t="s">
        <v>1</v>
      </c>
      <c r="CA20" s="307" t="s">
        <v>1</v>
      </c>
      <c r="CB20" s="118" t="s">
        <v>1</v>
      </c>
      <c r="CC20" s="118" t="s">
        <v>1</v>
      </c>
      <c r="CD20" s="118" t="s">
        <v>1</v>
      </c>
      <c r="CE20" s="309" t="s">
        <v>1</v>
      </c>
      <c r="CF20" s="7" t="s">
        <v>1</v>
      </c>
    </row>
    <row r="21" ht="21" customHeight="1" spans="1:84">
      <c r="A21" s="29">
        <v>45124</v>
      </c>
      <c r="B21" s="311" t="s">
        <v>91</v>
      </c>
      <c r="C21" s="7" t="s">
        <v>71</v>
      </c>
      <c r="D21" s="30" t="s">
        <v>1</v>
      </c>
      <c r="E21" s="30" t="s">
        <v>1</v>
      </c>
      <c r="F21" s="30">
        <v>8.0472</v>
      </c>
      <c r="G21" s="7" t="s">
        <v>1</v>
      </c>
      <c r="H21" s="7" t="str">
        <f t="shared" si="0"/>
        <v/>
      </c>
      <c r="I21" s="30">
        <v>23.4</v>
      </c>
      <c r="J21" s="31" t="str">
        <f t="shared" si="1"/>
        <v/>
      </c>
      <c r="K21" s="31" t="str">
        <f>IFERROR(E21/#REF!,"")</f>
        <v/>
      </c>
      <c r="L21" s="127">
        <v>54312</v>
      </c>
      <c r="M21" s="7" t="s">
        <v>72</v>
      </c>
      <c r="N21" s="7" t="s">
        <v>1</v>
      </c>
      <c r="O21" s="7" t="s">
        <v>1</v>
      </c>
      <c r="P21" s="7" t="s">
        <v>1</v>
      </c>
      <c r="Q21" s="7" t="s">
        <v>1</v>
      </c>
      <c r="R21" s="30">
        <v>0</v>
      </c>
      <c r="S21" s="7">
        <v>0</v>
      </c>
      <c r="T21" s="7" t="s">
        <v>1</v>
      </c>
      <c r="U21" s="7" t="s">
        <v>1</v>
      </c>
      <c r="V21" s="7" t="s">
        <v>1</v>
      </c>
      <c r="W21" s="7" t="s">
        <v>72</v>
      </c>
      <c r="X21" s="7" t="s">
        <v>1</v>
      </c>
      <c r="Y21" s="7" t="s">
        <v>72</v>
      </c>
      <c r="Z21" s="7" t="s">
        <v>1</v>
      </c>
      <c r="AA21" s="30" t="s">
        <v>72</v>
      </c>
      <c r="AB21" s="7" t="s">
        <v>1</v>
      </c>
      <c r="AC21" s="7" t="s">
        <v>72</v>
      </c>
      <c r="AD21" s="7">
        <v>21</v>
      </c>
      <c r="AE21" s="7" t="s">
        <v>72</v>
      </c>
      <c r="AF21" s="7" t="s">
        <v>1</v>
      </c>
      <c r="AG21" s="7" t="s">
        <v>72</v>
      </c>
      <c r="AH21" s="7">
        <v>1084</v>
      </c>
      <c r="AI21" s="7" t="s">
        <v>72</v>
      </c>
      <c r="AJ21" s="7">
        <v>452</v>
      </c>
      <c r="AK21" s="7" t="s">
        <v>72</v>
      </c>
      <c r="AL21" s="7">
        <v>50</v>
      </c>
      <c r="AM21" s="7" t="s">
        <v>72</v>
      </c>
      <c r="AN21" s="7">
        <v>21</v>
      </c>
      <c r="AO21" s="7" t="s">
        <v>72</v>
      </c>
      <c r="AP21" s="7">
        <v>446</v>
      </c>
      <c r="AQ21" s="7" t="s">
        <v>72</v>
      </c>
      <c r="AR21" s="7">
        <v>49</v>
      </c>
      <c r="AS21" s="7" t="s">
        <v>72</v>
      </c>
      <c r="AT21" s="306">
        <v>0.0149</v>
      </c>
      <c r="AU21" s="7" t="s">
        <v>72</v>
      </c>
      <c r="AV21" s="7" t="s">
        <v>1</v>
      </c>
      <c r="AW21" s="7" t="s">
        <v>1</v>
      </c>
      <c r="AX21" s="7" t="s">
        <v>1</v>
      </c>
      <c r="AY21" s="7" t="s">
        <v>1</v>
      </c>
      <c r="AZ21" s="7" t="s">
        <v>1</v>
      </c>
      <c r="BA21" s="7" t="s">
        <v>1</v>
      </c>
      <c r="BB21" s="7" t="s">
        <v>1</v>
      </c>
      <c r="BC21" s="7" t="s">
        <v>1</v>
      </c>
      <c r="BD21" s="7" t="s">
        <v>1</v>
      </c>
      <c r="BE21" s="7" t="s">
        <v>1</v>
      </c>
      <c r="BF21" s="7" t="s">
        <v>1</v>
      </c>
      <c r="BG21" s="7" t="s">
        <v>1</v>
      </c>
      <c r="BH21" s="31">
        <v>0.7</v>
      </c>
      <c r="BI21" s="7" t="s">
        <v>74</v>
      </c>
      <c r="BJ21" s="7">
        <v>141</v>
      </c>
      <c r="BK21" s="7">
        <v>457</v>
      </c>
      <c r="BL21" s="7" t="s">
        <v>72</v>
      </c>
      <c r="BM21" s="7" t="s">
        <v>74</v>
      </c>
      <c r="BN21" s="7">
        <v>1306</v>
      </c>
      <c r="BO21" s="7">
        <v>106</v>
      </c>
      <c r="BP21" s="7" t="s">
        <v>72</v>
      </c>
      <c r="BQ21" s="7" t="s">
        <v>1</v>
      </c>
      <c r="BR21" s="7" t="s">
        <v>1</v>
      </c>
      <c r="BS21" s="7" t="s">
        <v>1</v>
      </c>
      <c r="BT21" s="7" t="s">
        <v>1</v>
      </c>
      <c r="BU21" s="7" t="s">
        <v>1</v>
      </c>
      <c r="BV21" s="118" t="s">
        <v>1</v>
      </c>
      <c r="BW21" s="118" t="s">
        <v>1</v>
      </c>
      <c r="BX21" s="118" t="s">
        <v>1</v>
      </c>
      <c r="BY21" s="307" t="s">
        <v>1</v>
      </c>
      <c r="BZ21" s="118" t="s">
        <v>1</v>
      </c>
      <c r="CA21" s="307" t="s">
        <v>1</v>
      </c>
      <c r="CB21" s="118" t="s">
        <v>1</v>
      </c>
      <c r="CC21" s="118" t="s">
        <v>1</v>
      </c>
      <c r="CD21" s="118" t="s">
        <v>1</v>
      </c>
      <c r="CE21" s="309" t="s">
        <v>1</v>
      </c>
      <c r="CF21" s="7" t="s">
        <v>1</v>
      </c>
    </row>
    <row r="22" ht="21" customHeight="1" spans="1:84">
      <c r="A22" s="29">
        <v>45125</v>
      </c>
      <c r="B22" s="7" t="s">
        <v>70</v>
      </c>
      <c r="C22" s="7" t="s">
        <v>71</v>
      </c>
      <c r="D22" s="30" t="s">
        <v>1</v>
      </c>
      <c r="E22" s="30" t="s">
        <v>1</v>
      </c>
      <c r="F22" s="30">
        <v>3.4288</v>
      </c>
      <c r="G22" s="7" t="s">
        <v>1</v>
      </c>
      <c r="H22" s="7" t="str">
        <f t="shared" si="0"/>
        <v/>
      </c>
      <c r="I22" s="30">
        <v>11.7</v>
      </c>
      <c r="J22" s="31" t="str">
        <f t="shared" si="1"/>
        <v/>
      </c>
      <c r="K22" s="31" t="str">
        <f>IFERROR(E22/#REF!,"")</f>
        <v/>
      </c>
      <c r="L22" s="127">
        <v>61073</v>
      </c>
      <c r="M22" s="7" t="s">
        <v>72</v>
      </c>
      <c r="N22" s="7" t="s">
        <v>1</v>
      </c>
      <c r="O22" s="7" t="s">
        <v>1</v>
      </c>
      <c r="P22" s="7" t="s">
        <v>1</v>
      </c>
      <c r="Q22" s="7" t="s">
        <v>1</v>
      </c>
      <c r="R22" s="30">
        <v>2899</v>
      </c>
      <c r="S22" s="7">
        <v>0</v>
      </c>
      <c r="T22" s="7" t="s">
        <v>1</v>
      </c>
      <c r="U22" s="7" t="s">
        <v>1</v>
      </c>
      <c r="V22" s="7" t="s">
        <v>1</v>
      </c>
      <c r="W22" s="7" t="s">
        <v>72</v>
      </c>
      <c r="X22" s="7" t="s">
        <v>1</v>
      </c>
      <c r="Y22" s="7" t="s">
        <v>72</v>
      </c>
      <c r="Z22" s="7" t="s">
        <v>1</v>
      </c>
      <c r="AA22" s="30" t="s">
        <v>72</v>
      </c>
      <c r="AB22" s="7" t="s">
        <v>1</v>
      </c>
      <c r="AC22" s="7" t="s">
        <v>72</v>
      </c>
      <c r="AD22" s="7">
        <v>19</v>
      </c>
      <c r="AE22" s="7" t="s">
        <v>72</v>
      </c>
      <c r="AF22" s="7" t="s">
        <v>1</v>
      </c>
      <c r="AG22" s="7" t="s">
        <v>72</v>
      </c>
      <c r="AH22" s="7">
        <v>989</v>
      </c>
      <c r="AI22" s="7" t="s">
        <v>72</v>
      </c>
      <c r="AJ22" s="7">
        <v>457</v>
      </c>
      <c r="AK22" s="7" t="s">
        <v>72</v>
      </c>
      <c r="AL22" s="7">
        <v>41</v>
      </c>
      <c r="AM22" s="7" t="s">
        <v>72</v>
      </c>
      <c r="AN22" s="7">
        <v>22</v>
      </c>
      <c r="AO22" s="7" t="s">
        <v>72</v>
      </c>
      <c r="AP22" s="7">
        <v>436</v>
      </c>
      <c r="AQ22" s="7" t="s">
        <v>72</v>
      </c>
      <c r="AR22" s="7">
        <v>58</v>
      </c>
      <c r="AS22" s="7" t="s">
        <v>72</v>
      </c>
      <c r="AT22" s="306">
        <v>0.0054</v>
      </c>
      <c r="AU22" s="7" t="s">
        <v>72</v>
      </c>
      <c r="AV22" s="7" t="s">
        <v>1</v>
      </c>
      <c r="AW22" s="7" t="s">
        <v>1</v>
      </c>
      <c r="AX22" s="7" t="s">
        <v>1</v>
      </c>
      <c r="AY22" s="7" t="s">
        <v>1</v>
      </c>
      <c r="AZ22" s="7" t="s">
        <v>1</v>
      </c>
      <c r="BA22" s="7" t="s">
        <v>1</v>
      </c>
      <c r="BB22" s="7" t="s">
        <v>1</v>
      </c>
      <c r="BC22" s="7" t="s">
        <v>1</v>
      </c>
      <c r="BD22" s="7" t="s">
        <v>1</v>
      </c>
      <c r="BE22" s="7" t="s">
        <v>1</v>
      </c>
      <c r="BF22" s="7" t="s">
        <v>1</v>
      </c>
      <c r="BG22" s="7" t="s">
        <v>1</v>
      </c>
      <c r="BH22" s="31">
        <v>0.85</v>
      </c>
      <c r="BI22" s="7" t="s">
        <v>74</v>
      </c>
      <c r="BJ22" s="7">
        <v>144</v>
      </c>
      <c r="BK22" s="7">
        <v>442</v>
      </c>
      <c r="BL22" s="7" t="s">
        <v>72</v>
      </c>
      <c r="BM22" s="7" t="s">
        <v>74</v>
      </c>
      <c r="BN22" s="7">
        <v>762</v>
      </c>
      <c r="BO22" s="7">
        <v>152</v>
      </c>
      <c r="BP22" s="7" t="s">
        <v>72</v>
      </c>
      <c r="BQ22" s="7" t="s">
        <v>1</v>
      </c>
      <c r="BR22" s="7" t="s">
        <v>1</v>
      </c>
      <c r="BS22" s="7" t="s">
        <v>1</v>
      </c>
      <c r="BT22" s="7" t="s">
        <v>1</v>
      </c>
      <c r="BU22" s="7" t="s">
        <v>1</v>
      </c>
      <c r="BV22" s="118" t="s">
        <v>76</v>
      </c>
      <c r="BW22" s="118" t="s">
        <v>78</v>
      </c>
      <c r="BX22" s="307" t="s">
        <v>77</v>
      </c>
      <c r="BY22" s="118" t="s">
        <v>79</v>
      </c>
      <c r="BZ22" s="118" t="s">
        <v>80</v>
      </c>
      <c r="CA22" s="118" t="s">
        <v>81</v>
      </c>
      <c r="CB22" s="312" t="s">
        <v>92</v>
      </c>
      <c r="CC22" s="118" t="s">
        <v>93</v>
      </c>
      <c r="CD22" s="118" t="s">
        <v>83</v>
      </c>
      <c r="CE22" s="309" t="s">
        <v>88</v>
      </c>
      <c r="CF22" s="7" t="s">
        <v>1</v>
      </c>
    </row>
    <row r="23" ht="21" customHeight="1" spans="1:84">
      <c r="A23" s="29">
        <v>45126</v>
      </c>
      <c r="B23" s="7" t="s">
        <v>70</v>
      </c>
      <c r="C23" s="7" t="s">
        <v>71</v>
      </c>
      <c r="D23" s="30" t="s">
        <v>1</v>
      </c>
      <c r="E23" s="30" t="s">
        <v>1</v>
      </c>
      <c r="F23" s="30">
        <v>4.2845</v>
      </c>
      <c r="G23" s="7" t="s">
        <v>1</v>
      </c>
      <c r="H23" s="7" t="str">
        <f t="shared" si="0"/>
        <v/>
      </c>
      <c r="I23" s="30">
        <v>0</v>
      </c>
      <c r="J23" s="31" t="str">
        <f t="shared" si="1"/>
        <v/>
      </c>
      <c r="K23" s="31" t="str">
        <f>IFERROR(E23/#REF!,"")</f>
        <v/>
      </c>
      <c r="L23" s="127">
        <v>63908</v>
      </c>
      <c r="M23" s="7" t="s">
        <v>72</v>
      </c>
      <c r="N23" s="7" t="s">
        <v>1</v>
      </c>
      <c r="O23" s="7" t="s">
        <v>1</v>
      </c>
      <c r="P23" s="7" t="s">
        <v>1</v>
      </c>
      <c r="Q23" s="7" t="s">
        <v>1</v>
      </c>
      <c r="R23" s="30">
        <v>2899</v>
      </c>
      <c r="S23" s="7">
        <v>0</v>
      </c>
      <c r="T23" s="7" t="s">
        <v>1</v>
      </c>
      <c r="U23" s="7" t="s">
        <v>1</v>
      </c>
      <c r="V23" s="7" t="s">
        <v>1</v>
      </c>
      <c r="W23" s="7" t="s">
        <v>72</v>
      </c>
      <c r="X23" s="7" t="s">
        <v>1</v>
      </c>
      <c r="Y23" s="7" t="s">
        <v>72</v>
      </c>
      <c r="Z23" s="7" t="s">
        <v>1</v>
      </c>
      <c r="AA23" s="30" t="s">
        <v>72</v>
      </c>
      <c r="AB23" s="7" t="s">
        <v>1</v>
      </c>
      <c r="AC23" s="7" t="s">
        <v>72</v>
      </c>
      <c r="AD23" s="7">
        <v>15</v>
      </c>
      <c r="AE23" s="7" t="s">
        <v>72</v>
      </c>
      <c r="AF23" s="7" t="s">
        <v>1</v>
      </c>
      <c r="AG23" s="7" t="s">
        <v>72</v>
      </c>
      <c r="AH23" s="7">
        <v>946</v>
      </c>
      <c r="AI23" s="7" t="s">
        <v>72</v>
      </c>
      <c r="AJ23" s="7">
        <v>411</v>
      </c>
      <c r="AK23" s="7" t="s">
        <v>72</v>
      </c>
      <c r="AL23" s="7">
        <v>40</v>
      </c>
      <c r="AM23" s="7" t="s">
        <v>72</v>
      </c>
      <c r="AN23" s="7">
        <v>9</v>
      </c>
      <c r="AO23" s="7" t="s">
        <v>72</v>
      </c>
      <c r="AP23" s="7">
        <v>392</v>
      </c>
      <c r="AQ23" s="7" t="s">
        <v>72</v>
      </c>
      <c r="AR23" s="7">
        <v>60</v>
      </c>
      <c r="AS23" s="7" t="s">
        <v>72</v>
      </c>
      <c r="AT23" s="306">
        <v>0.0082</v>
      </c>
      <c r="AU23" s="7" t="s">
        <v>72</v>
      </c>
      <c r="AV23" s="7" t="s">
        <v>1</v>
      </c>
      <c r="AW23" s="7" t="s">
        <v>1</v>
      </c>
      <c r="AX23" s="7" t="s">
        <v>1</v>
      </c>
      <c r="AY23" s="7" t="s">
        <v>1</v>
      </c>
      <c r="AZ23" s="7" t="s">
        <v>1</v>
      </c>
      <c r="BA23" s="7" t="s">
        <v>1</v>
      </c>
      <c r="BB23" s="7" t="s">
        <v>1</v>
      </c>
      <c r="BC23" s="7" t="s">
        <v>1</v>
      </c>
      <c r="BD23" s="7" t="s">
        <v>1</v>
      </c>
      <c r="BE23" s="7" t="s">
        <v>1</v>
      </c>
      <c r="BF23" s="7" t="s">
        <v>1</v>
      </c>
      <c r="BG23" s="7" t="s">
        <v>1</v>
      </c>
      <c r="BH23" s="31">
        <v>1</v>
      </c>
      <c r="BI23" s="7" t="s">
        <v>74</v>
      </c>
      <c r="BJ23" s="7">
        <v>172</v>
      </c>
      <c r="BK23" s="7">
        <v>373</v>
      </c>
      <c r="BL23" s="7" t="s">
        <v>72</v>
      </c>
      <c r="BM23" s="7" t="s">
        <v>74</v>
      </c>
      <c r="BN23" s="7">
        <v>1064</v>
      </c>
      <c r="BO23" s="7">
        <v>108</v>
      </c>
      <c r="BP23" s="7" t="s">
        <v>72</v>
      </c>
      <c r="BQ23" s="7" t="s">
        <v>1</v>
      </c>
      <c r="BR23" s="7" t="s">
        <v>1</v>
      </c>
      <c r="BS23" s="7" t="s">
        <v>1</v>
      </c>
      <c r="BT23" s="7" t="s">
        <v>1</v>
      </c>
      <c r="BU23" s="7" t="s">
        <v>1</v>
      </c>
      <c r="BV23" s="118" t="s">
        <v>1</v>
      </c>
      <c r="BW23" s="118" t="s">
        <v>1</v>
      </c>
      <c r="BX23" s="307" t="s">
        <v>1</v>
      </c>
      <c r="BY23" s="118" t="s">
        <v>1</v>
      </c>
      <c r="BZ23" s="118" t="s">
        <v>1</v>
      </c>
      <c r="CA23" s="118" t="s">
        <v>1</v>
      </c>
      <c r="CB23" s="312" t="s">
        <v>1</v>
      </c>
      <c r="CC23" s="118" t="s">
        <v>1</v>
      </c>
      <c r="CD23" s="118" t="s">
        <v>1</v>
      </c>
      <c r="CE23" s="309" t="s">
        <v>1</v>
      </c>
      <c r="CF23" s="7" t="s">
        <v>1</v>
      </c>
    </row>
    <row r="24" ht="21" customHeight="1" spans="1:84">
      <c r="A24" s="29">
        <v>45127</v>
      </c>
      <c r="B24" s="7" t="s">
        <v>70</v>
      </c>
      <c r="C24" s="7" t="s">
        <v>71</v>
      </c>
      <c r="D24" s="30" t="s">
        <v>1</v>
      </c>
      <c r="E24" s="30" t="s">
        <v>1</v>
      </c>
      <c r="F24" s="30">
        <v>6.2818</v>
      </c>
      <c r="G24" s="7" t="s">
        <v>1</v>
      </c>
      <c r="H24" s="7" t="str">
        <f t="shared" si="0"/>
        <v/>
      </c>
      <c r="I24" s="30">
        <v>22.1</v>
      </c>
      <c r="J24" s="31" t="str">
        <f t="shared" si="1"/>
        <v/>
      </c>
      <c r="K24" s="31" t="str">
        <f>IFERROR(E24/#REF!,"")</f>
        <v/>
      </c>
      <c r="L24" s="127">
        <v>285852</v>
      </c>
      <c r="M24" s="7" t="s">
        <v>72</v>
      </c>
      <c r="N24" s="7" t="s">
        <v>1</v>
      </c>
      <c r="O24" s="7" t="s">
        <v>1</v>
      </c>
      <c r="P24" s="7" t="s">
        <v>1</v>
      </c>
      <c r="Q24" s="7" t="s">
        <v>1</v>
      </c>
      <c r="R24" s="30">
        <v>2899</v>
      </c>
      <c r="S24" s="7">
        <v>0</v>
      </c>
      <c r="T24" s="7" t="s">
        <v>1</v>
      </c>
      <c r="U24" s="7" t="s">
        <v>1</v>
      </c>
      <c r="V24" s="7" t="s">
        <v>1</v>
      </c>
      <c r="W24" s="7" t="s">
        <v>72</v>
      </c>
      <c r="X24" s="7" t="s">
        <v>1</v>
      </c>
      <c r="Y24" s="7" t="s">
        <v>72</v>
      </c>
      <c r="Z24" s="7" t="s">
        <v>1</v>
      </c>
      <c r="AA24" s="30" t="s">
        <v>72</v>
      </c>
      <c r="AB24" s="7" t="s">
        <v>1</v>
      </c>
      <c r="AC24" s="7" t="s">
        <v>72</v>
      </c>
      <c r="AD24" s="7">
        <v>17</v>
      </c>
      <c r="AE24" s="7" t="s">
        <v>72</v>
      </c>
      <c r="AF24" s="7" t="s">
        <v>1</v>
      </c>
      <c r="AG24" s="7" t="s">
        <v>72</v>
      </c>
      <c r="AH24" s="7">
        <v>982</v>
      </c>
      <c r="AI24" s="7" t="s">
        <v>72</v>
      </c>
      <c r="AJ24" s="7">
        <v>450</v>
      </c>
      <c r="AK24" s="7" t="s">
        <v>72</v>
      </c>
      <c r="AL24" s="7">
        <v>27</v>
      </c>
      <c r="AM24" s="7" t="s">
        <v>72</v>
      </c>
      <c r="AN24" s="7">
        <v>20</v>
      </c>
      <c r="AO24" s="7" t="s">
        <v>72</v>
      </c>
      <c r="AP24" s="7">
        <v>407</v>
      </c>
      <c r="AQ24" s="7" t="s">
        <v>72</v>
      </c>
      <c r="AR24" s="7">
        <v>48</v>
      </c>
      <c r="AS24" s="7" t="s">
        <v>72</v>
      </c>
      <c r="AT24" s="306">
        <v>0.0139</v>
      </c>
      <c r="AU24" s="7" t="s">
        <v>72</v>
      </c>
      <c r="AV24" s="7" t="s">
        <v>1</v>
      </c>
      <c r="AW24" s="7" t="s">
        <v>1</v>
      </c>
      <c r="AX24" s="7" t="s">
        <v>1</v>
      </c>
      <c r="AY24" s="7" t="s">
        <v>1</v>
      </c>
      <c r="AZ24" s="7" t="s">
        <v>1</v>
      </c>
      <c r="BA24" s="7" t="s">
        <v>1</v>
      </c>
      <c r="BB24" s="7" t="s">
        <v>1</v>
      </c>
      <c r="BC24" s="7" t="s">
        <v>1</v>
      </c>
      <c r="BD24" s="7" t="s">
        <v>1</v>
      </c>
      <c r="BE24" s="7" t="s">
        <v>1</v>
      </c>
      <c r="BF24" s="7" t="s">
        <v>1</v>
      </c>
      <c r="BG24" s="7" t="s">
        <v>1</v>
      </c>
      <c r="BH24" s="31">
        <v>1</v>
      </c>
      <c r="BI24" s="7" t="s">
        <v>74</v>
      </c>
      <c r="BJ24" s="7">
        <v>171</v>
      </c>
      <c r="BK24" s="7">
        <v>382</v>
      </c>
      <c r="BL24" s="7" t="s">
        <v>72</v>
      </c>
      <c r="BM24" s="7" t="s">
        <v>74</v>
      </c>
      <c r="BN24" s="7">
        <v>853</v>
      </c>
      <c r="BO24" s="7">
        <v>112</v>
      </c>
      <c r="BP24" s="7" t="s">
        <v>72</v>
      </c>
      <c r="BQ24" s="7" t="s">
        <v>1</v>
      </c>
      <c r="BR24" s="7" t="s">
        <v>1</v>
      </c>
      <c r="BS24" s="7" t="s">
        <v>1</v>
      </c>
      <c r="BT24" s="7" t="s">
        <v>1</v>
      </c>
      <c r="BU24" s="7" t="s">
        <v>1</v>
      </c>
      <c r="BV24" s="118" t="s">
        <v>1</v>
      </c>
      <c r="BW24" s="118" t="s">
        <v>1</v>
      </c>
      <c r="BX24" s="307" t="s">
        <v>1</v>
      </c>
      <c r="BY24" s="118" t="s">
        <v>1</v>
      </c>
      <c r="BZ24" s="118" t="s">
        <v>1</v>
      </c>
      <c r="CA24" s="118" t="s">
        <v>1</v>
      </c>
      <c r="CB24" s="312" t="s">
        <v>1</v>
      </c>
      <c r="CC24" s="118" t="s">
        <v>1</v>
      </c>
      <c r="CD24" s="118" t="s">
        <v>1</v>
      </c>
      <c r="CE24" s="309" t="s">
        <v>1</v>
      </c>
      <c r="CF24" s="7" t="s">
        <v>1</v>
      </c>
    </row>
    <row r="25" ht="21" customHeight="1" spans="1:84">
      <c r="A25" s="29">
        <v>45128</v>
      </c>
      <c r="B25" s="7" t="s">
        <v>70</v>
      </c>
      <c r="C25" s="7" t="s">
        <v>71</v>
      </c>
      <c r="D25" s="30" t="s">
        <v>1</v>
      </c>
      <c r="E25" s="30" t="s">
        <v>1</v>
      </c>
      <c r="F25" s="30">
        <v>8.669</v>
      </c>
      <c r="G25" s="7" t="s">
        <v>1</v>
      </c>
      <c r="H25" s="7" t="str">
        <f t="shared" si="0"/>
        <v/>
      </c>
      <c r="I25" s="30">
        <v>16.9</v>
      </c>
      <c r="J25" s="31" t="str">
        <f t="shared" si="1"/>
        <v/>
      </c>
      <c r="K25" s="31" t="str">
        <f>IFERROR(E25/#REF!,"")</f>
        <v/>
      </c>
      <c r="L25" s="127">
        <v>678109</v>
      </c>
      <c r="M25" s="7" t="s">
        <v>72</v>
      </c>
      <c r="N25" s="7" t="s">
        <v>1</v>
      </c>
      <c r="O25" s="7" t="s">
        <v>1</v>
      </c>
      <c r="P25" s="7" t="s">
        <v>1</v>
      </c>
      <c r="Q25" s="7" t="s">
        <v>1</v>
      </c>
      <c r="R25" s="30">
        <v>2759</v>
      </c>
      <c r="S25" s="7">
        <v>0</v>
      </c>
      <c r="T25" s="7" t="s">
        <v>1</v>
      </c>
      <c r="U25" s="7" t="s">
        <v>1</v>
      </c>
      <c r="V25" s="7" t="s">
        <v>1</v>
      </c>
      <c r="W25" s="7" t="s">
        <v>72</v>
      </c>
      <c r="X25" s="7" t="s">
        <v>1</v>
      </c>
      <c r="Y25" s="7" t="s">
        <v>72</v>
      </c>
      <c r="Z25" s="7" t="s">
        <v>1</v>
      </c>
      <c r="AA25" s="30" t="s">
        <v>72</v>
      </c>
      <c r="AB25" s="7" t="s">
        <v>1</v>
      </c>
      <c r="AC25" s="7" t="s">
        <v>72</v>
      </c>
      <c r="AD25" s="7">
        <v>16</v>
      </c>
      <c r="AE25" s="7" t="s">
        <v>72</v>
      </c>
      <c r="AF25" s="7" t="s">
        <v>1</v>
      </c>
      <c r="AG25" s="7" t="s">
        <v>72</v>
      </c>
      <c r="AH25" s="7">
        <v>1205</v>
      </c>
      <c r="AI25" s="7" t="s">
        <v>72</v>
      </c>
      <c r="AJ25" s="7">
        <v>566</v>
      </c>
      <c r="AK25" s="7" t="s">
        <v>72</v>
      </c>
      <c r="AL25" s="7">
        <v>41</v>
      </c>
      <c r="AM25" s="7" t="s">
        <v>72</v>
      </c>
      <c r="AN25" s="7">
        <v>889</v>
      </c>
      <c r="AO25" s="7" t="s">
        <v>72</v>
      </c>
      <c r="AP25" s="7">
        <v>602</v>
      </c>
      <c r="AQ25" s="7" t="s">
        <v>72</v>
      </c>
      <c r="AR25" s="7">
        <v>73</v>
      </c>
      <c r="AS25" s="7" t="s">
        <v>72</v>
      </c>
      <c r="AT25" s="306">
        <v>0.0108</v>
      </c>
      <c r="AU25" s="7" t="s">
        <v>72</v>
      </c>
      <c r="AV25" s="7" t="s">
        <v>1</v>
      </c>
      <c r="AW25" s="7" t="s">
        <v>1</v>
      </c>
      <c r="AX25" s="7" t="s">
        <v>1</v>
      </c>
      <c r="AY25" s="7" t="s">
        <v>1</v>
      </c>
      <c r="AZ25" s="7" t="s">
        <v>1</v>
      </c>
      <c r="BA25" s="7" t="s">
        <v>1</v>
      </c>
      <c r="BB25" s="7" t="s">
        <v>1</v>
      </c>
      <c r="BC25" s="7" t="s">
        <v>1</v>
      </c>
      <c r="BD25" s="7" t="s">
        <v>1</v>
      </c>
      <c r="BE25" s="7" t="s">
        <v>1</v>
      </c>
      <c r="BF25" s="7" t="s">
        <v>1</v>
      </c>
      <c r="BG25" s="7" t="s">
        <v>1</v>
      </c>
      <c r="BH25" s="31">
        <v>1</v>
      </c>
      <c r="BI25" s="7" t="s">
        <v>74</v>
      </c>
      <c r="BJ25" s="7">
        <v>101</v>
      </c>
      <c r="BK25" s="7">
        <v>597</v>
      </c>
      <c r="BL25" s="7" t="s">
        <v>72</v>
      </c>
      <c r="BM25" s="7" t="s">
        <v>74</v>
      </c>
      <c r="BN25" s="7">
        <v>413</v>
      </c>
      <c r="BO25" s="7">
        <v>268</v>
      </c>
      <c r="BP25" s="7" t="s">
        <v>72</v>
      </c>
      <c r="BQ25" s="7" t="s">
        <v>1</v>
      </c>
      <c r="BR25" s="7" t="s">
        <v>1</v>
      </c>
      <c r="BS25" s="7" t="s">
        <v>1</v>
      </c>
      <c r="BT25" s="7" t="s">
        <v>1</v>
      </c>
      <c r="BU25" s="7" t="s">
        <v>1</v>
      </c>
      <c r="BV25" s="118" t="s">
        <v>1</v>
      </c>
      <c r="BW25" s="118" t="s">
        <v>1</v>
      </c>
      <c r="BX25" s="307" t="s">
        <v>1</v>
      </c>
      <c r="BY25" s="118" t="s">
        <v>1</v>
      </c>
      <c r="BZ25" s="118" t="s">
        <v>1</v>
      </c>
      <c r="CA25" s="118" t="s">
        <v>1</v>
      </c>
      <c r="CB25" s="312" t="s">
        <v>1</v>
      </c>
      <c r="CC25" s="118" t="s">
        <v>1</v>
      </c>
      <c r="CD25" s="118" t="s">
        <v>1</v>
      </c>
      <c r="CE25" s="309" t="s">
        <v>1</v>
      </c>
      <c r="CF25" s="7" t="s">
        <v>1</v>
      </c>
    </row>
    <row r="26" ht="21" customHeight="1" spans="1:84">
      <c r="A26" s="29">
        <v>45129</v>
      </c>
      <c r="B26" s="310" t="s">
        <v>89</v>
      </c>
      <c r="C26" s="7" t="s">
        <v>71</v>
      </c>
      <c r="D26" s="30" t="s">
        <v>1</v>
      </c>
      <c r="E26" s="30" t="s">
        <v>1</v>
      </c>
      <c r="F26" s="30">
        <v>0.8397</v>
      </c>
      <c r="G26" s="7" t="s">
        <v>1</v>
      </c>
      <c r="H26" s="7" t="str">
        <f t="shared" si="0"/>
        <v/>
      </c>
      <c r="I26" s="30">
        <v>11.7</v>
      </c>
      <c r="J26" s="31" t="str">
        <f t="shared" si="1"/>
        <v/>
      </c>
      <c r="K26" s="31" t="str">
        <f>IFERROR(E26/#REF!,"")</f>
        <v/>
      </c>
      <c r="L26" s="127">
        <v>71757</v>
      </c>
      <c r="M26" s="7" t="s">
        <v>72</v>
      </c>
      <c r="N26" s="7" t="s">
        <v>1</v>
      </c>
      <c r="O26" s="7" t="s">
        <v>1</v>
      </c>
      <c r="P26" s="7" t="s">
        <v>1</v>
      </c>
      <c r="Q26" s="7" t="s">
        <v>1</v>
      </c>
      <c r="R26" s="30">
        <v>0</v>
      </c>
      <c r="S26" s="7">
        <v>0</v>
      </c>
      <c r="T26" s="7" t="s">
        <v>1</v>
      </c>
      <c r="U26" s="7" t="s">
        <v>1</v>
      </c>
      <c r="V26" s="7" t="s">
        <v>1</v>
      </c>
      <c r="W26" s="7" t="s">
        <v>72</v>
      </c>
      <c r="X26" s="7" t="s">
        <v>1</v>
      </c>
      <c r="Y26" s="7" t="s">
        <v>72</v>
      </c>
      <c r="Z26" s="7" t="s">
        <v>1</v>
      </c>
      <c r="AA26" s="30" t="s">
        <v>72</v>
      </c>
      <c r="AB26" s="7" t="s">
        <v>1</v>
      </c>
      <c r="AC26" s="7" t="s">
        <v>72</v>
      </c>
      <c r="AD26" s="7">
        <v>25</v>
      </c>
      <c r="AE26" s="7" t="s">
        <v>72</v>
      </c>
      <c r="AF26" s="7" t="s">
        <v>1</v>
      </c>
      <c r="AG26" s="7" t="s">
        <v>72</v>
      </c>
      <c r="AH26" s="7">
        <v>1760</v>
      </c>
      <c r="AI26" s="7" t="s">
        <v>72</v>
      </c>
      <c r="AJ26" s="7">
        <v>764</v>
      </c>
      <c r="AK26" s="7" t="s">
        <v>72</v>
      </c>
      <c r="AL26" s="7">
        <v>54</v>
      </c>
      <c r="AM26" s="7" t="s">
        <v>72</v>
      </c>
      <c r="AN26" s="7">
        <v>2209</v>
      </c>
      <c r="AO26" s="7" t="s">
        <v>72</v>
      </c>
      <c r="AP26" s="7">
        <v>934</v>
      </c>
      <c r="AQ26" s="7" t="s">
        <v>72</v>
      </c>
      <c r="AR26" s="7">
        <v>111</v>
      </c>
      <c r="AS26" s="7" t="s">
        <v>72</v>
      </c>
      <c r="AT26" s="306">
        <v>0</v>
      </c>
      <c r="AU26" s="7" t="s">
        <v>72</v>
      </c>
      <c r="AV26" s="7" t="s">
        <v>1</v>
      </c>
      <c r="AW26" s="7" t="s">
        <v>1</v>
      </c>
      <c r="AX26" s="7" t="s">
        <v>1</v>
      </c>
      <c r="AY26" s="7" t="s">
        <v>1</v>
      </c>
      <c r="AZ26" s="7" t="s">
        <v>1</v>
      </c>
      <c r="BA26" s="7" t="s">
        <v>1</v>
      </c>
      <c r="BB26" s="7" t="s">
        <v>1</v>
      </c>
      <c r="BC26" s="7" t="s">
        <v>1</v>
      </c>
      <c r="BD26" s="7" t="s">
        <v>1</v>
      </c>
      <c r="BE26" s="7" t="s">
        <v>1</v>
      </c>
      <c r="BF26" s="7" t="s">
        <v>1</v>
      </c>
      <c r="BG26" s="7" t="s">
        <v>1</v>
      </c>
      <c r="BH26" s="117" t="s">
        <v>1</v>
      </c>
      <c r="BI26" s="7" t="s">
        <v>73</v>
      </c>
      <c r="BJ26" s="7">
        <v>60</v>
      </c>
      <c r="BK26" s="7">
        <v>1152</v>
      </c>
      <c r="BL26" s="7" t="s">
        <v>72</v>
      </c>
      <c r="BM26" s="7" t="s">
        <v>74</v>
      </c>
      <c r="BN26" s="7">
        <v>293</v>
      </c>
      <c r="BO26" s="7">
        <v>445</v>
      </c>
      <c r="BP26" s="7" t="s">
        <v>72</v>
      </c>
      <c r="BQ26" s="7" t="s">
        <v>1</v>
      </c>
      <c r="BR26" s="7" t="s">
        <v>1</v>
      </c>
      <c r="BS26" s="7" t="s">
        <v>1</v>
      </c>
      <c r="BT26" s="7" t="s">
        <v>1</v>
      </c>
      <c r="BU26" s="7" t="s">
        <v>1</v>
      </c>
      <c r="BV26" s="118" t="s">
        <v>1</v>
      </c>
      <c r="BW26" s="118" t="s">
        <v>1</v>
      </c>
      <c r="BX26" s="307" t="s">
        <v>1</v>
      </c>
      <c r="BY26" s="118" t="s">
        <v>1</v>
      </c>
      <c r="BZ26" s="118" t="s">
        <v>1</v>
      </c>
      <c r="CA26" s="118" t="s">
        <v>1</v>
      </c>
      <c r="CB26" s="312" t="s">
        <v>1</v>
      </c>
      <c r="CC26" s="118" t="s">
        <v>1</v>
      </c>
      <c r="CD26" s="118" t="s">
        <v>1</v>
      </c>
      <c r="CE26" s="309" t="s">
        <v>1</v>
      </c>
      <c r="CF26" s="7" t="s">
        <v>1</v>
      </c>
    </row>
    <row r="27" ht="21" customHeight="1" spans="1:84">
      <c r="A27" s="29">
        <v>45130</v>
      </c>
      <c r="B27" s="310" t="s">
        <v>89</v>
      </c>
      <c r="C27" s="7" t="s">
        <v>71</v>
      </c>
      <c r="D27" s="30" t="s">
        <v>1</v>
      </c>
      <c r="E27" s="30" t="s">
        <v>1</v>
      </c>
      <c r="F27" s="30">
        <v>0</v>
      </c>
      <c r="G27" s="7" t="s">
        <v>1</v>
      </c>
      <c r="H27" s="7" t="str">
        <f t="shared" si="0"/>
        <v/>
      </c>
      <c r="I27" s="30">
        <v>0</v>
      </c>
      <c r="J27" s="31" t="str">
        <f t="shared" si="1"/>
        <v/>
      </c>
      <c r="K27" s="31" t="str">
        <f>IFERROR(E27/#REF!,"")</f>
        <v/>
      </c>
      <c r="L27" s="127">
        <v>85972</v>
      </c>
      <c r="M27" s="7" t="s">
        <v>72</v>
      </c>
      <c r="N27" s="7" t="s">
        <v>1</v>
      </c>
      <c r="O27" s="7" t="s">
        <v>1</v>
      </c>
      <c r="P27" s="7" t="s">
        <v>1</v>
      </c>
      <c r="Q27" s="7" t="s">
        <v>1</v>
      </c>
      <c r="R27" s="30">
        <v>8697</v>
      </c>
      <c r="S27" s="7">
        <v>0</v>
      </c>
      <c r="T27" s="7" t="s">
        <v>1</v>
      </c>
      <c r="U27" s="7" t="s">
        <v>1</v>
      </c>
      <c r="V27" s="7" t="s">
        <v>1</v>
      </c>
      <c r="W27" s="7" t="s">
        <v>72</v>
      </c>
      <c r="X27" s="7" t="s">
        <v>1</v>
      </c>
      <c r="Y27" s="7" t="s">
        <v>72</v>
      </c>
      <c r="Z27" s="7" t="s">
        <v>1</v>
      </c>
      <c r="AA27" s="30" t="s">
        <v>72</v>
      </c>
      <c r="AB27" s="7" t="s">
        <v>1</v>
      </c>
      <c r="AC27" s="7" t="s">
        <v>72</v>
      </c>
      <c r="AD27" s="7">
        <v>26</v>
      </c>
      <c r="AE27" s="7" t="s">
        <v>72</v>
      </c>
      <c r="AF27" s="7" t="s">
        <v>1</v>
      </c>
      <c r="AG27" s="7" t="s">
        <v>72</v>
      </c>
      <c r="AH27" s="7">
        <v>1940</v>
      </c>
      <c r="AI27" s="7" t="s">
        <v>72</v>
      </c>
      <c r="AJ27" s="7">
        <v>931</v>
      </c>
      <c r="AK27" s="7" t="s">
        <v>72</v>
      </c>
      <c r="AL27" s="7">
        <v>80</v>
      </c>
      <c r="AM27" s="7" t="s">
        <v>72</v>
      </c>
      <c r="AN27" s="7">
        <v>823</v>
      </c>
      <c r="AO27" s="7" t="s">
        <v>72</v>
      </c>
      <c r="AP27" s="7">
        <v>1140</v>
      </c>
      <c r="AQ27" s="7" t="s">
        <v>72</v>
      </c>
      <c r="AR27" s="7">
        <v>130</v>
      </c>
      <c r="AS27" s="7" t="s">
        <v>72</v>
      </c>
      <c r="AT27" s="306">
        <v>0</v>
      </c>
      <c r="AU27" s="7" t="s">
        <v>72</v>
      </c>
      <c r="AV27" s="7" t="s">
        <v>1</v>
      </c>
      <c r="AW27" s="7" t="s">
        <v>1</v>
      </c>
      <c r="AX27" s="7" t="s">
        <v>1</v>
      </c>
      <c r="AY27" s="7" t="s">
        <v>1</v>
      </c>
      <c r="AZ27" s="7" t="s">
        <v>1</v>
      </c>
      <c r="BA27" s="7" t="s">
        <v>1</v>
      </c>
      <c r="BB27" s="7" t="s">
        <v>1</v>
      </c>
      <c r="BC27" s="7" t="s">
        <v>1</v>
      </c>
      <c r="BD27" s="7" t="s">
        <v>1</v>
      </c>
      <c r="BE27" s="7" t="s">
        <v>1</v>
      </c>
      <c r="BF27" s="7" t="s">
        <v>1</v>
      </c>
      <c r="BG27" s="7" t="s">
        <v>1</v>
      </c>
      <c r="BH27" s="117" t="s">
        <v>1</v>
      </c>
      <c r="BI27" s="7" t="s">
        <v>73</v>
      </c>
      <c r="BJ27" s="7">
        <v>58</v>
      </c>
      <c r="BK27" s="7">
        <v>1364</v>
      </c>
      <c r="BL27" s="7" t="s">
        <v>72</v>
      </c>
      <c r="BM27" s="7" t="s">
        <v>74</v>
      </c>
      <c r="BN27" s="7">
        <v>303</v>
      </c>
      <c r="BO27" s="7">
        <v>410</v>
      </c>
      <c r="BP27" s="7" t="s">
        <v>72</v>
      </c>
      <c r="BQ27" s="7" t="s">
        <v>1</v>
      </c>
      <c r="BR27" s="7" t="s">
        <v>1</v>
      </c>
      <c r="BS27" s="7" t="s">
        <v>1</v>
      </c>
      <c r="BT27" s="7" t="s">
        <v>1</v>
      </c>
      <c r="BU27" s="7" t="s">
        <v>1</v>
      </c>
      <c r="BV27" s="118" t="s">
        <v>1</v>
      </c>
      <c r="BW27" s="118" t="s">
        <v>1</v>
      </c>
      <c r="BX27" s="307" t="s">
        <v>1</v>
      </c>
      <c r="BY27" s="118" t="s">
        <v>1</v>
      </c>
      <c r="BZ27" s="118" t="s">
        <v>1</v>
      </c>
      <c r="CA27" s="118" t="s">
        <v>1</v>
      </c>
      <c r="CB27" s="312" t="s">
        <v>1</v>
      </c>
      <c r="CC27" s="118" t="s">
        <v>1</v>
      </c>
      <c r="CD27" s="118" t="s">
        <v>1</v>
      </c>
      <c r="CE27" s="309" t="s">
        <v>1</v>
      </c>
      <c r="CF27" s="7" t="s">
        <v>1</v>
      </c>
    </row>
    <row r="28" ht="21" customHeight="1" spans="1:84">
      <c r="A28" s="29">
        <v>45131</v>
      </c>
      <c r="B28" s="310" t="s">
        <v>89</v>
      </c>
      <c r="C28" s="7" t="s">
        <v>71</v>
      </c>
      <c r="D28" s="30" t="s">
        <v>1</v>
      </c>
      <c r="E28" s="30" t="s">
        <v>1</v>
      </c>
      <c r="F28" s="30">
        <v>30.8233</v>
      </c>
      <c r="G28" s="7" t="s">
        <v>1</v>
      </c>
      <c r="H28" s="7" t="str">
        <f t="shared" si="0"/>
        <v/>
      </c>
      <c r="I28" s="30">
        <v>23.4</v>
      </c>
      <c r="J28" s="31" t="str">
        <f t="shared" si="1"/>
        <v/>
      </c>
      <c r="K28" s="31" t="str">
        <f>IFERROR(E28/#REF!,"")</f>
        <v/>
      </c>
      <c r="L28" s="127">
        <v>132042</v>
      </c>
      <c r="M28" s="7" t="s">
        <v>72</v>
      </c>
      <c r="N28" s="7" t="s">
        <v>1</v>
      </c>
      <c r="O28" s="7" t="s">
        <v>1</v>
      </c>
      <c r="P28" s="7" t="s">
        <v>1</v>
      </c>
      <c r="Q28" s="7" t="s">
        <v>1</v>
      </c>
      <c r="R28" s="30">
        <v>22712</v>
      </c>
      <c r="S28" s="7">
        <v>0</v>
      </c>
      <c r="T28" s="7" t="s">
        <v>1</v>
      </c>
      <c r="U28" s="7" t="s">
        <v>1</v>
      </c>
      <c r="V28" s="7" t="s">
        <v>1</v>
      </c>
      <c r="W28" s="7" t="s">
        <v>72</v>
      </c>
      <c r="X28" s="7" t="s">
        <v>1</v>
      </c>
      <c r="Y28" s="7" t="s">
        <v>72</v>
      </c>
      <c r="Z28" s="7" t="s">
        <v>1</v>
      </c>
      <c r="AA28" s="30" t="s">
        <v>72</v>
      </c>
      <c r="AB28" s="7" t="s">
        <v>1</v>
      </c>
      <c r="AC28" s="7" t="s">
        <v>72</v>
      </c>
      <c r="AD28" s="7">
        <v>18</v>
      </c>
      <c r="AE28" s="7" t="s">
        <v>72</v>
      </c>
      <c r="AF28" s="7" t="s">
        <v>1</v>
      </c>
      <c r="AG28" s="7" t="s">
        <v>72</v>
      </c>
      <c r="AH28" s="7">
        <v>1812</v>
      </c>
      <c r="AI28" s="7" t="s">
        <v>72</v>
      </c>
      <c r="AJ28" s="7">
        <v>722</v>
      </c>
      <c r="AK28" s="7" t="s">
        <v>72</v>
      </c>
      <c r="AL28" s="7">
        <v>76</v>
      </c>
      <c r="AM28" s="7" t="s">
        <v>72</v>
      </c>
      <c r="AN28" s="7">
        <v>1842</v>
      </c>
      <c r="AO28" s="7" t="s">
        <v>72</v>
      </c>
      <c r="AP28" s="7">
        <v>937</v>
      </c>
      <c r="AQ28" s="7" t="s">
        <v>72</v>
      </c>
      <c r="AR28" s="7">
        <v>117</v>
      </c>
      <c r="AS28" s="7" t="s">
        <v>72</v>
      </c>
      <c r="AT28" s="306">
        <v>0.0258</v>
      </c>
      <c r="AU28" s="7" t="s">
        <v>72</v>
      </c>
      <c r="AV28" s="7" t="s">
        <v>1</v>
      </c>
      <c r="AW28" s="7" t="s">
        <v>1</v>
      </c>
      <c r="AX28" s="7" t="s">
        <v>1</v>
      </c>
      <c r="AY28" s="7" t="s">
        <v>1</v>
      </c>
      <c r="AZ28" s="7" t="s">
        <v>1</v>
      </c>
      <c r="BA28" s="7" t="s">
        <v>1</v>
      </c>
      <c r="BB28" s="7" t="s">
        <v>1</v>
      </c>
      <c r="BC28" s="7" t="s">
        <v>1</v>
      </c>
      <c r="BD28" s="7" t="s">
        <v>1</v>
      </c>
      <c r="BE28" s="7" t="s">
        <v>1</v>
      </c>
      <c r="BF28" s="7" t="s">
        <v>1</v>
      </c>
      <c r="BG28" s="7" t="s">
        <v>1</v>
      </c>
      <c r="BH28" s="31">
        <v>1</v>
      </c>
      <c r="BI28" s="7" t="s">
        <v>73</v>
      </c>
      <c r="BJ28" s="7">
        <v>60</v>
      </c>
      <c r="BK28" s="7">
        <v>1233</v>
      </c>
      <c r="BL28" s="7" t="s">
        <v>72</v>
      </c>
      <c r="BM28" s="7" t="s">
        <v>74</v>
      </c>
      <c r="BN28" s="7">
        <v>345</v>
      </c>
      <c r="BO28" s="7">
        <v>342</v>
      </c>
      <c r="BP28" s="7" t="s">
        <v>72</v>
      </c>
      <c r="BQ28" s="7" t="s">
        <v>1</v>
      </c>
      <c r="BR28" s="7" t="s">
        <v>1</v>
      </c>
      <c r="BS28" s="7" t="s">
        <v>1</v>
      </c>
      <c r="BT28" s="7" t="s">
        <v>1</v>
      </c>
      <c r="BU28" s="7" t="s">
        <v>1</v>
      </c>
      <c r="BV28" s="118" t="s">
        <v>1</v>
      </c>
      <c r="BW28" s="118" t="s">
        <v>1</v>
      </c>
      <c r="BX28" s="307" t="s">
        <v>1</v>
      </c>
      <c r="BY28" s="118" t="s">
        <v>1</v>
      </c>
      <c r="BZ28" s="118" t="s">
        <v>1</v>
      </c>
      <c r="CA28" s="118" t="s">
        <v>1</v>
      </c>
      <c r="CB28" s="312" t="s">
        <v>1</v>
      </c>
      <c r="CC28" s="118" t="s">
        <v>1</v>
      </c>
      <c r="CD28" s="118" t="s">
        <v>1</v>
      </c>
      <c r="CE28" s="309" t="s">
        <v>1</v>
      </c>
      <c r="CF28" s="7" t="s">
        <v>1</v>
      </c>
    </row>
    <row r="29" ht="21" customHeight="1" spans="1:84">
      <c r="A29" s="29">
        <v>45132</v>
      </c>
      <c r="B29" s="311" t="s">
        <v>91</v>
      </c>
      <c r="C29" s="7" t="s">
        <v>71</v>
      </c>
      <c r="D29" s="30" t="s">
        <v>1</v>
      </c>
      <c r="E29" s="30" t="s">
        <v>1</v>
      </c>
      <c r="F29" s="30">
        <v>19.0114</v>
      </c>
      <c r="G29" s="7" t="s">
        <v>1</v>
      </c>
      <c r="H29" s="7" t="str">
        <f t="shared" si="0"/>
        <v/>
      </c>
      <c r="I29" s="30">
        <v>18.2</v>
      </c>
      <c r="J29" s="31" t="str">
        <f t="shared" si="1"/>
        <v/>
      </c>
      <c r="K29" s="31" t="str">
        <f>IFERROR(E29/#REF!,"")</f>
        <v/>
      </c>
      <c r="L29" s="127">
        <v>90986</v>
      </c>
      <c r="M29" s="7" t="s">
        <v>72</v>
      </c>
      <c r="N29" s="7" t="s">
        <v>1</v>
      </c>
      <c r="O29" s="7" t="s">
        <v>1</v>
      </c>
      <c r="P29" s="7" t="s">
        <v>1</v>
      </c>
      <c r="Q29" s="7" t="s">
        <v>1</v>
      </c>
      <c r="R29" s="30">
        <v>8697</v>
      </c>
      <c r="S29" s="7">
        <v>0</v>
      </c>
      <c r="T29" s="7" t="s">
        <v>1</v>
      </c>
      <c r="U29" s="7" t="s">
        <v>1</v>
      </c>
      <c r="V29" s="7" t="s">
        <v>1</v>
      </c>
      <c r="W29" s="7" t="s">
        <v>72</v>
      </c>
      <c r="X29" s="7" t="s">
        <v>1</v>
      </c>
      <c r="Y29" s="7" t="s">
        <v>72</v>
      </c>
      <c r="Z29" s="7" t="s">
        <v>1</v>
      </c>
      <c r="AA29" s="30" t="s">
        <v>72</v>
      </c>
      <c r="AB29" s="7" t="s">
        <v>1</v>
      </c>
      <c r="AC29" s="7" t="s">
        <v>72</v>
      </c>
      <c r="AD29" s="7">
        <v>24</v>
      </c>
      <c r="AE29" s="7" t="s">
        <v>72</v>
      </c>
      <c r="AF29" s="7" t="s">
        <v>1</v>
      </c>
      <c r="AG29" s="7" t="s">
        <v>72</v>
      </c>
      <c r="AH29" s="7">
        <v>1662</v>
      </c>
      <c r="AI29" s="7" t="s">
        <v>72</v>
      </c>
      <c r="AJ29" s="7">
        <v>257</v>
      </c>
      <c r="AK29" s="7" t="s">
        <v>72</v>
      </c>
      <c r="AL29" s="7">
        <v>64</v>
      </c>
      <c r="AM29" s="7" t="s">
        <v>72</v>
      </c>
      <c r="AN29" s="7">
        <v>906</v>
      </c>
      <c r="AO29" s="7" t="s">
        <v>72</v>
      </c>
      <c r="AP29" s="7">
        <v>924</v>
      </c>
      <c r="AQ29" s="7" t="s">
        <v>72</v>
      </c>
      <c r="AR29" s="7">
        <v>96</v>
      </c>
      <c r="AS29" s="7" t="s">
        <v>72</v>
      </c>
      <c r="AT29" s="306">
        <v>0.0223</v>
      </c>
      <c r="AU29" s="7" t="s">
        <v>72</v>
      </c>
      <c r="AV29" s="7" t="s">
        <v>1</v>
      </c>
      <c r="AW29" s="7" t="s">
        <v>1</v>
      </c>
      <c r="AX29" s="7" t="s">
        <v>1</v>
      </c>
      <c r="AY29" s="7" t="s">
        <v>1</v>
      </c>
      <c r="AZ29" s="7" t="s">
        <v>1</v>
      </c>
      <c r="BA29" s="7" t="s">
        <v>1</v>
      </c>
      <c r="BB29" s="7" t="s">
        <v>1</v>
      </c>
      <c r="BC29" s="7" t="s">
        <v>1</v>
      </c>
      <c r="BD29" s="7" t="s">
        <v>1</v>
      </c>
      <c r="BE29" s="7" t="s">
        <v>1</v>
      </c>
      <c r="BF29" s="7" t="s">
        <v>1</v>
      </c>
      <c r="BG29" s="7" t="s">
        <v>1</v>
      </c>
      <c r="BH29" s="31">
        <v>1</v>
      </c>
      <c r="BI29" s="7" t="s">
        <v>94</v>
      </c>
      <c r="BJ29" s="7">
        <v>48</v>
      </c>
      <c r="BK29" s="7">
        <v>1285</v>
      </c>
      <c r="BL29" s="7" t="s">
        <v>72</v>
      </c>
      <c r="BM29" s="7" t="s">
        <v>74</v>
      </c>
      <c r="BN29" s="7">
        <v>285</v>
      </c>
      <c r="BO29" s="7">
        <v>405</v>
      </c>
      <c r="BP29" s="7" t="s">
        <v>72</v>
      </c>
      <c r="BQ29" s="7" t="s">
        <v>1</v>
      </c>
      <c r="BR29" s="7" t="s">
        <v>1</v>
      </c>
      <c r="BS29" s="7" t="s">
        <v>1</v>
      </c>
      <c r="BT29" s="7" t="s">
        <v>1</v>
      </c>
      <c r="BU29" s="7" t="s">
        <v>1</v>
      </c>
      <c r="BV29" s="118" t="s">
        <v>76</v>
      </c>
      <c r="BW29" s="118" t="s">
        <v>78</v>
      </c>
      <c r="BX29" s="309" t="s">
        <v>88</v>
      </c>
      <c r="BY29" s="118" t="s">
        <v>79</v>
      </c>
      <c r="BZ29" s="118" t="s">
        <v>93</v>
      </c>
      <c r="CA29" s="118" t="s">
        <v>95</v>
      </c>
      <c r="CB29" s="118" t="s">
        <v>87</v>
      </c>
      <c r="CC29" s="118" t="s">
        <v>80</v>
      </c>
      <c r="CD29" s="118" t="s">
        <v>84</v>
      </c>
      <c r="CE29" s="118" t="s">
        <v>96</v>
      </c>
      <c r="CF29" s="7" t="s">
        <v>1</v>
      </c>
    </row>
    <row r="30" ht="21" customHeight="1" spans="1:84">
      <c r="A30" s="29">
        <v>45133</v>
      </c>
      <c r="B30" s="7" t="s">
        <v>70</v>
      </c>
      <c r="C30" s="7" t="s">
        <v>71</v>
      </c>
      <c r="D30" s="30" t="s">
        <v>1</v>
      </c>
      <c r="E30" s="30" t="s">
        <v>1</v>
      </c>
      <c r="F30" s="30">
        <v>18.5839</v>
      </c>
      <c r="G30" s="7" t="s">
        <v>1</v>
      </c>
      <c r="H30" s="7" t="str">
        <f t="shared" si="0"/>
        <v/>
      </c>
      <c r="I30" s="30">
        <v>10.4</v>
      </c>
      <c r="J30" s="31" t="str">
        <f t="shared" si="1"/>
        <v/>
      </c>
      <c r="K30" s="31" t="str">
        <f>IFERROR(E30/#REF!,"")</f>
        <v/>
      </c>
      <c r="L30" s="127">
        <v>72281</v>
      </c>
      <c r="M30" s="7" t="s">
        <v>72</v>
      </c>
      <c r="N30" s="7" t="s">
        <v>1</v>
      </c>
      <c r="O30" s="7" t="s">
        <v>1</v>
      </c>
      <c r="P30" s="7" t="s">
        <v>1</v>
      </c>
      <c r="Q30" s="7" t="s">
        <v>1</v>
      </c>
      <c r="R30" s="30">
        <v>8697</v>
      </c>
      <c r="S30" s="7">
        <v>0</v>
      </c>
      <c r="T30" s="7" t="s">
        <v>1</v>
      </c>
      <c r="U30" s="7" t="s">
        <v>1</v>
      </c>
      <c r="V30" s="7" t="s">
        <v>1</v>
      </c>
      <c r="W30" s="7" t="s">
        <v>72</v>
      </c>
      <c r="X30" s="7" t="s">
        <v>1</v>
      </c>
      <c r="Y30" s="7" t="s">
        <v>72</v>
      </c>
      <c r="Z30" s="7" t="s">
        <v>1</v>
      </c>
      <c r="AA30" s="30" t="s">
        <v>72</v>
      </c>
      <c r="AB30" s="7" t="s">
        <v>1</v>
      </c>
      <c r="AC30" s="7" t="s">
        <v>72</v>
      </c>
      <c r="AD30" s="7">
        <v>18</v>
      </c>
      <c r="AE30" s="7" t="s">
        <v>72</v>
      </c>
      <c r="AF30" s="7" t="s">
        <v>1</v>
      </c>
      <c r="AG30" s="7" t="s">
        <v>72</v>
      </c>
      <c r="AH30" s="7">
        <v>1784</v>
      </c>
      <c r="AI30" s="7" t="s">
        <v>72</v>
      </c>
      <c r="AJ30" s="7">
        <v>414</v>
      </c>
      <c r="AK30" s="7" t="s">
        <v>72</v>
      </c>
      <c r="AL30" s="7">
        <v>52</v>
      </c>
      <c r="AM30" s="7" t="s">
        <v>72</v>
      </c>
      <c r="AN30" s="7">
        <v>1044</v>
      </c>
      <c r="AO30" s="7" t="s">
        <v>72</v>
      </c>
      <c r="AP30" s="7">
        <v>1036</v>
      </c>
      <c r="AQ30" s="7" t="s">
        <v>72</v>
      </c>
      <c r="AR30" s="7">
        <v>113</v>
      </c>
      <c r="AS30" s="7" t="s">
        <v>72</v>
      </c>
      <c r="AT30" s="306">
        <v>0.0173</v>
      </c>
      <c r="AU30" s="7" t="s">
        <v>72</v>
      </c>
      <c r="AV30" s="7" t="s">
        <v>1</v>
      </c>
      <c r="AW30" s="7" t="s">
        <v>1</v>
      </c>
      <c r="AX30" s="7" t="s">
        <v>1</v>
      </c>
      <c r="AY30" s="7" t="s">
        <v>1</v>
      </c>
      <c r="AZ30" s="7" t="s">
        <v>1</v>
      </c>
      <c r="BA30" s="7" t="s">
        <v>1</v>
      </c>
      <c r="BB30" s="7" t="s">
        <v>1</v>
      </c>
      <c r="BC30" s="7" t="s">
        <v>1</v>
      </c>
      <c r="BD30" s="7" t="s">
        <v>1</v>
      </c>
      <c r="BE30" s="7" t="s">
        <v>1</v>
      </c>
      <c r="BF30" s="7" t="s">
        <v>1</v>
      </c>
      <c r="BG30" s="7" t="s">
        <v>1</v>
      </c>
      <c r="BH30" s="7" t="s">
        <v>1</v>
      </c>
      <c r="BI30" s="7" t="s">
        <v>94</v>
      </c>
      <c r="BJ30" s="7">
        <v>37</v>
      </c>
      <c r="BK30" s="7">
        <v>1538</v>
      </c>
      <c r="BL30" s="7" t="s">
        <v>72</v>
      </c>
      <c r="BM30" s="7" t="s">
        <v>74</v>
      </c>
      <c r="BN30" s="7">
        <v>229</v>
      </c>
      <c r="BO30" s="7">
        <v>518</v>
      </c>
      <c r="BP30" s="7" t="s">
        <v>72</v>
      </c>
      <c r="BQ30" s="7" t="s">
        <v>1</v>
      </c>
      <c r="BR30" s="7" t="s">
        <v>1</v>
      </c>
      <c r="BS30" s="7" t="s">
        <v>1</v>
      </c>
      <c r="BT30" s="7" t="s">
        <v>1</v>
      </c>
      <c r="BU30" s="7" t="s">
        <v>1</v>
      </c>
      <c r="BV30" s="118" t="s">
        <v>1</v>
      </c>
      <c r="BW30" s="118" t="s">
        <v>1</v>
      </c>
      <c r="BX30" s="309" t="s">
        <v>1</v>
      </c>
      <c r="BY30" s="118" t="s">
        <v>1</v>
      </c>
      <c r="BZ30" s="118" t="s">
        <v>1</v>
      </c>
      <c r="CA30" s="118" t="s">
        <v>1</v>
      </c>
      <c r="CB30" s="118" t="s">
        <v>1</v>
      </c>
      <c r="CC30" s="118" t="s">
        <v>1</v>
      </c>
      <c r="CD30" s="118" t="s">
        <v>1</v>
      </c>
      <c r="CE30" s="118" t="s">
        <v>1</v>
      </c>
      <c r="CF30" s="7" t="s">
        <v>1</v>
      </c>
    </row>
    <row r="31" ht="21" customHeight="1" spans="1:84">
      <c r="A31" s="29">
        <v>45134</v>
      </c>
      <c r="B31" s="7" t="s">
        <v>70</v>
      </c>
      <c r="C31" s="7" t="s">
        <v>71</v>
      </c>
      <c r="D31" s="30" t="s">
        <v>1</v>
      </c>
      <c r="E31" s="30" t="s">
        <v>1</v>
      </c>
      <c r="F31" s="30">
        <v>19.5434</v>
      </c>
      <c r="G31" s="7" t="s">
        <v>1</v>
      </c>
      <c r="H31" s="7" t="str">
        <f t="shared" si="0"/>
        <v/>
      </c>
      <c r="I31" s="30">
        <v>13</v>
      </c>
      <c r="J31" s="31" t="str">
        <f t="shared" si="1"/>
        <v/>
      </c>
      <c r="K31" s="31" t="str">
        <f>IFERROR(E31/#REF!,"")</f>
        <v/>
      </c>
      <c r="L31" s="127">
        <v>89573</v>
      </c>
      <c r="M31" s="7" t="s">
        <v>72</v>
      </c>
      <c r="N31" s="7" t="s">
        <v>1</v>
      </c>
      <c r="O31" s="7" t="s">
        <v>1</v>
      </c>
      <c r="P31" s="7" t="s">
        <v>1</v>
      </c>
      <c r="Q31" s="7" t="s">
        <v>1</v>
      </c>
      <c r="R31" s="30">
        <v>8557</v>
      </c>
      <c r="S31" s="7">
        <v>0</v>
      </c>
      <c r="T31" s="7" t="s">
        <v>1</v>
      </c>
      <c r="U31" s="7" t="s">
        <v>1</v>
      </c>
      <c r="V31" s="7" t="s">
        <v>1</v>
      </c>
      <c r="W31" s="7" t="s">
        <v>72</v>
      </c>
      <c r="X31" s="7" t="s">
        <v>1</v>
      </c>
      <c r="Y31" s="7" t="s">
        <v>72</v>
      </c>
      <c r="Z31" s="7" t="s">
        <v>1</v>
      </c>
      <c r="AA31" s="30" t="s">
        <v>72</v>
      </c>
      <c r="AB31" s="7" t="s">
        <v>1</v>
      </c>
      <c r="AC31" s="7" t="s">
        <v>72</v>
      </c>
      <c r="AD31" s="7">
        <v>19</v>
      </c>
      <c r="AE31" s="7" t="s">
        <v>72</v>
      </c>
      <c r="AF31" s="7" t="s">
        <v>1</v>
      </c>
      <c r="AG31" s="7" t="s">
        <v>72</v>
      </c>
      <c r="AH31" s="7">
        <v>1747</v>
      </c>
      <c r="AI31" s="7" t="s">
        <v>72</v>
      </c>
      <c r="AJ31" s="7">
        <v>603</v>
      </c>
      <c r="AK31" s="7" t="s">
        <v>72</v>
      </c>
      <c r="AL31" s="7">
        <v>63</v>
      </c>
      <c r="AM31" s="7" t="s">
        <v>72</v>
      </c>
      <c r="AN31" s="7">
        <v>1569</v>
      </c>
      <c r="AO31" s="7" t="s">
        <v>72</v>
      </c>
      <c r="AP31" s="7">
        <v>998</v>
      </c>
      <c r="AQ31" s="7" t="s">
        <v>72</v>
      </c>
      <c r="AR31" s="7">
        <v>136</v>
      </c>
      <c r="AS31" s="7" t="s">
        <v>72</v>
      </c>
      <c r="AT31" s="306">
        <v>0.0138</v>
      </c>
      <c r="AU31" s="7" t="s">
        <v>72</v>
      </c>
      <c r="AV31" s="7" t="s">
        <v>1</v>
      </c>
      <c r="AW31" s="7" t="s">
        <v>1</v>
      </c>
      <c r="AX31" s="7" t="s">
        <v>1</v>
      </c>
      <c r="AY31" s="7" t="s">
        <v>1</v>
      </c>
      <c r="AZ31" s="7" t="s">
        <v>1</v>
      </c>
      <c r="BA31" s="7" t="s">
        <v>1</v>
      </c>
      <c r="BB31" s="7" t="s">
        <v>1</v>
      </c>
      <c r="BC31" s="7" t="s">
        <v>1</v>
      </c>
      <c r="BD31" s="7" t="s">
        <v>1</v>
      </c>
      <c r="BE31" s="7" t="s">
        <v>1</v>
      </c>
      <c r="BF31" s="7" t="s">
        <v>1</v>
      </c>
      <c r="BG31" s="7" t="s">
        <v>1</v>
      </c>
      <c r="BH31" s="31">
        <v>1</v>
      </c>
      <c r="BI31" s="7" t="s">
        <v>94</v>
      </c>
      <c r="BJ31" s="7">
        <v>47</v>
      </c>
      <c r="BK31" s="7">
        <v>1233</v>
      </c>
      <c r="BL31" s="7" t="s">
        <v>72</v>
      </c>
      <c r="BM31" s="7" t="s">
        <v>74</v>
      </c>
      <c r="BN31" s="7">
        <v>252</v>
      </c>
      <c r="BO31" s="7">
        <v>480</v>
      </c>
      <c r="BP31" s="7" t="s">
        <v>72</v>
      </c>
      <c r="BQ31" s="7" t="s">
        <v>1</v>
      </c>
      <c r="BR31" s="7" t="s">
        <v>1</v>
      </c>
      <c r="BS31" s="7" t="s">
        <v>1</v>
      </c>
      <c r="BT31" s="7" t="s">
        <v>1</v>
      </c>
      <c r="BU31" s="7" t="s">
        <v>1</v>
      </c>
      <c r="BV31" s="118" t="s">
        <v>1</v>
      </c>
      <c r="BW31" s="118" t="s">
        <v>1</v>
      </c>
      <c r="BX31" s="309" t="s">
        <v>1</v>
      </c>
      <c r="BY31" s="118" t="s">
        <v>1</v>
      </c>
      <c r="BZ31" s="118" t="s">
        <v>1</v>
      </c>
      <c r="CA31" s="118" t="s">
        <v>1</v>
      </c>
      <c r="CB31" s="118" t="s">
        <v>1</v>
      </c>
      <c r="CC31" s="118" t="s">
        <v>1</v>
      </c>
      <c r="CD31" s="118" t="s">
        <v>1</v>
      </c>
      <c r="CE31" s="118" t="s">
        <v>1</v>
      </c>
      <c r="CF31" s="7" t="s">
        <v>1</v>
      </c>
    </row>
    <row r="32" ht="21" customHeight="1" spans="1:84">
      <c r="A32" s="29">
        <v>45135</v>
      </c>
      <c r="B32" s="7" t="s">
        <v>70</v>
      </c>
      <c r="C32" s="7" t="s">
        <v>71</v>
      </c>
      <c r="D32" s="30" t="s">
        <v>1</v>
      </c>
      <c r="E32" s="30" t="s">
        <v>1</v>
      </c>
      <c r="F32" s="30">
        <v>16.3886</v>
      </c>
      <c r="G32" s="7" t="s">
        <v>1</v>
      </c>
      <c r="H32" s="7" t="str">
        <f t="shared" si="0"/>
        <v/>
      </c>
      <c r="I32" s="30">
        <v>13</v>
      </c>
      <c r="J32" s="31" t="str">
        <f t="shared" si="1"/>
        <v/>
      </c>
      <c r="K32" s="31" t="str">
        <f>IFERROR(E32/#REF!,"")</f>
        <v/>
      </c>
      <c r="L32" s="127">
        <v>111514</v>
      </c>
      <c r="M32" s="7" t="s">
        <v>72</v>
      </c>
      <c r="N32" s="7" t="s">
        <v>1</v>
      </c>
      <c r="O32" s="7" t="s">
        <v>1</v>
      </c>
      <c r="P32" s="7" t="s">
        <v>1</v>
      </c>
      <c r="Q32" s="7" t="s">
        <v>1</v>
      </c>
      <c r="R32" s="30">
        <v>8417</v>
      </c>
      <c r="S32" s="7">
        <v>0</v>
      </c>
      <c r="T32" s="7" t="s">
        <v>1</v>
      </c>
      <c r="U32" s="7" t="s">
        <v>1</v>
      </c>
      <c r="V32" s="7" t="s">
        <v>1</v>
      </c>
      <c r="W32" s="7" t="s">
        <v>72</v>
      </c>
      <c r="X32" s="7" t="s">
        <v>1</v>
      </c>
      <c r="Y32" s="7" t="s">
        <v>72</v>
      </c>
      <c r="Z32" s="7" t="s">
        <v>1</v>
      </c>
      <c r="AA32" s="30" t="s">
        <v>72</v>
      </c>
      <c r="AB32" s="7" t="s">
        <v>1</v>
      </c>
      <c r="AC32" s="7" t="s">
        <v>72</v>
      </c>
      <c r="AD32" s="7">
        <v>17</v>
      </c>
      <c r="AE32" s="7" t="s">
        <v>72</v>
      </c>
      <c r="AF32" s="7" t="s">
        <v>1</v>
      </c>
      <c r="AG32" s="7" t="s">
        <v>72</v>
      </c>
      <c r="AH32" s="7">
        <v>1902</v>
      </c>
      <c r="AI32" s="7" t="s">
        <v>72</v>
      </c>
      <c r="AJ32" s="7">
        <v>512</v>
      </c>
      <c r="AK32" s="7" t="s">
        <v>72</v>
      </c>
      <c r="AL32" s="7">
        <v>48</v>
      </c>
      <c r="AM32" s="7" t="s">
        <v>72</v>
      </c>
      <c r="AN32" s="7">
        <v>1345</v>
      </c>
      <c r="AO32" s="7" t="s">
        <v>72</v>
      </c>
      <c r="AP32" s="7">
        <v>1085</v>
      </c>
      <c r="AQ32" s="7" t="s">
        <v>72</v>
      </c>
      <c r="AR32" s="7">
        <v>128</v>
      </c>
      <c r="AS32" s="7" t="s">
        <v>72</v>
      </c>
      <c r="AT32" s="306">
        <v>0.0158</v>
      </c>
      <c r="AU32" s="7" t="s">
        <v>72</v>
      </c>
      <c r="AV32" s="7" t="s">
        <v>1</v>
      </c>
      <c r="AW32" s="7" t="s">
        <v>1</v>
      </c>
      <c r="AX32" s="7" t="s">
        <v>1</v>
      </c>
      <c r="AY32" s="7" t="s">
        <v>1</v>
      </c>
      <c r="AZ32" s="7" t="s">
        <v>1</v>
      </c>
      <c r="BA32" s="7" t="s">
        <v>1</v>
      </c>
      <c r="BB32" s="7" t="s">
        <v>1</v>
      </c>
      <c r="BC32" s="7" t="s">
        <v>1</v>
      </c>
      <c r="BD32" s="7" t="s">
        <v>1</v>
      </c>
      <c r="BE32" s="7" t="s">
        <v>1</v>
      </c>
      <c r="BF32" s="7" t="s">
        <v>1</v>
      </c>
      <c r="BG32" s="7" t="s">
        <v>1</v>
      </c>
      <c r="BH32" s="31">
        <v>1</v>
      </c>
      <c r="BI32" s="7" t="s">
        <v>94</v>
      </c>
      <c r="BJ32" s="7">
        <v>42</v>
      </c>
      <c r="BK32" s="7">
        <v>1351</v>
      </c>
      <c r="BL32" s="7" t="s">
        <v>72</v>
      </c>
      <c r="BM32" s="7" t="s">
        <v>74</v>
      </c>
      <c r="BN32" s="7">
        <v>219</v>
      </c>
      <c r="BO32" s="7">
        <v>542</v>
      </c>
      <c r="BP32" s="7" t="s">
        <v>72</v>
      </c>
      <c r="BQ32" s="7" t="s">
        <v>1</v>
      </c>
      <c r="BR32" s="7" t="s">
        <v>1</v>
      </c>
      <c r="BS32" s="7" t="s">
        <v>1</v>
      </c>
      <c r="BT32" s="7" t="s">
        <v>1</v>
      </c>
      <c r="BU32" s="7" t="s">
        <v>1</v>
      </c>
      <c r="BV32" s="118" t="s">
        <v>1</v>
      </c>
      <c r="BW32" s="118" t="s">
        <v>1</v>
      </c>
      <c r="BX32" s="309" t="s">
        <v>1</v>
      </c>
      <c r="BY32" s="118" t="s">
        <v>1</v>
      </c>
      <c r="BZ32" s="118" t="s">
        <v>1</v>
      </c>
      <c r="CA32" s="118" t="s">
        <v>1</v>
      </c>
      <c r="CB32" s="118" t="s">
        <v>1</v>
      </c>
      <c r="CC32" s="118" t="s">
        <v>1</v>
      </c>
      <c r="CD32" s="118" t="s">
        <v>1</v>
      </c>
      <c r="CE32" s="118" t="s">
        <v>1</v>
      </c>
      <c r="CF32" s="7" t="s">
        <v>1</v>
      </c>
    </row>
    <row r="33" ht="21" customHeight="1" spans="1:84">
      <c r="A33" s="29">
        <v>45136</v>
      </c>
      <c r="B33" s="310" t="s">
        <v>89</v>
      </c>
      <c r="C33" s="7" t="s">
        <v>71</v>
      </c>
      <c r="D33" s="30" t="s">
        <v>1</v>
      </c>
      <c r="E33" s="30" t="s">
        <v>1</v>
      </c>
      <c r="F33" s="30">
        <v>0.6234</v>
      </c>
      <c r="G33" s="7" t="s">
        <v>1</v>
      </c>
      <c r="H33" s="7" t="str">
        <f t="shared" si="0"/>
        <v/>
      </c>
      <c r="I33" s="30">
        <v>0</v>
      </c>
      <c r="J33" s="31" t="str">
        <f t="shared" si="1"/>
        <v/>
      </c>
      <c r="K33" s="31" t="str">
        <f>IFERROR(E33/#REF!,"")</f>
        <v/>
      </c>
      <c r="L33" s="127">
        <v>70469</v>
      </c>
      <c r="M33" s="7" t="s">
        <v>72</v>
      </c>
      <c r="N33" s="7" t="s">
        <v>1</v>
      </c>
      <c r="O33" s="7" t="s">
        <v>1</v>
      </c>
      <c r="P33" s="7" t="s">
        <v>1</v>
      </c>
      <c r="Q33" s="7" t="s">
        <v>1</v>
      </c>
      <c r="R33" s="30">
        <v>0</v>
      </c>
      <c r="S33" s="7">
        <v>0</v>
      </c>
      <c r="T33" s="7" t="s">
        <v>1</v>
      </c>
      <c r="U33" s="7" t="s">
        <v>1</v>
      </c>
      <c r="V33" s="7" t="s">
        <v>1</v>
      </c>
      <c r="W33" s="7" t="s">
        <v>72</v>
      </c>
      <c r="X33" s="7" t="s">
        <v>1</v>
      </c>
      <c r="Y33" s="7" t="s">
        <v>72</v>
      </c>
      <c r="Z33" s="7" t="s">
        <v>1</v>
      </c>
      <c r="AA33" s="30" t="s">
        <v>72</v>
      </c>
      <c r="AB33" s="7" t="s">
        <v>1</v>
      </c>
      <c r="AC33" s="7" t="s">
        <v>72</v>
      </c>
      <c r="AD33" s="7">
        <v>32</v>
      </c>
      <c r="AE33" s="7" t="s">
        <v>72</v>
      </c>
      <c r="AF33" s="7" t="s">
        <v>1</v>
      </c>
      <c r="AG33" s="7" t="s">
        <v>72</v>
      </c>
      <c r="AH33" s="7">
        <v>2303</v>
      </c>
      <c r="AI33" s="7" t="s">
        <v>72</v>
      </c>
      <c r="AJ33" s="7">
        <v>593</v>
      </c>
      <c r="AK33" s="7" t="s">
        <v>72</v>
      </c>
      <c r="AL33" s="7">
        <v>85</v>
      </c>
      <c r="AM33" s="7" t="s">
        <v>72</v>
      </c>
      <c r="AN33" s="7">
        <v>1508</v>
      </c>
      <c r="AO33" s="7" t="s">
        <v>72</v>
      </c>
      <c r="AP33" s="7">
        <v>1355</v>
      </c>
      <c r="AQ33" s="7" t="s">
        <v>72</v>
      </c>
      <c r="AR33" s="7">
        <v>226</v>
      </c>
      <c r="AS33" s="7" t="s">
        <v>72</v>
      </c>
      <c r="AT33" s="306">
        <v>0.0002</v>
      </c>
      <c r="AU33" s="7" t="s">
        <v>72</v>
      </c>
      <c r="AV33" s="7" t="s">
        <v>1</v>
      </c>
      <c r="AW33" s="7" t="s">
        <v>1</v>
      </c>
      <c r="AX33" s="7" t="s">
        <v>1</v>
      </c>
      <c r="AY33" s="7" t="s">
        <v>1</v>
      </c>
      <c r="AZ33" s="7" t="s">
        <v>1</v>
      </c>
      <c r="BA33" s="7" t="s">
        <v>1</v>
      </c>
      <c r="BB33" s="7" t="s">
        <v>1</v>
      </c>
      <c r="BC33" s="7" t="s">
        <v>1</v>
      </c>
      <c r="BD33" s="7" t="s">
        <v>1</v>
      </c>
      <c r="BE33" s="7" t="s">
        <v>1</v>
      </c>
      <c r="BF33" s="7" t="s">
        <v>1</v>
      </c>
      <c r="BG33" s="7" t="s">
        <v>1</v>
      </c>
      <c r="BH33" s="7" t="s">
        <v>1</v>
      </c>
      <c r="BI33" s="7" t="s">
        <v>94</v>
      </c>
      <c r="BJ33" s="7">
        <v>42</v>
      </c>
      <c r="BK33" s="7">
        <v>1666</v>
      </c>
      <c r="BL33" s="7" t="s">
        <v>72</v>
      </c>
      <c r="BM33" s="7" t="s">
        <v>74</v>
      </c>
      <c r="BN33" s="7">
        <v>198</v>
      </c>
      <c r="BO33" s="7">
        <v>616</v>
      </c>
      <c r="BP33" s="7" t="s">
        <v>72</v>
      </c>
      <c r="BQ33" s="7" t="s">
        <v>1</v>
      </c>
      <c r="BR33" s="7" t="s">
        <v>1</v>
      </c>
      <c r="BS33" s="7" t="s">
        <v>1</v>
      </c>
      <c r="BT33" s="7" t="s">
        <v>1</v>
      </c>
      <c r="BU33" s="7" t="s">
        <v>1</v>
      </c>
      <c r="BV33" s="118" t="s">
        <v>1</v>
      </c>
      <c r="BW33" s="118" t="s">
        <v>1</v>
      </c>
      <c r="BX33" s="309" t="s">
        <v>1</v>
      </c>
      <c r="BY33" s="118" t="s">
        <v>1</v>
      </c>
      <c r="BZ33" s="118" t="s">
        <v>1</v>
      </c>
      <c r="CA33" s="118" t="s">
        <v>1</v>
      </c>
      <c r="CB33" s="118" t="s">
        <v>1</v>
      </c>
      <c r="CC33" s="118" t="s">
        <v>1</v>
      </c>
      <c r="CD33" s="118" t="s">
        <v>1</v>
      </c>
      <c r="CE33" s="118" t="s">
        <v>1</v>
      </c>
      <c r="CF33" s="7" t="s">
        <v>1</v>
      </c>
    </row>
    <row r="34" ht="21" customHeight="1" spans="1:84">
      <c r="A34" s="29">
        <v>45137</v>
      </c>
      <c r="B34" s="310" t="s">
        <v>89</v>
      </c>
      <c r="C34" s="7" t="s">
        <v>71</v>
      </c>
      <c r="D34" s="30" t="s">
        <v>1</v>
      </c>
      <c r="E34" s="30" t="s">
        <v>1</v>
      </c>
      <c r="F34" s="7">
        <v>0</v>
      </c>
      <c r="G34" s="7" t="s">
        <v>1</v>
      </c>
      <c r="H34" s="7" t="str">
        <f t="shared" si="0"/>
        <v/>
      </c>
      <c r="I34" s="30">
        <v>0</v>
      </c>
      <c r="J34" s="31" t="str">
        <f t="shared" si="1"/>
        <v/>
      </c>
      <c r="K34" s="31" t="str">
        <f>IFERROR(E34/#REF!,"")</f>
        <v/>
      </c>
      <c r="L34" s="127">
        <v>85772</v>
      </c>
      <c r="M34" s="7" t="s">
        <v>72</v>
      </c>
      <c r="N34" s="7" t="s">
        <v>1</v>
      </c>
      <c r="O34" s="33">
        <v>25.8011</v>
      </c>
      <c r="P34" s="7" t="s">
        <v>97</v>
      </c>
      <c r="Q34" s="306">
        <v>0.2352</v>
      </c>
      <c r="R34" s="30">
        <v>0</v>
      </c>
      <c r="S34" s="7">
        <v>0</v>
      </c>
      <c r="T34" s="7" t="s">
        <v>1</v>
      </c>
      <c r="U34" s="7" t="s">
        <v>1</v>
      </c>
      <c r="V34" s="7" t="s">
        <v>1</v>
      </c>
      <c r="W34" s="7" t="s">
        <v>72</v>
      </c>
      <c r="X34" s="7" t="s">
        <v>1</v>
      </c>
      <c r="Y34" s="7" t="s">
        <v>72</v>
      </c>
      <c r="Z34" s="7" t="s">
        <v>1</v>
      </c>
      <c r="AA34" s="30" t="s">
        <v>72</v>
      </c>
      <c r="AB34" s="7" t="s">
        <v>1</v>
      </c>
      <c r="AC34" s="7" t="s">
        <v>72</v>
      </c>
      <c r="AD34" s="7">
        <v>20</v>
      </c>
      <c r="AE34" s="7" t="s">
        <v>72</v>
      </c>
      <c r="AF34" s="7" t="s">
        <v>1</v>
      </c>
      <c r="AG34" s="7" t="s">
        <v>72</v>
      </c>
      <c r="AH34" s="7">
        <v>1899</v>
      </c>
      <c r="AI34" s="7" t="s">
        <v>72</v>
      </c>
      <c r="AJ34" s="7">
        <v>703</v>
      </c>
      <c r="AK34" s="7" t="s">
        <v>72</v>
      </c>
      <c r="AL34" s="7">
        <v>42</v>
      </c>
      <c r="AM34" s="7" t="s">
        <v>72</v>
      </c>
      <c r="AN34" s="7">
        <v>32</v>
      </c>
      <c r="AO34" s="7" t="s">
        <v>72</v>
      </c>
      <c r="AP34" s="7">
        <v>2273</v>
      </c>
      <c r="AQ34" s="7" t="s">
        <v>72</v>
      </c>
      <c r="AR34" s="7">
        <v>459</v>
      </c>
      <c r="AS34" s="7" t="s">
        <v>72</v>
      </c>
      <c r="AT34" s="306">
        <v>0</v>
      </c>
      <c r="AU34" s="7" t="s">
        <v>72</v>
      </c>
      <c r="AV34" s="7">
        <v>490</v>
      </c>
      <c r="AW34" s="7" t="s">
        <v>72</v>
      </c>
      <c r="AX34" s="7" t="s">
        <v>1</v>
      </c>
      <c r="AY34" s="7" t="s">
        <v>72</v>
      </c>
      <c r="AZ34" s="7">
        <v>98</v>
      </c>
      <c r="BA34" s="7" t="s">
        <v>72</v>
      </c>
      <c r="BB34" s="31">
        <v>0.2</v>
      </c>
      <c r="BC34" s="7" t="s">
        <v>72</v>
      </c>
      <c r="BD34" s="7" t="s">
        <v>1</v>
      </c>
      <c r="BE34" s="7" t="s">
        <v>1</v>
      </c>
      <c r="BF34" s="7" t="s">
        <v>1</v>
      </c>
      <c r="BG34" s="7" t="s">
        <v>1</v>
      </c>
      <c r="BH34" s="31">
        <v>0.8</v>
      </c>
      <c r="BI34" s="7" t="s">
        <v>94</v>
      </c>
      <c r="BJ34" s="7">
        <v>35</v>
      </c>
      <c r="BK34" s="7">
        <v>2169</v>
      </c>
      <c r="BL34" s="7" t="s">
        <v>72</v>
      </c>
      <c r="BM34" s="7" t="s">
        <v>74</v>
      </c>
      <c r="BN34" s="7">
        <v>199</v>
      </c>
      <c r="BO34" s="7">
        <v>665</v>
      </c>
      <c r="BP34" s="7" t="s">
        <v>72</v>
      </c>
      <c r="BQ34" s="7" t="s">
        <v>1</v>
      </c>
      <c r="BR34" s="7" t="s">
        <v>1</v>
      </c>
      <c r="BS34" s="7" t="s">
        <v>1</v>
      </c>
      <c r="BT34" s="7" t="s">
        <v>1</v>
      </c>
      <c r="BU34" s="7" t="s">
        <v>1</v>
      </c>
      <c r="BV34" s="118" t="s">
        <v>1</v>
      </c>
      <c r="BW34" s="118" t="s">
        <v>1</v>
      </c>
      <c r="BX34" s="309" t="s">
        <v>1</v>
      </c>
      <c r="BY34" s="118" t="s">
        <v>1</v>
      </c>
      <c r="BZ34" s="118" t="s">
        <v>1</v>
      </c>
      <c r="CA34" s="118" t="s">
        <v>1</v>
      </c>
      <c r="CB34" s="118" t="s">
        <v>1</v>
      </c>
      <c r="CC34" s="118" t="s">
        <v>1</v>
      </c>
      <c r="CD34" s="118" t="s">
        <v>1</v>
      </c>
      <c r="CE34" s="118" t="s">
        <v>1</v>
      </c>
      <c r="CF34" s="7" t="s">
        <v>1</v>
      </c>
    </row>
    <row r="35" ht="21" customHeight="1" spans="1:84">
      <c r="A35" s="29">
        <v>45138</v>
      </c>
      <c r="B35" s="313" t="s">
        <v>98</v>
      </c>
      <c r="C35" s="7" t="s">
        <v>71</v>
      </c>
      <c r="D35" s="30" t="s">
        <v>1</v>
      </c>
      <c r="E35" s="30" t="s">
        <v>1</v>
      </c>
      <c r="F35" s="30">
        <f>50.5609-3.2</f>
        <v>47.3609</v>
      </c>
      <c r="G35" s="7" t="s">
        <v>1</v>
      </c>
      <c r="H35" s="7" t="str">
        <f t="shared" si="0"/>
        <v/>
      </c>
      <c r="I35" s="30">
        <v>33</v>
      </c>
      <c r="J35" s="31" t="str">
        <f t="shared" si="1"/>
        <v/>
      </c>
      <c r="K35" s="31" t="str">
        <f>IFERROR(E35/#REF!,"")</f>
        <v/>
      </c>
      <c r="L35" s="127">
        <v>143553</v>
      </c>
      <c r="M35" s="7" t="s">
        <v>72</v>
      </c>
      <c r="N35" s="7" t="s">
        <v>1</v>
      </c>
      <c r="O35" s="7" t="s">
        <v>1</v>
      </c>
      <c r="P35" s="7" t="s">
        <v>1</v>
      </c>
      <c r="Q35" s="7" t="s">
        <v>1</v>
      </c>
      <c r="R35" s="30">
        <v>25811</v>
      </c>
      <c r="S35" s="7">
        <v>0</v>
      </c>
      <c r="T35" s="7" t="s">
        <v>1</v>
      </c>
      <c r="U35" s="7" t="s">
        <v>1</v>
      </c>
      <c r="V35" s="7" t="s">
        <v>1</v>
      </c>
      <c r="W35" s="7" t="s">
        <v>72</v>
      </c>
      <c r="X35" s="7" t="s">
        <v>1</v>
      </c>
      <c r="Y35" s="7" t="s">
        <v>72</v>
      </c>
      <c r="Z35" s="7" t="s">
        <v>1</v>
      </c>
      <c r="AA35" s="30" t="s">
        <v>72</v>
      </c>
      <c r="AB35" s="7" t="s">
        <v>1</v>
      </c>
      <c r="AC35" s="7" t="s">
        <v>72</v>
      </c>
      <c r="AD35" s="7">
        <v>27</v>
      </c>
      <c r="AE35" s="7" t="s">
        <v>72</v>
      </c>
      <c r="AF35" s="7" t="s">
        <v>1</v>
      </c>
      <c r="AG35" s="7" t="s">
        <v>72</v>
      </c>
      <c r="AH35" s="7">
        <v>2932</v>
      </c>
      <c r="AI35" s="7" t="s">
        <v>72</v>
      </c>
      <c r="AJ35" s="7">
        <v>996</v>
      </c>
      <c r="AK35" s="7" t="s">
        <v>72</v>
      </c>
      <c r="AL35" s="7">
        <v>96</v>
      </c>
      <c r="AM35" s="7" t="s">
        <v>72</v>
      </c>
      <c r="AN35" s="7">
        <v>1034</v>
      </c>
      <c r="AO35" s="7" t="s">
        <v>72</v>
      </c>
      <c r="AP35" s="7">
        <v>1801</v>
      </c>
      <c r="AQ35" s="7" t="s">
        <v>72</v>
      </c>
      <c r="AR35" s="7">
        <v>279</v>
      </c>
      <c r="AS35" s="7" t="s">
        <v>72</v>
      </c>
      <c r="AT35" s="306">
        <v>0.0359</v>
      </c>
      <c r="AU35" s="7" t="s">
        <v>72</v>
      </c>
      <c r="AV35" s="7" t="s">
        <v>1</v>
      </c>
      <c r="AW35" s="7" t="s">
        <v>1</v>
      </c>
      <c r="AX35" s="7" t="s">
        <v>1</v>
      </c>
      <c r="AY35" s="7" t="s">
        <v>1</v>
      </c>
      <c r="AZ35" s="7" t="s">
        <v>1</v>
      </c>
      <c r="BA35" s="7" t="s">
        <v>1</v>
      </c>
      <c r="BB35" s="7" t="s">
        <v>1</v>
      </c>
      <c r="BC35" s="7" t="s">
        <v>1</v>
      </c>
      <c r="BD35" s="7" t="s">
        <v>1</v>
      </c>
      <c r="BE35" s="7" t="s">
        <v>1</v>
      </c>
      <c r="BF35" s="7" t="s">
        <v>1</v>
      </c>
      <c r="BG35" s="7" t="s">
        <v>1</v>
      </c>
      <c r="BH35" s="31">
        <v>1</v>
      </c>
      <c r="BI35" s="7" t="s">
        <v>94</v>
      </c>
      <c r="BJ35" s="7">
        <v>31</v>
      </c>
      <c r="BK35" s="7">
        <v>2349</v>
      </c>
      <c r="BL35" s="7" t="s">
        <v>72</v>
      </c>
      <c r="BM35" s="7" t="s">
        <v>74</v>
      </c>
      <c r="BN35" s="7">
        <v>171</v>
      </c>
      <c r="BO35" s="7">
        <v>721</v>
      </c>
      <c r="BP35" s="7" t="s">
        <v>72</v>
      </c>
      <c r="BQ35" s="7" t="s">
        <v>1</v>
      </c>
      <c r="BR35" s="7" t="s">
        <v>1</v>
      </c>
      <c r="BS35" s="7" t="s">
        <v>1</v>
      </c>
      <c r="BT35" s="7" t="s">
        <v>1</v>
      </c>
      <c r="BU35" s="7" t="s">
        <v>1</v>
      </c>
      <c r="BV35" s="118" t="s">
        <v>1</v>
      </c>
      <c r="BW35" s="118" t="s">
        <v>1</v>
      </c>
      <c r="BX35" s="309" t="s">
        <v>1</v>
      </c>
      <c r="BY35" s="118" t="s">
        <v>1</v>
      </c>
      <c r="BZ35" s="118" t="s">
        <v>1</v>
      </c>
      <c r="CA35" s="118" t="s">
        <v>1</v>
      </c>
      <c r="CB35" s="118" t="s">
        <v>1</v>
      </c>
      <c r="CC35" s="118" t="s">
        <v>1</v>
      </c>
      <c r="CD35" s="118" t="s">
        <v>1</v>
      </c>
      <c r="CE35" s="118" t="s">
        <v>1</v>
      </c>
      <c r="CF35" s="7" t="s">
        <v>1</v>
      </c>
    </row>
    <row r="36" ht="27" customHeight="1" spans="1:84">
      <c r="A36" s="29">
        <v>45139</v>
      </c>
      <c r="B36" s="311" t="s">
        <v>99</v>
      </c>
      <c r="C36" s="7" t="s">
        <v>71</v>
      </c>
      <c r="D36" s="30" t="s">
        <v>1</v>
      </c>
      <c r="E36" s="30" t="s">
        <v>1</v>
      </c>
      <c r="F36" s="30" t="e">
        <f>E36-2.8</f>
        <v>#VALUE!</v>
      </c>
      <c r="G36" s="32" t="s">
        <v>1</v>
      </c>
      <c r="H36" s="7" t="s">
        <v>1</v>
      </c>
      <c r="I36" s="32">
        <v>16</v>
      </c>
      <c r="J36" s="31" t="str">
        <f t="shared" si="1"/>
        <v/>
      </c>
      <c r="K36" s="31" t="str">
        <f>IFERROR(E36/#REF!,"")</f>
        <v/>
      </c>
      <c r="L36" s="127">
        <v>131255</v>
      </c>
      <c r="M36" s="32" t="s">
        <v>72</v>
      </c>
      <c r="N36" s="32" t="s">
        <v>1</v>
      </c>
      <c r="O36" s="32">
        <v>9.566</v>
      </c>
      <c r="P36" s="32" t="s">
        <v>1</v>
      </c>
      <c r="Q36" s="32" t="s">
        <v>1</v>
      </c>
      <c r="R36" s="32">
        <v>3299</v>
      </c>
      <c r="S36" s="32" t="s">
        <v>1</v>
      </c>
      <c r="T36" s="32" t="s">
        <v>1</v>
      </c>
      <c r="U36" s="32" t="s">
        <v>1</v>
      </c>
      <c r="V36" s="7" t="s">
        <v>1</v>
      </c>
      <c r="W36" s="7" t="s">
        <v>72</v>
      </c>
      <c r="X36" s="7" t="s">
        <v>1</v>
      </c>
      <c r="Y36" s="7" t="s">
        <v>72</v>
      </c>
      <c r="Z36" s="7" t="s">
        <v>1</v>
      </c>
      <c r="AA36" s="30" t="s">
        <v>72</v>
      </c>
      <c r="AB36" s="7" t="s">
        <v>1</v>
      </c>
      <c r="AC36" s="7" t="s">
        <v>72</v>
      </c>
      <c r="AD36" s="7">
        <v>10</v>
      </c>
      <c r="AE36" s="7" t="s">
        <v>72</v>
      </c>
      <c r="AF36" s="7" t="s">
        <v>1</v>
      </c>
      <c r="AG36" s="7" t="s">
        <v>72</v>
      </c>
      <c r="AH36" s="7">
        <v>2416</v>
      </c>
      <c r="AI36" s="7" t="s">
        <v>72</v>
      </c>
      <c r="AJ36" s="7">
        <v>642</v>
      </c>
      <c r="AK36" s="7" t="s">
        <v>72</v>
      </c>
      <c r="AL36" s="7">
        <v>78</v>
      </c>
      <c r="AM36" s="7" t="s">
        <v>72</v>
      </c>
      <c r="AN36" s="7">
        <v>1399</v>
      </c>
      <c r="AO36" s="7" t="s">
        <v>72</v>
      </c>
      <c r="AP36" s="7">
        <v>1426</v>
      </c>
      <c r="AQ36" s="7" t="s">
        <v>72</v>
      </c>
      <c r="AR36" s="7">
        <v>156</v>
      </c>
      <c r="AS36" s="7" t="s">
        <v>72</v>
      </c>
      <c r="AT36" s="306">
        <v>0.01845</v>
      </c>
      <c r="AU36" s="32" t="s">
        <v>1</v>
      </c>
      <c r="AV36" s="32">
        <v>175</v>
      </c>
      <c r="AW36" s="32" t="s">
        <v>72</v>
      </c>
      <c r="AX36" s="306">
        <v>0.0414</v>
      </c>
      <c r="AY36" s="314" t="s">
        <v>72</v>
      </c>
      <c r="AZ36" s="314" t="s">
        <v>1</v>
      </c>
      <c r="BA36" s="32" t="s">
        <v>1</v>
      </c>
      <c r="BB36" s="32" t="s">
        <v>1</v>
      </c>
      <c r="BC36" s="314" t="s">
        <v>1</v>
      </c>
      <c r="BD36" s="314" t="s">
        <v>1</v>
      </c>
      <c r="BE36" s="32" t="s">
        <v>1</v>
      </c>
      <c r="BF36" s="32" t="s">
        <v>1</v>
      </c>
      <c r="BG36" s="314" t="s">
        <v>1</v>
      </c>
      <c r="BH36" s="31">
        <v>0.8</v>
      </c>
      <c r="BI36" s="7" t="s">
        <v>94</v>
      </c>
      <c r="BJ36" s="7">
        <v>29</v>
      </c>
      <c r="BK36" s="7">
        <v>2116</v>
      </c>
      <c r="BL36" s="7" t="s">
        <v>72</v>
      </c>
      <c r="BM36" s="7" t="s">
        <v>74</v>
      </c>
      <c r="BN36" s="7">
        <v>170</v>
      </c>
      <c r="BO36" s="7">
        <v>739</v>
      </c>
      <c r="BP36" s="7" t="s">
        <v>72</v>
      </c>
      <c r="BQ36" s="7" t="s">
        <v>1</v>
      </c>
      <c r="BR36" s="7" t="s">
        <v>1</v>
      </c>
      <c r="BS36" s="7" t="s">
        <v>1</v>
      </c>
      <c r="BT36" s="7" t="s">
        <v>1</v>
      </c>
      <c r="BU36" s="7" t="s">
        <v>1</v>
      </c>
      <c r="BV36" s="118" t="s">
        <v>78</v>
      </c>
      <c r="BW36" s="118" t="s">
        <v>76</v>
      </c>
      <c r="BX36" s="118" t="s">
        <v>79</v>
      </c>
      <c r="BY36" s="309" t="s">
        <v>88</v>
      </c>
      <c r="BZ36" s="118" t="s">
        <v>87</v>
      </c>
      <c r="CA36" s="118" t="s">
        <v>79</v>
      </c>
      <c r="CB36" s="312" t="s">
        <v>92</v>
      </c>
      <c r="CC36" s="118" t="s">
        <v>80</v>
      </c>
      <c r="CD36" s="118" t="s">
        <v>81</v>
      </c>
      <c r="CE36" s="118" t="s">
        <v>83</v>
      </c>
      <c r="CF36" s="7" t="s">
        <v>1</v>
      </c>
    </row>
    <row r="37" ht="27" customHeight="1" spans="1:84">
      <c r="A37" s="29">
        <v>45140</v>
      </c>
      <c r="B37" s="32" t="s">
        <v>100</v>
      </c>
      <c r="C37" s="7" t="s">
        <v>71</v>
      </c>
      <c r="D37" s="30" t="s">
        <v>1</v>
      </c>
      <c r="E37" s="30" t="s">
        <v>1</v>
      </c>
      <c r="F37" s="32" t="e">
        <f>E37-1.7</f>
        <v>#VALUE!</v>
      </c>
      <c r="G37" s="32" t="s">
        <v>1</v>
      </c>
      <c r="H37" s="7" t="s">
        <v>1</v>
      </c>
      <c r="I37" s="32">
        <v>10</v>
      </c>
      <c r="J37" s="31" t="str">
        <f t="shared" si="1"/>
        <v/>
      </c>
      <c r="K37" s="31" t="str">
        <f>IFERROR(E37/#REF!,"")</f>
        <v/>
      </c>
      <c r="L37" s="127">
        <v>125161</v>
      </c>
      <c r="M37" s="32" t="s">
        <v>72</v>
      </c>
      <c r="N37" s="32" t="s">
        <v>1</v>
      </c>
      <c r="O37" s="32" t="s">
        <v>1</v>
      </c>
      <c r="P37" s="32" t="s">
        <v>1</v>
      </c>
      <c r="Q37" s="32" t="s">
        <v>1</v>
      </c>
      <c r="R37" s="32" t="s">
        <v>1</v>
      </c>
      <c r="S37" s="32" t="s">
        <v>1</v>
      </c>
      <c r="T37" s="32" t="s">
        <v>1</v>
      </c>
      <c r="U37" s="32" t="s">
        <v>1</v>
      </c>
      <c r="V37" s="7" t="s">
        <v>1</v>
      </c>
      <c r="W37" s="7" t="s">
        <v>72</v>
      </c>
      <c r="X37" s="7" t="s">
        <v>1</v>
      </c>
      <c r="Y37" s="7" t="s">
        <v>72</v>
      </c>
      <c r="Z37" s="7" t="s">
        <v>1</v>
      </c>
      <c r="AA37" s="30" t="s">
        <v>72</v>
      </c>
      <c r="AB37" s="7" t="s">
        <v>1</v>
      </c>
      <c r="AC37" s="7" t="s">
        <v>72</v>
      </c>
      <c r="AD37" s="7">
        <v>12</v>
      </c>
      <c r="AE37" s="7" t="s">
        <v>72</v>
      </c>
      <c r="AF37" s="7" t="s">
        <v>1</v>
      </c>
      <c r="AG37" s="7" t="s">
        <v>72</v>
      </c>
      <c r="AH37" s="7">
        <v>2767</v>
      </c>
      <c r="AI37" s="7" t="s">
        <v>72</v>
      </c>
      <c r="AJ37" s="7">
        <v>635</v>
      </c>
      <c r="AK37" s="7" t="s">
        <v>72</v>
      </c>
      <c r="AL37" s="7">
        <v>78</v>
      </c>
      <c r="AM37" s="7" t="s">
        <v>72</v>
      </c>
      <c r="AN37" s="7">
        <v>1116</v>
      </c>
      <c r="AO37" s="7" t="s">
        <v>72</v>
      </c>
      <c r="AP37" s="7">
        <v>1753</v>
      </c>
      <c r="AQ37" s="7" t="s">
        <v>72</v>
      </c>
      <c r="AR37" s="7">
        <v>248</v>
      </c>
      <c r="AS37" s="7" t="s">
        <v>72</v>
      </c>
      <c r="AT37" s="306">
        <v>0.0138</v>
      </c>
      <c r="AU37" s="32" t="s">
        <v>1</v>
      </c>
      <c r="AV37" s="32" t="s">
        <v>1</v>
      </c>
      <c r="AW37" s="32" t="s">
        <v>1</v>
      </c>
      <c r="AX37" s="32" t="s">
        <v>1</v>
      </c>
      <c r="AY37" s="314" t="s">
        <v>1</v>
      </c>
      <c r="AZ37" s="314" t="s">
        <v>1</v>
      </c>
      <c r="BA37" s="32" t="s">
        <v>1</v>
      </c>
      <c r="BB37" s="32" t="s">
        <v>1</v>
      </c>
      <c r="BC37" s="314" t="s">
        <v>1</v>
      </c>
      <c r="BD37" s="314" t="s">
        <v>1</v>
      </c>
      <c r="BE37" s="32" t="s">
        <v>1</v>
      </c>
      <c r="BF37" s="32" t="s">
        <v>1</v>
      </c>
      <c r="BG37" s="314" t="s">
        <v>1</v>
      </c>
      <c r="BH37" s="31">
        <v>1</v>
      </c>
      <c r="BI37" s="7" t="s">
        <v>94</v>
      </c>
      <c r="BJ37" s="7">
        <v>21</v>
      </c>
      <c r="BK37" s="7">
        <v>2881</v>
      </c>
      <c r="BL37" s="7" t="s">
        <v>72</v>
      </c>
      <c r="BM37" s="7" t="s">
        <v>74</v>
      </c>
      <c r="BN37" s="7">
        <v>152</v>
      </c>
      <c r="BO37" s="7">
        <v>799</v>
      </c>
      <c r="BP37" s="7" t="s">
        <v>72</v>
      </c>
      <c r="BQ37" s="7" t="s">
        <v>1</v>
      </c>
      <c r="BR37" s="7" t="s">
        <v>1</v>
      </c>
      <c r="BS37" s="7" t="s">
        <v>1</v>
      </c>
      <c r="BT37" s="7" t="s">
        <v>1</v>
      </c>
      <c r="BU37" s="7" t="s">
        <v>1</v>
      </c>
      <c r="BV37" s="118" t="s">
        <v>1</v>
      </c>
      <c r="BW37" s="118" t="s">
        <v>1</v>
      </c>
      <c r="BX37" s="118" t="s">
        <v>1</v>
      </c>
      <c r="BY37" s="309" t="s">
        <v>88</v>
      </c>
      <c r="BZ37" s="118" t="s">
        <v>1</v>
      </c>
      <c r="CA37" s="118" t="s">
        <v>1</v>
      </c>
      <c r="CB37" s="312" t="s">
        <v>1</v>
      </c>
      <c r="CC37" s="118" t="s">
        <v>1</v>
      </c>
      <c r="CD37" s="118" t="s">
        <v>1</v>
      </c>
      <c r="CE37" s="118" t="s">
        <v>1</v>
      </c>
      <c r="CF37" s="7" t="s">
        <v>1</v>
      </c>
    </row>
    <row r="38" ht="27" customHeight="1" spans="1:84">
      <c r="A38" s="29">
        <v>45141</v>
      </c>
      <c r="B38" s="32" t="s">
        <v>100</v>
      </c>
      <c r="C38" s="7" t="s">
        <v>71</v>
      </c>
      <c r="D38" s="30" t="s">
        <v>1</v>
      </c>
      <c r="E38" s="30" t="s">
        <v>1</v>
      </c>
      <c r="F38" s="32" t="e">
        <f>E38-1.7</f>
        <v>#VALUE!</v>
      </c>
      <c r="G38" s="32" t="s">
        <v>1</v>
      </c>
      <c r="H38" s="7" t="s">
        <v>1</v>
      </c>
      <c r="I38" s="32">
        <v>9</v>
      </c>
      <c r="J38" s="31" t="str">
        <f t="shared" si="1"/>
        <v/>
      </c>
      <c r="K38" s="31" t="str">
        <f>IFERROR(E38/#REF!,"")</f>
        <v/>
      </c>
      <c r="L38" s="127">
        <v>113436</v>
      </c>
      <c r="M38" s="32" t="s">
        <v>72</v>
      </c>
      <c r="N38" s="32" t="s">
        <v>1</v>
      </c>
      <c r="O38" s="32" t="s">
        <v>1</v>
      </c>
      <c r="P38" s="32" t="s">
        <v>1</v>
      </c>
      <c r="Q38" s="32" t="s">
        <v>1</v>
      </c>
      <c r="R38" s="32" t="s">
        <v>1</v>
      </c>
      <c r="S38" s="32" t="s">
        <v>1</v>
      </c>
      <c r="T38" s="32" t="s">
        <v>1</v>
      </c>
      <c r="U38" s="32" t="s">
        <v>1</v>
      </c>
      <c r="V38" s="7" t="s">
        <v>1</v>
      </c>
      <c r="W38" s="7" t="s">
        <v>72</v>
      </c>
      <c r="X38" s="7" t="s">
        <v>1</v>
      </c>
      <c r="Y38" s="7" t="s">
        <v>72</v>
      </c>
      <c r="Z38" s="7" t="s">
        <v>1</v>
      </c>
      <c r="AA38" s="30" t="s">
        <v>72</v>
      </c>
      <c r="AB38" s="7" t="s">
        <v>1</v>
      </c>
      <c r="AC38" s="7" t="s">
        <v>72</v>
      </c>
      <c r="AD38" s="7">
        <v>17</v>
      </c>
      <c r="AE38" s="7" t="s">
        <v>72</v>
      </c>
      <c r="AF38" s="7" t="s">
        <v>1</v>
      </c>
      <c r="AG38" s="7" t="s">
        <v>72</v>
      </c>
      <c r="AH38" s="7">
        <v>2657</v>
      </c>
      <c r="AI38" s="7" t="s">
        <v>72</v>
      </c>
      <c r="AJ38" s="7">
        <v>620</v>
      </c>
      <c r="AK38" s="7" t="s">
        <v>72</v>
      </c>
      <c r="AL38" s="7">
        <v>80</v>
      </c>
      <c r="AM38" s="7" t="s">
        <v>72</v>
      </c>
      <c r="AN38" s="7">
        <v>4352</v>
      </c>
      <c r="AO38" s="7" t="s">
        <v>72</v>
      </c>
      <c r="AP38" s="7">
        <v>1504</v>
      </c>
      <c r="AQ38" s="7" t="s">
        <v>72</v>
      </c>
      <c r="AR38" s="7">
        <v>208</v>
      </c>
      <c r="AS38" s="7" t="s">
        <v>72</v>
      </c>
      <c r="AT38" s="306">
        <v>0.0058</v>
      </c>
      <c r="AU38" s="32" t="s">
        <v>1</v>
      </c>
      <c r="AV38" s="32" t="s">
        <v>1</v>
      </c>
      <c r="AW38" s="32" t="s">
        <v>1</v>
      </c>
      <c r="AX38" s="32" t="s">
        <v>1</v>
      </c>
      <c r="AY38" s="314" t="s">
        <v>1</v>
      </c>
      <c r="AZ38" s="314" t="s">
        <v>1</v>
      </c>
      <c r="BA38" s="32" t="s">
        <v>1</v>
      </c>
      <c r="BB38" s="32" t="s">
        <v>1</v>
      </c>
      <c r="BC38" s="314" t="s">
        <v>1</v>
      </c>
      <c r="BD38" s="314" t="s">
        <v>1</v>
      </c>
      <c r="BE38" s="32" t="s">
        <v>1</v>
      </c>
      <c r="BF38" s="32" t="s">
        <v>1</v>
      </c>
      <c r="BG38" s="314" t="s">
        <v>1</v>
      </c>
      <c r="BH38" s="31">
        <v>1</v>
      </c>
      <c r="BI38" s="7" t="s">
        <v>94</v>
      </c>
      <c r="BJ38" s="7">
        <v>30</v>
      </c>
      <c r="BK38" s="7">
        <v>2206</v>
      </c>
      <c r="BL38" s="7" t="s">
        <v>72</v>
      </c>
      <c r="BM38" s="7" t="s">
        <v>74</v>
      </c>
      <c r="BN38" s="7">
        <v>187</v>
      </c>
      <c r="BO38" s="7">
        <v>674</v>
      </c>
      <c r="BP38" s="7" t="s">
        <v>72</v>
      </c>
      <c r="BQ38" s="7" t="s">
        <v>1</v>
      </c>
      <c r="BR38" s="7" t="s">
        <v>1</v>
      </c>
      <c r="BS38" s="7" t="s">
        <v>1</v>
      </c>
      <c r="BT38" s="7" t="s">
        <v>1</v>
      </c>
      <c r="BU38" s="7" t="s">
        <v>1</v>
      </c>
      <c r="BV38" s="118" t="s">
        <v>1</v>
      </c>
      <c r="BW38" s="118" t="s">
        <v>1</v>
      </c>
      <c r="BX38" s="118" t="s">
        <v>1</v>
      </c>
      <c r="BY38" s="309" t="s">
        <v>88</v>
      </c>
      <c r="BZ38" s="118" t="s">
        <v>1</v>
      </c>
      <c r="CA38" s="118" t="s">
        <v>1</v>
      </c>
      <c r="CB38" s="312" t="s">
        <v>1</v>
      </c>
      <c r="CC38" s="118" t="s">
        <v>1</v>
      </c>
      <c r="CD38" s="118" t="s">
        <v>1</v>
      </c>
      <c r="CE38" s="118" t="s">
        <v>1</v>
      </c>
      <c r="CF38" s="7" t="s">
        <v>1</v>
      </c>
    </row>
    <row r="39" ht="27" customHeight="1" spans="1:84">
      <c r="A39" s="29">
        <v>45142</v>
      </c>
      <c r="B39" s="32" t="s">
        <v>100</v>
      </c>
      <c r="C39" s="7" t="s">
        <v>71</v>
      </c>
      <c r="D39" s="30" t="s">
        <v>1</v>
      </c>
      <c r="E39" s="30" t="s">
        <v>1</v>
      </c>
      <c r="F39" s="32" t="e">
        <f>E39-1.9</f>
        <v>#VALUE!</v>
      </c>
      <c r="G39" s="32" t="s">
        <v>1</v>
      </c>
      <c r="H39" s="7" t="s">
        <v>1</v>
      </c>
      <c r="I39" s="32">
        <v>11</v>
      </c>
      <c r="J39" s="31" t="str">
        <f t="shared" si="1"/>
        <v/>
      </c>
      <c r="K39" s="31" t="str">
        <f>IFERROR(E39/#REF!,"")</f>
        <v/>
      </c>
      <c r="L39" s="127">
        <v>70027</v>
      </c>
      <c r="M39" s="32" t="s">
        <v>72</v>
      </c>
      <c r="N39" s="32" t="s">
        <v>1</v>
      </c>
      <c r="O39" s="32" t="s">
        <v>1</v>
      </c>
      <c r="P39" s="32" t="s">
        <v>1</v>
      </c>
      <c r="Q39" s="32" t="s">
        <v>1</v>
      </c>
      <c r="R39" s="32" t="s">
        <v>1</v>
      </c>
      <c r="S39" s="32" t="s">
        <v>1</v>
      </c>
      <c r="T39" s="32" t="s">
        <v>1</v>
      </c>
      <c r="U39" s="32" t="s">
        <v>1</v>
      </c>
      <c r="V39" s="7" t="s">
        <v>1</v>
      </c>
      <c r="W39" s="7" t="s">
        <v>72</v>
      </c>
      <c r="X39" s="7" t="s">
        <v>1</v>
      </c>
      <c r="Y39" s="7" t="s">
        <v>72</v>
      </c>
      <c r="Z39" s="7" t="s">
        <v>1</v>
      </c>
      <c r="AA39" s="30" t="s">
        <v>72</v>
      </c>
      <c r="AB39" s="7" t="s">
        <v>1</v>
      </c>
      <c r="AC39" s="7" t="s">
        <v>72</v>
      </c>
      <c r="AD39" s="7">
        <v>18</v>
      </c>
      <c r="AE39" s="7" t="s">
        <v>72</v>
      </c>
      <c r="AF39" s="7" t="s">
        <v>1</v>
      </c>
      <c r="AG39" s="7" t="s">
        <v>72</v>
      </c>
      <c r="AH39" s="7">
        <v>3037</v>
      </c>
      <c r="AI39" s="7" t="s">
        <v>72</v>
      </c>
      <c r="AJ39" s="7">
        <v>665</v>
      </c>
      <c r="AK39" s="7" t="s">
        <v>72</v>
      </c>
      <c r="AL39" s="7">
        <v>90</v>
      </c>
      <c r="AM39" s="7" t="s">
        <v>72</v>
      </c>
      <c r="AN39" s="7">
        <v>1181</v>
      </c>
      <c r="AO39" s="7" t="s">
        <v>72</v>
      </c>
      <c r="AP39" s="7">
        <v>1806</v>
      </c>
      <c r="AQ39" s="7" t="s">
        <v>72</v>
      </c>
      <c r="AR39" s="7">
        <v>249</v>
      </c>
      <c r="AS39" s="7" t="s">
        <v>72</v>
      </c>
      <c r="AT39" s="314" t="s">
        <v>1</v>
      </c>
      <c r="AU39" s="32" t="s">
        <v>1</v>
      </c>
      <c r="AV39" s="32" t="s">
        <v>1</v>
      </c>
      <c r="AW39" s="32" t="s">
        <v>1</v>
      </c>
      <c r="AX39" s="32" t="s">
        <v>1</v>
      </c>
      <c r="AY39" s="314" t="s">
        <v>1</v>
      </c>
      <c r="AZ39" s="314" t="s">
        <v>1</v>
      </c>
      <c r="BA39" s="32" t="s">
        <v>1</v>
      </c>
      <c r="BB39" s="32" t="s">
        <v>1</v>
      </c>
      <c r="BC39" s="314" t="s">
        <v>1</v>
      </c>
      <c r="BD39" s="314" t="s">
        <v>1</v>
      </c>
      <c r="BE39" s="32" t="s">
        <v>1</v>
      </c>
      <c r="BF39" s="32" t="s">
        <v>1</v>
      </c>
      <c r="BG39" s="314" t="s">
        <v>1</v>
      </c>
      <c r="BH39" s="314">
        <v>0.95</v>
      </c>
      <c r="BI39" s="7" t="s">
        <v>94</v>
      </c>
      <c r="BJ39" s="7">
        <v>26</v>
      </c>
      <c r="BK39" s="7">
        <v>2383</v>
      </c>
      <c r="BL39" s="7" t="s">
        <v>72</v>
      </c>
      <c r="BM39" s="7" t="s">
        <v>74</v>
      </c>
      <c r="BN39" s="7">
        <v>144</v>
      </c>
      <c r="BO39" s="7">
        <v>837</v>
      </c>
      <c r="BP39" s="7" t="s">
        <v>72</v>
      </c>
      <c r="BQ39" s="7" t="s">
        <v>1</v>
      </c>
      <c r="BR39" s="7" t="s">
        <v>1</v>
      </c>
      <c r="BS39" s="7" t="s">
        <v>1</v>
      </c>
      <c r="BT39" s="7" t="s">
        <v>1</v>
      </c>
      <c r="BU39" s="7" t="s">
        <v>1</v>
      </c>
      <c r="BV39" s="118" t="s">
        <v>1</v>
      </c>
      <c r="BW39" s="118" t="s">
        <v>1</v>
      </c>
      <c r="BX39" s="118" t="s">
        <v>1</v>
      </c>
      <c r="BY39" s="309" t="s">
        <v>88</v>
      </c>
      <c r="BZ39" s="118" t="s">
        <v>1</v>
      </c>
      <c r="CA39" s="118" t="s">
        <v>1</v>
      </c>
      <c r="CB39" s="312" t="s">
        <v>1</v>
      </c>
      <c r="CC39" s="118" t="s">
        <v>1</v>
      </c>
      <c r="CD39" s="118" t="s">
        <v>1</v>
      </c>
      <c r="CE39" s="118" t="s">
        <v>1</v>
      </c>
      <c r="CF39" s="7" t="s">
        <v>1</v>
      </c>
    </row>
    <row r="40" ht="27" customHeight="1" spans="1:84">
      <c r="A40" s="29">
        <v>45143</v>
      </c>
      <c r="B40" s="315" t="s">
        <v>89</v>
      </c>
      <c r="C40" s="7" t="s">
        <v>71</v>
      </c>
      <c r="D40" s="30" t="s">
        <v>1</v>
      </c>
      <c r="E40" s="30" t="s">
        <v>1</v>
      </c>
      <c r="F40" s="32" t="str">
        <f>E40</f>
        <v/>
      </c>
      <c r="G40" s="32" t="s">
        <v>1</v>
      </c>
      <c r="H40" s="7" t="s">
        <v>1</v>
      </c>
      <c r="I40" s="32">
        <v>0</v>
      </c>
      <c r="J40" s="31" t="str">
        <f t="shared" si="1"/>
        <v/>
      </c>
      <c r="K40" s="31" t="str">
        <f>IFERROR(E40/#REF!,"")</f>
        <v/>
      </c>
      <c r="L40" s="127">
        <v>55948</v>
      </c>
      <c r="M40" s="32" t="s">
        <v>72</v>
      </c>
      <c r="N40" s="32" t="s">
        <v>1</v>
      </c>
      <c r="O40" s="32" t="s">
        <v>1</v>
      </c>
      <c r="P40" s="32" t="s">
        <v>1</v>
      </c>
      <c r="Q40" s="32" t="s">
        <v>1</v>
      </c>
      <c r="R40" s="32" t="s">
        <v>1</v>
      </c>
      <c r="S40" s="32" t="s">
        <v>1</v>
      </c>
      <c r="T40" s="32" t="s">
        <v>1</v>
      </c>
      <c r="U40" s="32" t="s">
        <v>1</v>
      </c>
      <c r="V40" s="7" t="s">
        <v>1</v>
      </c>
      <c r="W40" s="7" t="s">
        <v>72</v>
      </c>
      <c r="X40" s="7" t="s">
        <v>1</v>
      </c>
      <c r="Y40" s="7" t="s">
        <v>72</v>
      </c>
      <c r="Z40" s="7" t="s">
        <v>1</v>
      </c>
      <c r="AA40" s="30" t="s">
        <v>72</v>
      </c>
      <c r="AB40" s="7" t="s">
        <v>1</v>
      </c>
      <c r="AC40" s="7" t="s">
        <v>72</v>
      </c>
      <c r="AD40" s="7">
        <v>19</v>
      </c>
      <c r="AE40" s="7" t="s">
        <v>72</v>
      </c>
      <c r="AF40" s="7" t="s">
        <v>1</v>
      </c>
      <c r="AG40" s="7" t="s">
        <v>72</v>
      </c>
      <c r="AH40" s="7">
        <v>3019</v>
      </c>
      <c r="AI40" s="7" t="s">
        <v>72</v>
      </c>
      <c r="AJ40" s="7">
        <v>865</v>
      </c>
      <c r="AK40" s="7" t="s">
        <v>72</v>
      </c>
      <c r="AL40" s="7">
        <v>105</v>
      </c>
      <c r="AM40" s="7" t="s">
        <v>72</v>
      </c>
      <c r="AN40" s="7">
        <v>861</v>
      </c>
      <c r="AO40" s="7" t="s">
        <v>72</v>
      </c>
      <c r="AP40" s="7">
        <v>1786</v>
      </c>
      <c r="AQ40" s="7" t="s">
        <v>72</v>
      </c>
      <c r="AR40" s="7">
        <v>327</v>
      </c>
      <c r="AS40" s="7" t="s">
        <v>72</v>
      </c>
      <c r="AT40" s="7" t="s">
        <v>1</v>
      </c>
      <c r="AU40" s="7" t="s">
        <v>1</v>
      </c>
      <c r="AV40" s="7" t="s">
        <v>1</v>
      </c>
      <c r="AW40" s="7" t="s">
        <v>1</v>
      </c>
      <c r="AX40" s="32" t="s">
        <v>1</v>
      </c>
      <c r="AY40" s="314" t="s">
        <v>1</v>
      </c>
      <c r="AZ40" s="314" t="s">
        <v>1</v>
      </c>
      <c r="BA40" s="32" t="s">
        <v>1</v>
      </c>
      <c r="BB40" s="32" t="s">
        <v>1</v>
      </c>
      <c r="BC40" s="314" t="s">
        <v>1</v>
      </c>
      <c r="BD40" s="314" t="s">
        <v>1</v>
      </c>
      <c r="BE40" s="7" t="s">
        <v>1</v>
      </c>
      <c r="BF40" s="7" t="s">
        <v>1</v>
      </c>
      <c r="BG40" s="7" t="s">
        <v>1</v>
      </c>
      <c r="BH40" s="314">
        <v>0.85</v>
      </c>
      <c r="BI40" s="7" t="s">
        <v>94</v>
      </c>
      <c r="BJ40" s="7">
        <v>27</v>
      </c>
      <c r="BK40" s="7">
        <v>2433</v>
      </c>
      <c r="BL40" s="7" t="s">
        <v>72</v>
      </c>
      <c r="BM40" s="7" t="s">
        <v>74</v>
      </c>
      <c r="BN40" s="7">
        <v>139</v>
      </c>
      <c r="BO40" s="7">
        <v>938</v>
      </c>
      <c r="BP40" s="7" t="s">
        <v>72</v>
      </c>
      <c r="BQ40" s="7" t="s">
        <v>1</v>
      </c>
      <c r="BR40" s="7" t="s">
        <v>1</v>
      </c>
      <c r="BS40" s="7" t="s">
        <v>1</v>
      </c>
      <c r="BT40" s="7" t="s">
        <v>1</v>
      </c>
      <c r="BU40" s="7" t="s">
        <v>1</v>
      </c>
      <c r="BV40" s="118" t="s">
        <v>1</v>
      </c>
      <c r="BW40" s="118" t="s">
        <v>1</v>
      </c>
      <c r="BX40" s="118" t="s">
        <v>1</v>
      </c>
      <c r="BY40" s="309" t="s">
        <v>88</v>
      </c>
      <c r="BZ40" s="118" t="s">
        <v>1</v>
      </c>
      <c r="CA40" s="118" t="s">
        <v>1</v>
      </c>
      <c r="CB40" s="312" t="s">
        <v>1</v>
      </c>
      <c r="CC40" s="118" t="s">
        <v>1</v>
      </c>
      <c r="CD40" s="118" t="s">
        <v>1</v>
      </c>
      <c r="CE40" s="118" t="s">
        <v>1</v>
      </c>
      <c r="CF40" s="7" t="s">
        <v>1</v>
      </c>
    </row>
    <row r="41" ht="27" customHeight="1" spans="1:84">
      <c r="A41" s="29">
        <v>45144</v>
      </c>
      <c r="B41" s="315" t="s">
        <v>89</v>
      </c>
      <c r="C41" s="7" t="s">
        <v>71</v>
      </c>
      <c r="D41" s="30" t="s">
        <v>1</v>
      </c>
      <c r="E41" s="30" t="s">
        <v>1</v>
      </c>
      <c r="F41" s="32" t="str">
        <f>E41</f>
        <v/>
      </c>
      <c r="G41" s="32" t="s">
        <v>1</v>
      </c>
      <c r="H41" s="7" t="s">
        <v>1</v>
      </c>
      <c r="I41" s="32">
        <v>0</v>
      </c>
      <c r="J41" s="31" t="str">
        <f t="shared" si="1"/>
        <v/>
      </c>
      <c r="K41" s="31" t="str">
        <f>IFERROR(E41/#REF!,"")</f>
        <v/>
      </c>
      <c r="L41" s="127">
        <v>32472</v>
      </c>
      <c r="M41" s="32" t="s">
        <v>72</v>
      </c>
      <c r="N41" s="32" t="s">
        <v>1</v>
      </c>
      <c r="O41" s="32" t="s">
        <v>1</v>
      </c>
      <c r="P41" s="32" t="s">
        <v>1</v>
      </c>
      <c r="Q41" s="32" t="s">
        <v>1</v>
      </c>
      <c r="R41" s="32" t="s">
        <v>1</v>
      </c>
      <c r="S41" s="32" t="s">
        <v>1</v>
      </c>
      <c r="T41" s="32" t="s">
        <v>1</v>
      </c>
      <c r="U41" s="32" t="s">
        <v>1</v>
      </c>
      <c r="V41" s="7" t="s">
        <v>1</v>
      </c>
      <c r="W41" s="7" t="s">
        <v>72</v>
      </c>
      <c r="X41" s="7" t="s">
        <v>1</v>
      </c>
      <c r="Y41" s="7" t="s">
        <v>72</v>
      </c>
      <c r="Z41" s="7" t="s">
        <v>1</v>
      </c>
      <c r="AA41" s="30" t="s">
        <v>72</v>
      </c>
      <c r="AB41" s="7" t="s">
        <v>1</v>
      </c>
      <c r="AC41" s="7" t="s">
        <v>72</v>
      </c>
      <c r="AD41" s="7">
        <v>33</v>
      </c>
      <c r="AE41" s="7" t="s">
        <v>72</v>
      </c>
      <c r="AF41" s="7" t="s">
        <v>1</v>
      </c>
      <c r="AG41" s="7" t="s">
        <v>72</v>
      </c>
      <c r="AH41" s="7">
        <v>3418</v>
      </c>
      <c r="AI41" s="7" t="s">
        <v>72</v>
      </c>
      <c r="AJ41" s="7">
        <v>994</v>
      </c>
      <c r="AK41" s="7" t="s">
        <v>72</v>
      </c>
      <c r="AL41" s="7">
        <v>100</v>
      </c>
      <c r="AM41" s="7" t="s">
        <v>72</v>
      </c>
      <c r="AN41" s="7">
        <v>2723</v>
      </c>
      <c r="AO41" s="7" t="s">
        <v>72</v>
      </c>
      <c r="AP41" s="7">
        <v>2051</v>
      </c>
      <c r="AQ41" s="7" t="s">
        <v>72</v>
      </c>
      <c r="AR41" s="7">
        <v>413</v>
      </c>
      <c r="AS41" s="7" t="s">
        <v>72</v>
      </c>
      <c r="AT41" s="314" t="s">
        <v>1</v>
      </c>
      <c r="AU41" s="32" t="s">
        <v>1</v>
      </c>
      <c r="AV41" s="32" t="s">
        <v>1</v>
      </c>
      <c r="AW41" s="32" t="s">
        <v>1</v>
      </c>
      <c r="AX41" s="32" t="s">
        <v>1</v>
      </c>
      <c r="AY41" s="314" t="s">
        <v>1</v>
      </c>
      <c r="AZ41" s="314" t="s">
        <v>1</v>
      </c>
      <c r="BA41" s="32" t="s">
        <v>1</v>
      </c>
      <c r="BB41" s="32" t="s">
        <v>1</v>
      </c>
      <c r="BC41" s="314" t="s">
        <v>1</v>
      </c>
      <c r="BD41" s="314" t="s">
        <v>1</v>
      </c>
      <c r="BE41" s="32" t="s">
        <v>1</v>
      </c>
      <c r="BF41" s="32" t="s">
        <v>1</v>
      </c>
      <c r="BG41" s="314" t="s">
        <v>1</v>
      </c>
      <c r="BH41" s="314">
        <v>0.9</v>
      </c>
      <c r="BI41" s="7" t="s">
        <v>94</v>
      </c>
      <c r="BJ41" s="7">
        <v>24</v>
      </c>
      <c r="BK41" s="7">
        <v>2956</v>
      </c>
      <c r="BL41" s="7" t="s">
        <v>72</v>
      </c>
      <c r="BM41" s="7" t="s">
        <v>74</v>
      </c>
      <c r="BN41" s="7">
        <v>104</v>
      </c>
      <c r="BO41" s="7">
        <v>1156</v>
      </c>
      <c r="BP41" s="7" t="s">
        <v>72</v>
      </c>
      <c r="BQ41" s="7" t="s">
        <v>1</v>
      </c>
      <c r="BR41" s="7" t="s">
        <v>1</v>
      </c>
      <c r="BS41" s="7" t="s">
        <v>1</v>
      </c>
      <c r="BT41" s="7" t="s">
        <v>1</v>
      </c>
      <c r="BU41" s="7" t="s">
        <v>1</v>
      </c>
      <c r="BV41" s="118" t="s">
        <v>1</v>
      </c>
      <c r="BW41" s="118" t="s">
        <v>1</v>
      </c>
      <c r="BX41" s="118" t="s">
        <v>1</v>
      </c>
      <c r="BY41" s="309" t="s">
        <v>88</v>
      </c>
      <c r="BZ41" s="118" t="s">
        <v>1</v>
      </c>
      <c r="CA41" s="118" t="s">
        <v>1</v>
      </c>
      <c r="CB41" s="312" t="s">
        <v>1</v>
      </c>
      <c r="CC41" s="118" t="s">
        <v>1</v>
      </c>
      <c r="CD41" s="118" t="s">
        <v>1</v>
      </c>
      <c r="CE41" s="118" t="s">
        <v>1</v>
      </c>
      <c r="CF41" s="7" t="s">
        <v>1</v>
      </c>
    </row>
    <row r="42" ht="27" customHeight="1" spans="1:84">
      <c r="A42" s="29">
        <v>45145</v>
      </c>
      <c r="B42" s="316" t="s">
        <v>99</v>
      </c>
      <c r="C42" s="7" t="s">
        <v>71</v>
      </c>
      <c r="D42" s="30" t="s">
        <v>1</v>
      </c>
      <c r="E42" s="30" t="s">
        <v>1</v>
      </c>
      <c r="F42" s="32" t="e">
        <f>E42-0.8</f>
        <v>#VALUE!</v>
      </c>
      <c r="G42" s="32" t="s">
        <v>1</v>
      </c>
      <c r="H42" s="7" t="s">
        <v>1</v>
      </c>
      <c r="I42" s="32">
        <v>38</v>
      </c>
      <c r="J42" s="31" t="str">
        <f t="shared" si="1"/>
        <v/>
      </c>
      <c r="K42" s="31" t="str">
        <f>IFERROR(E42/#REF!,"")</f>
        <v/>
      </c>
      <c r="L42" s="127">
        <v>181522</v>
      </c>
      <c r="M42" s="32" t="s">
        <v>72</v>
      </c>
      <c r="N42" s="32" t="s">
        <v>1</v>
      </c>
      <c r="O42" s="32" t="s">
        <v>1</v>
      </c>
      <c r="P42" s="32" t="s">
        <v>1</v>
      </c>
      <c r="Q42" s="32" t="s">
        <v>1</v>
      </c>
      <c r="R42" s="32" t="s">
        <v>1</v>
      </c>
      <c r="S42" s="32" t="s">
        <v>1</v>
      </c>
      <c r="T42" s="32" t="s">
        <v>1</v>
      </c>
      <c r="U42" s="32" t="s">
        <v>1</v>
      </c>
      <c r="V42" s="7" t="s">
        <v>1</v>
      </c>
      <c r="W42" s="7" t="s">
        <v>72</v>
      </c>
      <c r="X42" s="7" t="s">
        <v>1</v>
      </c>
      <c r="Y42" s="7" t="s">
        <v>72</v>
      </c>
      <c r="Z42" s="7" t="s">
        <v>1</v>
      </c>
      <c r="AA42" s="30" t="s">
        <v>72</v>
      </c>
      <c r="AB42" s="7" t="s">
        <v>1</v>
      </c>
      <c r="AC42" s="7" t="s">
        <v>72</v>
      </c>
      <c r="AD42" s="7">
        <v>20</v>
      </c>
      <c r="AE42" s="7" t="s">
        <v>72</v>
      </c>
      <c r="AF42" s="7" t="s">
        <v>1</v>
      </c>
      <c r="AG42" s="7" t="s">
        <v>72</v>
      </c>
      <c r="AH42" s="7">
        <v>3690</v>
      </c>
      <c r="AI42" s="7" t="s">
        <v>72</v>
      </c>
      <c r="AJ42" s="7">
        <v>1057</v>
      </c>
      <c r="AK42" s="7" t="s">
        <v>72</v>
      </c>
      <c r="AL42" s="7">
        <v>126</v>
      </c>
      <c r="AM42" s="7" t="s">
        <v>72</v>
      </c>
      <c r="AN42" s="7">
        <v>2722</v>
      </c>
      <c r="AO42" s="7" t="s">
        <v>72</v>
      </c>
      <c r="AP42" s="7">
        <v>2100</v>
      </c>
      <c r="AQ42" s="7" t="s">
        <v>72</v>
      </c>
      <c r="AR42" s="7">
        <v>392</v>
      </c>
      <c r="AS42" s="7" t="s">
        <v>72</v>
      </c>
      <c r="AT42" s="314" t="s">
        <v>1</v>
      </c>
      <c r="AU42" s="32" t="s">
        <v>1</v>
      </c>
      <c r="AV42" s="32" t="s">
        <v>1</v>
      </c>
      <c r="AW42" s="32" t="s">
        <v>1</v>
      </c>
      <c r="AX42" s="32" t="s">
        <v>1</v>
      </c>
      <c r="AY42" s="314" t="s">
        <v>1</v>
      </c>
      <c r="AZ42" s="314" t="s">
        <v>1</v>
      </c>
      <c r="BA42" s="32" t="s">
        <v>1</v>
      </c>
      <c r="BB42" s="32" t="s">
        <v>1</v>
      </c>
      <c r="BC42" s="314" t="s">
        <v>1</v>
      </c>
      <c r="BD42" s="314" t="s">
        <v>1</v>
      </c>
      <c r="BE42" s="32" t="s">
        <v>1</v>
      </c>
      <c r="BF42" s="32" t="s">
        <v>1</v>
      </c>
      <c r="BG42" s="314" t="s">
        <v>1</v>
      </c>
      <c r="BH42" s="314">
        <v>0.9</v>
      </c>
      <c r="BI42" s="7" t="s">
        <v>94</v>
      </c>
      <c r="BJ42" s="7">
        <v>26</v>
      </c>
      <c r="BK42" s="7">
        <v>2682</v>
      </c>
      <c r="BL42" s="7" t="s">
        <v>72</v>
      </c>
      <c r="BM42" s="7" t="s">
        <v>74</v>
      </c>
      <c r="BN42" s="7">
        <v>107</v>
      </c>
      <c r="BO42" s="7">
        <v>1098</v>
      </c>
      <c r="BP42" s="7" t="s">
        <v>72</v>
      </c>
      <c r="BQ42" s="7" t="s">
        <v>1</v>
      </c>
      <c r="BR42" s="7" t="s">
        <v>1</v>
      </c>
      <c r="BS42" s="7" t="s">
        <v>1</v>
      </c>
      <c r="BT42" s="7" t="s">
        <v>1</v>
      </c>
      <c r="BU42" s="7" t="s">
        <v>1</v>
      </c>
      <c r="BV42" s="118" t="s">
        <v>1</v>
      </c>
      <c r="BW42" s="118" t="s">
        <v>1</v>
      </c>
      <c r="BX42" s="118" t="s">
        <v>1</v>
      </c>
      <c r="BY42" s="309" t="s">
        <v>88</v>
      </c>
      <c r="BZ42" s="118" t="s">
        <v>1</v>
      </c>
      <c r="CA42" s="118" t="s">
        <v>1</v>
      </c>
      <c r="CB42" s="312" t="s">
        <v>1</v>
      </c>
      <c r="CC42" s="118" t="s">
        <v>1</v>
      </c>
      <c r="CD42" s="118" t="s">
        <v>1</v>
      </c>
      <c r="CE42" s="118" t="s">
        <v>1</v>
      </c>
      <c r="CF42" s="7" t="s">
        <v>1</v>
      </c>
    </row>
    <row r="43" ht="27" customHeight="1" spans="1:84">
      <c r="A43" s="29">
        <v>45146</v>
      </c>
      <c r="B43" s="316" t="s">
        <v>99</v>
      </c>
      <c r="C43" s="7" t="s">
        <v>71</v>
      </c>
      <c r="D43" s="30" t="s">
        <v>1</v>
      </c>
      <c r="E43" s="30" t="s">
        <v>1</v>
      </c>
      <c r="F43" s="32" t="e">
        <f>E43-3</f>
        <v>#VALUE!</v>
      </c>
      <c r="G43" s="32" t="s">
        <v>1</v>
      </c>
      <c r="H43" s="7" t="s">
        <v>1</v>
      </c>
      <c r="I43" s="32">
        <v>16</v>
      </c>
      <c r="J43" s="31" t="str">
        <f t="shared" si="1"/>
        <v/>
      </c>
      <c r="K43" s="31" t="str">
        <f>IFERROR(E43/#REF!,"")</f>
        <v/>
      </c>
      <c r="L43" s="127">
        <v>131539</v>
      </c>
      <c r="M43" s="32" t="s">
        <v>72</v>
      </c>
      <c r="N43" s="32" t="s">
        <v>1</v>
      </c>
      <c r="O43" s="32" t="s">
        <v>1</v>
      </c>
      <c r="P43" s="32" t="s">
        <v>1</v>
      </c>
      <c r="Q43" s="32" t="s">
        <v>1</v>
      </c>
      <c r="R43" s="32" t="s">
        <v>1</v>
      </c>
      <c r="S43" s="32" t="s">
        <v>1</v>
      </c>
      <c r="T43" s="32" t="s">
        <v>1</v>
      </c>
      <c r="U43" s="32" t="s">
        <v>1</v>
      </c>
      <c r="V43" s="7" t="s">
        <v>1</v>
      </c>
      <c r="W43" s="7" t="s">
        <v>72</v>
      </c>
      <c r="X43" s="7" t="s">
        <v>1</v>
      </c>
      <c r="Y43" s="7" t="s">
        <v>72</v>
      </c>
      <c r="Z43" s="7" t="s">
        <v>1</v>
      </c>
      <c r="AA43" s="30" t="s">
        <v>72</v>
      </c>
      <c r="AB43" s="7" t="s">
        <v>1</v>
      </c>
      <c r="AC43" s="7" t="s">
        <v>72</v>
      </c>
      <c r="AD43" s="7">
        <v>17</v>
      </c>
      <c r="AE43" s="7" t="s">
        <v>72</v>
      </c>
      <c r="AF43" s="7" t="s">
        <v>1</v>
      </c>
      <c r="AG43" s="7" t="s">
        <v>72</v>
      </c>
      <c r="AH43" s="7">
        <v>3603</v>
      </c>
      <c r="AI43" s="7" t="s">
        <v>72</v>
      </c>
      <c r="AJ43" s="7">
        <v>903</v>
      </c>
      <c r="AK43" s="7" t="s">
        <v>72</v>
      </c>
      <c r="AL43" s="7">
        <v>97</v>
      </c>
      <c r="AM43" s="7" t="s">
        <v>72</v>
      </c>
      <c r="AN43" s="7">
        <v>2610</v>
      </c>
      <c r="AO43" s="7" t="s">
        <v>72</v>
      </c>
      <c r="AP43" s="7">
        <v>1979</v>
      </c>
      <c r="AQ43" s="7" t="s">
        <v>72</v>
      </c>
      <c r="AR43" s="7">
        <v>405</v>
      </c>
      <c r="AS43" s="7" t="s">
        <v>72</v>
      </c>
      <c r="AT43" s="314" t="s">
        <v>1</v>
      </c>
      <c r="AU43" s="32" t="s">
        <v>1</v>
      </c>
      <c r="AV43" s="32" t="s">
        <v>1</v>
      </c>
      <c r="AW43" s="32" t="s">
        <v>1</v>
      </c>
      <c r="AX43" s="32" t="s">
        <v>1</v>
      </c>
      <c r="AY43" s="314" t="s">
        <v>1</v>
      </c>
      <c r="AZ43" s="314" t="s">
        <v>1</v>
      </c>
      <c r="BA43" s="32" t="s">
        <v>1</v>
      </c>
      <c r="BB43" s="32" t="s">
        <v>1</v>
      </c>
      <c r="BC43" s="314" t="s">
        <v>1</v>
      </c>
      <c r="BD43" s="314" t="s">
        <v>1</v>
      </c>
      <c r="BE43" s="32" t="s">
        <v>1</v>
      </c>
      <c r="BF43" s="32" t="s">
        <v>1</v>
      </c>
      <c r="BG43" s="314" t="s">
        <v>1</v>
      </c>
      <c r="BH43" s="314">
        <v>1</v>
      </c>
      <c r="BI43" s="7" t="s">
        <v>94</v>
      </c>
      <c r="BJ43" s="7">
        <v>24</v>
      </c>
      <c r="BK43" s="7">
        <v>2602</v>
      </c>
      <c r="BL43" s="7" t="s">
        <v>72</v>
      </c>
      <c r="BM43" s="7" t="s">
        <v>74</v>
      </c>
      <c r="BN43" s="7">
        <v>117</v>
      </c>
      <c r="BO43" s="7">
        <v>982</v>
      </c>
      <c r="BP43" s="7" t="s">
        <v>72</v>
      </c>
      <c r="BQ43" s="7" t="s">
        <v>1</v>
      </c>
      <c r="BR43" s="7" t="s">
        <v>1</v>
      </c>
      <c r="BS43" s="7" t="s">
        <v>1</v>
      </c>
      <c r="BT43" s="7" t="s">
        <v>1</v>
      </c>
      <c r="BU43" s="7" t="s">
        <v>1</v>
      </c>
      <c r="BV43" s="7" t="s">
        <v>78</v>
      </c>
      <c r="BW43" s="7" t="s">
        <v>76</v>
      </c>
      <c r="BX43" s="7" t="s">
        <v>93</v>
      </c>
      <c r="BY43" s="7" t="s">
        <v>79</v>
      </c>
      <c r="BZ43" s="312" t="s">
        <v>92</v>
      </c>
      <c r="CA43" s="307" t="s">
        <v>77</v>
      </c>
      <c r="CB43" s="7" t="s">
        <v>87</v>
      </c>
      <c r="CC43" s="308" t="s">
        <v>85</v>
      </c>
      <c r="CD43" s="312" t="s">
        <v>101</v>
      </c>
      <c r="CE43" s="7" t="s">
        <v>84</v>
      </c>
      <c r="CF43" s="7" t="s">
        <v>1</v>
      </c>
    </row>
    <row r="44" ht="27" customHeight="1" spans="1:84">
      <c r="A44" s="29">
        <v>45147</v>
      </c>
      <c r="B44" s="32" t="s">
        <v>100</v>
      </c>
      <c r="C44" s="7" t="s">
        <v>71</v>
      </c>
      <c r="D44" s="30" t="s">
        <v>1</v>
      </c>
      <c r="E44" s="30" t="s">
        <v>1</v>
      </c>
      <c r="F44" s="32" t="e">
        <f>E44-1.4</f>
        <v>#VALUE!</v>
      </c>
      <c r="G44" s="32" t="s">
        <v>1</v>
      </c>
      <c r="H44" s="7" t="s">
        <v>1</v>
      </c>
      <c r="I44" s="32">
        <v>9</v>
      </c>
      <c r="J44" s="31" t="str">
        <f t="shared" si="1"/>
        <v/>
      </c>
      <c r="K44" s="31" t="str">
        <f>IFERROR(E44/#REF!,"")</f>
        <v/>
      </c>
      <c r="L44" s="127">
        <v>130187</v>
      </c>
      <c r="M44" s="32" t="s">
        <v>72</v>
      </c>
      <c r="N44" s="32" t="s">
        <v>1</v>
      </c>
      <c r="O44" s="32" t="s">
        <v>1</v>
      </c>
      <c r="P44" s="32" t="s">
        <v>1</v>
      </c>
      <c r="Q44" s="32" t="s">
        <v>1</v>
      </c>
      <c r="R44" s="32" t="s">
        <v>1</v>
      </c>
      <c r="S44" s="32" t="s">
        <v>1</v>
      </c>
      <c r="T44" s="32" t="s">
        <v>1</v>
      </c>
      <c r="U44" s="32" t="s">
        <v>1</v>
      </c>
      <c r="V44" s="7" t="s">
        <v>1</v>
      </c>
      <c r="W44" s="7" t="s">
        <v>72</v>
      </c>
      <c r="X44" s="7" t="s">
        <v>1</v>
      </c>
      <c r="Y44" s="7" t="s">
        <v>72</v>
      </c>
      <c r="Z44" s="7" t="s">
        <v>1</v>
      </c>
      <c r="AA44" s="30" t="s">
        <v>72</v>
      </c>
      <c r="AB44" s="7" t="s">
        <v>1</v>
      </c>
      <c r="AC44" s="7" t="s">
        <v>72</v>
      </c>
      <c r="AD44" s="7" t="s">
        <v>1</v>
      </c>
      <c r="AE44" s="7" t="s">
        <v>72</v>
      </c>
      <c r="AF44" s="7" t="s">
        <v>1</v>
      </c>
      <c r="AG44" s="7" t="s">
        <v>72</v>
      </c>
      <c r="AH44" s="7">
        <v>3452</v>
      </c>
      <c r="AI44" s="7" t="s">
        <v>72</v>
      </c>
      <c r="AJ44" s="7">
        <v>741</v>
      </c>
      <c r="AK44" s="7" t="s">
        <v>72</v>
      </c>
      <c r="AL44" s="7">
        <v>101</v>
      </c>
      <c r="AM44" s="7" t="s">
        <v>72</v>
      </c>
      <c r="AN44" s="7">
        <v>2664</v>
      </c>
      <c r="AO44" s="7" t="s">
        <v>72</v>
      </c>
      <c r="AP44" s="7">
        <v>2039</v>
      </c>
      <c r="AQ44" s="7" t="s">
        <v>72</v>
      </c>
      <c r="AR44" s="7">
        <v>326</v>
      </c>
      <c r="AS44" s="7" t="s">
        <v>72</v>
      </c>
      <c r="AT44" s="314" t="s">
        <v>1</v>
      </c>
      <c r="AU44" s="32" t="s">
        <v>1</v>
      </c>
      <c r="AV44" s="32" t="s">
        <v>1</v>
      </c>
      <c r="AW44" s="32" t="s">
        <v>1</v>
      </c>
      <c r="AX44" s="32" t="s">
        <v>1</v>
      </c>
      <c r="AY44" s="314" t="s">
        <v>1</v>
      </c>
      <c r="AZ44" s="314" t="s">
        <v>1</v>
      </c>
      <c r="BA44" s="32" t="s">
        <v>1</v>
      </c>
      <c r="BB44" s="32" t="s">
        <v>1</v>
      </c>
      <c r="BC44" s="314" t="s">
        <v>1</v>
      </c>
      <c r="BD44" s="314" t="s">
        <v>1</v>
      </c>
      <c r="BE44" s="32" t="s">
        <v>1</v>
      </c>
      <c r="BF44" s="32" t="s">
        <v>1</v>
      </c>
      <c r="BG44" s="314" t="s">
        <v>1</v>
      </c>
      <c r="BH44" s="314">
        <v>1</v>
      </c>
      <c r="BI44" s="7" t="s">
        <v>102</v>
      </c>
      <c r="BJ44" s="7">
        <v>19</v>
      </c>
      <c r="BK44" s="7">
        <v>3344</v>
      </c>
      <c r="BL44" s="7" t="s">
        <v>72</v>
      </c>
      <c r="BM44" s="7" t="s">
        <v>74</v>
      </c>
      <c r="BN44" s="7">
        <v>104</v>
      </c>
      <c r="BO44" s="7">
        <v>1112</v>
      </c>
      <c r="BP44" s="7" t="s">
        <v>72</v>
      </c>
      <c r="BQ44" s="7" t="s">
        <v>1</v>
      </c>
      <c r="BR44" s="7" t="s">
        <v>1</v>
      </c>
      <c r="BS44" s="7" t="s">
        <v>1</v>
      </c>
      <c r="BT44" s="7" t="s">
        <v>1</v>
      </c>
      <c r="BU44" s="7" t="s">
        <v>1</v>
      </c>
      <c r="BV44" s="7" t="s">
        <v>1</v>
      </c>
      <c r="BW44" s="7" t="s">
        <v>1</v>
      </c>
      <c r="BX44" s="7" t="s">
        <v>1</v>
      </c>
      <c r="BY44" s="7" t="s">
        <v>1</v>
      </c>
      <c r="BZ44" s="312" t="s">
        <v>1</v>
      </c>
      <c r="CA44" s="307" t="s">
        <v>1</v>
      </c>
      <c r="CB44" s="7" t="s">
        <v>1</v>
      </c>
      <c r="CC44" s="308" t="s">
        <v>1</v>
      </c>
      <c r="CD44" s="312" t="s">
        <v>1</v>
      </c>
      <c r="CE44" s="7" t="s">
        <v>1</v>
      </c>
      <c r="CF44" s="7" t="s">
        <v>1</v>
      </c>
    </row>
    <row r="45" ht="27" customHeight="1" spans="1:84">
      <c r="A45" s="29">
        <v>45148</v>
      </c>
      <c r="B45" s="32" t="s">
        <v>100</v>
      </c>
      <c r="C45" s="7" t="s">
        <v>71</v>
      </c>
      <c r="D45" s="30" t="s">
        <v>1</v>
      </c>
      <c r="E45" s="30" t="s">
        <v>1</v>
      </c>
      <c r="F45" s="32" t="e">
        <f>E45-1.1</f>
        <v>#VALUE!</v>
      </c>
      <c r="G45" s="32" t="s">
        <v>1</v>
      </c>
      <c r="H45" s="7" t="s">
        <v>1</v>
      </c>
      <c r="I45" s="32">
        <v>10</v>
      </c>
      <c r="J45" s="31" t="str">
        <f t="shared" si="1"/>
        <v/>
      </c>
      <c r="K45" s="31" t="str">
        <f>IFERROR(E45/#REF!,"")</f>
        <v/>
      </c>
      <c r="L45" s="127">
        <v>200234</v>
      </c>
      <c r="M45" s="32" t="s">
        <v>72</v>
      </c>
      <c r="N45" s="32" t="s">
        <v>1</v>
      </c>
      <c r="O45" s="32" t="s">
        <v>1</v>
      </c>
      <c r="P45" s="32" t="s">
        <v>72</v>
      </c>
      <c r="Q45" s="31" t="e">
        <f t="shared" ref="Q45:Q108" si="2">O45/E45</f>
        <v>#VALUE!</v>
      </c>
      <c r="R45" s="32" t="s">
        <v>1</v>
      </c>
      <c r="S45" s="32" t="s">
        <v>1</v>
      </c>
      <c r="T45" s="32" t="s">
        <v>1</v>
      </c>
      <c r="U45" s="32" t="s">
        <v>1</v>
      </c>
      <c r="V45" s="7" t="s">
        <v>1</v>
      </c>
      <c r="W45" s="7" t="s">
        <v>72</v>
      </c>
      <c r="X45" s="7" t="s">
        <v>1</v>
      </c>
      <c r="Y45" s="7" t="s">
        <v>72</v>
      </c>
      <c r="Z45" s="7" t="s">
        <v>1</v>
      </c>
      <c r="AA45" s="30" t="s">
        <v>72</v>
      </c>
      <c r="AB45" s="7" t="s">
        <v>1</v>
      </c>
      <c r="AC45" s="7" t="s">
        <v>72</v>
      </c>
      <c r="AD45" s="7" t="s">
        <v>1</v>
      </c>
      <c r="AE45" s="7" t="s">
        <v>72</v>
      </c>
      <c r="AF45" s="7" t="s">
        <v>1</v>
      </c>
      <c r="AG45" s="7" t="s">
        <v>72</v>
      </c>
      <c r="AH45" s="7">
        <v>3255</v>
      </c>
      <c r="AI45" s="7" t="s">
        <v>72</v>
      </c>
      <c r="AJ45" s="7">
        <v>725</v>
      </c>
      <c r="AK45" s="7" t="s">
        <v>72</v>
      </c>
      <c r="AL45" s="7">
        <v>91</v>
      </c>
      <c r="AM45" s="7" t="s">
        <v>72</v>
      </c>
      <c r="AN45" s="7">
        <v>3056</v>
      </c>
      <c r="AO45" s="7" t="s">
        <v>72</v>
      </c>
      <c r="AP45" s="7">
        <v>1832</v>
      </c>
      <c r="AQ45" s="7" t="s">
        <v>72</v>
      </c>
      <c r="AR45" s="7">
        <v>353</v>
      </c>
      <c r="AS45" s="7" t="s">
        <v>72</v>
      </c>
      <c r="AT45" s="314" t="s">
        <v>1</v>
      </c>
      <c r="AU45" s="32" t="s">
        <v>1</v>
      </c>
      <c r="AV45" s="30" t="s">
        <v>1</v>
      </c>
      <c r="AW45" s="30" t="s">
        <v>72</v>
      </c>
      <c r="AX45" s="31">
        <v>0</v>
      </c>
      <c r="AY45" s="314" t="s">
        <v>72</v>
      </c>
      <c r="AZ45" s="30" t="s">
        <v>1</v>
      </c>
      <c r="BA45" s="30" t="s">
        <v>72</v>
      </c>
      <c r="BB45" s="31" t="s">
        <v>103</v>
      </c>
      <c r="BC45" s="314" t="s">
        <v>1</v>
      </c>
      <c r="BD45" s="314" t="s">
        <v>1</v>
      </c>
      <c r="BE45" s="32" t="s">
        <v>1</v>
      </c>
      <c r="BF45" s="32" t="s">
        <v>1</v>
      </c>
      <c r="BG45" s="314" t="s">
        <v>1</v>
      </c>
      <c r="BH45" s="314">
        <v>1</v>
      </c>
      <c r="BI45" s="7" t="s">
        <v>94</v>
      </c>
      <c r="BJ45" s="7">
        <v>26</v>
      </c>
      <c r="BK45" s="7">
        <v>2328</v>
      </c>
      <c r="BL45" s="7" t="s">
        <v>72</v>
      </c>
      <c r="BM45" s="7" t="s">
        <v>74</v>
      </c>
      <c r="BN45" s="7">
        <v>138</v>
      </c>
      <c r="BO45" s="7">
        <v>862</v>
      </c>
      <c r="BP45" s="7" t="s">
        <v>72</v>
      </c>
      <c r="BQ45" s="7" t="s">
        <v>1</v>
      </c>
      <c r="BR45" s="7" t="s">
        <v>1</v>
      </c>
      <c r="BS45" s="7" t="s">
        <v>1</v>
      </c>
      <c r="BT45" s="7" t="s">
        <v>1</v>
      </c>
      <c r="BU45" s="7" t="s">
        <v>1</v>
      </c>
      <c r="BV45" s="7" t="s">
        <v>1</v>
      </c>
      <c r="BW45" s="7" t="s">
        <v>1</v>
      </c>
      <c r="BX45" s="7" t="s">
        <v>1</v>
      </c>
      <c r="BY45" s="7" t="s">
        <v>1</v>
      </c>
      <c r="BZ45" s="312" t="s">
        <v>1</v>
      </c>
      <c r="CA45" s="307" t="s">
        <v>1</v>
      </c>
      <c r="CB45" s="7" t="s">
        <v>1</v>
      </c>
      <c r="CC45" s="308" t="s">
        <v>1</v>
      </c>
      <c r="CD45" s="312" t="s">
        <v>1</v>
      </c>
      <c r="CE45" s="7" t="s">
        <v>1</v>
      </c>
      <c r="CF45" s="7" t="s">
        <v>1</v>
      </c>
    </row>
    <row r="46" ht="27" customHeight="1" spans="1:84">
      <c r="A46" s="29">
        <v>45149</v>
      </c>
      <c r="B46" s="315" t="s">
        <v>89</v>
      </c>
      <c r="C46" s="7" t="s">
        <v>71</v>
      </c>
      <c r="D46" s="30" t="s">
        <v>1</v>
      </c>
      <c r="E46" s="30" t="s">
        <v>1</v>
      </c>
      <c r="F46" s="32" t="str">
        <f>E46</f>
        <v/>
      </c>
      <c r="G46" s="32" t="s">
        <v>1</v>
      </c>
      <c r="H46" s="7" t="s">
        <v>1</v>
      </c>
      <c r="I46" s="32">
        <v>0</v>
      </c>
      <c r="J46" s="31" t="str">
        <f t="shared" si="1"/>
        <v/>
      </c>
      <c r="K46" s="31" t="str">
        <f>IFERROR(E46/#REF!,"")</f>
        <v/>
      </c>
      <c r="L46" s="127">
        <v>34788</v>
      </c>
      <c r="M46" s="32" t="s">
        <v>72</v>
      </c>
      <c r="N46" s="32" t="s">
        <v>1</v>
      </c>
      <c r="O46" s="32">
        <v>3.18</v>
      </c>
      <c r="P46" s="32" t="s">
        <v>72</v>
      </c>
      <c r="Q46" s="31" t="e">
        <f t="shared" si="2"/>
        <v>#VALUE!</v>
      </c>
      <c r="R46" s="32" t="s">
        <v>1</v>
      </c>
      <c r="S46" s="32" t="s">
        <v>1</v>
      </c>
      <c r="T46" s="32" t="s">
        <v>1</v>
      </c>
      <c r="U46" s="32" t="s">
        <v>1</v>
      </c>
      <c r="V46" s="7" t="s">
        <v>1</v>
      </c>
      <c r="W46" s="7" t="s">
        <v>72</v>
      </c>
      <c r="X46" s="7" t="s">
        <v>1</v>
      </c>
      <c r="Y46" s="7" t="s">
        <v>72</v>
      </c>
      <c r="Z46" s="7" t="s">
        <v>1</v>
      </c>
      <c r="AA46" s="30" t="s">
        <v>72</v>
      </c>
      <c r="AB46" s="7" t="s">
        <v>1</v>
      </c>
      <c r="AC46" s="7" t="s">
        <v>72</v>
      </c>
      <c r="AD46" s="7" t="s">
        <v>1</v>
      </c>
      <c r="AE46" s="7" t="s">
        <v>72</v>
      </c>
      <c r="AF46" s="7" t="s">
        <v>1</v>
      </c>
      <c r="AG46" s="7" t="s">
        <v>72</v>
      </c>
      <c r="AH46" s="7">
        <v>3269</v>
      </c>
      <c r="AI46" s="7" t="s">
        <v>72</v>
      </c>
      <c r="AJ46" s="7">
        <v>957</v>
      </c>
      <c r="AK46" s="7" t="s">
        <v>72</v>
      </c>
      <c r="AL46" s="7">
        <v>96</v>
      </c>
      <c r="AM46" s="7" t="s">
        <v>72</v>
      </c>
      <c r="AN46" s="7">
        <v>2695</v>
      </c>
      <c r="AO46" s="7" t="s">
        <v>72</v>
      </c>
      <c r="AP46" s="7">
        <v>1771</v>
      </c>
      <c r="AQ46" s="7" t="s">
        <v>72</v>
      </c>
      <c r="AR46" s="7">
        <v>452</v>
      </c>
      <c r="AS46" s="7" t="s">
        <v>72</v>
      </c>
      <c r="AT46" s="314" t="s">
        <v>1</v>
      </c>
      <c r="AU46" s="32" t="s">
        <v>1</v>
      </c>
      <c r="AV46" s="30">
        <v>248</v>
      </c>
      <c r="AW46" s="30" t="s">
        <v>72</v>
      </c>
      <c r="AX46" s="31">
        <v>0.0387802971071149</v>
      </c>
      <c r="AY46" s="314" t="s">
        <v>72</v>
      </c>
      <c r="AZ46" s="30">
        <v>21</v>
      </c>
      <c r="BA46" s="30" t="s">
        <v>72</v>
      </c>
      <c r="BB46" s="31">
        <v>0.0846774193548387</v>
      </c>
      <c r="BC46" s="314" t="s">
        <v>1</v>
      </c>
      <c r="BD46" s="314" t="s">
        <v>1</v>
      </c>
      <c r="BE46" s="32" t="s">
        <v>1</v>
      </c>
      <c r="BF46" s="32" t="s">
        <v>1</v>
      </c>
      <c r="BG46" s="314" t="s">
        <v>1</v>
      </c>
      <c r="BH46" s="314">
        <v>1</v>
      </c>
      <c r="BI46" s="7" t="s">
        <v>94</v>
      </c>
      <c r="BJ46" s="7">
        <v>24</v>
      </c>
      <c r="BK46" s="7">
        <v>2225</v>
      </c>
      <c r="BL46" s="7" t="s">
        <v>72</v>
      </c>
      <c r="BM46" s="7" t="s">
        <v>74</v>
      </c>
      <c r="BN46" s="7">
        <v>160</v>
      </c>
      <c r="BO46" s="7">
        <v>813</v>
      </c>
      <c r="BP46" s="7" t="s">
        <v>72</v>
      </c>
      <c r="BQ46" s="7" t="s">
        <v>1</v>
      </c>
      <c r="BR46" s="7" t="s">
        <v>1</v>
      </c>
      <c r="BS46" s="7" t="s">
        <v>1</v>
      </c>
      <c r="BT46" s="7" t="s">
        <v>1</v>
      </c>
      <c r="BU46" s="7" t="s">
        <v>1</v>
      </c>
      <c r="BV46" s="7" t="s">
        <v>1</v>
      </c>
      <c r="BW46" s="7" t="s">
        <v>1</v>
      </c>
      <c r="BX46" s="7" t="s">
        <v>1</v>
      </c>
      <c r="BY46" s="7" t="s">
        <v>1</v>
      </c>
      <c r="BZ46" s="312" t="s">
        <v>1</v>
      </c>
      <c r="CA46" s="307" t="s">
        <v>1</v>
      </c>
      <c r="CB46" s="7" t="s">
        <v>1</v>
      </c>
      <c r="CC46" s="308" t="s">
        <v>1</v>
      </c>
      <c r="CD46" s="312" t="s">
        <v>1</v>
      </c>
      <c r="CE46" s="7" t="s">
        <v>1</v>
      </c>
      <c r="CF46" s="7" t="s">
        <v>1</v>
      </c>
    </row>
    <row r="47" ht="27" customHeight="1" spans="1:84">
      <c r="A47" s="29">
        <v>45150</v>
      </c>
      <c r="B47" s="315" t="s">
        <v>89</v>
      </c>
      <c r="C47" s="7" t="s">
        <v>71</v>
      </c>
      <c r="D47" s="30" t="s">
        <v>1</v>
      </c>
      <c r="E47" s="30" t="s">
        <v>1</v>
      </c>
      <c r="F47" s="32" t="str">
        <f>E47</f>
        <v/>
      </c>
      <c r="G47" s="32" t="s">
        <v>1</v>
      </c>
      <c r="H47" s="7" t="s">
        <v>1</v>
      </c>
      <c r="I47" s="32">
        <v>0</v>
      </c>
      <c r="J47" s="31" t="str">
        <f t="shared" si="1"/>
        <v/>
      </c>
      <c r="K47" s="31" t="str">
        <f>IFERROR(E47/#REF!,"")</f>
        <v/>
      </c>
      <c r="L47" s="127">
        <v>15912</v>
      </c>
      <c r="M47" s="32" t="s">
        <v>72</v>
      </c>
      <c r="N47" s="32" t="s">
        <v>1</v>
      </c>
      <c r="O47" s="32">
        <v>7.64</v>
      </c>
      <c r="P47" s="32" t="s">
        <v>72</v>
      </c>
      <c r="Q47" s="31" t="e">
        <f t="shared" si="2"/>
        <v>#VALUE!</v>
      </c>
      <c r="R47" s="32" t="s">
        <v>1</v>
      </c>
      <c r="S47" s="32" t="s">
        <v>1</v>
      </c>
      <c r="T47" s="32" t="s">
        <v>1</v>
      </c>
      <c r="U47" s="32" t="s">
        <v>1</v>
      </c>
      <c r="V47" s="7" t="s">
        <v>1</v>
      </c>
      <c r="W47" s="7" t="s">
        <v>72</v>
      </c>
      <c r="X47" s="7" t="s">
        <v>1</v>
      </c>
      <c r="Y47" s="7" t="s">
        <v>72</v>
      </c>
      <c r="Z47" s="7" t="s">
        <v>1</v>
      </c>
      <c r="AA47" s="30" t="s">
        <v>72</v>
      </c>
      <c r="AB47" s="7" t="s">
        <v>1</v>
      </c>
      <c r="AC47" s="7" t="s">
        <v>72</v>
      </c>
      <c r="AD47" s="7" t="s">
        <v>1</v>
      </c>
      <c r="AE47" s="7" t="s">
        <v>72</v>
      </c>
      <c r="AF47" s="7" t="s">
        <v>1</v>
      </c>
      <c r="AG47" s="7" t="s">
        <v>72</v>
      </c>
      <c r="AH47" s="7">
        <v>3563</v>
      </c>
      <c r="AI47" s="7" t="s">
        <v>72</v>
      </c>
      <c r="AJ47" s="7">
        <v>1110</v>
      </c>
      <c r="AK47" s="7" t="s">
        <v>72</v>
      </c>
      <c r="AL47" s="7">
        <v>89</v>
      </c>
      <c r="AM47" s="7" t="s">
        <v>72</v>
      </c>
      <c r="AN47" s="7">
        <v>3136</v>
      </c>
      <c r="AO47" s="7" t="s">
        <v>72</v>
      </c>
      <c r="AP47" s="7">
        <v>2031</v>
      </c>
      <c r="AQ47" s="7" t="s">
        <v>72</v>
      </c>
      <c r="AR47" s="7">
        <v>469</v>
      </c>
      <c r="AS47" s="7" t="s">
        <v>72</v>
      </c>
      <c r="AT47" s="314" t="s">
        <v>1</v>
      </c>
      <c r="AU47" s="32" t="s">
        <v>1</v>
      </c>
      <c r="AV47" s="30">
        <v>198</v>
      </c>
      <c r="AW47" s="30" t="s">
        <v>72</v>
      </c>
      <c r="AX47" s="31">
        <v>0.0274694783573807</v>
      </c>
      <c r="AY47" s="314" t="s">
        <v>72</v>
      </c>
      <c r="AZ47" s="30">
        <v>15</v>
      </c>
      <c r="BA47" s="30" t="s">
        <v>72</v>
      </c>
      <c r="BB47" s="31">
        <v>0.0757575757575758</v>
      </c>
      <c r="BC47" s="314" t="s">
        <v>1</v>
      </c>
      <c r="BD47" s="314" t="s">
        <v>1</v>
      </c>
      <c r="BE47" s="32" t="s">
        <v>1</v>
      </c>
      <c r="BF47" s="32" t="s">
        <v>1</v>
      </c>
      <c r="BG47" s="314" t="s">
        <v>1</v>
      </c>
      <c r="BH47" s="314">
        <v>0.96</v>
      </c>
      <c r="BI47" s="7" t="s">
        <v>102</v>
      </c>
      <c r="BJ47" s="7">
        <v>18</v>
      </c>
      <c r="BK47" s="7">
        <v>3221</v>
      </c>
      <c r="BL47" s="7" t="s">
        <v>72</v>
      </c>
      <c r="BM47" s="7" t="s">
        <v>74</v>
      </c>
      <c r="BN47" s="7">
        <v>105</v>
      </c>
      <c r="BO47" s="7">
        <v>1299</v>
      </c>
      <c r="BP47" s="7" t="s">
        <v>72</v>
      </c>
      <c r="BQ47" s="7" t="s">
        <v>1</v>
      </c>
      <c r="BR47" s="7" t="s">
        <v>1</v>
      </c>
      <c r="BS47" s="7" t="s">
        <v>1</v>
      </c>
      <c r="BT47" s="7" t="s">
        <v>1</v>
      </c>
      <c r="BU47" s="7" t="s">
        <v>1</v>
      </c>
      <c r="BV47" s="7" t="s">
        <v>1</v>
      </c>
      <c r="BW47" s="7" t="s">
        <v>1</v>
      </c>
      <c r="BX47" s="7" t="s">
        <v>1</v>
      </c>
      <c r="BY47" s="7" t="s">
        <v>1</v>
      </c>
      <c r="BZ47" s="312" t="s">
        <v>1</v>
      </c>
      <c r="CA47" s="307" t="s">
        <v>1</v>
      </c>
      <c r="CB47" s="7" t="s">
        <v>1</v>
      </c>
      <c r="CC47" s="308" t="s">
        <v>1</v>
      </c>
      <c r="CD47" s="312" t="s">
        <v>1</v>
      </c>
      <c r="CE47" s="7" t="s">
        <v>1</v>
      </c>
      <c r="CF47" s="7" t="s">
        <v>1</v>
      </c>
    </row>
    <row r="48" ht="27" customHeight="1" spans="1:84">
      <c r="A48" s="29">
        <v>45151</v>
      </c>
      <c r="B48" s="315" t="s">
        <v>89</v>
      </c>
      <c r="C48" s="7" t="s">
        <v>71</v>
      </c>
      <c r="D48" s="30" t="s">
        <v>1</v>
      </c>
      <c r="E48" s="30" t="s">
        <v>1</v>
      </c>
      <c r="F48" s="32" t="str">
        <f>E48</f>
        <v/>
      </c>
      <c r="G48" s="32" t="s">
        <v>1</v>
      </c>
      <c r="H48" s="7" t="s">
        <v>1</v>
      </c>
      <c r="I48" s="32">
        <v>0</v>
      </c>
      <c r="J48" s="31" t="str">
        <f t="shared" si="1"/>
        <v/>
      </c>
      <c r="K48" s="31" t="str">
        <f>IFERROR(E48/#REF!,"")</f>
        <v/>
      </c>
      <c r="L48" s="127">
        <v>2599</v>
      </c>
      <c r="M48" s="32" t="s">
        <v>72</v>
      </c>
      <c r="N48" s="32" t="s">
        <v>1</v>
      </c>
      <c r="O48" s="32">
        <v>3.59</v>
      </c>
      <c r="P48" s="32" t="s">
        <v>72</v>
      </c>
      <c r="Q48" s="31" t="e">
        <f t="shared" si="2"/>
        <v>#VALUE!</v>
      </c>
      <c r="R48" s="32" t="s">
        <v>1</v>
      </c>
      <c r="S48" s="32" t="s">
        <v>1</v>
      </c>
      <c r="T48" s="32" t="s">
        <v>1</v>
      </c>
      <c r="U48" s="32" t="s">
        <v>1</v>
      </c>
      <c r="V48" s="7" t="s">
        <v>1</v>
      </c>
      <c r="W48" s="7" t="s">
        <v>72</v>
      </c>
      <c r="X48" s="7" t="s">
        <v>1</v>
      </c>
      <c r="Y48" s="7" t="s">
        <v>72</v>
      </c>
      <c r="Z48" s="7" t="s">
        <v>1</v>
      </c>
      <c r="AA48" s="30" t="s">
        <v>72</v>
      </c>
      <c r="AB48" s="7" t="s">
        <v>1</v>
      </c>
      <c r="AC48" s="7" t="s">
        <v>72</v>
      </c>
      <c r="AD48" s="7" t="s">
        <v>1</v>
      </c>
      <c r="AE48" s="7" t="s">
        <v>72</v>
      </c>
      <c r="AF48" s="7" t="s">
        <v>1</v>
      </c>
      <c r="AG48" s="7" t="s">
        <v>72</v>
      </c>
      <c r="AH48" s="7">
        <v>3625</v>
      </c>
      <c r="AI48" s="7" t="s">
        <v>72</v>
      </c>
      <c r="AJ48" s="7">
        <v>1199</v>
      </c>
      <c r="AK48" s="7" t="s">
        <v>72</v>
      </c>
      <c r="AL48" s="7">
        <v>76</v>
      </c>
      <c r="AM48" s="7" t="s">
        <v>72</v>
      </c>
      <c r="AN48" s="7">
        <v>3126</v>
      </c>
      <c r="AO48" s="7" t="s">
        <v>72</v>
      </c>
      <c r="AP48" s="7">
        <v>2104</v>
      </c>
      <c r="AQ48" s="7" t="s">
        <v>72</v>
      </c>
      <c r="AR48" s="7">
        <v>457</v>
      </c>
      <c r="AS48" s="7" t="s">
        <v>72</v>
      </c>
      <c r="AT48" s="314" t="s">
        <v>1</v>
      </c>
      <c r="AU48" s="32" t="s">
        <v>1</v>
      </c>
      <c r="AV48" s="30">
        <v>222</v>
      </c>
      <c r="AW48" s="30" t="s">
        <v>72</v>
      </c>
      <c r="AX48" s="31">
        <v>0.0305238553554242</v>
      </c>
      <c r="AY48" s="314" t="s">
        <v>72</v>
      </c>
      <c r="AZ48" s="30">
        <v>17</v>
      </c>
      <c r="BA48" s="30" t="s">
        <v>72</v>
      </c>
      <c r="BB48" s="31">
        <v>0.0765765765765766</v>
      </c>
      <c r="BC48" s="314" t="s">
        <v>1</v>
      </c>
      <c r="BD48" s="314" t="s">
        <v>1</v>
      </c>
      <c r="BE48" s="32" t="s">
        <v>1</v>
      </c>
      <c r="BF48" s="32" t="s">
        <v>1</v>
      </c>
      <c r="BG48" s="314" t="s">
        <v>1</v>
      </c>
      <c r="BH48" s="314">
        <v>0.96</v>
      </c>
      <c r="BI48" s="7" t="s">
        <v>102</v>
      </c>
      <c r="BJ48" s="7">
        <v>20</v>
      </c>
      <c r="BK48" s="7">
        <v>3399</v>
      </c>
      <c r="BL48" s="7" t="s">
        <v>72</v>
      </c>
      <c r="BM48" s="7" t="s">
        <v>74</v>
      </c>
      <c r="BN48" s="7">
        <v>101</v>
      </c>
      <c r="BO48" s="7">
        <v>1427</v>
      </c>
      <c r="BP48" s="7" t="s">
        <v>72</v>
      </c>
      <c r="BQ48" s="7" t="s">
        <v>1</v>
      </c>
      <c r="BR48" s="7" t="s">
        <v>1</v>
      </c>
      <c r="BS48" s="7" t="s">
        <v>1</v>
      </c>
      <c r="BT48" s="7" t="s">
        <v>1</v>
      </c>
      <c r="BU48" s="7" t="s">
        <v>1</v>
      </c>
      <c r="BV48" s="7" t="s">
        <v>1</v>
      </c>
      <c r="BW48" s="7" t="s">
        <v>1</v>
      </c>
      <c r="BX48" s="7" t="s">
        <v>1</v>
      </c>
      <c r="BY48" s="7" t="s">
        <v>1</v>
      </c>
      <c r="BZ48" s="312" t="s">
        <v>1</v>
      </c>
      <c r="CA48" s="307" t="s">
        <v>1</v>
      </c>
      <c r="CB48" s="7" t="s">
        <v>1</v>
      </c>
      <c r="CC48" s="308" t="s">
        <v>1</v>
      </c>
      <c r="CD48" s="312" t="s">
        <v>1</v>
      </c>
      <c r="CE48" s="7" t="s">
        <v>1</v>
      </c>
      <c r="CF48" s="7" t="s">
        <v>1</v>
      </c>
    </row>
    <row r="49" ht="27" customHeight="1" spans="1:84">
      <c r="A49" s="29">
        <v>45152</v>
      </c>
      <c r="B49" s="316" t="s">
        <v>104</v>
      </c>
      <c r="C49" s="7" t="s">
        <v>71</v>
      </c>
      <c r="D49" s="30" t="s">
        <v>1</v>
      </c>
      <c r="E49" s="30" t="s">
        <v>1</v>
      </c>
      <c r="F49" s="32" t="str">
        <f>E49</f>
        <v/>
      </c>
      <c r="G49" s="32" t="s">
        <v>1</v>
      </c>
      <c r="H49" s="7" t="s">
        <v>1</v>
      </c>
      <c r="I49" s="32">
        <v>50</v>
      </c>
      <c r="J49" s="31" t="str">
        <f t="shared" si="1"/>
        <v/>
      </c>
      <c r="K49" s="31" t="str">
        <f>IFERROR(E49/#REF!,"")</f>
        <v/>
      </c>
      <c r="L49" s="127">
        <v>277544</v>
      </c>
      <c r="M49" s="32" t="s">
        <v>72</v>
      </c>
      <c r="N49" s="32" t="s">
        <v>1</v>
      </c>
      <c r="O49" s="32">
        <v>24.64</v>
      </c>
      <c r="P49" s="32" t="s">
        <v>72</v>
      </c>
      <c r="Q49" s="31" t="e">
        <f t="shared" si="2"/>
        <v>#VALUE!</v>
      </c>
      <c r="R49" s="32" t="s">
        <v>1</v>
      </c>
      <c r="S49" s="32" t="s">
        <v>1</v>
      </c>
      <c r="T49" s="32" t="s">
        <v>1</v>
      </c>
      <c r="U49" s="32" t="s">
        <v>1</v>
      </c>
      <c r="V49" s="7" t="s">
        <v>1</v>
      </c>
      <c r="W49" s="7" t="s">
        <v>72</v>
      </c>
      <c r="X49" s="7" t="s">
        <v>1</v>
      </c>
      <c r="Y49" s="7" t="s">
        <v>72</v>
      </c>
      <c r="Z49" s="7" t="s">
        <v>1</v>
      </c>
      <c r="AA49" s="30" t="s">
        <v>72</v>
      </c>
      <c r="AB49" s="7" t="s">
        <v>1</v>
      </c>
      <c r="AC49" s="7" t="s">
        <v>72</v>
      </c>
      <c r="AD49" s="7" t="s">
        <v>1</v>
      </c>
      <c r="AE49" s="7" t="s">
        <v>72</v>
      </c>
      <c r="AF49" s="7" t="s">
        <v>1</v>
      </c>
      <c r="AG49" s="7" t="s">
        <v>72</v>
      </c>
      <c r="AH49" s="7">
        <v>4415</v>
      </c>
      <c r="AI49" s="7" t="s">
        <v>72</v>
      </c>
      <c r="AJ49" s="7">
        <v>1422</v>
      </c>
      <c r="AK49" s="7" t="s">
        <v>72</v>
      </c>
      <c r="AL49" s="7">
        <v>151</v>
      </c>
      <c r="AM49" s="7" t="s">
        <v>72</v>
      </c>
      <c r="AN49" s="7">
        <v>2648</v>
      </c>
      <c r="AO49" s="7" t="s">
        <v>72</v>
      </c>
      <c r="AP49" s="7">
        <v>2532</v>
      </c>
      <c r="AQ49" s="7" t="s">
        <v>72</v>
      </c>
      <c r="AR49" s="7">
        <v>547</v>
      </c>
      <c r="AS49" s="7" t="s">
        <v>72</v>
      </c>
      <c r="AT49" s="314" t="s">
        <v>1</v>
      </c>
      <c r="AU49" s="32" t="s">
        <v>1</v>
      </c>
      <c r="AV49" s="30">
        <v>344</v>
      </c>
      <c r="AW49" s="30" t="s">
        <v>72</v>
      </c>
      <c r="AX49" s="31">
        <v>0.0443470413819776</v>
      </c>
      <c r="AY49" s="314" t="s">
        <v>72</v>
      </c>
      <c r="AZ49" s="30">
        <v>78</v>
      </c>
      <c r="BA49" s="30" t="s">
        <v>72</v>
      </c>
      <c r="BB49" s="31">
        <v>0.226744186046512</v>
      </c>
      <c r="BC49" s="314" t="s">
        <v>1</v>
      </c>
      <c r="BD49" s="314" t="s">
        <v>1</v>
      </c>
      <c r="BE49" s="32" t="s">
        <v>1</v>
      </c>
      <c r="BF49" s="32" t="s">
        <v>1</v>
      </c>
      <c r="BG49" s="314" t="s">
        <v>1</v>
      </c>
      <c r="BH49" s="314">
        <v>0.96</v>
      </c>
      <c r="BI49" s="7" t="s">
        <v>102</v>
      </c>
      <c r="BJ49" s="7">
        <v>15</v>
      </c>
      <c r="BK49" s="7">
        <v>4055</v>
      </c>
      <c r="BL49" s="7" t="s">
        <v>72</v>
      </c>
      <c r="BM49" s="7" t="s">
        <v>73</v>
      </c>
      <c r="BN49" s="7">
        <v>78</v>
      </c>
      <c r="BO49" s="7">
        <v>1613</v>
      </c>
      <c r="BP49" s="7" t="s">
        <v>72</v>
      </c>
      <c r="BQ49" s="7" t="s">
        <v>1</v>
      </c>
      <c r="BR49" s="7" t="s">
        <v>1</v>
      </c>
      <c r="BS49" s="7" t="s">
        <v>1</v>
      </c>
      <c r="BT49" s="7" t="s">
        <v>1</v>
      </c>
      <c r="BU49" s="7" t="s">
        <v>1</v>
      </c>
      <c r="BV49" s="7" t="s">
        <v>1</v>
      </c>
      <c r="BW49" s="7" t="s">
        <v>1</v>
      </c>
      <c r="BX49" s="7" t="s">
        <v>1</v>
      </c>
      <c r="BY49" s="7" t="s">
        <v>1</v>
      </c>
      <c r="BZ49" s="312" t="s">
        <v>1</v>
      </c>
      <c r="CA49" s="307" t="s">
        <v>1</v>
      </c>
      <c r="CB49" s="7" t="s">
        <v>1</v>
      </c>
      <c r="CC49" s="308" t="s">
        <v>1</v>
      </c>
      <c r="CD49" s="312" t="s">
        <v>1</v>
      </c>
      <c r="CE49" s="7" t="s">
        <v>1</v>
      </c>
      <c r="CF49" s="7" t="s">
        <v>1</v>
      </c>
    </row>
    <row r="50" ht="27" customHeight="1" spans="1:84">
      <c r="A50" s="29">
        <v>45153</v>
      </c>
      <c r="B50" s="316" t="s">
        <v>99</v>
      </c>
      <c r="C50" s="7" t="s">
        <v>71</v>
      </c>
      <c r="D50" s="30" t="s">
        <v>1</v>
      </c>
      <c r="E50" s="30" t="s">
        <v>1</v>
      </c>
      <c r="F50" s="32" t="e">
        <f>E50-3</f>
        <v>#VALUE!</v>
      </c>
      <c r="G50" s="32" t="s">
        <v>1</v>
      </c>
      <c r="H50" s="7" t="s">
        <v>1</v>
      </c>
      <c r="I50" s="32">
        <v>22</v>
      </c>
      <c r="J50" s="31" t="str">
        <f t="shared" si="1"/>
        <v/>
      </c>
      <c r="K50" s="31" t="str">
        <f>IFERROR(E50/#REF!,"")</f>
        <v/>
      </c>
      <c r="L50" s="127">
        <v>183632</v>
      </c>
      <c r="M50" s="32" t="s">
        <v>72</v>
      </c>
      <c r="N50" s="32" t="s">
        <v>1</v>
      </c>
      <c r="O50" s="32">
        <v>9.41</v>
      </c>
      <c r="P50" s="32" t="s">
        <v>72</v>
      </c>
      <c r="Q50" s="31" t="e">
        <f t="shared" si="2"/>
        <v>#VALUE!</v>
      </c>
      <c r="R50" s="32" t="s">
        <v>1</v>
      </c>
      <c r="S50" s="32" t="s">
        <v>1</v>
      </c>
      <c r="T50" s="32" t="s">
        <v>1</v>
      </c>
      <c r="U50" s="32" t="s">
        <v>1</v>
      </c>
      <c r="V50" s="7" t="s">
        <v>1</v>
      </c>
      <c r="W50" s="7" t="s">
        <v>72</v>
      </c>
      <c r="X50" s="7" t="s">
        <v>1</v>
      </c>
      <c r="Y50" s="7" t="s">
        <v>72</v>
      </c>
      <c r="Z50" s="7" t="s">
        <v>1</v>
      </c>
      <c r="AA50" s="30" t="s">
        <v>72</v>
      </c>
      <c r="AB50" s="7" t="s">
        <v>1</v>
      </c>
      <c r="AC50" s="7" t="s">
        <v>72</v>
      </c>
      <c r="AD50" s="7" t="s">
        <v>1</v>
      </c>
      <c r="AE50" s="7" t="s">
        <v>72</v>
      </c>
      <c r="AF50" s="7" t="s">
        <v>1</v>
      </c>
      <c r="AG50" s="7" t="s">
        <v>72</v>
      </c>
      <c r="AH50" s="7">
        <v>3694</v>
      </c>
      <c r="AI50" s="7" t="s">
        <v>72</v>
      </c>
      <c r="AJ50" s="7">
        <v>1106</v>
      </c>
      <c r="AK50" s="7" t="s">
        <v>72</v>
      </c>
      <c r="AL50" s="7">
        <v>101</v>
      </c>
      <c r="AM50" s="7" t="s">
        <v>72</v>
      </c>
      <c r="AN50" s="7">
        <v>2637</v>
      </c>
      <c r="AO50" s="7" t="s">
        <v>72</v>
      </c>
      <c r="AP50" s="7">
        <v>2075</v>
      </c>
      <c r="AQ50" s="7" t="s">
        <v>72</v>
      </c>
      <c r="AR50" s="7">
        <v>413</v>
      </c>
      <c r="AS50" s="7" t="s">
        <v>72</v>
      </c>
      <c r="AT50" s="314" t="s">
        <v>1</v>
      </c>
      <c r="AU50" s="32" t="s">
        <v>1</v>
      </c>
      <c r="AV50" s="30">
        <v>288</v>
      </c>
      <c r="AW50" s="30" t="s">
        <v>72</v>
      </c>
      <c r="AX50" s="31">
        <v>0.0421916202754175</v>
      </c>
      <c r="AY50" s="314" t="s">
        <v>72</v>
      </c>
      <c r="AZ50" s="30">
        <v>32</v>
      </c>
      <c r="BA50" s="30" t="s">
        <v>72</v>
      </c>
      <c r="BB50" s="31">
        <v>0.111111111111111</v>
      </c>
      <c r="BC50" s="314" t="s">
        <v>1</v>
      </c>
      <c r="BD50" s="314" t="s">
        <v>1</v>
      </c>
      <c r="BE50" s="32" t="s">
        <v>1</v>
      </c>
      <c r="BF50" s="32" t="s">
        <v>1</v>
      </c>
      <c r="BG50" s="314" t="s">
        <v>1</v>
      </c>
      <c r="BH50" s="314">
        <v>0.93</v>
      </c>
      <c r="BI50" s="7" t="s">
        <v>94</v>
      </c>
      <c r="BJ50" s="7">
        <v>23</v>
      </c>
      <c r="BK50" s="7">
        <v>2648</v>
      </c>
      <c r="BL50" s="7" t="s">
        <v>72</v>
      </c>
      <c r="BM50" s="7" t="s">
        <v>74</v>
      </c>
      <c r="BN50" s="7">
        <v>117</v>
      </c>
      <c r="BO50" s="7">
        <v>1157</v>
      </c>
      <c r="BP50" s="7" t="s">
        <v>72</v>
      </c>
      <c r="BQ50" s="7" t="s">
        <v>1</v>
      </c>
      <c r="BR50" s="7" t="s">
        <v>1</v>
      </c>
      <c r="BS50" s="7" t="s">
        <v>1</v>
      </c>
      <c r="BT50" s="7" t="s">
        <v>1</v>
      </c>
      <c r="BU50" s="7" t="s">
        <v>1</v>
      </c>
      <c r="BV50" s="118" t="s">
        <v>78</v>
      </c>
      <c r="BW50" s="118" t="s">
        <v>76</v>
      </c>
      <c r="BX50" s="118" t="s">
        <v>93</v>
      </c>
      <c r="BY50" s="312" t="s">
        <v>92</v>
      </c>
      <c r="BZ50" s="118" t="s">
        <v>79</v>
      </c>
      <c r="CA50" s="308" t="s">
        <v>85</v>
      </c>
      <c r="CB50" s="118" t="s">
        <v>87</v>
      </c>
      <c r="CC50" s="118" t="s">
        <v>105</v>
      </c>
      <c r="CD50" s="308" t="s">
        <v>106</v>
      </c>
      <c r="CE50" s="118" t="s">
        <v>107</v>
      </c>
      <c r="CF50" s="7" t="s">
        <v>1</v>
      </c>
    </row>
    <row r="51" ht="27" customHeight="1" spans="1:84">
      <c r="A51" s="29">
        <v>45154</v>
      </c>
      <c r="B51" s="32" t="s">
        <v>100</v>
      </c>
      <c r="C51" s="7" t="s">
        <v>71</v>
      </c>
      <c r="D51" s="30" t="s">
        <v>1</v>
      </c>
      <c r="E51" s="30" t="s">
        <v>1</v>
      </c>
      <c r="F51" s="32" t="e">
        <f>E51-1.7</f>
        <v>#VALUE!</v>
      </c>
      <c r="G51" s="32" t="s">
        <v>1</v>
      </c>
      <c r="H51" s="7" t="s">
        <v>1</v>
      </c>
      <c r="I51" s="32">
        <v>0</v>
      </c>
      <c r="J51" s="31" t="str">
        <f t="shared" si="1"/>
        <v/>
      </c>
      <c r="K51" s="31" t="str">
        <f>IFERROR(E51/#REF!,"")</f>
        <v/>
      </c>
      <c r="L51" s="127">
        <v>156930</v>
      </c>
      <c r="M51" s="32" t="s">
        <v>72</v>
      </c>
      <c r="N51" s="32" t="s">
        <v>1</v>
      </c>
      <c r="O51" s="32">
        <v>4.36</v>
      </c>
      <c r="P51" s="32" t="s">
        <v>72</v>
      </c>
      <c r="Q51" s="31" t="e">
        <f t="shared" si="2"/>
        <v>#VALUE!</v>
      </c>
      <c r="R51" s="32" t="s">
        <v>1</v>
      </c>
      <c r="S51" s="32" t="s">
        <v>1</v>
      </c>
      <c r="T51" s="32" t="s">
        <v>1</v>
      </c>
      <c r="U51" s="32" t="s">
        <v>1</v>
      </c>
      <c r="V51" s="7" t="s">
        <v>1</v>
      </c>
      <c r="W51" s="7" t="s">
        <v>72</v>
      </c>
      <c r="X51" s="7" t="s">
        <v>1</v>
      </c>
      <c r="Y51" s="7" t="s">
        <v>72</v>
      </c>
      <c r="Z51" s="7" t="s">
        <v>1</v>
      </c>
      <c r="AA51" s="30" t="s">
        <v>72</v>
      </c>
      <c r="AB51" s="7" t="s">
        <v>1</v>
      </c>
      <c r="AC51" s="7" t="s">
        <v>72</v>
      </c>
      <c r="AD51" s="7" t="s">
        <v>1</v>
      </c>
      <c r="AE51" s="7" t="s">
        <v>72</v>
      </c>
      <c r="AF51" s="7" t="s">
        <v>1</v>
      </c>
      <c r="AG51" s="7" t="s">
        <v>72</v>
      </c>
      <c r="AH51" s="7">
        <v>3413</v>
      </c>
      <c r="AI51" s="7" t="s">
        <v>72</v>
      </c>
      <c r="AJ51" s="7">
        <v>1198</v>
      </c>
      <c r="AK51" s="7" t="s">
        <v>72</v>
      </c>
      <c r="AL51" s="7">
        <v>88</v>
      </c>
      <c r="AM51" s="7" t="s">
        <v>72</v>
      </c>
      <c r="AN51" s="7">
        <v>2524</v>
      </c>
      <c r="AO51" s="7" t="s">
        <v>72</v>
      </c>
      <c r="AP51" s="7">
        <v>2007</v>
      </c>
      <c r="AQ51" s="7" t="s">
        <v>72</v>
      </c>
      <c r="AR51" s="7">
        <v>353</v>
      </c>
      <c r="AS51" s="7" t="s">
        <v>72</v>
      </c>
      <c r="AT51" s="314" t="s">
        <v>1</v>
      </c>
      <c r="AU51" s="32" t="s">
        <v>1</v>
      </c>
      <c r="AV51" s="30">
        <v>250</v>
      </c>
      <c r="AW51" s="30" t="s">
        <v>72</v>
      </c>
      <c r="AX51" s="31">
        <v>0.038249694002448</v>
      </c>
      <c r="AY51" s="314" t="s">
        <v>72</v>
      </c>
      <c r="AZ51" s="30">
        <v>15</v>
      </c>
      <c r="BA51" s="30" t="s">
        <v>72</v>
      </c>
      <c r="BB51" s="31">
        <v>0.06</v>
      </c>
      <c r="BC51" s="314" t="s">
        <v>1</v>
      </c>
      <c r="BD51" s="314" t="s">
        <v>1</v>
      </c>
      <c r="BE51" s="32" t="s">
        <v>1</v>
      </c>
      <c r="BF51" s="32" t="s">
        <v>1</v>
      </c>
      <c r="BG51" s="314" t="s">
        <v>1</v>
      </c>
      <c r="BH51" s="314">
        <v>1</v>
      </c>
      <c r="BI51" s="7" t="s">
        <v>94</v>
      </c>
      <c r="BJ51" s="7">
        <v>22</v>
      </c>
      <c r="BK51" s="7">
        <v>2627</v>
      </c>
      <c r="BL51" s="7" t="s">
        <v>72</v>
      </c>
      <c r="BM51" s="7" t="s">
        <v>74</v>
      </c>
      <c r="BN51" s="7">
        <v>102</v>
      </c>
      <c r="BO51" s="7">
        <v>1260</v>
      </c>
      <c r="BP51" s="7" t="s">
        <v>72</v>
      </c>
      <c r="BQ51" s="7" t="s">
        <v>1</v>
      </c>
      <c r="BR51" s="7" t="s">
        <v>1</v>
      </c>
      <c r="BS51" s="7" t="s">
        <v>1</v>
      </c>
      <c r="BT51" s="7" t="s">
        <v>1</v>
      </c>
      <c r="BU51" s="7" t="s">
        <v>1</v>
      </c>
      <c r="BV51" s="118" t="s">
        <v>1</v>
      </c>
      <c r="BW51" s="118" t="s">
        <v>1</v>
      </c>
      <c r="BX51" s="118" t="s">
        <v>1</v>
      </c>
      <c r="BY51" s="312" t="s">
        <v>1</v>
      </c>
      <c r="BZ51" s="118" t="s">
        <v>1</v>
      </c>
      <c r="CA51" s="308" t="s">
        <v>1</v>
      </c>
      <c r="CB51" s="118" t="s">
        <v>1</v>
      </c>
      <c r="CC51" s="118" t="s">
        <v>1</v>
      </c>
      <c r="CD51" s="308" t="s">
        <v>1</v>
      </c>
      <c r="CE51" s="118" t="s">
        <v>1</v>
      </c>
      <c r="CF51" s="7" t="s">
        <v>1</v>
      </c>
    </row>
    <row r="52" ht="27" customHeight="1" spans="1:84">
      <c r="A52" s="29">
        <v>45155</v>
      </c>
      <c r="B52" s="316" t="s">
        <v>104</v>
      </c>
      <c r="C52" s="7" t="s">
        <v>71</v>
      </c>
      <c r="D52" s="30" t="s">
        <v>1</v>
      </c>
      <c r="E52" s="30" t="s">
        <v>1</v>
      </c>
      <c r="F52" s="32" t="e">
        <f>E52-0.5</f>
        <v>#VALUE!</v>
      </c>
      <c r="G52" s="32" t="s">
        <v>1</v>
      </c>
      <c r="H52" s="7" t="s">
        <v>1</v>
      </c>
      <c r="I52" s="32">
        <v>32</v>
      </c>
      <c r="J52" s="31" t="str">
        <f t="shared" si="1"/>
        <v/>
      </c>
      <c r="K52" s="31" t="str">
        <f>IFERROR(E52/#REF!,"")</f>
        <v/>
      </c>
      <c r="L52" s="127">
        <v>122957</v>
      </c>
      <c r="M52" s="32" t="s">
        <v>72</v>
      </c>
      <c r="N52" s="32" t="s">
        <v>1</v>
      </c>
      <c r="O52" s="32">
        <v>7.7</v>
      </c>
      <c r="P52" s="32" t="s">
        <v>72</v>
      </c>
      <c r="Q52" s="31" t="e">
        <f t="shared" si="2"/>
        <v>#VALUE!</v>
      </c>
      <c r="R52" s="32" t="s">
        <v>1</v>
      </c>
      <c r="S52" s="32" t="s">
        <v>1</v>
      </c>
      <c r="T52" s="32" t="s">
        <v>1</v>
      </c>
      <c r="U52" s="32" t="s">
        <v>1</v>
      </c>
      <c r="V52" s="7" t="s">
        <v>1</v>
      </c>
      <c r="W52" s="7" t="s">
        <v>72</v>
      </c>
      <c r="X52" s="7" t="s">
        <v>1</v>
      </c>
      <c r="Y52" s="7" t="s">
        <v>72</v>
      </c>
      <c r="Z52" s="7" t="s">
        <v>1</v>
      </c>
      <c r="AA52" s="30" t="s">
        <v>72</v>
      </c>
      <c r="AB52" s="7" t="s">
        <v>1</v>
      </c>
      <c r="AC52" s="7" t="s">
        <v>72</v>
      </c>
      <c r="AD52" s="7" t="s">
        <v>1</v>
      </c>
      <c r="AE52" s="7" t="s">
        <v>72</v>
      </c>
      <c r="AF52" s="7" t="s">
        <v>1</v>
      </c>
      <c r="AG52" s="7" t="s">
        <v>72</v>
      </c>
      <c r="AH52" s="7">
        <v>3357</v>
      </c>
      <c r="AI52" s="7" t="s">
        <v>72</v>
      </c>
      <c r="AJ52" s="7">
        <v>1288</v>
      </c>
      <c r="AK52" s="7" t="s">
        <v>72</v>
      </c>
      <c r="AL52" s="7">
        <v>115</v>
      </c>
      <c r="AM52" s="7" t="s">
        <v>72</v>
      </c>
      <c r="AN52" s="7">
        <v>2615</v>
      </c>
      <c r="AO52" s="7" t="s">
        <v>72</v>
      </c>
      <c r="AP52" s="7">
        <v>1828</v>
      </c>
      <c r="AQ52" s="7" t="s">
        <v>72</v>
      </c>
      <c r="AR52" s="7">
        <v>429</v>
      </c>
      <c r="AS52" s="7" t="s">
        <v>72</v>
      </c>
      <c r="AT52" s="314" t="s">
        <v>1</v>
      </c>
      <c r="AU52" s="32" t="s">
        <v>1</v>
      </c>
      <c r="AV52" s="30">
        <v>300</v>
      </c>
      <c r="AW52" s="30" t="s">
        <v>72</v>
      </c>
      <c r="AX52" s="31">
        <v>0.0456690516060283</v>
      </c>
      <c r="AY52" s="314" t="s">
        <v>72</v>
      </c>
      <c r="AZ52" s="30">
        <v>22</v>
      </c>
      <c r="BA52" s="30" t="s">
        <v>72</v>
      </c>
      <c r="BB52" s="31">
        <v>0.0733333333333333</v>
      </c>
      <c r="BC52" s="314" t="s">
        <v>1</v>
      </c>
      <c r="BD52" s="314" t="s">
        <v>1</v>
      </c>
      <c r="BE52" s="32" t="s">
        <v>1</v>
      </c>
      <c r="BF52" s="32" t="s">
        <v>1</v>
      </c>
      <c r="BG52" s="314" t="s">
        <v>1</v>
      </c>
      <c r="BH52" s="314">
        <v>1</v>
      </c>
      <c r="BI52" s="7" t="s">
        <v>94</v>
      </c>
      <c r="BJ52" s="7">
        <v>24</v>
      </c>
      <c r="BK52" s="7">
        <v>2503</v>
      </c>
      <c r="BL52" s="7" t="s">
        <v>72</v>
      </c>
      <c r="BM52" s="7" t="s">
        <v>74</v>
      </c>
      <c r="BN52" s="7">
        <v>112</v>
      </c>
      <c r="BO52" s="7">
        <v>1202</v>
      </c>
      <c r="BP52" s="7" t="s">
        <v>72</v>
      </c>
      <c r="BQ52" s="7" t="s">
        <v>1</v>
      </c>
      <c r="BR52" s="7" t="s">
        <v>1</v>
      </c>
      <c r="BS52" s="7" t="s">
        <v>1</v>
      </c>
      <c r="BT52" s="7" t="s">
        <v>1</v>
      </c>
      <c r="BU52" s="7" t="s">
        <v>1</v>
      </c>
      <c r="BV52" s="118" t="s">
        <v>1</v>
      </c>
      <c r="BW52" s="118" t="s">
        <v>1</v>
      </c>
      <c r="BX52" s="118" t="s">
        <v>1</v>
      </c>
      <c r="BY52" s="312" t="s">
        <v>1</v>
      </c>
      <c r="BZ52" s="118" t="s">
        <v>1</v>
      </c>
      <c r="CA52" s="308" t="s">
        <v>1</v>
      </c>
      <c r="CB52" s="118" t="s">
        <v>1</v>
      </c>
      <c r="CC52" s="118" t="s">
        <v>1</v>
      </c>
      <c r="CD52" s="308" t="s">
        <v>1</v>
      </c>
      <c r="CE52" s="118" t="s">
        <v>1</v>
      </c>
      <c r="CF52" s="7" t="s">
        <v>1</v>
      </c>
    </row>
    <row r="53" ht="27" customHeight="1" spans="1:84">
      <c r="A53" s="29">
        <v>45156</v>
      </c>
      <c r="B53" s="316" t="s">
        <v>99</v>
      </c>
      <c r="C53" s="7" t="s">
        <v>71</v>
      </c>
      <c r="D53" s="30" t="s">
        <v>1</v>
      </c>
      <c r="E53" s="30" t="s">
        <v>1</v>
      </c>
      <c r="F53" s="32" t="e">
        <f>E53-0.8</f>
        <v>#VALUE!</v>
      </c>
      <c r="G53" s="32" t="s">
        <v>1</v>
      </c>
      <c r="H53" s="7" t="s">
        <v>1</v>
      </c>
      <c r="I53" s="32">
        <v>20</v>
      </c>
      <c r="J53" s="31" t="str">
        <f t="shared" si="1"/>
        <v/>
      </c>
      <c r="K53" s="31" t="str">
        <f>IFERROR(E53/#REF!,"")</f>
        <v/>
      </c>
      <c r="L53" s="127">
        <v>161399</v>
      </c>
      <c r="M53" s="32" t="s">
        <v>72</v>
      </c>
      <c r="N53" s="32" t="s">
        <v>1</v>
      </c>
      <c r="O53" s="32">
        <v>6.9</v>
      </c>
      <c r="P53" s="32" t="s">
        <v>72</v>
      </c>
      <c r="Q53" s="31" t="e">
        <f t="shared" si="2"/>
        <v>#VALUE!</v>
      </c>
      <c r="R53" s="32" t="s">
        <v>1</v>
      </c>
      <c r="S53" s="32" t="s">
        <v>1</v>
      </c>
      <c r="T53" s="32" t="s">
        <v>1</v>
      </c>
      <c r="U53" s="32" t="s">
        <v>1</v>
      </c>
      <c r="V53" s="7" t="s">
        <v>1</v>
      </c>
      <c r="W53" s="7" t="s">
        <v>72</v>
      </c>
      <c r="X53" s="7" t="s">
        <v>1</v>
      </c>
      <c r="Y53" s="7" t="s">
        <v>72</v>
      </c>
      <c r="Z53" s="7" t="s">
        <v>1</v>
      </c>
      <c r="AA53" s="30" t="s">
        <v>72</v>
      </c>
      <c r="AB53" s="7" t="s">
        <v>1</v>
      </c>
      <c r="AC53" s="7" t="s">
        <v>72</v>
      </c>
      <c r="AD53" s="7" t="s">
        <v>1</v>
      </c>
      <c r="AE53" s="7" t="s">
        <v>72</v>
      </c>
      <c r="AF53" s="7" t="s">
        <v>1</v>
      </c>
      <c r="AG53" s="7" t="s">
        <v>72</v>
      </c>
      <c r="AH53" s="7">
        <v>3584</v>
      </c>
      <c r="AI53" s="7" t="s">
        <v>72</v>
      </c>
      <c r="AJ53" s="7">
        <v>1260</v>
      </c>
      <c r="AK53" s="7" t="s">
        <v>72</v>
      </c>
      <c r="AL53" s="7">
        <v>83</v>
      </c>
      <c r="AM53" s="7" t="s">
        <v>72</v>
      </c>
      <c r="AN53" s="7">
        <v>2260</v>
      </c>
      <c r="AO53" s="7" t="s">
        <v>72</v>
      </c>
      <c r="AP53" s="7">
        <v>2024</v>
      </c>
      <c r="AQ53" s="7" t="s">
        <v>72</v>
      </c>
      <c r="AR53" s="7">
        <v>395</v>
      </c>
      <c r="AS53" s="7" t="s">
        <v>72</v>
      </c>
      <c r="AT53" s="314" t="s">
        <v>1</v>
      </c>
      <c r="AU53" s="32" t="s">
        <v>1</v>
      </c>
      <c r="AV53" s="30">
        <v>329</v>
      </c>
      <c r="AW53" s="30" t="s">
        <v>72</v>
      </c>
      <c r="AX53" s="31">
        <v>0.0510394042817251</v>
      </c>
      <c r="AY53" s="314" t="s">
        <v>72</v>
      </c>
      <c r="AZ53" s="30">
        <v>24</v>
      </c>
      <c r="BA53" s="30" t="s">
        <v>72</v>
      </c>
      <c r="BB53" s="31">
        <v>0.0729483282674772</v>
      </c>
      <c r="BC53" s="314" t="s">
        <v>1</v>
      </c>
      <c r="BD53" s="314" t="s">
        <v>1</v>
      </c>
      <c r="BE53" s="32" t="s">
        <v>1</v>
      </c>
      <c r="BF53" s="32" t="s">
        <v>1</v>
      </c>
      <c r="BG53" s="314" t="s">
        <v>1</v>
      </c>
      <c r="BH53" s="314">
        <v>1</v>
      </c>
      <c r="BI53" s="7" t="s">
        <v>102</v>
      </c>
      <c r="BJ53" s="7">
        <v>15</v>
      </c>
      <c r="BK53" s="7">
        <v>3085</v>
      </c>
      <c r="BL53" s="7" t="s">
        <v>72</v>
      </c>
      <c r="BM53" s="7" t="s">
        <v>73</v>
      </c>
      <c r="BN53" s="7">
        <v>83</v>
      </c>
      <c r="BO53" s="7">
        <v>1546</v>
      </c>
      <c r="BP53" s="7" t="s">
        <v>72</v>
      </c>
      <c r="BQ53" s="7" t="s">
        <v>1</v>
      </c>
      <c r="BR53" s="7" t="s">
        <v>1</v>
      </c>
      <c r="BS53" s="7" t="s">
        <v>1</v>
      </c>
      <c r="BT53" s="7" t="s">
        <v>1</v>
      </c>
      <c r="BU53" s="7" t="s">
        <v>1</v>
      </c>
      <c r="BV53" s="118" t="s">
        <v>1</v>
      </c>
      <c r="BW53" s="118" t="s">
        <v>1</v>
      </c>
      <c r="BX53" s="118" t="s">
        <v>1</v>
      </c>
      <c r="BY53" s="312" t="s">
        <v>1</v>
      </c>
      <c r="BZ53" s="118" t="s">
        <v>1</v>
      </c>
      <c r="CA53" s="308" t="s">
        <v>1</v>
      </c>
      <c r="CB53" s="118" t="s">
        <v>1</v>
      </c>
      <c r="CC53" s="118" t="s">
        <v>1</v>
      </c>
      <c r="CD53" s="308" t="s">
        <v>1</v>
      </c>
      <c r="CE53" s="118" t="s">
        <v>1</v>
      </c>
      <c r="CF53" s="7" t="s">
        <v>1</v>
      </c>
    </row>
    <row r="54" ht="27" customHeight="1" spans="1:84">
      <c r="A54" s="29">
        <v>45157</v>
      </c>
      <c r="B54" s="32" t="s">
        <v>100</v>
      </c>
      <c r="C54" s="7" t="s">
        <v>71</v>
      </c>
      <c r="D54" s="30" t="s">
        <v>1</v>
      </c>
      <c r="E54" s="30" t="s">
        <v>1</v>
      </c>
      <c r="F54" s="32" t="str">
        <f>E54</f>
        <v/>
      </c>
      <c r="G54" s="32" t="s">
        <v>1</v>
      </c>
      <c r="H54" s="7" t="s">
        <v>1</v>
      </c>
      <c r="I54" s="32">
        <v>9</v>
      </c>
      <c r="J54" s="31" t="str">
        <f t="shared" si="1"/>
        <v/>
      </c>
      <c r="K54" s="31" t="str">
        <f>IFERROR(E54/#REF!,"")</f>
        <v/>
      </c>
      <c r="L54" s="127">
        <v>93061</v>
      </c>
      <c r="M54" s="32" t="s">
        <v>72</v>
      </c>
      <c r="N54" s="32" t="s">
        <v>1</v>
      </c>
      <c r="O54" s="32">
        <v>3.8</v>
      </c>
      <c r="P54" s="32" t="s">
        <v>72</v>
      </c>
      <c r="Q54" s="31" t="e">
        <f t="shared" si="2"/>
        <v>#VALUE!</v>
      </c>
      <c r="R54" s="32" t="s">
        <v>1</v>
      </c>
      <c r="S54" s="32" t="s">
        <v>1</v>
      </c>
      <c r="T54" s="32" t="s">
        <v>1</v>
      </c>
      <c r="U54" s="32" t="s">
        <v>1</v>
      </c>
      <c r="V54" s="7" t="s">
        <v>1</v>
      </c>
      <c r="W54" s="7" t="s">
        <v>72</v>
      </c>
      <c r="X54" s="7" t="s">
        <v>1</v>
      </c>
      <c r="Y54" s="7" t="s">
        <v>72</v>
      </c>
      <c r="Z54" s="7" t="s">
        <v>1</v>
      </c>
      <c r="AA54" s="30" t="s">
        <v>72</v>
      </c>
      <c r="AB54" s="7" t="s">
        <v>1</v>
      </c>
      <c r="AC54" s="7" t="s">
        <v>72</v>
      </c>
      <c r="AD54" s="7" t="s">
        <v>1</v>
      </c>
      <c r="AE54" s="7" t="s">
        <v>72</v>
      </c>
      <c r="AF54" s="7" t="s">
        <v>1</v>
      </c>
      <c r="AG54" s="7" t="s">
        <v>72</v>
      </c>
      <c r="AH54" s="7">
        <v>3419</v>
      </c>
      <c r="AI54" s="7" t="s">
        <v>72</v>
      </c>
      <c r="AJ54" s="7">
        <v>832</v>
      </c>
      <c r="AK54" s="7" t="s">
        <v>72</v>
      </c>
      <c r="AL54" s="7">
        <v>94</v>
      </c>
      <c r="AM54" s="7" t="s">
        <v>72</v>
      </c>
      <c r="AN54" s="7">
        <v>2613</v>
      </c>
      <c r="AO54" s="7" t="s">
        <v>72</v>
      </c>
      <c r="AP54" s="7">
        <v>2003</v>
      </c>
      <c r="AQ54" s="7" t="s">
        <v>72</v>
      </c>
      <c r="AR54" s="7">
        <v>340</v>
      </c>
      <c r="AS54" s="7" t="s">
        <v>72</v>
      </c>
      <c r="AT54" s="314" t="s">
        <v>1</v>
      </c>
      <c r="AU54" s="32" t="s">
        <v>1</v>
      </c>
      <c r="AV54" s="30">
        <v>276</v>
      </c>
      <c r="AW54" s="32" t="s">
        <v>1</v>
      </c>
      <c r="AX54" s="31">
        <v>0.0430644406303635</v>
      </c>
      <c r="AY54" s="314" t="s">
        <v>1</v>
      </c>
      <c r="AZ54" s="317" t="s">
        <v>108</v>
      </c>
      <c r="BA54" s="32" t="s">
        <v>1</v>
      </c>
      <c r="BB54" s="31">
        <v>0.0471014492753623</v>
      </c>
      <c r="BC54" s="314" t="s">
        <v>1</v>
      </c>
      <c r="BD54" s="314" t="s">
        <v>1</v>
      </c>
      <c r="BE54" s="32" t="s">
        <v>1</v>
      </c>
      <c r="BF54" s="32" t="s">
        <v>1</v>
      </c>
      <c r="BG54" s="314" t="s">
        <v>1</v>
      </c>
      <c r="BH54" s="314">
        <v>1</v>
      </c>
      <c r="BI54" s="7" t="s">
        <v>94</v>
      </c>
      <c r="BJ54" s="7">
        <v>21</v>
      </c>
      <c r="BK54" s="7">
        <v>3012</v>
      </c>
      <c r="BL54" s="7" t="s">
        <v>72</v>
      </c>
      <c r="BM54" s="7" t="s">
        <v>74</v>
      </c>
      <c r="BN54" s="7">
        <v>101</v>
      </c>
      <c r="BO54" s="7">
        <v>1361</v>
      </c>
      <c r="BP54" s="7" t="s">
        <v>72</v>
      </c>
      <c r="BQ54" s="7" t="s">
        <v>1</v>
      </c>
      <c r="BR54" s="7" t="s">
        <v>1</v>
      </c>
      <c r="BS54" s="7" t="s">
        <v>1</v>
      </c>
      <c r="BT54" s="7" t="s">
        <v>1</v>
      </c>
      <c r="BU54" s="7" t="s">
        <v>1</v>
      </c>
      <c r="BV54" s="118" t="s">
        <v>1</v>
      </c>
      <c r="BW54" s="118" t="s">
        <v>1</v>
      </c>
      <c r="BX54" s="118" t="s">
        <v>1</v>
      </c>
      <c r="BY54" s="312" t="s">
        <v>1</v>
      </c>
      <c r="BZ54" s="118" t="s">
        <v>1</v>
      </c>
      <c r="CA54" s="308" t="s">
        <v>1</v>
      </c>
      <c r="CB54" s="118" t="s">
        <v>1</v>
      </c>
      <c r="CC54" s="118" t="s">
        <v>1</v>
      </c>
      <c r="CD54" s="308" t="s">
        <v>1</v>
      </c>
      <c r="CE54" s="118" t="s">
        <v>1</v>
      </c>
      <c r="CF54" s="7" t="s">
        <v>1</v>
      </c>
    </row>
    <row r="55" ht="27" customHeight="1" spans="1:84">
      <c r="A55" s="29">
        <v>45158</v>
      </c>
      <c r="B55" s="32" t="s">
        <v>100</v>
      </c>
      <c r="C55" s="7" t="s">
        <v>71</v>
      </c>
      <c r="D55" s="30" t="s">
        <v>1</v>
      </c>
      <c r="E55" s="30" t="s">
        <v>1</v>
      </c>
      <c r="F55" s="32" t="str">
        <f>E55</f>
        <v/>
      </c>
      <c r="G55" s="32" t="s">
        <v>1</v>
      </c>
      <c r="H55" s="7" t="s">
        <v>1</v>
      </c>
      <c r="I55" s="32">
        <v>10</v>
      </c>
      <c r="J55" s="31" t="str">
        <f t="shared" si="1"/>
        <v/>
      </c>
      <c r="K55" s="31" t="str">
        <f>IFERROR(E55/#REF!,"")</f>
        <v/>
      </c>
      <c r="L55" s="127">
        <v>105257</v>
      </c>
      <c r="M55" s="32" t="s">
        <v>72</v>
      </c>
      <c r="N55" s="32" t="s">
        <v>1</v>
      </c>
      <c r="O55" s="32">
        <v>5.9</v>
      </c>
      <c r="P55" s="32" t="s">
        <v>72</v>
      </c>
      <c r="Q55" s="31" t="e">
        <f t="shared" si="2"/>
        <v>#VALUE!</v>
      </c>
      <c r="R55" s="32" t="s">
        <v>1</v>
      </c>
      <c r="S55" s="32" t="s">
        <v>1</v>
      </c>
      <c r="T55" s="32" t="s">
        <v>1</v>
      </c>
      <c r="U55" s="32" t="s">
        <v>1</v>
      </c>
      <c r="V55" s="7" t="s">
        <v>1</v>
      </c>
      <c r="W55" s="7" t="s">
        <v>72</v>
      </c>
      <c r="X55" s="7" t="s">
        <v>1</v>
      </c>
      <c r="Y55" s="7" t="s">
        <v>72</v>
      </c>
      <c r="Z55" s="7" t="s">
        <v>1</v>
      </c>
      <c r="AA55" s="30" t="s">
        <v>72</v>
      </c>
      <c r="AB55" s="7" t="s">
        <v>1</v>
      </c>
      <c r="AC55" s="7" t="s">
        <v>72</v>
      </c>
      <c r="AD55" s="7" t="s">
        <v>1</v>
      </c>
      <c r="AE55" s="7" t="s">
        <v>72</v>
      </c>
      <c r="AF55" s="7" t="s">
        <v>1</v>
      </c>
      <c r="AG55" s="7" t="s">
        <v>72</v>
      </c>
      <c r="AH55" s="7">
        <v>3517</v>
      </c>
      <c r="AI55" s="7" t="s">
        <v>72</v>
      </c>
      <c r="AJ55" s="7">
        <v>900</v>
      </c>
      <c r="AK55" s="7" t="s">
        <v>72</v>
      </c>
      <c r="AL55" s="7">
        <v>85</v>
      </c>
      <c r="AM55" s="7" t="s">
        <v>72</v>
      </c>
      <c r="AN55" s="7">
        <v>2626</v>
      </c>
      <c r="AO55" s="7" t="s">
        <v>72</v>
      </c>
      <c r="AP55" s="7">
        <v>2167</v>
      </c>
      <c r="AQ55" s="7" t="s">
        <v>72</v>
      </c>
      <c r="AR55" s="7">
        <v>338</v>
      </c>
      <c r="AS55" s="7" t="s">
        <v>72</v>
      </c>
      <c r="AT55" s="314" t="s">
        <v>1</v>
      </c>
      <c r="AU55" s="32" t="s">
        <v>1</v>
      </c>
      <c r="AV55" s="30">
        <v>281</v>
      </c>
      <c r="AW55" s="32" t="s">
        <v>1</v>
      </c>
      <c r="AX55" s="31">
        <v>0.0429860792412422</v>
      </c>
      <c r="AY55" s="314" t="s">
        <v>1</v>
      </c>
      <c r="AZ55" s="317" t="s">
        <v>109</v>
      </c>
      <c r="BA55" s="32" t="s">
        <v>1</v>
      </c>
      <c r="BB55" s="31">
        <v>0.0782918149466192</v>
      </c>
      <c r="BC55" s="314" t="s">
        <v>1</v>
      </c>
      <c r="BD55" s="314" t="s">
        <v>1</v>
      </c>
      <c r="BE55" s="32" t="s">
        <v>1</v>
      </c>
      <c r="BF55" s="32" t="s">
        <v>1</v>
      </c>
      <c r="BG55" s="314" t="s">
        <v>1</v>
      </c>
      <c r="BH55" s="314" t="s">
        <v>1</v>
      </c>
      <c r="BI55" s="7" t="s">
        <v>102</v>
      </c>
      <c r="BJ55" s="7">
        <v>20</v>
      </c>
      <c r="BK55" s="7">
        <v>3346</v>
      </c>
      <c r="BL55" s="7" t="s">
        <v>72</v>
      </c>
      <c r="BM55" s="7" t="s">
        <v>73</v>
      </c>
      <c r="BN55" s="7">
        <v>86</v>
      </c>
      <c r="BO55" s="7">
        <v>1544</v>
      </c>
      <c r="BP55" s="7" t="s">
        <v>72</v>
      </c>
      <c r="BQ55" s="7" t="s">
        <v>1</v>
      </c>
      <c r="BR55" s="7" t="s">
        <v>1</v>
      </c>
      <c r="BS55" s="7" t="s">
        <v>1</v>
      </c>
      <c r="BT55" s="7" t="s">
        <v>1</v>
      </c>
      <c r="BU55" s="7" t="s">
        <v>1</v>
      </c>
      <c r="BV55" s="118" t="s">
        <v>1</v>
      </c>
      <c r="BW55" s="118" t="s">
        <v>1</v>
      </c>
      <c r="BX55" s="118" t="s">
        <v>1</v>
      </c>
      <c r="BY55" s="312" t="s">
        <v>1</v>
      </c>
      <c r="BZ55" s="118" t="s">
        <v>1</v>
      </c>
      <c r="CA55" s="308" t="s">
        <v>1</v>
      </c>
      <c r="CB55" s="118" t="s">
        <v>1</v>
      </c>
      <c r="CC55" s="118" t="s">
        <v>1</v>
      </c>
      <c r="CD55" s="308" t="s">
        <v>1</v>
      </c>
      <c r="CE55" s="118" t="s">
        <v>1</v>
      </c>
      <c r="CF55" s="7" t="s">
        <v>1</v>
      </c>
    </row>
    <row r="56" ht="27" customHeight="1" spans="1:84">
      <c r="A56" s="29">
        <v>45159</v>
      </c>
      <c r="B56" s="32" t="s">
        <v>100</v>
      </c>
      <c r="C56" s="7" t="s">
        <v>71</v>
      </c>
      <c r="D56" s="30" t="s">
        <v>1</v>
      </c>
      <c r="E56" s="30" t="s">
        <v>1</v>
      </c>
      <c r="F56" s="32" t="e">
        <f>E56-1</f>
        <v>#VALUE!</v>
      </c>
      <c r="G56" s="32" t="s">
        <v>1</v>
      </c>
      <c r="H56" s="7" t="s">
        <v>1</v>
      </c>
      <c r="I56" s="32">
        <v>11</v>
      </c>
      <c r="J56" s="31" t="str">
        <f t="shared" si="1"/>
        <v/>
      </c>
      <c r="K56" s="31" t="str">
        <f>IFERROR(E56/#REF!,"")</f>
        <v/>
      </c>
      <c r="L56" s="127">
        <v>120193</v>
      </c>
      <c r="M56" s="32" t="s">
        <v>72</v>
      </c>
      <c r="N56" s="32" t="s">
        <v>1</v>
      </c>
      <c r="O56" s="32">
        <v>4.65</v>
      </c>
      <c r="P56" s="32" t="s">
        <v>1</v>
      </c>
      <c r="Q56" s="31" t="e">
        <f t="shared" si="2"/>
        <v>#VALUE!</v>
      </c>
      <c r="R56" s="32" t="s">
        <v>1</v>
      </c>
      <c r="S56" s="32" t="s">
        <v>1</v>
      </c>
      <c r="T56" s="32" t="s">
        <v>1</v>
      </c>
      <c r="U56" s="32" t="s">
        <v>1</v>
      </c>
      <c r="V56" s="7" t="s">
        <v>1</v>
      </c>
      <c r="W56" s="7" t="s">
        <v>72</v>
      </c>
      <c r="X56" s="7" t="s">
        <v>1</v>
      </c>
      <c r="Y56" s="7" t="s">
        <v>72</v>
      </c>
      <c r="Z56" s="7" t="s">
        <v>1</v>
      </c>
      <c r="AA56" s="30" t="s">
        <v>72</v>
      </c>
      <c r="AB56" s="7" t="s">
        <v>1</v>
      </c>
      <c r="AC56" s="7" t="s">
        <v>72</v>
      </c>
      <c r="AD56" s="7" t="s">
        <v>1</v>
      </c>
      <c r="AE56" s="7" t="s">
        <v>72</v>
      </c>
      <c r="AF56" s="7" t="s">
        <v>1</v>
      </c>
      <c r="AG56" s="7" t="s">
        <v>72</v>
      </c>
      <c r="AH56" s="7">
        <v>3419</v>
      </c>
      <c r="AI56" s="7" t="s">
        <v>72</v>
      </c>
      <c r="AJ56" s="7">
        <v>795</v>
      </c>
      <c r="AK56" s="7" t="s">
        <v>72</v>
      </c>
      <c r="AL56" s="7">
        <v>70</v>
      </c>
      <c r="AM56" s="7" t="s">
        <v>72</v>
      </c>
      <c r="AN56" s="7">
        <v>2657</v>
      </c>
      <c r="AO56" s="7" t="s">
        <v>72</v>
      </c>
      <c r="AP56" s="7">
        <v>2034</v>
      </c>
      <c r="AQ56" s="7" t="s">
        <v>72</v>
      </c>
      <c r="AR56" s="7">
        <v>316</v>
      </c>
      <c r="AS56" s="7" t="s">
        <v>72</v>
      </c>
      <c r="AT56" s="314" t="s">
        <v>1</v>
      </c>
      <c r="AU56" s="32" t="s">
        <v>1</v>
      </c>
      <c r="AV56" s="30">
        <v>265</v>
      </c>
      <c r="AW56" s="32" t="s">
        <v>1</v>
      </c>
      <c r="AX56" s="31">
        <v>0.041361011393788</v>
      </c>
      <c r="AY56" s="314" t="s">
        <v>1</v>
      </c>
      <c r="AZ56" s="317" t="s">
        <v>110</v>
      </c>
      <c r="BA56" s="32" t="s">
        <v>1</v>
      </c>
      <c r="BB56" s="31">
        <v>0.0716981132075472</v>
      </c>
      <c r="BC56" s="314" t="s">
        <v>1</v>
      </c>
      <c r="BD56" s="314" t="s">
        <v>1</v>
      </c>
      <c r="BE56" s="32" t="s">
        <v>1</v>
      </c>
      <c r="BF56" s="32" t="s">
        <v>1</v>
      </c>
      <c r="BG56" s="314" t="s">
        <v>1</v>
      </c>
      <c r="BH56" s="314" t="s">
        <v>1</v>
      </c>
      <c r="BI56" s="7" t="s">
        <v>94</v>
      </c>
      <c r="BJ56" s="7">
        <v>24</v>
      </c>
      <c r="BK56" s="7">
        <v>3031</v>
      </c>
      <c r="BL56" s="7" t="s">
        <v>72</v>
      </c>
      <c r="BM56" s="7" t="s">
        <v>73</v>
      </c>
      <c r="BN56" s="7">
        <v>99</v>
      </c>
      <c r="BO56" s="7">
        <v>1346</v>
      </c>
      <c r="BP56" s="7" t="s">
        <v>72</v>
      </c>
      <c r="BQ56" s="7" t="s">
        <v>1</v>
      </c>
      <c r="BR56" s="7" t="s">
        <v>1</v>
      </c>
      <c r="BS56" s="7" t="s">
        <v>1</v>
      </c>
      <c r="BT56" s="7" t="s">
        <v>1</v>
      </c>
      <c r="BU56" s="7" t="s">
        <v>1</v>
      </c>
      <c r="BV56" s="118" t="s">
        <v>1</v>
      </c>
      <c r="BW56" s="118" t="s">
        <v>1</v>
      </c>
      <c r="BX56" s="118" t="s">
        <v>1</v>
      </c>
      <c r="BY56" s="312" t="s">
        <v>1</v>
      </c>
      <c r="BZ56" s="118" t="s">
        <v>1</v>
      </c>
      <c r="CA56" s="308" t="s">
        <v>1</v>
      </c>
      <c r="CB56" s="118" t="s">
        <v>1</v>
      </c>
      <c r="CC56" s="118" t="s">
        <v>1</v>
      </c>
      <c r="CD56" s="308" t="s">
        <v>1</v>
      </c>
      <c r="CE56" s="118" t="s">
        <v>1</v>
      </c>
      <c r="CF56" s="7" t="s">
        <v>1</v>
      </c>
    </row>
    <row r="57" ht="27" customHeight="1" spans="1:84">
      <c r="A57" s="29">
        <v>45160</v>
      </c>
      <c r="B57" s="32" t="s">
        <v>100</v>
      </c>
      <c r="C57" s="7" t="s">
        <v>71</v>
      </c>
      <c r="D57" s="30" t="s">
        <v>1</v>
      </c>
      <c r="E57" s="30" t="s">
        <v>1</v>
      </c>
      <c r="F57" s="32" t="e">
        <f>E57-1.4</f>
        <v>#VALUE!</v>
      </c>
      <c r="G57" s="32" t="s">
        <v>1</v>
      </c>
      <c r="H57" s="7" t="s">
        <v>1</v>
      </c>
      <c r="I57" s="32">
        <v>0</v>
      </c>
      <c r="J57" s="31" t="str">
        <f t="shared" si="1"/>
        <v/>
      </c>
      <c r="K57" s="31" t="str">
        <f>IFERROR(E57/#REF!,"")</f>
        <v/>
      </c>
      <c r="L57" s="127">
        <v>121427</v>
      </c>
      <c r="M57" s="32" t="s">
        <v>72</v>
      </c>
      <c r="N57" s="32" t="s">
        <v>1</v>
      </c>
      <c r="O57" s="32">
        <v>5.1</v>
      </c>
      <c r="P57" s="32" t="s">
        <v>1</v>
      </c>
      <c r="Q57" s="31" t="e">
        <f t="shared" si="2"/>
        <v>#VALUE!</v>
      </c>
      <c r="R57" s="32" t="s">
        <v>1</v>
      </c>
      <c r="S57" s="32" t="s">
        <v>1</v>
      </c>
      <c r="T57" s="32" t="s">
        <v>1</v>
      </c>
      <c r="U57" s="32" t="s">
        <v>1</v>
      </c>
      <c r="V57" s="7" t="s">
        <v>1</v>
      </c>
      <c r="W57" s="7" t="s">
        <v>72</v>
      </c>
      <c r="X57" s="7" t="s">
        <v>1</v>
      </c>
      <c r="Y57" s="7" t="s">
        <v>72</v>
      </c>
      <c r="Z57" s="7" t="s">
        <v>1</v>
      </c>
      <c r="AA57" s="30" t="s">
        <v>72</v>
      </c>
      <c r="AB57" s="7" t="s">
        <v>1</v>
      </c>
      <c r="AC57" s="7" t="s">
        <v>72</v>
      </c>
      <c r="AD57" s="7" t="s">
        <v>1</v>
      </c>
      <c r="AE57" s="7" t="s">
        <v>72</v>
      </c>
      <c r="AF57" s="7" t="s">
        <v>1</v>
      </c>
      <c r="AG57" s="7" t="s">
        <v>72</v>
      </c>
      <c r="AH57" s="7">
        <v>2946</v>
      </c>
      <c r="AI57" s="7" t="s">
        <v>72</v>
      </c>
      <c r="AJ57" s="7">
        <v>726</v>
      </c>
      <c r="AK57" s="7" t="s">
        <v>72</v>
      </c>
      <c r="AL57" s="7">
        <v>78</v>
      </c>
      <c r="AM57" s="7" t="s">
        <v>72</v>
      </c>
      <c r="AN57" s="7">
        <v>2645</v>
      </c>
      <c r="AO57" s="7" t="s">
        <v>72</v>
      </c>
      <c r="AP57" s="7">
        <v>1704</v>
      </c>
      <c r="AQ57" s="7" t="s">
        <v>72</v>
      </c>
      <c r="AR57" s="7">
        <v>274</v>
      </c>
      <c r="AS57" s="7" t="s">
        <v>72</v>
      </c>
      <c r="AT57" s="314" t="s">
        <v>1</v>
      </c>
      <c r="AU57" s="32" t="s">
        <v>1</v>
      </c>
      <c r="AV57" s="30">
        <v>216</v>
      </c>
      <c r="AW57" s="32" t="s">
        <v>1</v>
      </c>
      <c r="AX57" s="31">
        <v>0.0366910140988619</v>
      </c>
      <c r="AY57" s="314" t="s">
        <v>1</v>
      </c>
      <c r="AZ57" s="317">
        <v>16</v>
      </c>
      <c r="BA57" s="32" t="s">
        <v>1</v>
      </c>
      <c r="BB57" s="31">
        <v>0.0740740740740741</v>
      </c>
      <c r="BC57" s="314" t="s">
        <v>1</v>
      </c>
      <c r="BD57" s="314" t="s">
        <v>1</v>
      </c>
      <c r="BE57" s="32" t="s">
        <v>1</v>
      </c>
      <c r="BF57" s="32" t="s">
        <v>1</v>
      </c>
      <c r="BG57" s="314" t="s">
        <v>1</v>
      </c>
      <c r="BH57" s="314" t="s">
        <v>1</v>
      </c>
      <c r="BI57" s="7" t="s">
        <v>94</v>
      </c>
      <c r="BJ57" s="7">
        <v>22</v>
      </c>
      <c r="BK57" s="7">
        <v>2538</v>
      </c>
      <c r="BL57" s="7" t="s">
        <v>72</v>
      </c>
      <c r="BM57" s="7" t="s">
        <v>74</v>
      </c>
      <c r="BN57" s="7">
        <v>136</v>
      </c>
      <c r="BO57" s="7">
        <v>921</v>
      </c>
      <c r="BP57" s="7" t="s">
        <v>72</v>
      </c>
      <c r="BQ57" s="7" t="s">
        <v>1</v>
      </c>
      <c r="BR57" s="7" t="s">
        <v>1</v>
      </c>
      <c r="BS57" s="7" t="s">
        <v>1</v>
      </c>
      <c r="BT57" s="7" t="s">
        <v>1</v>
      </c>
      <c r="BU57" s="7" t="s">
        <v>1</v>
      </c>
      <c r="BV57" s="118" t="s">
        <v>78</v>
      </c>
      <c r="BW57" s="118" t="s">
        <v>76</v>
      </c>
      <c r="BX57" s="118" t="s">
        <v>79</v>
      </c>
      <c r="BY57" s="118" t="s">
        <v>93</v>
      </c>
      <c r="BZ57" s="312" t="s">
        <v>92</v>
      </c>
      <c r="CA57" s="118" t="s">
        <v>81</v>
      </c>
      <c r="CB57" s="307" t="s">
        <v>77</v>
      </c>
      <c r="CC57" s="118" t="s">
        <v>83</v>
      </c>
      <c r="CD57" s="308" t="s">
        <v>85</v>
      </c>
      <c r="CE57" s="118" t="s">
        <v>87</v>
      </c>
      <c r="CF57" s="7" t="s">
        <v>1</v>
      </c>
    </row>
    <row r="58" ht="27" customHeight="1" spans="1:84">
      <c r="A58" s="29">
        <v>45161</v>
      </c>
      <c r="B58" s="32" t="s">
        <v>100</v>
      </c>
      <c r="C58" s="7" t="s">
        <v>71</v>
      </c>
      <c r="D58" s="30" t="s">
        <v>1</v>
      </c>
      <c r="E58" s="30" t="s">
        <v>1</v>
      </c>
      <c r="F58" s="32" t="e">
        <f>E58-2</f>
        <v>#VALUE!</v>
      </c>
      <c r="G58" s="32" t="s">
        <v>1</v>
      </c>
      <c r="H58" s="7" t="s">
        <v>1</v>
      </c>
      <c r="I58" s="32">
        <v>0</v>
      </c>
      <c r="J58" s="31" t="str">
        <f t="shared" si="1"/>
        <v/>
      </c>
      <c r="K58" s="31" t="str">
        <f>IFERROR(E58/#REF!,"")</f>
        <v/>
      </c>
      <c r="L58" s="127">
        <v>91884</v>
      </c>
      <c r="M58" s="32" t="s">
        <v>72</v>
      </c>
      <c r="N58" s="32" t="s">
        <v>1</v>
      </c>
      <c r="O58" s="32">
        <v>5.4</v>
      </c>
      <c r="P58" s="32" t="s">
        <v>1</v>
      </c>
      <c r="Q58" s="31" t="e">
        <f t="shared" si="2"/>
        <v>#VALUE!</v>
      </c>
      <c r="R58" s="32" t="s">
        <v>1</v>
      </c>
      <c r="S58" s="32" t="s">
        <v>1</v>
      </c>
      <c r="T58" s="32" t="s">
        <v>1</v>
      </c>
      <c r="U58" s="32" t="s">
        <v>1</v>
      </c>
      <c r="V58" s="7" t="s">
        <v>1</v>
      </c>
      <c r="W58" s="7" t="s">
        <v>72</v>
      </c>
      <c r="X58" s="7" t="s">
        <v>1</v>
      </c>
      <c r="Y58" s="7" t="s">
        <v>72</v>
      </c>
      <c r="Z58" s="7" t="s">
        <v>1</v>
      </c>
      <c r="AA58" s="30" t="s">
        <v>72</v>
      </c>
      <c r="AB58" s="7" t="s">
        <v>1</v>
      </c>
      <c r="AC58" s="7" t="s">
        <v>72</v>
      </c>
      <c r="AD58" s="7" t="s">
        <v>1</v>
      </c>
      <c r="AE58" s="7" t="s">
        <v>72</v>
      </c>
      <c r="AF58" s="7" t="s">
        <v>1</v>
      </c>
      <c r="AG58" s="7" t="s">
        <v>72</v>
      </c>
      <c r="AH58" s="127">
        <v>3018</v>
      </c>
      <c r="AI58" s="7" t="s">
        <v>72</v>
      </c>
      <c r="AJ58" s="7">
        <v>432</v>
      </c>
      <c r="AK58" s="7" t="s">
        <v>72</v>
      </c>
      <c r="AL58" s="7">
        <v>71</v>
      </c>
      <c r="AM58" s="7" t="s">
        <v>72</v>
      </c>
      <c r="AN58" s="127">
        <v>2340</v>
      </c>
      <c r="AO58" s="7" t="s">
        <v>72</v>
      </c>
      <c r="AP58" s="127">
        <v>1743</v>
      </c>
      <c r="AQ58" s="7" t="s">
        <v>72</v>
      </c>
      <c r="AR58" s="7">
        <v>302</v>
      </c>
      <c r="AS58" s="7" t="s">
        <v>72</v>
      </c>
      <c r="AT58" s="314" t="s">
        <v>1</v>
      </c>
      <c r="AU58" s="32" t="s">
        <v>1</v>
      </c>
      <c r="AV58" s="317">
        <v>247</v>
      </c>
      <c r="AW58" s="32" t="s">
        <v>1</v>
      </c>
      <c r="AX58" s="31">
        <v>0.0450236966824645</v>
      </c>
      <c r="AY58" s="314" t="s">
        <v>1</v>
      </c>
      <c r="AZ58" s="317" t="s">
        <v>111</v>
      </c>
      <c r="BA58" s="32" t="s">
        <v>1</v>
      </c>
      <c r="BB58" s="31">
        <v>0.0931174089068826</v>
      </c>
      <c r="BC58" s="314" t="s">
        <v>1</v>
      </c>
      <c r="BD58" s="314" t="s">
        <v>1</v>
      </c>
      <c r="BE58" s="32" t="s">
        <v>1</v>
      </c>
      <c r="BF58" s="32" t="s">
        <v>1</v>
      </c>
      <c r="BG58" s="314" t="s">
        <v>1</v>
      </c>
      <c r="BH58" s="314" t="s">
        <v>1</v>
      </c>
      <c r="BI58" s="7" t="s">
        <v>94</v>
      </c>
      <c r="BJ58" s="7">
        <v>25</v>
      </c>
      <c r="BK58" s="7">
        <v>2601</v>
      </c>
      <c r="BL58" s="7" t="s">
        <v>72</v>
      </c>
      <c r="BM58" s="7" t="s">
        <v>74</v>
      </c>
      <c r="BN58" s="7">
        <v>138</v>
      </c>
      <c r="BO58" s="7">
        <v>1032</v>
      </c>
      <c r="BP58" s="7" t="s">
        <v>72</v>
      </c>
      <c r="BQ58" s="7" t="s">
        <v>1</v>
      </c>
      <c r="BR58" s="7" t="s">
        <v>1</v>
      </c>
      <c r="BS58" s="7" t="s">
        <v>1</v>
      </c>
      <c r="BT58" s="7" t="s">
        <v>1</v>
      </c>
      <c r="BU58" s="7" t="s">
        <v>1</v>
      </c>
      <c r="BV58" s="118" t="s">
        <v>1</v>
      </c>
      <c r="BW58" s="118" t="s">
        <v>1</v>
      </c>
      <c r="BX58" s="118" t="s">
        <v>1</v>
      </c>
      <c r="BY58" s="118" t="s">
        <v>1</v>
      </c>
      <c r="BZ58" s="312" t="s">
        <v>1</v>
      </c>
      <c r="CA58" s="118" t="s">
        <v>1</v>
      </c>
      <c r="CB58" s="307" t="s">
        <v>1</v>
      </c>
      <c r="CC58" s="118" t="s">
        <v>1</v>
      </c>
      <c r="CD58" s="308" t="s">
        <v>1</v>
      </c>
      <c r="CE58" s="118" t="s">
        <v>1</v>
      </c>
      <c r="CF58" s="7" t="s">
        <v>1</v>
      </c>
    </row>
    <row r="59" ht="27" customHeight="1" spans="1:84">
      <c r="A59" s="29">
        <v>45162</v>
      </c>
      <c r="B59" s="32" t="s">
        <v>100</v>
      </c>
      <c r="C59" s="7" t="s">
        <v>71</v>
      </c>
      <c r="D59" s="30" t="s">
        <v>1</v>
      </c>
      <c r="E59" s="30" t="s">
        <v>1</v>
      </c>
      <c r="F59" s="32" t="e">
        <f>E59-0.5</f>
        <v>#VALUE!</v>
      </c>
      <c r="G59" s="32" t="s">
        <v>1</v>
      </c>
      <c r="H59" s="7" t="s">
        <v>1</v>
      </c>
      <c r="I59" s="32">
        <v>33</v>
      </c>
      <c r="J59" s="31" t="str">
        <f t="shared" si="1"/>
        <v/>
      </c>
      <c r="K59" s="31" t="str">
        <f>IFERROR(E59/#REF!,"")</f>
        <v/>
      </c>
      <c r="L59" s="127">
        <v>100601</v>
      </c>
      <c r="M59" s="32" t="s">
        <v>72</v>
      </c>
      <c r="N59" s="32" t="s">
        <v>1</v>
      </c>
      <c r="O59" s="32">
        <v>4.2</v>
      </c>
      <c r="P59" s="32" t="s">
        <v>1</v>
      </c>
      <c r="Q59" s="31" t="e">
        <f t="shared" si="2"/>
        <v>#VALUE!</v>
      </c>
      <c r="R59" s="32" t="s">
        <v>1</v>
      </c>
      <c r="S59" s="32" t="s">
        <v>1</v>
      </c>
      <c r="T59" s="32" t="s">
        <v>1</v>
      </c>
      <c r="U59" s="32" t="s">
        <v>1</v>
      </c>
      <c r="V59" s="7" t="s">
        <v>1</v>
      </c>
      <c r="W59" s="7" t="s">
        <v>72</v>
      </c>
      <c r="X59" s="7" t="s">
        <v>1</v>
      </c>
      <c r="Y59" s="7" t="s">
        <v>72</v>
      </c>
      <c r="Z59" s="7" t="s">
        <v>1</v>
      </c>
      <c r="AA59" s="30" t="s">
        <v>72</v>
      </c>
      <c r="AB59" s="7" t="s">
        <v>1</v>
      </c>
      <c r="AC59" s="7" t="s">
        <v>72</v>
      </c>
      <c r="AD59" s="7" t="s">
        <v>1</v>
      </c>
      <c r="AE59" s="7" t="s">
        <v>72</v>
      </c>
      <c r="AF59" s="7" t="s">
        <v>1</v>
      </c>
      <c r="AG59" s="7" t="s">
        <v>72</v>
      </c>
      <c r="AH59" s="127">
        <v>2871</v>
      </c>
      <c r="AI59" s="7" t="s">
        <v>72</v>
      </c>
      <c r="AJ59" s="7">
        <v>881</v>
      </c>
      <c r="AK59" s="7" t="s">
        <v>72</v>
      </c>
      <c r="AL59" s="7">
        <v>62</v>
      </c>
      <c r="AM59" s="7" t="s">
        <v>72</v>
      </c>
      <c r="AN59" s="127">
        <v>1692</v>
      </c>
      <c r="AO59" s="7" t="s">
        <v>72</v>
      </c>
      <c r="AP59" s="127">
        <v>1565</v>
      </c>
      <c r="AQ59" s="7" t="s">
        <v>72</v>
      </c>
      <c r="AR59" s="7">
        <v>291</v>
      </c>
      <c r="AS59" s="7" t="s">
        <v>72</v>
      </c>
      <c r="AT59" s="314" t="s">
        <v>1</v>
      </c>
      <c r="AU59" s="32" t="s">
        <v>1</v>
      </c>
      <c r="AV59" s="317">
        <v>196</v>
      </c>
      <c r="AW59" s="32" t="s">
        <v>1</v>
      </c>
      <c r="AX59" s="31">
        <v>0.0397807996752588</v>
      </c>
      <c r="AY59" s="314" t="s">
        <v>1</v>
      </c>
      <c r="AZ59" s="317" t="s">
        <v>112</v>
      </c>
      <c r="BA59" s="32" t="s">
        <v>1</v>
      </c>
      <c r="BB59" s="31">
        <v>0.0714285714285714</v>
      </c>
      <c r="BC59" s="314" t="s">
        <v>1</v>
      </c>
      <c r="BD59" s="314" t="s">
        <v>1</v>
      </c>
      <c r="BE59" s="32" t="s">
        <v>1</v>
      </c>
      <c r="BF59" s="32" t="s">
        <v>1</v>
      </c>
      <c r="BG59" s="314" t="s">
        <v>1</v>
      </c>
      <c r="BH59" s="314" t="s">
        <v>1</v>
      </c>
      <c r="BI59" s="7" t="s">
        <v>94</v>
      </c>
      <c r="BJ59" s="7">
        <v>25</v>
      </c>
      <c r="BK59" s="7">
        <v>2673</v>
      </c>
      <c r="BL59" s="7" t="s">
        <v>72</v>
      </c>
      <c r="BM59" s="7" t="s">
        <v>74</v>
      </c>
      <c r="BN59" s="7">
        <v>140</v>
      </c>
      <c r="BO59" s="7">
        <v>932</v>
      </c>
      <c r="BP59" s="7" t="s">
        <v>72</v>
      </c>
      <c r="BQ59" s="7" t="s">
        <v>1</v>
      </c>
      <c r="BR59" s="7" t="s">
        <v>1</v>
      </c>
      <c r="BS59" s="7" t="s">
        <v>1</v>
      </c>
      <c r="BT59" s="7" t="s">
        <v>1</v>
      </c>
      <c r="BU59" s="7" t="s">
        <v>1</v>
      </c>
      <c r="BV59" s="118" t="s">
        <v>1</v>
      </c>
      <c r="BW59" s="118" t="s">
        <v>1</v>
      </c>
      <c r="BX59" s="118" t="s">
        <v>1</v>
      </c>
      <c r="BY59" s="118" t="s">
        <v>1</v>
      </c>
      <c r="BZ59" s="312" t="s">
        <v>1</v>
      </c>
      <c r="CA59" s="118" t="s">
        <v>1</v>
      </c>
      <c r="CB59" s="307" t="s">
        <v>1</v>
      </c>
      <c r="CC59" s="118" t="s">
        <v>1</v>
      </c>
      <c r="CD59" s="308" t="s">
        <v>1</v>
      </c>
      <c r="CE59" s="118" t="s">
        <v>1</v>
      </c>
      <c r="CF59" s="7" t="s">
        <v>1</v>
      </c>
    </row>
    <row r="60" ht="27" customHeight="1" spans="1:84">
      <c r="A60" s="29">
        <v>45163</v>
      </c>
      <c r="B60" s="32" t="s">
        <v>100</v>
      </c>
      <c r="C60" s="7" t="s">
        <v>71</v>
      </c>
      <c r="D60" s="30" t="s">
        <v>1</v>
      </c>
      <c r="E60" s="30" t="s">
        <v>1</v>
      </c>
      <c r="F60" s="32" t="e">
        <f>E60-1</f>
        <v>#VALUE!</v>
      </c>
      <c r="G60" s="32" t="s">
        <v>1</v>
      </c>
      <c r="H60" s="7" t="s">
        <v>1</v>
      </c>
      <c r="I60" s="32">
        <v>17</v>
      </c>
      <c r="J60" s="31" t="str">
        <f t="shared" si="1"/>
        <v/>
      </c>
      <c r="K60" s="31" t="str">
        <f>IFERROR(E60/#REF!,"")</f>
        <v/>
      </c>
      <c r="L60" s="127">
        <v>138363</v>
      </c>
      <c r="M60" s="32" t="s">
        <v>72</v>
      </c>
      <c r="N60" s="32" t="s">
        <v>1</v>
      </c>
      <c r="O60" s="32">
        <v>5.12</v>
      </c>
      <c r="P60" s="32" t="s">
        <v>1</v>
      </c>
      <c r="Q60" s="31" t="e">
        <f t="shared" si="2"/>
        <v>#VALUE!</v>
      </c>
      <c r="R60" s="32" t="s">
        <v>1</v>
      </c>
      <c r="S60" s="32" t="s">
        <v>1</v>
      </c>
      <c r="T60" s="32" t="s">
        <v>1</v>
      </c>
      <c r="U60" s="32" t="s">
        <v>1</v>
      </c>
      <c r="V60" s="7" t="s">
        <v>1</v>
      </c>
      <c r="W60" s="7" t="s">
        <v>72</v>
      </c>
      <c r="X60" s="7" t="s">
        <v>1</v>
      </c>
      <c r="Y60" s="7" t="s">
        <v>72</v>
      </c>
      <c r="Z60" s="7" t="s">
        <v>1</v>
      </c>
      <c r="AA60" s="30" t="s">
        <v>72</v>
      </c>
      <c r="AB60" s="7" t="s">
        <v>1</v>
      </c>
      <c r="AC60" s="7" t="s">
        <v>72</v>
      </c>
      <c r="AD60" s="7" t="s">
        <v>1</v>
      </c>
      <c r="AE60" s="7" t="s">
        <v>72</v>
      </c>
      <c r="AF60" s="7" t="s">
        <v>1</v>
      </c>
      <c r="AG60" s="7" t="s">
        <v>72</v>
      </c>
      <c r="AH60" s="127">
        <v>2741</v>
      </c>
      <c r="AI60" s="7" t="s">
        <v>72</v>
      </c>
      <c r="AJ60" s="7">
        <v>1031</v>
      </c>
      <c r="AK60" s="7" t="s">
        <v>72</v>
      </c>
      <c r="AL60" s="7">
        <v>60</v>
      </c>
      <c r="AM60" s="7" t="s">
        <v>72</v>
      </c>
      <c r="AN60" s="127">
        <v>1721</v>
      </c>
      <c r="AO60" s="7" t="s">
        <v>72</v>
      </c>
      <c r="AP60" s="127">
        <v>1604</v>
      </c>
      <c r="AQ60" s="7" t="s">
        <v>72</v>
      </c>
      <c r="AR60" s="7">
        <v>289</v>
      </c>
      <c r="AS60" s="7" t="s">
        <v>72</v>
      </c>
      <c r="AT60" s="314" t="s">
        <v>1</v>
      </c>
      <c r="AU60" s="32" t="s">
        <v>1</v>
      </c>
      <c r="AV60" s="317" t="s">
        <v>113</v>
      </c>
      <c r="AW60" s="32" t="s">
        <v>1</v>
      </c>
      <c r="AX60" s="31">
        <v>0.0420861860652437</v>
      </c>
      <c r="AY60" s="314" t="s">
        <v>1</v>
      </c>
      <c r="AZ60" s="317" t="s">
        <v>114</v>
      </c>
      <c r="BA60" s="32" t="s">
        <v>1</v>
      </c>
      <c r="BB60" s="31">
        <v>0.0956937799043062</v>
      </c>
      <c r="BC60" s="314" t="s">
        <v>1</v>
      </c>
      <c r="BD60" s="314" t="s">
        <v>1</v>
      </c>
      <c r="BE60" s="32" t="s">
        <v>1</v>
      </c>
      <c r="BF60" s="32" t="s">
        <v>1</v>
      </c>
      <c r="BG60" s="314" t="s">
        <v>1</v>
      </c>
      <c r="BH60" s="314" t="s">
        <v>1</v>
      </c>
      <c r="BI60" s="7" t="s">
        <v>94</v>
      </c>
      <c r="BJ60" s="7">
        <v>26</v>
      </c>
      <c r="BK60" s="7">
        <v>2787</v>
      </c>
      <c r="BL60" s="7" t="s">
        <v>72</v>
      </c>
      <c r="BM60" s="7" t="s">
        <v>74</v>
      </c>
      <c r="BN60" s="7">
        <v>139</v>
      </c>
      <c r="BO60" s="7">
        <v>948</v>
      </c>
      <c r="BP60" s="7" t="s">
        <v>72</v>
      </c>
      <c r="BQ60" s="7" t="s">
        <v>1</v>
      </c>
      <c r="BR60" s="7" t="s">
        <v>1</v>
      </c>
      <c r="BS60" s="7" t="s">
        <v>1</v>
      </c>
      <c r="BT60" s="7" t="s">
        <v>1</v>
      </c>
      <c r="BU60" s="7" t="s">
        <v>1</v>
      </c>
      <c r="BV60" s="118" t="s">
        <v>1</v>
      </c>
      <c r="BW60" s="118" t="s">
        <v>1</v>
      </c>
      <c r="BX60" s="118" t="s">
        <v>1</v>
      </c>
      <c r="BY60" s="118" t="s">
        <v>1</v>
      </c>
      <c r="BZ60" s="312" t="s">
        <v>1</v>
      </c>
      <c r="CA60" s="118" t="s">
        <v>1</v>
      </c>
      <c r="CB60" s="307" t="s">
        <v>1</v>
      </c>
      <c r="CC60" s="118" t="s">
        <v>1</v>
      </c>
      <c r="CD60" s="308" t="s">
        <v>1</v>
      </c>
      <c r="CE60" s="118" t="s">
        <v>1</v>
      </c>
      <c r="CF60" s="7" t="s">
        <v>1</v>
      </c>
    </row>
    <row r="61" ht="27" customHeight="1" spans="1:84">
      <c r="A61" s="29">
        <v>45164</v>
      </c>
      <c r="B61" s="32" t="s">
        <v>100</v>
      </c>
      <c r="C61" s="7" t="s">
        <v>71</v>
      </c>
      <c r="D61" s="30" t="s">
        <v>1</v>
      </c>
      <c r="E61" s="30" t="s">
        <v>1</v>
      </c>
      <c r="F61" s="32" t="str">
        <f t="shared" ref="F61:F124" si="3">E61</f>
        <v/>
      </c>
      <c r="G61" s="32" t="s">
        <v>1</v>
      </c>
      <c r="H61" s="7" t="s">
        <v>1</v>
      </c>
      <c r="I61" s="32">
        <v>9</v>
      </c>
      <c r="J61" s="31" t="str">
        <f t="shared" si="1"/>
        <v/>
      </c>
      <c r="K61" s="31" t="str">
        <f>IFERROR(E61/#REF!,"")</f>
        <v/>
      </c>
      <c r="L61" s="127">
        <v>112689</v>
      </c>
      <c r="M61" s="32" t="s">
        <v>72</v>
      </c>
      <c r="N61" s="32" t="s">
        <v>1</v>
      </c>
      <c r="O61" s="32">
        <v>3.93</v>
      </c>
      <c r="P61" s="32" t="s">
        <v>1</v>
      </c>
      <c r="Q61" s="31" t="e">
        <f t="shared" si="2"/>
        <v>#VALUE!</v>
      </c>
      <c r="R61" s="32" t="s">
        <v>1</v>
      </c>
      <c r="S61" s="32" t="s">
        <v>1</v>
      </c>
      <c r="T61" s="32" t="s">
        <v>1</v>
      </c>
      <c r="U61" s="32" t="s">
        <v>1</v>
      </c>
      <c r="V61" s="7" t="s">
        <v>1</v>
      </c>
      <c r="W61" s="7" t="s">
        <v>72</v>
      </c>
      <c r="X61" s="7" t="s">
        <v>1</v>
      </c>
      <c r="Y61" s="7" t="s">
        <v>72</v>
      </c>
      <c r="Z61" s="7" t="s">
        <v>1</v>
      </c>
      <c r="AA61" s="30" t="s">
        <v>72</v>
      </c>
      <c r="AB61" s="7" t="s">
        <v>1</v>
      </c>
      <c r="AC61" s="7" t="s">
        <v>72</v>
      </c>
      <c r="AD61" s="7" t="s">
        <v>1</v>
      </c>
      <c r="AE61" s="7" t="s">
        <v>72</v>
      </c>
      <c r="AF61" s="7" t="s">
        <v>1</v>
      </c>
      <c r="AG61" s="7" t="s">
        <v>72</v>
      </c>
      <c r="AH61" s="127">
        <v>2906</v>
      </c>
      <c r="AI61" s="7" t="s">
        <v>72</v>
      </c>
      <c r="AJ61" s="7">
        <v>906</v>
      </c>
      <c r="AK61" s="7" t="s">
        <v>72</v>
      </c>
      <c r="AL61" s="7">
        <v>88</v>
      </c>
      <c r="AM61" s="7" t="s">
        <v>72</v>
      </c>
      <c r="AN61" s="127">
        <v>1993</v>
      </c>
      <c r="AO61" s="7" t="s">
        <v>72</v>
      </c>
      <c r="AP61" s="127">
        <v>1711</v>
      </c>
      <c r="AQ61" s="7" t="s">
        <v>72</v>
      </c>
      <c r="AR61" s="7">
        <v>293</v>
      </c>
      <c r="AS61" s="7" t="s">
        <v>72</v>
      </c>
      <c r="AT61" s="314" t="s">
        <v>1</v>
      </c>
      <c r="AU61" s="32" t="s">
        <v>1</v>
      </c>
      <c r="AV61" s="317" t="s">
        <v>115</v>
      </c>
      <c r="AW61" s="32" t="s">
        <v>1</v>
      </c>
      <c r="AX61" s="31">
        <v>0.0440134278254383</v>
      </c>
      <c r="AY61" s="314" t="s">
        <v>1</v>
      </c>
      <c r="AZ61" s="317" t="s">
        <v>112</v>
      </c>
      <c r="BA61" s="32" t="s">
        <v>1</v>
      </c>
      <c r="BB61" s="31">
        <v>0.0593220338983051</v>
      </c>
      <c r="BC61" s="314" t="s">
        <v>1</v>
      </c>
      <c r="BD61" s="314" t="s">
        <v>1</v>
      </c>
      <c r="BE61" s="32" t="s">
        <v>1</v>
      </c>
      <c r="BF61" s="32" t="s">
        <v>1</v>
      </c>
      <c r="BG61" s="314" t="s">
        <v>1</v>
      </c>
      <c r="BH61" s="314" t="s">
        <v>1</v>
      </c>
      <c r="BI61" s="7" t="s">
        <v>94</v>
      </c>
      <c r="BJ61" s="7">
        <v>28</v>
      </c>
      <c r="BK61" s="127">
        <v>2685</v>
      </c>
      <c r="BL61" s="7" t="s">
        <v>72</v>
      </c>
      <c r="BM61" s="7" t="s">
        <v>74</v>
      </c>
      <c r="BN61" s="7">
        <v>155</v>
      </c>
      <c r="BO61" s="7">
        <v>949</v>
      </c>
      <c r="BP61" s="7" t="s">
        <v>72</v>
      </c>
      <c r="BQ61" s="7" t="s">
        <v>1</v>
      </c>
      <c r="BR61" s="7" t="s">
        <v>1</v>
      </c>
      <c r="BS61" s="7" t="s">
        <v>1</v>
      </c>
      <c r="BT61" s="7" t="s">
        <v>1</v>
      </c>
      <c r="BU61" s="7" t="s">
        <v>1</v>
      </c>
      <c r="BV61" s="118" t="s">
        <v>1</v>
      </c>
      <c r="BW61" s="118" t="s">
        <v>1</v>
      </c>
      <c r="BX61" s="118" t="s">
        <v>1</v>
      </c>
      <c r="BY61" s="118" t="s">
        <v>1</v>
      </c>
      <c r="BZ61" s="312" t="s">
        <v>1</v>
      </c>
      <c r="CA61" s="118" t="s">
        <v>1</v>
      </c>
      <c r="CB61" s="307" t="s">
        <v>1</v>
      </c>
      <c r="CC61" s="118" t="s">
        <v>1</v>
      </c>
      <c r="CD61" s="308" t="s">
        <v>1</v>
      </c>
      <c r="CE61" s="118" t="s">
        <v>1</v>
      </c>
      <c r="CF61" s="7" t="s">
        <v>1</v>
      </c>
    </row>
    <row r="62" ht="27" customHeight="1" spans="1:84">
      <c r="A62" s="29">
        <v>45165</v>
      </c>
      <c r="B62" s="32" t="s">
        <v>100</v>
      </c>
      <c r="C62" s="7" t="s">
        <v>71</v>
      </c>
      <c r="D62" s="30" t="s">
        <v>1</v>
      </c>
      <c r="E62" s="30" t="s">
        <v>1</v>
      </c>
      <c r="F62" s="32" t="str">
        <f t="shared" si="3"/>
        <v/>
      </c>
      <c r="G62" s="32" t="s">
        <v>1</v>
      </c>
      <c r="H62" s="7" t="s">
        <v>1</v>
      </c>
      <c r="I62" s="32">
        <v>10</v>
      </c>
      <c r="J62" s="31" t="str">
        <f t="shared" si="1"/>
        <v/>
      </c>
      <c r="K62" s="31" t="str">
        <f>IFERROR(E62/#REF!,"")</f>
        <v/>
      </c>
      <c r="L62" s="127">
        <v>123727</v>
      </c>
      <c r="M62" s="32" t="s">
        <v>72</v>
      </c>
      <c r="N62" s="32" t="s">
        <v>1</v>
      </c>
      <c r="O62" s="32">
        <v>6.13</v>
      </c>
      <c r="P62" s="32" t="s">
        <v>1</v>
      </c>
      <c r="Q62" s="31" t="e">
        <f t="shared" si="2"/>
        <v>#VALUE!</v>
      </c>
      <c r="R62" s="32" t="s">
        <v>1</v>
      </c>
      <c r="S62" s="32" t="s">
        <v>1</v>
      </c>
      <c r="T62" s="32" t="s">
        <v>1</v>
      </c>
      <c r="U62" s="32" t="s">
        <v>1</v>
      </c>
      <c r="V62" s="7" t="s">
        <v>1</v>
      </c>
      <c r="W62" s="7" t="s">
        <v>72</v>
      </c>
      <c r="X62" s="7" t="s">
        <v>1</v>
      </c>
      <c r="Y62" s="7" t="s">
        <v>72</v>
      </c>
      <c r="Z62" s="7" t="s">
        <v>1</v>
      </c>
      <c r="AA62" s="30" t="s">
        <v>72</v>
      </c>
      <c r="AB62" s="7" t="s">
        <v>1</v>
      </c>
      <c r="AC62" s="7" t="s">
        <v>72</v>
      </c>
      <c r="AD62" s="7" t="s">
        <v>1</v>
      </c>
      <c r="AE62" s="7" t="s">
        <v>72</v>
      </c>
      <c r="AF62" s="7" t="s">
        <v>1</v>
      </c>
      <c r="AG62" s="7" t="s">
        <v>72</v>
      </c>
      <c r="AH62" s="127">
        <v>3009</v>
      </c>
      <c r="AI62" s="7" t="s">
        <v>72</v>
      </c>
      <c r="AJ62" s="7">
        <v>367</v>
      </c>
      <c r="AK62" s="7" t="s">
        <v>72</v>
      </c>
      <c r="AL62" s="7">
        <v>93</v>
      </c>
      <c r="AM62" s="7" t="s">
        <v>72</v>
      </c>
      <c r="AN62" s="127">
        <v>1974</v>
      </c>
      <c r="AO62" s="7" t="s">
        <v>72</v>
      </c>
      <c r="AP62" s="127">
        <v>1797</v>
      </c>
      <c r="AQ62" s="7" t="s">
        <v>72</v>
      </c>
      <c r="AR62" s="7">
        <v>325</v>
      </c>
      <c r="AS62" s="7" t="s">
        <v>72</v>
      </c>
      <c r="AT62" s="314" t="s">
        <v>1</v>
      </c>
      <c r="AU62" s="32" t="s">
        <v>1</v>
      </c>
      <c r="AV62" s="317" t="s">
        <v>116</v>
      </c>
      <c r="AW62" s="32" t="s">
        <v>1</v>
      </c>
      <c r="AX62" s="31">
        <v>0.0429855412270418</v>
      </c>
      <c r="AY62" s="314" t="s">
        <v>1</v>
      </c>
      <c r="AZ62" s="317" t="s">
        <v>117</v>
      </c>
      <c r="BA62" s="32" t="s">
        <v>1</v>
      </c>
      <c r="BB62" s="31">
        <v>0.0772727272727273</v>
      </c>
      <c r="BC62" s="314" t="s">
        <v>1</v>
      </c>
      <c r="BD62" s="314" t="s">
        <v>1</v>
      </c>
      <c r="BE62" s="32" t="s">
        <v>1</v>
      </c>
      <c r="BF62" s="32" t="s">
        <v>1</v>
      </c>
      <c r="BG62" s="314" t="s">
        <v>1</v>
      </c>
      <c r="BH62" s="314" t="s">
        <v>1</v>
      </c>
      <c r="BI62" s="7" t="s">
        <v>94</v>
      </c>
      <c r="BJ62" s="7">
        <v>27</v>
      </c>
      <c r="BK62" s="127">
        <v>2604</v>
      </c>
      <c r="BL62" s="7" t="s">
        <v>72</v>
      </c>
      <c r="BM62" s="7" t="s">
        <v>74</v>
      </c>
      <c r="BN62" s="7">
        <v>164</v>
      </c>
      <c r="BO62" s="7">
        <v>1011</v>
      </c>
      <c r="BP62" s="7" t="s">
        <v>72</v>
      </c>
      <c r="BQ62" s="7" t="s">
        <v>1</v>
      </c>
      <c r="BR62" s="7" t="s">
        <v>1</v>
      </c>
      <c r="BS62" s="7" t="s">
        <v>1</v>
      </c>
      <c r="BT62" s="7" t="s">
        <v>1</v>
      </c>
      <c r="BU62" s="7" t="s">
        <v>1</v>
      </c>
      <c r="BV62" s="118" t="s">
        <v>1</v>
      </c>
      <c r="BW62" s="118" t="s">
        <v>1</v>
      </c>
      <c r="BX62" s="118" t="s">
        <v>1</v>
      </c>
      <c r="BY62" s="118" t="s">
        <v>1</v>
      </c>
      <c r="BZ62" s="312" t="s">
        <v>1</v>
      </c>
      <c r="CA62" s="118" t="s">
        <v>1</v>
      </c>
      <c r="CB62" s="307" t="s">
        <v>1</v>
      </c>
      <c r="CC62" s="118" t="s">
        <v>1</v>
      </c>
      <c r="CD62" s="308" t="s">
        <v>1</v>
      </c>
      <c r="CE62" s="118" t="s">
        <v>1</v>
      </c>
      <c r="CF62" s="7" t="s">
        <v>1</v>
      </c>
    </row>
    <row r="63" ht="27" customHeight="1" spans="1:84">
      <c r="A63" s="29">
        <v>45166</v>
      </c>
      <c r="B63" s="32" t="s">
        <v>100</v>
      </c>
      <c r="C63" s="7" t="s">
        <v>71</v>
      </c>
      <c r="D63" s="30" t="s">
        <v>1</v>
      </c>
      <c r="E63" s="30" t="s">
        <v>1</v>
      </c>
      <c r="F63" s="32" t="str">
        <f t="shared" si="3"/>
        <v/>
      </c>
      <c r="G63" s="32" t="s">
        <v>1</v>
      </c>
      <c r="H63" s="7" t="s">
        <v>1</v>
      </c>
      <c r="I63" s="32">
        <v>11</v>
      </c>
      <c r="J63" s="31" t="str">
        <f t="shared" si="1"/>
        <v/>
      </c>
      <c r="K63" s="31" t="str">
        <f>IFERROR(E63/#REF!,"")</f>
        <v/>
      </c>
      <c r="L63" s="127">
        <v>112425</v>
      </c>
      <c r="M63" s="32" t="s">
        <v>72</v>
      </c>
      <c r="N63" s="32" t="s">
        <v>1</v>
      </c>
      <c r="O63" s="32">
        <v>5.53</v>
      </c>
      <c r="P63" s="32" t="s">
        <v>1</v>
      </c>
      <c r="Q63" s="31" t="e">
        <f t="shared" si="2"/>
        <v>#VALUE!</v>
      </c>
      <c r="R63" s="32" t="s">
        <v>1</v>
      </c>
      <c r="S63" s="32" t="s">
        <v>1</v>
      </c>
      <c r="T63" s="32" t="s">
        <v>1</v>
      </c>
      <c r="U63" s="32" t="s">
        <v>1</v>
      </c>
      <c r="V63" s="7" t="s">
        <v>1</v>
      </c>
      <c r="W63" s="7" t="s">
        <v>72</v>
      </c>
      <c r="X63" s="7" t="s">
        <v>1</v>
      </c>
      <c r="Y63" s="7" t="s">
        <v>72</v>
      </c>
      <c r="Z63" s="7" t="s">
        <v>1</v>
      </c>
      <c r="AA63" s="30" t="s">
        <v>72</v>
      </c>
      <c r="AB63" s="7" t="s">
        <v>1</v>
      </c>
      <c r="AC63" s="7" t="s">
        <v>72</v>
      </c>
      <c r="AD63" s="7" t="s">
        <v>1</v>
      </c>
      <c r="AE63" s="7" t="s">
        <v>72</v>
      </c>
      <c r="AF63" s="7" t="s">
        <v>1</v>
      </c>
      <c r="AG63" s="7" t="s">
        <v>72</v>
      </c>
      <c r="AH63" s="127">
        <v>2984</v>
      </c>
      <c r="AI63" s="7" t="s">
        <v>72</v>
      </c>
      <c r="AJ63" s="7">
        <v>646</v>
      </c>
      <c r="AK63" s="7" t="s">
        <v>72</v>
      </c>
      <c r="AL63" s="7">
        <v>97</v>
      </c>
      <c r="AM63" s="7" t="s">
        <v>72</v>
      </c>
      <c r="AN63" s="127">
        <v>1854</v>
      </c>
      <c r="AO63" s="7" t="s">
        <v>72</v>
      </c>
      <c r="AP63" s="127">
        <v>1694</v>
      </c>
      <c r="AQ63" s="7" t="s">
        <v>72</v>
      </c>
      <c r="AR63" s="7">
        <v>320</v>
      </c>
      <c r="AS63" s="7" t="s">
        <v>72</v>
      </c>
      <c r="AT63" s="314" t="s">
        <v>1</v>
      </c>
      <c r="AU63" s="32" t="s">
        <v>1</v>
      </c>
      <c r="AV63" s="317" t="s">
        <v>118</v>
      </c>
      <c r="AW63" s="32" t="s">
        <v>1</v>
      </c>
      <c r="AX63" s="31">
        <v>0.0402958925442865</v>
      </c>
      <c r="AY63" s="314" t="s">
        <v>1</v>
      </c>
      <c r="AZ63" s="317" t="s">
        <v>119</v>
      </c>
      <c r="BA63" s="32" t="s">
        <v>1</v>
      </c>
      <c r="BB63" s="31">
        <v>0.0579710144927536</v>
      </c>
      <c r="BC63" s="314" t="s">
        <v>1</v>
      </c>
      <c r="BD63" s="314" t="s">
        <v>1</v>
      </c>
      <c r="BE63" s="32" t="s">
        <v>1</v>
      </c>
      <c r="BF63" s="32" t="s">
        <v>1</v>
      </c>
      <c r="BG63" s="314" t="s">
        <v>1</v>
      </c>
      <c r="BH63" s="314" t="s">
        <v>1</v>
      </c>
      <c r="BI63" s="7" t="s">
        <v>94</v>
      </c>
      <c r="BJ63" s="7">
        <v>27</v>
      </c>
      <c r="BK63" s="127">
        <v>2310</v>
      </c>
      <c r="BL63" s="7" t="s">
        <v>72</v>
      </c>
      <c r="BM63" s="7" t="s">
        <v>74</v>
      </c>
      <c r="BN63" s="7">
        <v>171</v>
      </c>
      <c r="BO63" s="7">
        <v>899</v>
      </c>
      <c r="BP63" s="7" t="s">
        <v>72</v>
      </c>
      <c r="BQ63" s="7" t="s">
        <v>1</v>
      </c>
      <c r="BR63" s="7" t="s">
        <v>1</v>
      </c>
      <c r="BS63" s="7" t="s">
        <v>1</v>
      </c>
      <c r="BT63" s="7" t="s">
        <v>1</v>
      </c>
      <c r="BU63" s="7" t="s">
        <v>1</v>
      </c>
      <c r="BV63" s="118" t="s">
        <v>1</v>
      </c>
      <c r="BW63" s="118" t="s">
        <v>1</v>
      </c>
      <c r="BX63" s="118" t="s">
        <v>1</v>
      </c>
      <c r="BY63" s="118" t="s">
        <v>1</v>
      </c>
      <c r="BZ63" s="312" t="s">
        <v>1</v>
      </c>
      <c r="CA63" s="118" t="s">
        <v>1</v>
      </c>
      <c r="CB63" s="307" t="s">
        <v>1</v>
      </c>
      <c r="CC63" s="118" t="s">
        <v>1</v>
      </c>
      <c r="CD63" s="308" t="s">
        <v>1</v>
      </c>
      <c r="CE63" s="118" t="s">
        <v>1</v>
      </c>
      <c r="CF63" s="7" t="s">
        <v>1</v>
      </c>
    </row>
    <row r="64" ht="27" customHeight="1" spans="1:84">
      <c r="A64" s="29">
        <v>45167</v>
      </c>
      <c r="B64" s="315" t="s">
        <v>89</v>
      </c>
      <c r="C64" s="7" t="s">
        <v>71</v>
      </c>
      <c r="D64" s="30" t="s">
        <v>1</v>
      </c>
      <c r="E64" s="30" t="s">
        <v>1</v>
      </c>
      <c r="F64" s="32" t="str">
        <f t="shared" si="3"/>
        <v/>
      </c>
      <c r="G64" s="32" t="s">
        <v>1</v>
      </c>
      <c r="H64" s="7" t="s">
        <v>1</v>
      </c>
      <c r="I64" s="32">
        <v>0</v>
      </c>
      <c r="J64" s="31" t="str">
        <f t="shared" si="1"/>
        <v/>
      </c>
      <c r="K64" s="31" t="str">
        <f>IFERROR(E64/#REF!,"")</f>
        <v/>
      </c>
      <c r="L64" s="127">
        <v>10896</v>
      </c>
      <c r="M64" s="32" t="s">
        <v>72</v>
      </c>
      <c r="N64" s="32" t="s">
        <v>1</v>
      </c>
      <c r="O64" s="32">
        <v>10.41</v>
      </c>
      <c r="P64" s="32" t="s">
        <v>1</v>
      </c>
      <c r="Q64" s="31" t="e">
        <f t="shared" si="2"/>
        <v>#VALUE!</v>
      </c>
      <c r="R64" s="32" t="s">
        <v>1</v>
      </c>
      <c r="S64" s="32" t="s">
        <v>1</v>
      </c>
      <c r="T64" s="32" t="s">
        <v>1</v>
      </c>
      <c r="U64" s="32" t="s">
        <v>1</v>
      </c>
      <c r="V64" s="7" t="s">
        <v>1</v>
      </c>
      <c r="W64" s="7" t="s">
        <v>72</v>
      </c>
      <c r="X64" s="7" t="s">
        <v>1</v>
      </c>
      <c r="Y64" s="7" t="s">
        <v>72</v>
      </c>
      <c r="Z64" s="7" t="s">
        <v>1</v>
      </c>
      <c r="AA64" s="30" t="s">
        <v>72</v>
      </c>
      <c r="AB64" s="7" t="s">
        <v>1</v>
      </c>
      <c r="AC64" s="7" t="s">
        <v>72</v>
      </c>
      <c r="AD64" s="7" t="s">
        <v>1</v>
      </c>
      <c r="AE64" s="7" t="s">
        <v>72</v>
      </c>
      <c r="AF64" s="7" t="s">
        <v>1</v>
      </c>
      <c r="AG64" s="7" t="s">
        <v>72</v>
      </c>
      <c r="AH64" s="127">
        <v>3000</v>
      </c>
      <c r="AI64" s="127" t="s">
        <v>72</v>
      </c>
      <c r="AJ64" s="127">
        <v>660</v>
      </c>
      <c r="AK64" s="127" t="s">
        <v>72</v>
      </c>
      <c r="AL64" s="127">
        <v>95</v>
      </c>
      <c r="AM64" s="127" t="s">
        <v>72</v>
      </c>
      <c r="AN64" s="127">
        <v>1832</v>
      </c>
      <c r="AO64" s="127" t="s">
        <v>72</v>
      </c>
      <c r="AP64" s="127">
        <v>1636</v>
      </c>
      <c r="AQ64" s="127" t="s">
        <v>72</v>
      </c>
      <c r="AR64" s="127">
        <v>330</v>
      </c>
      <c r="AS64" s="7" t="s">
        <v>72</v>
      </c>
      <c r="AT64" s="314" t="s">
        <v>1</v>
      </c>
      <c r="AU64" s="32" t="s">
        <v>1</v>
      </c>
      <c r="AV64" s="317" t="s">
        <v>120</v>
      </c>
      <c r="AW64" s="32" t="s">
        <v>1</v>
      </c>
      <c r="AX64" s="31">
        <v>0.0493562231759657</v>
      </c>
      <c r="AY64" s="314" t="s">
        <v>1</v>
      </c>
      <c r="AZ64" s="317">
        <v>32</v>
      </c>
      <c r="BA64" s="32" t="s">
        <v>1</v>
      </c>
      <c r="BB64" s="31">
        <v>0.126482213438735</v>
      </c>
      <c r="BC64" s="314" t="s">
        <v>1</v>
      </c>
      <c r="BD64" s="314" t="s">
        <v>1</v>
      </c>
      <c r="BE64" s="32" t="s">
        <v>1</v>
      </c>
      <c r="BF64" s="32" t="s">
        <v>1</v>
      </c>
      <c r="BG64" s="314" t="s">
        <v>1</v>
      </c>
      <c r="BH64" s="314" t="s">
        <v>1</v>
      </c>
      <c r="BI64" s="7" t="s">
        <v>94</v>
      </c>
      <c r="BJ64" s="7">
        <v>29</v>
      </c>
      <c r="BK64" s="127">
        <v>2382</v>
      </c>
      <c r="BL64" s="7" t="s">
        <v>72</v>
      </c>
      <c r="BM64" s="7" t="s">
        <v>74</v>
      </c>
      <c r="BN64" s="7">
        <v>160</v>
      </c>
      <c r="BO64" s="7">
        <v>1020</v>
      </c>
      <c r="BP64" s="7" t="s">
        <v>72</v>
      </c>
      <c r="BQ64" s="7" t="s">
        <v>1</v>
      </c>
      <c r="BR64" s="7" t="s">
        <v>1</v>
      </c>
      <c r="BS64" s="7" t="s">
        <v>1</v>
      </c>
      <c r="BT64" s="7" t="s">
        <v>1</v>
      </c>
      <c r="BU64" s="7" t="s">
        <v>1</v>
      </c>
      <c r="BV64" s="118" t="s">
        <v>76</v>
      </c>
      <c r="BW64" s="118" t="s">
        <v>78</v>
      </c>
      <c r="BX64" s="118" t="s">
        <v>79</v>
      </c>
      <c r="BY64" s="312" t="s">
        <v>92</v>
      </c>
      <c r="BZ64" s="308" t="s">
        <v>85</v>
      </c>
      <c r="CA64" s="118" t="s">
        <v>93</v>
      </c>
      <c r="CB64" s="118" t="s">
        <v>87</v>
      </c>
      <c r="CC64" s="118" t="s">
        <v>83</v>
      </c>
      <c r="CD64" s="118" t="s">
        <v>105</v>
      </c>
      <c r="CE64" s="308" t="s">
        <v>121</v>
      </c>
      <c r="CF64" s="7" t="s">
        <v>1</v>
      </c>
    </row>
    <row r="65" ht="27" customHeight="1" spans="1:84">
      <c r="A65" s="29">
        <v>45168</v>
      </c>
      <c r="B65" s="315" t="s">
        <v>89</v>
      </c>
      <c r="C65" s="7" t="s">
        <v>71</v>
      </c>
      <c r="D65" s="30" t="s">
        <v>1</v>
      </c>
      <c r="E65" s="30" t="s">
        <v>1</v>
      </c>
      <c r="F65" s="32" t="str">
        <f t="shared" si="3"/>
        <v/>
      </c>
      <c r="G65" s="32" t="s">
        <v>1</v>
      </c>
      <c r="H65" s="7" t="s">
        <v>1</v>
      </c>
      <c r="I65" s="32">
        <v>0</v>
      </c>
      <c r="J65" s="31" t="str">
        <f t="shared" si="1"/>
        <v/>
      </c>
      <c r="K65" s="31" t="str">
        <f>IFERROR(E65/#REF!,"")</f>
        <v/>
      </c>
      <c r="L65" s="127">
        <v>19683</v>
      </c>
      <c r="M65" s="32" t="s">
        <v>72</v>
      </c>
      <c r="N65" s="32" t="s">
        <v>1</v>
      </c>
      <c r="O65" s="32">
        <v>6.26</v>
      </c>
      <c r="P65" s="32" t="s">
        <v>1</v>
      </c>
      <c r="Q65" s="31" t="e">
        <f t="shared" si="2"/>
        <v>#VALUE!</v>
      </c>
      <c r="R65" s="32" t="s">
        <v>1</v>
      </c>
      <c r="S65" s="32" t="s">
        <v>1</v>
      </c>
      <c r="T65" s="32" t="s">
        <v>1</v>
      </c>
      <c r="U65" s="32" t="s">
        <v>1</v>
      </c>
      <c r="V65" s="7" t="s">
        <v>1</v>
      </c>
      <c r="W65" s="7" t="s">
        <v>72</v>
      </c>
      <c r="X65" s="7" t="s">
        <v>1</v>
      </c>
      <c r="Y65" s="7" t="s">
        <v>72</v>
      </c>
      <c r="Z65" s="7" t="s">
        <v>1</v>
      </c>
      <c r="AA65" s="30" t="s">
        <v>72</v>
      </c>
      <c r="AB65" s="7" t="s">
        <v>1</v>
      </c>
      <c r="AC65" s="7" t="s">
        <v>72</v>
      </c>
      <c r="AD65" s="7" t="s">
        <v>1</v>
      </c>
      <c r="AE65" s="7" t="s">
        <v>72</v>
      </c>
      <c r="AF65" s="7" t="s">
        <v>1</v>
      </c>
      <c r="AG65" s="7" t="s">
        <v>72</v>
      </c>
      <c r="AH65" s="127">
        <v>2912</v>
      </c>
      <c r="AI65" s="127" t="s">
        <v>72</v>
      </c>
      <c r="AJ65" s="127">
        <v>808</v>
      </c>
      <c r="AK65" s="127" t="s">
        <v>72</v>
      </c>
      <c r="AL65" s="127">
        <v>111</v>
      </c>
      <c r="AM65" s="127" t="s">
        <v>72</v>
      </c>
      <c r="AN65" s="127">
        <v>1664</v>
      </c>
      <c r="AO65" s="127" t="s">
        <v>72</v>
      </c>
      <c r="AP65" s="127">
        <v>1557</v>
      </c>
      <c r="AQ65" s="127" t="s">
        <v>72</v>
      </c>
      <c r="AR65" s="127">
        <v>354</v>
      </c>
      <c r="AS65" s="7" t="s">
        <v>72</v>
      </c>
      <c r="AT65" s="314" t="s">
        <v>1</v>
      </c>
      <c r="AU65" s="32" t="s">
        <v>1</v>
      </c>
      <c r="AV65" s="317" t="s">
        <v>122</v>
      </c>
      <c r="AW65" s="32" t="s">
        <v>1</v>
      </c>
      <c r="AX65" s="31">
        <v>0.0432061376943267</v>
      </c>
      <c r="AY65" s="314" t="s">
        <v>1</v>
      </c>
      <c r="AZ65" s="317">
        <v>21</v>
      </c>
      <c r="BA65" s="32" t="s">
        <v>1</v>
      </c>
      <c r="BB65" s="31">
        <v>0.0981308411214953</v>
      </c>
      <c r="BC65" s="314" t="s">
        <v>1</v>
      </c>
      <c r="BD65" s="314" t="s">
        <v>1</v>
      </c>
      <c r="BE65" s="32" t="s">
        <v>1</v>
      </c>
      <c r="BF65" s="32" t="s">
        <v>1</v>
      </c>
      <c r="BG65" s="314" t="s">
        <v>1</v>
      </c>
      <c r="BH65" s="314" t="s">
        <v>1</v>
      </c>
      <c r="BI65" s="7" t="s">
        <v>94</v>
      </c>
      <c r="BJ65" s="7">
        <v>31</v>
      </c>
      <c r="BK65" s="127">
        <v>2211</v>
      </c>
      <c r="BL65" s="7" t="s">
        <v>72</v>
      </c>
      <c r="BM65" s="7" t="s">
        <v>74</v>
      </c>
      <c r="BN65" s="7">
        <v>158</v>
      </c>
      <c r="BO65" s="7">
        <v>1034</v>
      </c>
      <c r="BP65" s="7" t="s">
        <v>72</v>
      </c>
      <c r="BQ65" s="7" t="s">
        <v>1</v>
      </c>
      <c r="BR65" s="7" t="s">
        <v>1</v>
      </c>
      <c r="BS65" s="7" t="s">
        <v>1</v>
      </c>
      <c r="BT65" s="7" t="s">
        <v>1</v>
      </c>
      <c r="BU65" s="7" t="s">
        <v>1</v>
      </c>
      <c r="BV65" s="118" t="s">
        <v>1</v>
      </c>
      <c r="BW65" s="118" t="s">
        <v>1</v>
      </c>
      <c r="BX65" s="118" t="s">
        <v>1</v>
      </c>
      <c r="BY65" s="312" t="s">
        <v>1</v>
      </c>
      <c r="BZ65" s="308" t="s">
        <v>1</v>
      </c>
      <c r="CA65" s="118" t="s">
        <v>1</v>
      </c>
      <c r="CB65" s="118" t="s">
        <v>1</v>
      </c>
      <c r="CC65" s="118" t="s">
        <v>1</v>
      </c>
      <c r="CD65" s="118" t="s">
        <v>1</v>
      </c>
      <c r="CE65" s="308" t="s">
        <v>1</v>
      </c>
      <c r="CF65" s="7" t="s">
        <v>1</v>
      </c>
    </row>
    <row r="66" ht="27" customHeight="1" spans="1:84">
      <c r="A66" s="29">
        <v>45169</v>
      </c>
      <c r="B66" s="118" t="s">
        <v>123</v>
      </c>
      <c r="C66" s="7" t="s">
        <v>71</v>
      </c>
      <c r="D66" s="30" t="s">
        <v>1</v>
      </c>
      <c r="E66" s="30" t="s">
        <v>1</v>
      </c>
      <c r="F66" s="32" t="str">
        <f t="shared" si="3"/>
        <v/>
      </c>
      <c r="G66" s="32" t="s">
        <v>1</v>
      </c>
      <c r="H66" s="7" t="s">
        <v>1</v>
      </c>
      <c r="I66" s="32">
        <v>43</v>
      </c>
      <c r="J66" s="31" t="str">
        <f t="shared" si="1"/>
        <v/>
      </c>
      <c r="K66" s="31" t="str">
        <f>IFERROR(E66/#REF!,"")</f>
        <v/>
      </c>
      <c r="L66" s="127">
        <v>246600</v>
      </c>
      <c r="M66" s="32" t="s">
        <v>72</v>
      </c>
      <c r="N66" s="32" t="s">
        <v>1</v>
      </c>
      <c r="O66" s="32">
        <v>8.4</v>
      </c>
      <c r="P66" s="32" t="s">
        <v>1</v>
      </c>
      <c r="Q66" s="31" t="e">
        <f t="shared" si="2"/>
        <v>#VALUE!</v>
      </c>
      <c r="R66" s="32" t="s">
        <v>1</v>
      </c>
      <c r="S66" s="32" t="s">
        <v>1</v>
      </c>
      <c r="T66" s="32" t="s">
        <v>1</v>
      </c>
      <c r="U66" s="32" t="s">
        <v>1</v>
      </c>
      <c r="V66" s="7" t="s">
        <v>1</v>
      </c>
      <c r="W66" s="7" t="s">
        <v>72</v>
      </c>
      <c r="X66" s="7" t="s">
        <v>1</v>
      </c>
      <c r="Y66" s="7" t="s">
        <v>72</v>
      </c>
      <c r="Z66" s="7" t="s">
        <v>1</v>
      </c>
      <c r="AA66" s="30" t="s">
        <v>72</v>
      </c>
      <c r="AB66" s="7" t="s">
        <v>1</v>
      </c>
      <c r="AC66" s="7" t="s">
        <v>72</v>
      </c>
      <c r="AD66" s="7" t="s">
        <v>1</v>
      </c>
      <c r="AE66" s="7" t="s">
        <v>72</v>
      </c>
      <c r="AF66" s="7" t="s">
        <v>1</v>
      </c>
      <c r="AG66" s="7" t="s">
        <v>72</v>
      </c>
      <c r="AH66" s="127">
        <v>3194</v>
      </c>
      <c r="AI66" s="127" t="s">
        <v>72</v>
      </c>
      <c r="AJ66" s="127">
        <v>1004</v>
      </c>
      <c r="AK66" s="127" t="s">
        <v>72</v>
      </c>
      <c r="AL66" s="127">
        <v>82</v>
      </c>
      <c r="AM66" s="127" t="s">
        <v>72</v>
      </c>
      <c r="AN66" s="127">
        <v>1207</v>
      </c>
      <c r="AO66" s="7" t="s">
        <v>72</v>
      </c>
      <c r="AP66" s="127">
        <v>1772</v>
      </c>
      <c r="AQ66" s="7" t="s">
        <v>72</v>
      </c>
      <c r="AR66" s="7">
        <v>372</v>
      </c>
      <c r="AS66" s="7" t="s">
        <v>72</v>
      </c>
      <c r="AT66" s="314" t="s">
        <v>1</v>
      </c>
      <c r="AU66" s="32" t="s">
        <v>1</v>
      </c>
      <c r="AV66" s="317" t="s">
        <v>124</v>
      </c>
      <c r="AW66" s="32" t="s">
        <v>1</v>
      </c>
      <c r="AX66" s="31">
        <v>0.0431921020156314</v>
      </c>
      <c r="AY66" s="314" t="s">
        <v>1</v>
      </c>
      <c r="AZ66" s="317">
        <v>27</v>
      </c>
      <c r="BA66" s="32" t="s">
        <v>1</v>
      </c>
      <c r="BB66" s="31">
        <v>0.128571428571429</v>
      </c>
      <c r="BC66" s="314" t="s">
        <v>1</v>
      </c>
      <c r="BD66" s="314" t="s">
        <v>1</v>
      </c>
      <c r="BE66" s="32" t="s">
        <v>1</v>
      </c>
      <c r="BF66" s="32" t="s">
        <v>1</v>
      </c>
      <c r="BG66" s="314" t="s">
        <v>1</v>
      </c>
      <c r="BH66" s="314" t="s">
        <v>1</v>
      </c>
      <c r="BI66" s="7" t="s">
        <v>94</v>
      </c>
      <c r="BJ66" s="7">
        <v>27</v>
      </c>
      <c r="BK66" s="127">
        <v>2306</v>
      </c>
      <c r="BL66" s="7" t="s">
        <v>72</v>
      </c>
      <c r="BM66" s="7" t="s">
        <v>74</v>
      </c>
      <c r="BN66" s="7">
        <v>144</v>
      </c>
      <c r="BO66" s="7">
        <v>1094</v>
      </c>
      <c r="BP66" s="7" t="s">
        <v>72</v>
      </c>
      <c r="BQ66" s="7" t="s">
        <v>1</v>
      </c>
      <c r="BR66" s="7" t="s">
        <v>1</v>
      </c>
      <c r="BS66" s="7" t="s">
        <v>1</v>
      </c>
      <c r="BT66" s="7" t="s">
        <v>1</v>
      </c>
      <c r="BU66" s="7" t="s">
        <v>1</v>
      </c>
      <c r="BV66" s="118" t="s">
        <v>1</v>
      </c>
      <c r="BW66" s="118" t="s">
        <v>1</v>
      </c>
      <c r="BX66" s="118" t="s">
        <v>1</v>
      </c>
      <c r="BY66" s="312" t="s">
        <v>1</v>
      </c>
      <c r="BZ66" s="308" t="s">
        <v>1</v>
      </c>
      <c r="CA66" s="118" t="s">
        <v>1</v>
      </c>
      <c r="CB66" s="118" t="s">
        <v>1</v>
      </c>
      <c r="CC66" s="118" t="s">
        <v>1</v>
      </c>
      <c r="CD66" s="118" t="s">
        <v>1</v>
      </c>
      <c r="CE66" s="308" t="s">
        <v>1</v>
      </c>
      <c r="CF66" s="7" t="s">
        <v>1</v>
      </c>
    </row>
    <row r="67" ht="27" customHeight="1" spans="1:84">
      <c r="A67" s="29">
        <v>45170</v>
      </c>
      <c r="B67" s="118" t="s">
        <v>1</v>
      </c>
      <c r="C67" s="32" t="s">
        <v>1</v>
      </c>
      <c r="D67" s="30" t="s">
        <v>1</v>
      </c>
      <c r="E67" s="30" t="s">
        <v>1</v>
      </c>
      <c r="F67" s="32" t="str">
        <f t="shared" si="3"/>
        <v/>
      </c>
      <c r="G67" s="32" t="s">
        <v>1</v>
      </c>
      <c r="H67" s="7" t="s">
        <v>1</v>
      </c>
      <c r="I67" s="32" t="s">
        <v>1</v>
      </c>
      <c r="J67" s="31" t="str">
        <f t="shared" si="1"/>
        <v/>
      </c>
      <c r="K67" s="31" t="str">
        <f>IFERROR(E67/#REF!,"")</f>
        <v/>
      </c>
      <c r="L67" s="127">
        <v>155762</v>
      </c>
      <c r="M67" s="32" t="s">
        <v>72</v>
      </c>
      <c r="N67" s="32" t="s">
        <v>1</v>
      </c>
      <c r="O67" s="32">
        <v>7.24</v>
      </c>
      <c r="P67" s="32" t="s">
        <v>1</v>
      </c>
      <c r="Q67" s="31" t="e">
        <f t="shared" si="2"/>
        <v>#VALUE!</v>
      </c>
      <c r="R67" s="32" t="s">
        <v>1</v>
      </c>
      <c r="S67" s="32" t="s">
        <v>1</v>
      </c>
      <c r="T67" s="32" t="s">
        <v>1</v>
      </c>
      <c r="U67" s="32" t="s">
        <v>1</v>
      </c>
      <c r="V67" s="7" t="s">
        <v>1</v>
      </c>
      <c r="W67" s="7" t="s">
        <v>72</v>
      </c>
      <c r="X67" s="7" t="s">
        <v>1</v>
      </c>
      <c r="Y67" s="7" t="s">
        <v>72</v>
      </c>
      <c r="Z67" s="7" t="s">
        <v>1</v>
      </c>
      <c r="AA67" s="30" t="s">
        <v>72</v>
      </c>
      <c r="AB67" s="7" t="s">
        <v>1</v>
      </c>
      <c r="AC67" s="7" t="s">
        <v>72</v>
      </c>
      <c r="AD67" s="7" t="s">
        <v>1</v>
      </c>
      <c r="AE67" s="7" t="s">
        <v>72</v>
      </c>
      <c r="AF67" s="7" t="s">
        <v>1</v>
      </c>
      <c r="AG67" s="7" t="s">
        <v>72</v>
      </c>
      <c r="AH67" s="127">
        <v>2719</v>
      </c>
      <c r="AI67" s="127" t="s">
        <v>72</v>
      </c>
      <c r="AJ67" s="127">
        <v>802</v>
      </c>
      <c r="AK67" s="127" t="s">
        <v>72</v>
      </c>
      <c r="AL67" s="127">
        <v>80</v>
      </c>
      <c r="AM67" s="127" t="s">
        <v>72</v>
      </c>
      <c r="AN67" s="127">
        <v>1500</v>
      </c>
      <c r="AO67" s="127" t="s">
        <v>72</v>
      </c>
      <c r="AP67" s="127">
        <v>1488</v>
      </c>
      <c r="AQ67" s="127" t="s">
        <v>72</v>
      </c>
      <c r="AR67" s="127">
        <v>276</v>
      </c>
      <c r="AS67" s="7" t="s">
        <v>72</v>
      </c>
      <c r="AT67" s="314" t="s">
        <v>1</v>
      </c>
      <c r="AU67" s="32" t="s">
        <v>1</v>
      </c>
      <c r="AV67" s="317">
        <v>262</v>
      </c>
      <c r="AW67" s="32" t="s">
        <v>1</v>
      </c>
      <c r="AX67" s="31">
        <v>0.0568576388888889</v>
      </c>
      <c r="AY67" s="314" t="s">
        <v>1</v>
      </c>
      <c r="AZ67" s="317">
        <v>19</v>
      </c>
      <c r="BA67" s="32" t="s">
        <v>1</v>
      </c>
      <c r="BB67" s="31">
        <v>0.0725190839694656</v>
      </c>
      <c r="BC67" s="314" t="s">
        <v>1</v>
      </c>
      <c r="BD67" s="314" t="s">
        <v>1</v>
      </c>
      <c r="BE67" s="32" t="s">
        <v>1</v>
      </c>
      <c r="BF67" s="32" t="s">
        <v>1</v>
      </c>
      <c r="BG67" s="314" t="s">
        <v>1</v>
      </c>
      <c r="BH67" s="314" t="s">
        <v>1</v>
      </c>
      <c r="BI67" s="7" t="s">
        <v>94</v>
      </c>
      <c r="BJ67" s="7">
        <v>29</v>
      </c>
      <c r="BK67" s="127">
        <v>1810</v>
      </c>
      <c r="BL67" s="7" t="s">
        <v>72</v>
      </c>
      <c r="BM67" s="7" t="s">
        <v>74</v>
      </c>
      <c r="BN67" s="7">
        <v>170</v>
      </c>
      <c r="BO67" s="7">
        <v>903</v>
      </c>
      <c r="BP67" s="7" t="s">
        <v>72</v>
      </c>
      <c r="BQ67" s="7" t="s">
        <v>1</v>
      </c>
      <c r="BR67" s="7" t="s">
        <v>1</v>
      </c>
      <c r="BS67" s="7" t="s">
        <v>1</v>
      </c>
      <c r="BT67" s="7" t="s">
        <v>1</v>
      </c>
      <c r="BU67" s="7" t="s">
        <v>1</v>
      </c>
      <c r="BV67" s="118" t="s">
        <v>1</v>
      </c>
      <c r="BW67" s="118" t="s">
        <v>1</v>
      </c>
      <c r="BX67" s="118" t="s">
        <v>1</v>
      </c>
      <c r="BY67" s="312" t="s">
        <v>1</v>
      </c>
      <c r="BZ67" s="308" t="s">
        <v>1</v>
      </c>
      <c r="CA67" s="118" t="s">
        <v>1</v>
      </c>
      <c r="CB67" s="118" t="s">
        <v>1</v>
      </c>
      <c r="CC67" s="118" t="s">
        <v>1</v>
      </c>
      <c r="CD67" s="118" t="s">
        <v>1</v>
      </c>
      <c r="CE67" s="308" t="s">
        <v>1</v>
      </c>
      <c r="CF67" s="7" t="s">
        <v>1</v>
      </c>
    </row>
    <row r="68" ht="27" customHeight="1" spans="1:84">
      <c r="A68" s="29">
        <v>45171</v>
      </c>
      <c r="B68" s="7" t="s">
        <v>125</v>
      </c>
      <c r="C68" s="32" t="s">
        <v>1</v>
      </c>
      <c r="D68" s="30" t="s">
        <v>1</v>
      </c>
      <c r="E68" s="30" t="s">
        <v>1</v>
      </c>
      <c r="F68" s="32" t="str">
        <f t="shared" si="3"/>
        <v/>
      </c>
      <c r="G68" s="32" t="s">
        <v>1</v>
      </c>
      <c r="H68" s="7" t="s">
        <v>1</v>
      </c>
      <c r="I68" s="32" t="s">
        <v>1</v>
      </c>
      <c r="J68" s="31" t="str">
        <f t="shared" si="1"/>
        <v/>
      </c>
      <c r="K68" s="31" t="str">
        <f>IFERROR(E68/#REF!,"")</f>
        <v/>
      </c>
      <c r="L68" s="127">
        <v>113042</v>
      </c>
      <c r="M68" s="32" t="s">
        <v>72</v>
      </c>
      <c r="N68" s="32" t="s">
        <v>1</v>
      </c>
      <c r="O68" s="32">
        <v>8.77</v>
      </c>
      <c r="P68" s="32" t="s">
        <v>1</v>
      </c>
      <c r="Q68" s="31" t="e">
        <f t="shared" si="2"/>
        <v>#VALUE!</v>
      </c>
      <c r="R68" s="32" t="s">
        <v>1</v>
      </c>
      <c r="S68" s="32" t="s">
        <v>1</v>
      </c>
      <c r="T68" s="32" t="s">
        <v>1</v>
      </c>
      <c r="U68" s="32" t="s">
        <v>1</v>
      </c>
      <c r="V68" s="7" t="s">
        <v>1</v>
      </c>
      <c r="W68" s="7" t="s">
        <v>72</v>
      </c>
      <c r="X68" s="7" t="s">
        <v>1</v>
      </c>
      <c r="Y68" s="7" t="s">
        <v>72</v>
      </c>
      <c r="Z68" s="7" t="s">
        <v>1</v>
      </c>
      <c r="AA68" s="30" t="s">
        <v>72</v>
      </c>
      <c r="AB68" s="7" t="s">
        <v>1</v>
      </c>
      <c r="AC68" s="7" t="s">
        <v>72</v>
      </c>
      <c r="AD68" s="7" t="s">
        <v>1</v>
      </c>
      <c r="AE68" s="7" t="s">
        <v>72</v>
      </c>
      <c r="AF68" s="7" t="s">
        <v>1</v>
      </c>
      <c r="AG68" s="7" t="s">
        <v>72</v>
      </c>
      <c r="AH68" s="127">
        <v>2995</v>
      </c>
      <c r="AI68" s="127" t="s">
        <v>72</v>
      </c>
      <c r="AJ68" s="127">
        <v>776</v>
      </c>
      <c r="AK68" s="127" t="s">
        <v>72</v>
      </c>
      <c r="AL68" s="127">
        <v>65</v>
      </c>
      <c r="AM68" s="127" t="s">
        <v>72</v>
      </c>
      <c r="AN68" s="127">
        <v>1582</v>
      </c>
      <c r="AO68" s="127" t="s">
        <v>72</v>
      </c>
      <c r="AP68" s="127">
        <v>1689</v>
      </c>
      <c r="AQ68" s="127" t="s">
        <v>72</v>
      </c>
      <c r="AR68" s="127">
        <v>324</v>
      </c>
      <c r="AS68" s="7" t="s">
        <v>72</v>
      </c>
      <c r="AT68" s="314" t="s">
        <v>1</v>
      </c>
      <c r="AU68" s="32" t="s">
        <v>1</v>
      </c>
      <c r="AV68" s="317">
        <v>241</v>
      </c>
      <c r="AW68" s="32" t="s">
        <v>1</v>
      </c>
      <c r="AX68" s="31">
        <v>0.0485007043670759</v>
      </c>
      <c r="AY68" s="314" t="s">
        <v>1</v>
      </c>
      <c r="AZ68" s="317">
        <v>22</v>
      </c>
      <c r="BA68" s="32" t="s">
        <v>1</v>
      </c>
      <c r="BB68" s="31">
        <v>0.0912863070539419</v>
      </c>
      <c r="BC68" s="314" t="s">
        <v>1</v>
      </c>
      <c r="BD68" s="314" t="s">
        <v>1</v>
      </c>
      <c r="BE68" s="32" t="s">
        <v>1</v>
      </c>
      <c r="BF68" s="32" t="s">
        <v>1</v>
      </c>
      <c r="BG68" s="314" t="s">
        <v>1</v>
      </c>
      <c r="BH68" s="314" t="s">
        <v>1</v>
      </c>
      <c r="BI68" s="7" t="s">
        <v>94</v>
      </c>
      <c r="BJ68" s="7">
        <v>28</v>
      </c>
      <c r="BK68" s="127">
        <v>2242</v>
      </c>
      <c r="BL68" s="7" t="s">
        <v>72</v>
      </c>
      <c r="BM68" s="7" t="s">
        <v>74</v>
      </c>
      <c r="BN68" s="7">
        <v>163</v>
      </c>
      <c r="BO68" s="7">
        <v>1028</v>
      </c>
      <c r="BP68" s="7" t="s">
        <v>72</v>
      </c>
      <c r="BQ68" s="7" t="s">
        <v>1</v>
      </c>
      <c r="BR68" s="7" t="s">
        <v>1</v>
      </c>
      <c r="BS68" s="7" t="s">
        <v>1</v>
      </c>
      <c r="BT68" s="7" t="s">
        <v>1</v>
      </c>
      <c r="BU68" s="7" t="s">
        <v>1</v>
      </c>
      <c r="BV68" s="118" t="s">
        <v>1</v>
      </c>
      <c r="BW68" s="118" t="s">
        <v>1</v>
      </c>
      <c r="BX68" s="118" t="s">
        <v>1</v>
      </c>
      <c r="BY68" s="312" t="s">
        <v>1</v>
      </c>
      <c r="BZ68" s="308" t="s">
        <v>1</v>
      </c>
      <c r="CA68" s="118" t="s">
        <v>1</v>
      </c>
      <c r="CB68" s="118" t="s">
        <v>1</v>
      </c>
      <c r="CC68" s="118" t="s">
        <v>1</v>
      </c>
      <c r="CD68" s="118" t="s">
        <v>1</v>
      </c>
      <c r="CE68" s="308" t="s">
        <v>1</v>
      </c>
      <c r="CF68" s="7" t="s">
        <v>1</v>
      </c>
    </row>
    <row r="69" ht="27" customHeight="1" spans="1:84">
      <c r="A69" s="29">
        <v>45172</v>
      </c>
      <c r="B69" s="7" t="s">
        <v>89</v>
      </c>
      <c r="C69" s="32" t="s">
        <v>1</v>
      </c>
      <c r="D69" s="30" t="s">
        <v>1</v>
      </c>
      <c r="E69" s="30" t="s">
        <v>1</v>
      </c>
      <c r="F69" s="32" t="str">
        <f t="shared" si="3"/>
        <v/>
      </c>
      <c r="G69" s="32" t="s">
        <v>1</v>
      </c>
      <c r="H69" s="7" t="s">
        <v>1</v>
      </c>
      <c r="I69" s="32" t="s">
        <v>1</v>
      </c>
      <c r="J69" s="31" t="str">
        <f t="shared" ref="J69:J96" si="4">IFERROR(E69/I69,"")</f>
        <v/>
      </c>
      <c r="K69" s="31" t="str">
        <f>IFERROR(E69/#REF!,"")</f>
        <v/>
      </c>
      <c r="L69" s="127">
        <v>31469</v>
      </c>
      <c r="M69" s="32" t="s">
        <v>72</v>
      </c>
      <c r="N69" s="32" t="s">
        <v>1</v>
      </c>
      <c r="O69" s="32">
        <v>1.81</v>
      </c>
      <c r="P69" s="32" t="s">
        <v>1</v>
      </c>
      <c r="Q69" s="31" t="e">
        <f t="shared" si="2"/>
        <v>#VALUE!</v>
      </c>
      <c r="R69" s="32" t="s">
        <v>1</v>
      </c>
      <c r="S69" s="32" t="s">
        <v>1</v>
      </c>
      <c r="T69" s="32" t="s">
        <v>1</v>
      </c>
      <c r="U69" s="32" t="s">
        <v>1</v>
      </c>
      <c r="V69" s="7" t="s">
        <v>1</v>
      </c>
      <c r="W69" s="7" t="s">
        <v>72</v>
      </c>
      <c r="X69" s="7" t="s">
        <v>1</v>
      </c>
      <c r="Y69" s="7" t="s">
        <v>72</v>
      </c>
      <c r="Z69" s="7" t="s">
        <v>1</v>
      </c>
      <c r="AA69" s="30" t="s">
        <v>72</v>
      </c>
      <c r="AB69" s="7" t="s">
        <v>1</v>
      </c>
      <c r="AC69" s="7" t="s">
        <v>72</v>
      </c>
      <c r="AD69" s="7" t="s">
        <v>1</v>
      </c>
      <c r="AE69" s="7" t="s">
        <v>72</v>
      </c>
      <c r="AF69" s="7" t="s">
        <v>1</v>
      </c>
      <c r="AG69" s="7" t="s">
        <v>72</v>
      </c>
      <c r="AH69" s="127">
        <v>2696</v>
      </c>
      <c r="AI69" s="127" t="s">
        <v>72</v>
      </c>
      <c r="AJ69" s="127">
        <v>767</v>
      </c>
      <c r="AK69" s="127" t="s">
        <v>72</v>
      </c>
      <c r="AL69" s="127">
        <v>65</v>
      </c>
      <c r="AM69" s="127" t="s">
        <v>72</v>
      </c>
      <c r="AN69" s="127">
        <v>1542</v>
      </c>
      <c r="AO69" s="127" t="s">
        <v>72</v>
      </c>
      <c r="AP69" s="127">
        <v>1190</v>
      </c>
      <c r="AQ69" s="127" t="s">
        <v>72</v>
      </c>
      <c r="AR69" s="127">
        <v>365</v>
      </c>
      <c r="AS69" s="7" t="s">
        <v>72</v>
      </c>
      <c r="AT69" s="314" t="s">
        <v>1</v>
      </c>
      <c r="AU69" s="32" t="s">
        <v>1</v>
      </c>
      <c r="AV69" s="317">
        <v>171</v>
      </c>
      <c r="AW69" s="32" t="s">
        <v>1</v>
      </c>
      <c r="AX69" s="31">
        <v>0.0372224640835873</v>
      </c>
      <c r="AY69" s="314" t="s">
        <v>1</v>
      </c>
      <c r="AZ69" s="317">
        <v>5</v>
      </c>
      <c r="BA69" s="32" t="s">
        <v>1</v>
      </c>
      <c r="BB69" s="31">
        <v>0.0292397660818713</v>
      </c>
      <c r="BC69" s="314" t="s">
        <v>1</v>
      </c>
      <c r="BD69" s="314" t="s">
        <v>1</v>
      </c>
      <c r="BE69" s="32" t="s">
        <v>1</v>
      </c>
      <c r="BF69" s="32" t="s">
        <v>1</v>
      </c>
      <c r="BG69" s="314" t="s">
        <v>1</v>
      </c>
      <c r="BH69" s="314" t="s">
        <v>1</v>
      </c>
      <c r="BI69" s="7" t="s">
        <v>73</v>
      </c>
      <c r="BJ69" s="7">
        <v>62</v>
      </c>
      <c r="BK69" s="7">
        <v>1251</v>
      </c>
      <c r="BL69" s="7" t="s">
        <v>72</v>
      </c>
      <c r="BM69" s="7" t="s">
        <v>74</v>
      </c>
      <c r="BN69" s="7">
        <v>265</v>
      </c>
      <c r="BO69" s="7">
        <v>634</v>
      </c>
      <c r="BP69" s="7" t="s">
        <v>72</v>
      </c>
      <c r="BQ69" s="7" t="s">
        <v>1</v>
      </c>
      <c r="BR69" s="7" t="s">
        <v>1</v>
      </c>
      <c r="BS69" s="7" t="s">
        <v>1</v>
      </c>
      <c r="BT69" s="7" t="s">
        <v>1</v>
      </c>
      <c r="BU69" s="7" t="s">
        <v>1</v>
      </c>
      <c r="BV69" s="118" t="s">
        <v>1</v>
      </c>
      <c r="BW69" s="118" t="s">
        <v>1</v>
      </c>
      <c r="BX69" s="118" t="s">
        <v>1</v>
      </c>
      <c r="BY69" s="312" t="s">
        <v>1</v>
      </c>
      <c r="BZ69" s="308" t="s">
        <v>1</v>
      </c>
      <c r="CA69" s="118" t="s">
        <v>1</v>
      </c>
      <c r="CB69" s="118" t="s">
        <v>1</v>
      </c>
      <c r="CC69" s="118" t="s">
        <v>1</v>
      </c>
      <c r="CD69" s="118" t="s">
        <v>1</v>
      </c>
      <c r="CE69" s="308" t="s">
        <v>1</v>
      </c>
      <c r="CF69" s="7" t="s">
        <v>1</v>
      </c>
    </row>
    <row r="70" ht="27" customHeight="1" spans="1:84">
      <c r="A70" s="29">
        <v>45173</v>
      </c>
      <c r="B70" s="7" t="s">
        <v>126</v>
      </c>
      <c r="C70" s="32" t="s">
        <v>1</v>
      </c>
      <c r="D70" s="30" t="s">
        <v>1</v>
      </c>
      <c r="E70" s="30" t="s">
        <v>1</v>
      </c>
      <c r="F70" s="32" t="str">
        <f t="shared" si="3"/>
        <v/>
      </c>
      <c r="G70" s="32" t="s">
        <v>1</v>
      </c>
      <c r="H70" s="7" t="s">
        <v>1</v>
      </c>
      <c r="I70" s="32" t="s">
        <v>1</v>
      </c>
      <c r="J70" s="31" t="str">
        <f t="shared" si="4"/>
        <v/>
      </c>
      <c r="K70" s="31" t="str">
        <f>IFERROR(E70/#REF!,"")</f>
        <v/>
      </c>
      <c r="L70" s="127">
        <v>221679</v>
      </c>
      <c r="M70" s="32" t="s">
        <v>72</v>
      </c>
      <c r="N70" s="32" t="s">
        <v>1</v>
      </c>
      <c r="O70" s="32">
        <v>8.02</v>
      </c>
      <c r="P70" s="32" t="s">
        <v>1</v>
      </c>
      <c r="Q70" s="31" t="e">
        <f t="shared" si="2"/>
        <v>#VALUE!</v>
      </c>
      <c r="R70" s="32" t="s">
        <v>1</v>
      </c>
      <c r="S70" s="32" t="s">
        <v>1</v>
      </c>
      <c r="T70" s="32" t="s">
        <v>1</v>
      </c>
      <c r="U70" s="32" t="s">
        <v>1</v>
      </c>
      <c r="V70" s="7" t="s">
        <v>1</v>
      </c>
      <c r="W70" s="7" t="s">
        <v>72</v>
      </c>
      <c r="X70" s="7" t="s">
        <v>1</v>
      </c>
      <c r="Y70" s="7" t="s">
        <v>72</v>
      </c>
      <c r="Z70" s="7" t="s">
        <v>1</v>
      </c>
      <c r="AA70" s="30" t="s">
        <v>72</v>
      </c>
      <c r="AB70" s="7" t="s">
        <v>1</v>
      </c>
      <c r="AC70" s="7" t="s">
        <v>72</v>
      </c>
      <c r="AD70" s="7" t="s">
        <v>1</v>
      </c>
      <c r="AE70" s="7" t="s">
        <v>72</v>
      </c>
      <c r="AF70" s="7" t="s">
        <v>1</v>
      </c>
      <c r="AG70" s="7" t="s">
        <v>72</v>
      </c>
      <c r="AH70" s="127">
        <v>2686</v>
      </c>
      <c r="AI70" s="127" t="s">
        <v>72</v>
      </c>
      <c r="AJ70" s="127">
        <v>734</v>
      </c>
      <c r="AK70" s="127" t="s">
        <v>72</v>
      </c>
      <c r="AL70" s="127">
        <v>94</v>
      </c>
      <c r="AM70" s="127" t="s">
        <v>72</v>
      </c>
      <c r="AN70" s="127">
        <v>1379</v>
      </c>
      <c r="AO70" s="7" t="s">
        <v>72</v>
      </c>
      <c r="AP70" s="127">
        <v>1262</v>
      </c>
      <c r="AQ70" s="7" t="s">
        <v>72</v>
      </c>
      <c r="AR70" s="127">
        <v>354</v>
      </c>
      <c r="AS70" s="7" t="s">
        <v>72</v>
      </c>
      <c r="AT70" s="314" t="s">
        <v>1</v>
      </c>
      <c r="AU70" s="32" t="s">
        <v>1</v>
      </c>
      <c r="AV70" s="317">
        <v>217</v>
      </c>
      <c r="AW70" s="32" t="s">
        <v>1</v>
      </c>
      <c r="AX70" s="31">
        <v>0.0492063492063492</v>
      </c>
      <c r="AY70" s="314" t="s">
        <v>1</v>
      </c>
      <c r="AZ70" s="317">
        <v>26</v>
      </c>
      <c r="BA70" s="32" t="s">
        <v>1</v>
      </c>
      <c r="BB70" s="31">
        <v>0.119815668202765</v>
      </c>
      <c r="BC70" s="314" t="s">
        <v>1</v>
      </c>
      <c r="BD70" s="314" t="s">
        <v>1</v>
      </c>
      <c r="BE70" s="32" t="s">
        <v>1</v>
      </c>
      <c r="BF70" s="32" t="s">
        <v>1</v>
      </c>
      <c r="BG70" s="314" t="s">
        <v>1</v>
      </c>
      <c r="BH70" s="314" t="s">
        <v>1</v>
      </c>
      <c r="BI70" s="7" t="s">
        <v>94</v>
      </c>
      <c r="BJ70" s="7">
        <v>49</v>
      </c>
      <c r="BK70" s="7">
        <v>1368</v>
      </c>
      <c r="BL70" s="7" t="s">
        <v>72</v>
      </c>
      <c r="BM70" s="7" t="s">
        <v>74</v>
      </c>
      <c r="BN70" s="7">
        <v>269</v>
      </c>
      <c r="BO70" s="7">
        <v>567</v>
      </c>
      <c r="BP70" s="7" t="s">
        <v>72</v>
      </c>
      <c r="BQ70" s="7" t="s">
        <v>1</v>
      </c>
      <c r="BR70" s="7" t="s">
        <v>1</v>
      </c>
      <c r="BS70" s="7" t="s">
        <v>1</v>
      </c>
      <c r="BT70" s="7" t="s">
        <v>1</v>
      </c>
      <c r="BU70" s="7" t="s">
        <v>1</v>
      </c>
      <c r="BV70" s="118" t="s">
        <v>1</v>
      </c>
      <c r="BW70" s="118" t="s">
        <v>1</v>
      </c>
      <c r="BX70" s="118" t="s">
        <v>1</v>
      </c>
      <c r="BY70" s="312" t="s">
        <v>1</v>
      </c>
      <c r="BZ70" s="308" t="s">
        <v>1</v>
      </c>
      <c r="CA70" s="118" t="s">
        <v>1</v>
      </c>
      <c r="CB70" s="118" t="s">
        <v>1</v>
      </c>
      <c r="CC70" s="118" t="s">
        <v>1</v>
      </c>
      <c r="CD70" s="118" t="s">
        <v>1</v>
      </c>
      <c r="CE70" s="308" t="s">
        <v>1</v>
      </c>
      <c r="CF70" s="7" t="s">
        <v>1</v>
      </c>
    </row>
    <row r="71" ht="27" customHeight="1" spans="1:84">
      <c r="A71" s="29">
        <v>45174</v>
      </c>
      <c r="B71" s="7" t="s">
        <v>89</v>
      </c>
      <c r="C71" s="32" t="s">
        <v>1</v>
      </c>
      <c r="D71" s="30" t="s">
        <v>1</v>
      </c>
      <c r="E71" s="30" t="s">
        <v>1</v>
      </c>
      <c r="F71" s="32" t="str">
        <f t="shared" si="3"/>
        <v/>
      </c>
      <c r="G71" s="32" t="s">
        <v>1</v>
      </c>
      <c r="H71" s="7" t="s">
        <v>1</v>
      </c>
      <c r="I71" s="32" t="s">
        <v>1</v>
      </c>
      <c r="J71" s="31" t="str">
        <f t="shared" si="4"/>
        <v/>
      </c>
      <c r="K71" s="31" t="str">
        <f>IFERROR(E71/#REF!,"")</f>
        <v/>
      </c>
      <c r="L71" s="127">
        <v>25752</v>
      </c>
      <c r="M71" s="32" t="s">
        <v>72</v>
      </c>
      <c r="N71" s="32" t="s">
        <v>1</v>
      </c>
      <c r="O71" s="32">
        <v>3.04</v>
      </c>
      <c r="P71" s="32" t="s">
        <v>1</v>
      </c>
      <c r="Q71" s="31" t="e">
        <f t="shared" si="2"/>
        <v>#VALUE!</v>
      </c>
      <c r="R71" s="32" t="s">
        <v>1</v>
      </c>
      <c r="S71" s="32" t="s">
        <v>1</v>
      </c>
      <c r="T71" s="32" t="s">
        <v>1</v>
      </c>
      <c r="U71" s="32" t="s">
        <v>1</v>
      </c>
      <c r="V71" s="7" t="s">
        <v>1</v>
      </c>
      <c r="W71" s="7" t="s">
        <v>72</v>
      </c>
      <c r="X71" s="7" t="s">
        <v>1</v>
      </c>
      <c r="Y71" s="7" t="s">
        <v>72</v>
      </c>
      <c r="Z71" s="7" t="s">
        <v>1</v>
      </c>
      <c r="AA71" s="30" t="s">
        <v>72</v>
      </c>
      <c r="AB71" s="7" t="s">
        <v>1</v>
      </c>
      <c r="AC71" s="7" t="s">
        <v>72</v>
      </c>
      <c r="AD71" s="7" t="s">
        <v>1</v>
      </c>
      <c r="AE71" s="7" t="s">
        <v>72</v>
      </c>
      <c r="AF71" s="7" t="s">
        <v>1</v>
      </c>
      <c r="AG71" s="7" t="s">
        <v>72</v>
      </c>
      <c r="AH71" s="127">
        <v>2981</v>
      </c>
      <c r="AI71" s="127" t="s">
        <v>72</v>
      </c>
      <c r="AJ71" s="127">
        <v>665</v>
      </c>
      <c r="AK71" s="127" t="s">
        <v>72</v>
      </c>
      <c r="AL71" s="127">
        <v>125</v>
      </c>
      <c r="AM71" s="127" t="s">
        <v>72</v>
      </c>
      <c r="AN71" s="127">
        <v>1328</v>
      </c>
      <c r="AO71" s="7" t="s">
        <v>72</v>
      </c>
      <c r="AP71" s="127">
        <v>1642</v>
      </c>
      <c r="AQ71" s="7" t="s">
        <v>72</v>
      </c>
      <c r="AR71" s="127">
        <v>346</v>
      </c>
      <c r="AS71" s="7" t="s">
        <v>72</v>
      </c>
      <c r="AT71" s="314" t="s">
        <v>1</v>
      </c>
      <c r="AU71" s="32" t="s">
        <v>1</v>
      </c>
      <c r="AV71" s="30">
        <v>235</v>
      </c>
      <c r="AW71" s="32" t="s">
        <v>1</v>
      </c>
      <c r="AX71" s="31">
        <v>0.0502458841137481</v>
      </c>
      <c r="AY71" s="314" t="s">
        <v>1</v>
      </c>
      <c r="AZ71" s="317">
        <v>13</v>
      </c>
      <c r="BA71" s="32" t="s">
        <v>1</v>
      </c>
      <c r="BB71" s="31">
        <v>0.0553191489361702</v>
      </c>
      <c r="BC71" s="314" t="s">
        <v>1</v>
      </c>
      <c r="BD71" s="314" t="s">
        <v>1</v>
      </c>
      <c r="BE71" s="32" t="s">
        <v>1</v>
      </c>
      <c r="BF71" s="32" t="s">
        <v>1</v>
      </c>
      <c r="BG71" s="314" t="s">
        <v>1</v>
      </c>
      <c r="BH71" s="314" t="s">
        <v>1</v>
      </c>
      <c r="BI71" s="7" t="s">
        <v>94</v>
      </c>
      <c r="BJ71" s="7">
        <v>23</v>
      </c>
      <c r="BK71" s="7">
        <v>2513</v>
      </c>
      <c r="BL71" s="7" t="s">
        <v>72</v>
      </c>
      <c r="BM71" s="7" t="s">
        <v>74</v>
      </c>
      <c r="BN71" s="7">
        <v>121</v>
      </c>
      <c r="BO71" s="7">
        <v>1048</v>
      </c>
      <c r="BP71" s="7" t="s">
        <v>72</v>
      </c>
      <c r="BQ71" s="7" t="s">
        <v>1</v>
      </c>
      <c r="BR71" s="7" t="s">
        <v>1</v>
      </c>
      <c r="BS71" s="7" t="s">
        <v>1</v>
      </c>
      <c r="BT71" s="7" t="s">
        <v>1</v>
      </c>
      <c r="BU71" s="7" t="s">
        <v>1</v>
      </c>
      <c r="BV71" s="118" t="s">
        <v>78</v>
      </c>
      <c r="BW71" s="118" t="s">
        <v>76</v>
      </c>
      <c r="BX71" s="118" t="s">
        <v>93</v>
      </c>
      <c r="BY71" s="312" t="s">
        <v>92</v>
      </c>
      <c r="BZ71" s="307" t="s">
        <v>77</v>
      </c>
      <c r="CA71" s="118" t="s">
        <v>87</v>
      </c>
      <c r="CB71" s="118" t="s">
        <v>105</v>
      </c>
      <c r="CC71" s="307" t="s">
        <v>127</v>
      </c>
      <c r="CD71" s="118" t="s">
        <v>107</v>
      </c>
      <c r="CE71" s="118" t="s">
        <v>128</v>
      </c>
      <c r="CF71" s="7" t="s">
        <v>1</v>
      </c>
    </row>
    <row r="72" ht="27" customHeight="1" spans="1:84">
      <c r="A72" s="29">
        <v>45175</v>
      </c>
      <c r="B72" s="7" t="s">
        <v>89</v>
      </c>
      <c r="C72" s="32" t="s">
        <v>1</v>
      </c>
      <c r="D72" s="30" t="s">
        <v>1</v>
      </c>
      <c r="E72" s="30" t="s">
        <v>1</v>
      </c>
      <c r="F72" s="32" t="str">
        <f t="shared" si="3"/>
        <v/>
      </c>
      <c r="G72" s="32" t="s">
        <v>1</v>
      </c>
      <c r="H72" s="7" t="s">
        <v>1</v>
      </c>
      <c r="I72" s="32" t="s">
        <v>1</v>
      </c>
      <c r="J72" s="31" t="str">
        <f t="shared" si="4"/>
        <v/>
      </c>
      <c r="K72" s="31" t="str">
        <f>IFERROR(E72/#REF!,"")</f>
        <v/>
      </c>
      <c r="L72" s="127">
        <v>40157</v>
      </c>
      <c r="M72" s="32" t="s">
        <v>72</v>
      </c>
      <c r="N72" s="32" t="s">
        <v>1</v>
      </c>
      <c r="O72" s="32">
        <v>7.22</v>
      </c>
      <c r="P72" s="32" t="s">
        <v>1</v>
      </c>
      <c r="Q72" s="31" t="e">
        <f t="shared" si="2"/>
        <v>#VALUE!</v>
      </c>
      <c r="R72" s="32" t="s">
        <v>1</v>
      </c>
      <c r="S72" s="32" t="s">
        <v>1</v>
      </c>
      <c r="T72" s="32" t="s">
        <v>1</v>
      </c>
      <c r="U72" s="32" t="s">
        <v>1</v>
      </c>
      <c r="V72" s="7" t="s">
        <v>1</v>
      </c>
      <c r="W72" s="7" t="s">
        <v>72</v>
      </c>
      <c r="X72" s="7" t="s">
        <v>1</v>
      </c>
      <c r="Y72" s="7" t="s">
        <v>72</v>
      </c>
      <c r="Z72" s="7" t="s">
        <v>1</v>
      </c>
      <c r="AA72" s="30" t="s">
        <v>72</v>
      </c>
      <c r="AB72" s="7" t="s">
        <v>1</v>
      </c>
      <c r="AC72" s="7" t="s">
        <v>72</v>
      </c>
      <c r="AD72" s="7" t="s">
        <v>1</v>
      </c>
      <c r="AE72" s="7" t="s">
        <v>72</v>
      </c>
      <c r="AF72" s="7" t="s">
        <v>1</v>
      </c>
      <c r="AG72" s="7" t="s">
        <v>72</v>
      </c>
      <c r="AH72" s="127">
        <v>2883</v>
      </c>
      <c r="AI72" s="127" t="s">
        <v>72</v>
      </c>
      <c r="AJ72" s="127">
        <v>727</v>
      </c>
      <c r="AK72" s="127" t="s">
        <v>72</v>
      </c>
      <c r="AL72" s="127">
        <v>108</v>
      </c>
      <c r="AM72" s="127" t="s">
        <v>72</v>
      </c>
      <c r="AN72" s="127">
        <v>1252</v>
      </c>
      <c r="AO72" s="7" t="s">
        <v>72</v>
      </c>
      <c r="AP72" s="127">
        <v>1546</v>
      </c>
      <c r="AQ72" s="7" t="s">
        <v>72</v>
      </c>
      <c r="AR72" s="127">
        <v>376</v>
      </c>
      <c r="AS72" s="7" t="s">
        <v>72</v>
      </c>
      <c r="AT72" s="314" t="s">
        <v>1</v>
      </c>
      <c r="AU72" s="32" t="s">
        <v>1</v>
      </c>
      <c r="AV72" s="30">
        <v>206</v>
      </c>
      <c r="AW72" s="32" t="s">
        <v>1</v>
      </c>
      <c r="AX72" s="31">
        <v>0.0458797327394209</v>
      </c>
      <c r="AY72" s="314" t="s">
        <v>1</v>
      </c>
      <c r="AZ72" s="317" t="s">
        <v>111</v>
      </c>
      <c r="BA72" s="32" t="s">
        <v>1</v>
      </c>
      <c r="BB72" s="31">
        <v>0.111650485436893</v>
      </c>
      <c r="BC72" s="314" t="s">
        <v>1</v>
      </c>
      <c r="BD72" s="314" t="s">
        <v>1</v>
      </c>
      <c r="BE72" s="32" t="s">
        <v>1</v>
      </c>
      <c r="BF72" s="32" t="s">
        <v>1</v>
      </c>
      <c r="BG72" s="314" t="s">
        <v>1</v>
      </c>
      <c r="BH72" s="314" t="s">
        <v>1</v>
      </c>
      <c r="BI72" s="7" t="s">
        <v>94</v>
      </c>
      <c r="BJ72" s="7">
        <v>27</v>
      </c>
      <c r="BK72" s="7">
        <v>2284</v>
      </c>
      <c r="BL72" s="7" t="s">
        <v>72</v>
      </c>
      <c r="BM72" s="7" t="s">
        <v>74</v>
      </c>
      <c r="BN72" s="7">
        <v>140</v>
      </c>
      <c r="BO72" s="7">
        <v>945</v>
      </c>
      <c r="BP72" s="7" t="s">
        <v>72</v>
      </c>
      <c r="BQ72" s="7" t="s">
        <v>1</v>
      </c>
      <c r="BR72" s="7" t="s">
        <v>1</v>
      </c>
      <c r="BS72" s="7" t="s">
        <v>1</v>
      </c>
      <c r="BT72" s="7" t="s">
        <v>1</v>
      </c>
      <c r="BU72" s="7" t="s">
        <v>1</v>
      </c>
      <c r="BV72" s="118" t="s">
        <v>1</v>
      </c>
      <c r="BW72" s="118" t="s">
        <v>1</v>
      </c>
      <c r="BX72" s="118" t="s">
        <v>1</v>
      </c>
      <c r="BY72" s="312" t="s">
        <v>1</v>
      </c>
      <c r="BZ72" s="307" t="s">
        <v>1</v>
      </c>
      <c r="CA72" s="118" t="s">
        <v>1</v>
      </c>
      <c r="CB72" s="118" t="s">
        <v>1</v>
      </c>
      <c r="CC72" s="307" t="s">
        <v>1</v>
      </c>
      <c r="CD72" s="118" t="s">
        <v>1</v>
      </c>
      <c r="CE72" s="118" t="s">
        <v>1</v>
      </c>
      <c r="CF72" s="7" t="s">
        <v>1</v>
      </c>
    </row>
    <row r="73" ht="27" customHeight="1" spans="1:84">
      <c r="A73" s="29">
        <v>45176</v>
      </c>
      <c r="B73" s="7" t="s">
        <v>129</v>
      </c>
      <c r="C73" s="32" t="s">
        <v>1</v>
      </c>
      <c r="D73" s="30" t="s">
        <v>1</v>
      </c>
      <c r="E73" s="30" t="s">
        <v>1</v>
      </c>
      <c r="F73" s="32" t="str">
        <f t="shared" si="3"/>
        <v/>
      </c>
      <c r="G73" s="32" t="s">
        <v>1</v>
      </c>
      <c r="H73" s="7" t="s">
        <v>1</v>
      </c>
      <c r="I73" s="32" t="s">
        <v>1</v>
      </c>
      <c r="J73" s="31" t="str">
        <f t="shared" si="4"/>
        <v/>
      </c>
      <c r="K73" s="31" t="str">
        <f>IFERROR(E73/#REF!,"")</f>
        <v/>
      </c>
      <c r="L73" s="127">
        <v>171524</v>
      </c>
      <c r="M73" s="32" t="s">
        <v>72</v>
      </c>
      <c r="N73" s="32" t="s">
        <v>1</v>
      </c>
      <c r="O73" s="32">
        <v>14.33</v>
      </c>
      <c r="P73" s="32" t="s">
        <v>1</v>
      </c>
      <c r="Q73" s="31" t="e">
        <f t="shared" si="2"/>
        <v>#VALUE!</v>
      </c>
      <c r="R73" s="32" t="s">
        <v>1</v>
      </c>
      <c r="S73" s="32" t="s">
        <v>1</v>
      </c>
      <c r="T73" s="32" t="s">
        <v>1</v>
      </c>
      <c r="U73" s="32" t="s">
        <v>1</v>
      </c>
      <c r="V73" s="7" t="s">
        <v>1</v>
      </c>
      <c r="W73" s="7" t="s">
        <v>72</v>
      </c>
      <c r="X73" s="7" t="s">
        <v>1</v>
      </c>
      <c r="Y73" s="7" t="s">
        <v>72</v>
      </c>
      <c r="Z73" s="7" t="s">
        <v>1</v>
      </c>
      <c r="AA73" s="30" t="s">
        <v>72</v>
      </c>
      <c r="AB73" s="7" t="s">
        <v>1</v>
      </c>
      <c r="AC73" s="7" t="s">
        <v>72</v>
      </c>
      <c r="AD73" s="7" t="s">
        <v>1</v>
      </c>
      <c r="AE73" s="7" t="s">
        <v>72</v>
      </c>
      <c r="AF73" s="7" t="s">
        <v>1</v>
      </c>
      <c r="AG73" s="7" t="s">
        <v>72</v>
      </c>
      <c r="AH73" s="127">
        <v>3140</v>
      </c>
      <c r="AI73" s="127" t="s">
        <v>72</v>
      </c>
      <c r="AJ73" s="127">
        <v>835</v>
      </c>
      <c r="AK73" s="127" t="s">
        <v>72</v>
      </c>
      <c r="AL73" s="127">
        <v>117</v>
      </c>
      <c r="AM73" s="127" t="s">
        <v>72</v>
      </c>
      <c r="AN73" s="127">
        <v>1355</v>
      </c>
      <c r="AO73" s="7" t="s">
        <v>72</v>
      </c>
      <c r="AP73" s="127">
        <v>1668</v>
      </c>
      <c r="AQ73" s="7" t="s">
        <v>72</v>
      </c>
      <c r="AR73" s="127">
        <v>422</v>
      </c>
      <c r="AS73" s="7" t="s">
        <v>72</v>
      </c>
      <c r="AT73" s="314" t="s">
        <v>1</v>
      </c>
      <c r="AU73" s="32" t="s">
        <v>1</v>
      </c>
      <c r="AV73" s="30">
        <v>300</v>
      </c>
      <c r="AW73" s="32" t="s">
        <v>1</v>
      </c>
      <c r="AX73" s="31">
        <v>0.0616269515201315</v>
      </c>
      <c r="AY73" s="314" t="s">
        <v>1</v>
      </c>
      <c r="AZ73" s="317" t="s">
        <v>130</v>
      </c>
      <c r="BA73" s="32" t="s">
        <v>1</v>
      </c>
      <c r="BB73" s="31">
        <v>0.163333333333333</v>
      </c>
      <c r="BC73" s="314" t="s">
        <v>1</v>
      </c>
      <c r="BD73" s="314" t="s">
        <v>1</v>
      </c>
      <c r="BE73" s="32" t="s">
        <v>1</v>
      </c>
      <c r="BF73" s="32" t="s">
        <v>1</v>
      </c>
      <c r="BG73" s="314" t="s">
        <v>1</v>
      </c>
      <c r="BH73" s="314" t="s">
        <v>1</v>
      </c>
      <c r="BI73" s="7" t="s">
        <v>94</v>
      </c>
      <c r="BJ73" s="7">
        <v>28</v>
      </c>
      <c r="BK73" s="7">
        <v>2420</v>
      </c>
      <c r="BL73" s="7" t="s">
        <v>72</v>
      </c>
      <c r="BM73" s="7" t="s">
        <v>74</v>
      </c>
      <c r="BN73" s="7">
        <v>137</v>
      </c>
      <c r="BO73" s="7">
        <v>929</v>
      </c>
      <c r="BP73" s="7" t="s">
        <v>72</v>
      </c>
      <c r="BQ73" s="7" t="s">
        <v>1</v>
      </c>
      <c r="BR73" s="7" t="s">
        <v>1</v>
      </c>
      <c r="BS73" s="7" t="s">
        <v>1</v>
      </c>
      <c r="BT73" s="7" t="s">
        <v>1</v>
      </c>
      <c r="BU73" s="7" t="s">
        <v>1</v>
      </c>
      <c r="BV73" s="118" t="s">
        <v>1</v>
      </c>
      <c r="BW73" s="118" t="s">
        <v>1</v>
      </c>
      <c r="BX73" s="118" t="s">
        <v>1</v>
      </c>
      <c r="BY73" s="312" t="s">
        <v>1</v>
      </c>
      <c r="BZ73" s="307" t="s">
        <v>1</v>
      </c>
      <c r="CA73" s="118" t="s">
        <v>1</v>
      </c>
      <c r="CB73" s="118" t="s">
        <v>1</v>
      </c>
      <c r="CC73" s="307" t="s">
        <v>1</v>
      </c>
      <c r="CD73" s="118" t="s">
        <v>1</v>
      </c>
      <c r="CE73" s="118" t="s">
        <v>1</v>
      </c>
      <c r="CF73" s="7" t="s">
        <v>1</v>
      </c>
    </row>
    <row r="74" ht="27" customHeight="1" spans="1:84">
      <c r="A74" s="29">
        <v>45177</v>
      </c>
      <c r="B74" s="7" t="s">
        <v>1</v>
      </c>
      <c r="C74" s="32" t="s">
        <v>1</v>
      </c>
      <c r="D74" s="30" t="s">
        <v>1</v>
      </c>
      <c r="E74" s="30" t="s">
        <v>1</v>
      </c>
      <c r="F74" s="32" t="str">
        <f t="shared" si="3"/>
        <v/>
      </c>
      <c r="G74" s="32" t="s">
        <v>1</v>
      </c>
      <c r="H74" s="7" t="s">
        <v>1</v>
      </c>
      <c r="I74" s="32" t="s">
        <v>1</v>
      </c>
      <c r="J74" s="31" t="str">
        <f t="shared" si="4"/>
        <v/>
      </c>
      <c r="K74" s="31" t="str">
        <f>IFERROR(E74/#REF!,"")</f>
        <v/>
      </c>
      <c r="L74" s="127">
        <v>112426</v>
      </c>
      <c r="M74" s="32" t="s">
        <v>72</v>
      </c>
      <c r="N74" s="32" t="s">
        <v>1</v>
      </c>
      <c r="O74" s="32">
        <v>4.74</v>
      </c>
      <c r="P74" s="32" t="s">
        <v>1</v>
      </c>
      <c r="Q74" s="31" t="e">
        <f t="shared" si="2"/>
        <v>#VALUE!</v>
      </c>
      <c r="R74" s="32" t="s">
        <v>1</v>
      </c>
      <c r="S74" s="32" t="s">
        <v>1</v>
      </c>
      <c r="T74" s="32" t="s">
        <v>1</v>
      </c>
      <c r="U74" s="32" t="s">
        <v>1</v>
      </c>
      <c r="V74" s="7" t="s">
        <v>1</v>
      </c>
      <c r="W74" s="7" t="s">
        <v>72</v>
      </c>
      <c r="X74" s="7" t="s">
        <v>1</v>
      </c>
      <c r="Y74" s="7" t="s">
        <v>72</v>
      </c>
      <c r="Z74" s="7" t="s">
        <v>1</v>
      </c>
      <c r="AA74" s="30" t="s">
        <v>72</v>
      </c>
      <c r="AB74" s="7" t="s">
        <v>1</v>
      </c>
      <c r="AC74" s="7" t="s">
        <v>72</v>
      </c>
      <c r="AD74" s="7" t="s">
        <v>1</v>
      </c>
      <c r="AE74" s="7" t="s">
        <v>72</v>
      </c>
      <c r="AF74" s="7" t="s">
        <v>1</v>
      </c>
      <c r="AG74" s="7" t="s">
        <v>72</v>
      </c>
      <c r="AH74" s="127">
        <v>3972</v>
      </c>
      <c r="AI74" s="127" t="s">
        <v>72</v>
      </c>
      <c r="AJ74" s="127">
        <v>713</v>
      </c>
      <c r="AK74" s="127" t="s">
        <v>72</v>
      </c>
      <c r="AL74" s="127">
        <v>118</v>
      </c>
      <c r="AM74" s="127" t="s">
        <v>72</v>
      </c>
      <c r="AN74" s="127">
        <v>1378</v>
      </c>
      <c r="AO74" s="127" t="s">
        <v>72</v>
      </c>
      <c r="AP74" s="127">
        <v>1617</v>
      </c>
      <c r="AQ74" s="127" t="s">
        <v>72</v>
      </c>
      <c r="AR74" s="127">
        <v>323</v>
      </c>
      <c r="AS74" s="7" t="s">
        <v>72</v>
      </c>
      <c r="AT74" s="314" t="s">
        <v>1</v>
      </c>
      <c r="AU74" s="32" t="s">
        <v>1</v>
      </c>
      <c r="AV74" s="30">
        <v>233</v>
      </c>
      <c r="AW74" s="32" t="s">
        <v>1</v>
      </c>
      <c r="AX74" s="31">
        <v>0.0508733624454148</v>
      </c>
      <c r="AY74" s="314" t="s">
        <v>1</v>
      </c>
      <c r="AZ74" s="317" t="s">
        <v>131</v>
      </c>
      <c r="BA74" s="32" t="s">
        <v>1</v>
      </c>
      <c r="BB74" s="31">
        <v>0.0643776824034335</v>
      </c>
      <c r="BC74" s="314" t="s">
        <v>1</v>
      </c>
      <c r="BD74" s="314" t="s">
        <v>1</v>
      </c>
      <c r="BE74" s="32" t="s">
        <v>1</v>
      </c>
      <c r="BF74" s="32" t="s">
        <v>1</v>
      </c>
      <c r="BG74" s="314" t="s">
        <v>1</v>
      </c>
      <c r="BH74" s="314" t="s">
        <v>1</v>
      </c>
      <c r="BI74" s="7" t="s">
        <v>94</v>
      </c>
      <c r="BJ74" s="7">
        <v>30</v>
      </c>
      <c r="BK74" s="7">
        <v>2055</v>
      </c>
      <c r="BL74" s="7" t="s">
        <v>72</v>
      </c>
      <c r="BM74" s="7" t="s">
        <v>74</v>
      </c>
      <c r="BN74" s="7">
        <v>151</v>
      </c>
      <c r="BO74" s="7">
        <v>847</v>
      </c>
      <c r="BP74" s="7" t="s">
        <v>72</v>
      </c>
      <c r="BQ74" s="7" t="s">
        <v>1</v>
      </c>
      <c r="BR74" s="7" t="s">
        <v>1</v>
      </c>
      <c r="BS74" s="7" t="s">
        <v>1</v>
      </c>
      <c r="BT74" s="7" t="s">
        <v>1</v>
      </c>
      <c r="BU74" s="7" t="s">
        <v>1</v>
      </c>
      <c r="BV74" s="118" t="s">
        <v>1</v>
      </c>
      <c r="BW74" s="118" t="s">
        <v>1</v>
      </c>
      <c r="BX74" s="118" t="s">
        <v>1</v>
      </c>
      <c r="BY74" s="312" t="s">
        <v>1</v>
      </c>
      <c r="BZ74" s="307" t="s">
        <v>1</v>
      </c>
      <c r="CA74" s="118" t="s">
        <v>1</v>
      </c>
      <c r="CB74" s="118" t="s">
        <v>1</v>
      </c>
      <c r="CC74" s="307" t="s">
        <v>1</v>
      </c>
      <c r="CD74" s="118" t="s">
        <v>1</v>
      </c>
      <c r="CE74" s="118" t="s">
        <v>1</v>
      </c>
      <c r="CF74" s="7" t="s">
        <v>1</v>
      </c>
    </row>
    <row r="75" ht="27" customHeight="1" spans="1:84">
      <c r="A75" s="29">
        <v>45178</v>
      </c>
      <c r="B75" s="7" t="s">
        <v>1</v>
      </c>
      <c r="C75" s="32" t="s">
        <v>1</v>
      </c>
      <c r="D75" s="30" t="s">
        <v>1</v>
      </c>
      <c r="E75" s="30" t="s">
        <v>1</v>
      </c>
      <c r="F75" s="32" t="str">
        <f t="shared" si="3"/>
        <v/>
      </c>
      <c r="G75" s="32" t="s">
        <v>1</v>
      </c>
      <c r="H75" s="7" t="s">
        <v>1</v>
      </c>
      <c r="I75" s="32" t="s">
        <v>1</v>
      </c>
      <c r="J75" s="31" t="str">
        <f t="shared" si="4"/>
        <v/>
      </c>
      <c r="K75" s="31" t="str">
        <f>IFERROR(E75/#REF!,"")</f>
        <v/>
      </c>
      <c r="L75" s="127">
        <v>116904</v>
      </c>
      <c r="M75" s="32" t="s">
        <v>72</v>
      </c>
      <c r="N75" s="32" t="s">
        <v>1</v>
      </c>
      <c r="O75" s="32">
        <v>5.35</v>
      </c>
      <c r="P75" s="32" t="s">
        <v>1</v>
      </c>
      <c r="Q75" s="31" t="e">
        <f t="shared" si="2"/>
        <v>#VALUE!</v>
      </c>
      <c r="R75" s="32" t="s">
        <v>1</v>
      </c>
      <c r="S75" s="32" t="s">
        <v>1</v>
      </c>
      <c r="T75" s="32" t="s">
        <v>1</v>
      </c>
      <c r="U75" s="32" t="s">
        <v>1</v>
      </c>
      <c r="V75" s="7" t="s">
        <v>1</v>
      </c>
      <c r="W75" s="7" t="s">
        <v>72</v>
      </c>
      <c r="X75" s="7" t="s">
        <v>1</v>
      </c>
      <c r="Y75" s="7" t="s">
        <v>72</v>
      </c>
      <c r="Z75" s="7" t="s">
        <v>1</v>
      </c>
      <c r="AA75" s="30" t="s">
        <v>72</v>
      </c>
      <c r="AB75" s="7" t="s">
        <v>1</v>
      </c>
      <c r="AC75" s="7" t="s">
        <v>72</v>
      </c>
      <c r="AD75" s="7" t="s">
        <v>1</v>
      </c>
      <c r="AE75" s="7" t="s">
        <v>72</v>
      </c>
      <c r="AF75" s="7" t="s">
        <v>1</v>
      </c>
      <c r="AG75" s="7" t="s">
        <v>72</v>
      </c>
      <c r="AH75" s="127">
        <v>4363</v>
      </c>
      <c r="AI75" s="127" t="s">
        <v>72</v>
      </c>
      <c r="AJ75" s="127">
        <v>707</v>
      </c>
      <c r="AK75" s="127" t="s">
        <v>72</v>
      </c>
      <c r="AL75" s="127">
        <v>75</v>
      </c>
      <c r="AM75" s="127" t="s">
        <v>72</v>
      </c>
      <c r="AN75" s="127">
        <v>1436</v>
      </c>
      <c r="AO75" s="127" t="s">
        <v>72</v>
      </c>
      <c r="AP75" s="127">
        <v>1912</v>
      </c>
      <c r="AQ75" s="127" t="s">
        <v>72</v>
      </c>
      <c r="AR75" s="127">
        <v>333</v>
      </c>
      <c r="AS75" s="7" t="s">
        <v>72</v>
      </c>
      <c r="AT75" s="314" t="s">
        <v>1</v>
      </c>
      <c r="AU75" s="32" t="s">
        <v>1</v>
      </c>
      <c r="AV75" s="30">
        <v>204</v>
      </c>
      <c r="AW75" s="32" t="s">
        <v>1</v>
      </c>
      <c r="AX75" s="31">
        <v>0.0420878894161337</v>
      </c>
      <c r="AY75" s="314" t="s">
        <v>1</v>
      </c>
      <c r="AZ75" s="317" t="s">
        <v>117</v>
      </c>
      <c r="BA75" s="32" t="s">
        <v>1</v>
      </c>
      <c r="BB75" s="31">
        <v>0.0833333333333333</v>
      </c>
      <c r="BC75" s="314" t="s">
        <v>1</v>
      </c>
      <c r="BD75" s="314" t="s">
        <v>1</v>
      </c>
      <c r="BE75" s="32" t="s">
        <v>1</v>
      </c>
      <c r="BF75" s="32" t="s">
        <v>1</v>
      </c>
      <c r="BG75" s="314" t="s">
        <v>1</v>
      </c>
      <c r="BH75" s="314" t="s">
        <v>1</v>
      </c>
      <c r="BI75" s="7" t="s">
        <v>94</v>
      </c>
      <c r="BJ75" s="7">
        <v>30</v>
      </c>
      <c r="BK75" s="7">
        <v>2481</v>
      </c>
      <c r="BL75" s="7" t="s">
        <v>72</v>
      </c>
      <c r="BM75" s="7" t="s">
        <v>74</v>
      </c>
      <c r="BN75" s="7">
        <v>133</v>
      </c>
      <c r="BO75" s="7">
        <v>1053</v>
      </c>
      <c r="BP75" s="7" t="s">
        <v>72</v>
      </c>
      <c r="BQ75" s="7" t="s">
        <v>1</v>
      </c>
      <c r="BR75" s="7" t="s">
        <v>1</v>
      </c>
      <c r="BS75" s="7" t="s">
        <v>1</v>
      </c>
      <c r="BT75" s="7" t="s">
        <v>1</v>
      </c>
      <c r="BU75" s="7" t="s">
        <v>1</v>
      </c>
      <c r="BV75" s="118" t="s">
        <v>1</v>
      </c>
      <c r="BW75" s="118" t="s">
        <v>1</v>
      </c>
      <c r="BX75" s="118" t="s">
        <v>1</v>
      </c>
      <c r="BY75" s="312" t="s">
        <v>1</v>
      </c>
      <c r="BZ75" s="307" t="s">
        <v>1</v>
      </c>
      <c r="CA75" s="118" t="s">
        <v>1</v>
      </c>
      <c r="CB75" s="118" t="s">
        <v>1</v>
      </c>
      <c r="CC75" s="307" t="s">
        <v>1</v>
      </c>
      <c r="CD75" s="118" t="s">
        <v>1</v>
      </c>
      <c r="CE75" s="118" t="s">
        <v>1</v>
      </c>
      <c r="CF75" s="7" t="s">
        <v>1</v>
      </c>
    </row>
    <row r="76" ht="27" customHeight="1" spans="1:84">
      <c r="A76" s="29">
        <v>45179</v>
      </c>
      <c r="B76" s="7" t="s">
        <v>89</v>
      </c>
      <c r="C76" s="32" t="s">
        <v>1</v>
      </c>
      <c r="D76" s="30" t="s">
        <v>1</v>
      </c>
      <c r="E76" s="30" t="s">
        <v>1</v>
      </c>
      <c r="F76" s="32" t="str">
        <f t="shared" si="3"/>
        <v/>
      </c>
      <c r="G76" s="32" t="s">
        <v>1</v>
      </c>
      <c r="H76" s="7" t="s">
        <v>1</v>
      </c>
      <c r="I76" s="32" t="s">
        <v>1</v>
      </c>
      <c r="J76" s="31" t="str">
        <f t="shared" si="4"/>
        <v/>
      </c>
      <c r="K76" s="31" t="str">
        <f>IFERROR(E76/#REF!,"")</f>
        <v/>
      </c>
      <c r="L76" s="127">
        <v>97734</v>
      </c>
      <c r="M76" s="32" t="s">
        <v>72</v>
      </c>
      <c r="N76" s="32" t="s">
        <v>1</v>
      </c>
      <c r="O76" s="32">
        <v>2.78</v>
      </c>
      <c r="P76" s="32" t="s">
        <v>1</v>
      </c>
      <c r="Q76" s="31" t="e">
        <f t="shared" si="2"/>
        <v>#VALUE!</v>
      </c>
      <c r="R76" s="32" t="s">
        <v>1</v>
      </c>
      <c r="S76" s="32" t="s">
        <v>1</v>
      </c>
      <c r="T76" s="32" t="s">
        <v>1</v>
      </c>
      <c r="U76" s="32" t="s">
        <v>1</v>
      </c>
      <c r="V76" s="7" t="s">
        <v>1</v>
      </c>
      <c r="W76" s="7" t="s">
        <v>72</v>
      </c>
      <c r="X76" s="7" t="s">
        <v>1</v>
      </c>
      <c r="Y76" s="7" t="s">
        <v>72</v>
      </c>
      <c r="Z76" s="7" t="s">
        <v>1</v>
      </c>
      <c r="AA76" s="30" t="s">
        <v>72</v>
      </c>
      <c r="AB76" s="7" t="s">
        <v>1</v>
      </c>
      <c r="AC76" s="7" t="s">
        <v>72</v>
      </c>
      <c r="AD76" s="7" t="s">
        <v>1</v>
      </c>
      <c r="AE76" s="7" t="s">
        <v>72</v>
      </c>
      <c r="AF76" s="7" t="s">
        <v>1</v>
      </c>
      <c r="AG76" s="7" t="s">
        <v>72</v>
      </c>
      <c r="AH76" s="127">
        <v>4282</v>
      </c>
      <c r="AI76" s="127" t="s">
        <v>72</v>
      </c>
      <c r="AJ76" s="127">
        <v>580</v>
      </c>
      <c r="AK76" s="127" t="s">
        <v>72</v>
      </c>
      <c r="AL76" s="127">
        <v>69</v>
      </c>
      <c r="AM76" s="127" t="s">
        <v>72</v>
      </c>
      <c r="AN76" s="127">
        <v>1684</v>
      </c>
      <c r="AO76" s="127" t="s">
        <v>72</v>
      </c>
      <c r="AP76" s="127">
        <v>1839</v>
      </c>
      <c r="AQ76" s="127" t="s">
        <v>72</v>
      </c>
      <c r="AR76" s="127">
        <v>330</v>
      </c>
      <c r="AS76" s="7" t="s">
        <v>72</v>
      </c>
      <c r="AT76" s="314" t="s">
        <v>1</v>
      </c>
      <c r="AU76" s="32" t="s">
        <v>1</v>
      </c>
      <c r="AV76" s="30">
        <v>211</v>
      </c>
      <c r="AW76" s="32" t="s">
        <v>1</v>
      </c>
      <c r="AX76" s="31">
        <v>0.0422676282051282</v>
      </c>
      <c r="AY76" s="314" t="s">
        <v>1</v>
      </c>
      <c r="AZ76" s="317" t="s">
        <v>132</v>
      </c>
      <c r="BA76" s="32" t="s">
        <v>1</v>
      </c>
      <c r="BB76" s="31">
        <v>0.0473933649289099</v>
      </c>
      <c r="BC76" s="314" t="s">
        <v>1</v>
      </c>
      <c r="BD76" s="314" t="s">
        <v>1</v>
      </c>
      <c r="BE76" s="32" t="s">
        <v>1</v>
      </c>
      <c r="BF76" s="32" t="s">
        <v>1</v>
      </c>
      <c r="BG76" s="314" t="s">
        <v>1</v>
      </c>
      <c r="BH76" s="314" t="s">
        <v>1</v>
      </c>
      <c r="BI76" s="7" t="s">
        <v>94</v>
      </c>
      <c r="BJ76" s="7">
        <v>33</v>
      </c>
      <c r="BK76" s="7">
        <v>2321</v>
      </c>
      <c r="BL76" s="7" t="s">
        <v>72</v>
      </c>
      <c r="BM76" s="7" t="s">
        <v>74</v>
      </c>
      <c r="BN76" s="7">
        <v>146</v>
      </c>
      <c r="BO76" s="7">
        <v>1011</v>
      </c>
      <c r="BP76" s="7" t="s">
        <v>72</v>
      </c>
      <c r="BQ76" s="7" t="s">
        <v>1</v>
      </c>
      <c r="BR76" s="7" t="s">
        <v>1</v>
      </c>
      <c r="BS76" s="7" t="s">
        <v>1</v>
      </c>
      <c r="BT76" s="7" t="s">
        <v>1</v>
      </c>
      <c r="BU76" s="7" t="s">
        <v>1</v>
      </c>
      <c r="BV76" s="118" t="s">
        <v>1</v>
      </c>
      <c r="BW76" s="118" t="s">
        <v>1</v>
      </c>
      <c r="BX76" s="118" t="s">
        <v>1</v>
      </c>
      <c r="BY76" s="312" t="s">
        <v>1</v>
      </c>
      <c r="BZ76" s="307" t="s">
        <v>1</v>
      </c>
      <c r="CA76" s="118" t="s">
        <v>1</v>
      </c>
      <c r="CB76" s="118" t="s">
        <v>1</v>
      </c>
      <c r="CC76" s="307" t="s">
        <v>1</v>
      </c>
      <c r="CD76" s="118" t="s">
        <v>1</v>
      </c>
      <c r="CE76" s="118" t="s">
        <v>1</v>
      </c>
      <c r="CF76" s="7" t="s">
        <v>1</v>
      </c>
    </row>
    <row r="77" ht="27" customHeight="1" spans="1:84">
      <c r="A77" s="29">
        <v>45180</v>
      </c>
      <c r="B77" s="7" t="s">
        <v>89</v>
      </c>
      <c r="C77" s="32" t="s">
        <v>1</v>
      </c>
      <c r="D77" s="30" t="s">
        <v>1</v>
      </c>
      <c r="E77" s="30" t="s">
        <v>1</v>
      </c>
      <c r="F77" s="32" t="str">
        <f t="shared" si="3"/>
        <v/>
      </c>
      <c r="G77" s="32" t="s">
        <v>1</v>
      </c>
      <c r="H77" s="7" t="s">
        <v>1</v>
      </c>
      <c r="I77" s="32" t="s">
        <v>1</v>
      </c>
      <c r="J77" s="31" t="str">
        <f t="shared" si="4"/>
        <v/>
      </c>
      <c r="K77" s="31" t="str">
        <f>IFERROR(E77/#REF!,"")</f>
        <v/>
      </c>
      <c r="L77" s="127">
        <v>172089</v>
      </c>
      <c r="M77" s="32" t="s">
        <v>72</v>
      </c>
      <c r="N77" s="32" t="s">
        <v>1</v>
      </c>
      <c r="O77" s="32">
        <v>6.34</v>
      </c>
      <c r="P77" s="32" t="s">
        <v>1</v>
      </c>
      <c r="Q77" s="31" t="e">
        <f t="shared" si="2"/>
        <v>#VALUE!</v>
      </c>
      <c r="R77" s="32" t="s">
        <v>1</v>
      </c>
      <c r="S77" s="32" t="s">
        <v>1</v>
      </c>
      <c r="T77" s="32" t="s">
        <v>1</v>
      </c>
      <c r="U77" s="32" t="s">
        <v>1</v>
      </c>
      <c r="V77" s="7" t="s">
        <v>1</v>
      </c>
      <c r="W77" s="7" t="s">
        <v>72</v>
      </c>
      <c r="X77" s="7" t="s">
        <v>1</v>
      </c>
      <c r="Y77" s="7" t="s">
        <v>72</v>
      </c>
      <c r="Z77" s="7" t="s">
        <v>1</v>
      </c>
      <c r="AA77" s="30" t="s">
        <v>72</v>
      </c>
      <c r="AB77" s="7" t="s">
        <v>1</v>
      </c>
      <c r="AC77" s="7" t="s">
        <v>72</v>
      </c>
      <c r="AD77" s="7" t="s">
        <v>1</v>
      </c>
      <c r="AE77" s="7" t="s">
        <v>72</v>
      </c>
      <c r="AF77" s="7" t="s">
        <v>1</v>
      </c>
      <c r="AG77" s="7" t="s">
        <v>72</v>
      </c>
      <c r="AH77" s="127">
        <v>2914</v>
      </c>
      <c r="AI77" s="127" t="s">
        <v>72</v>
      </c>
      <c r="AJ77" s="127">
        <v>625</v>
      </c>
      <c r="AK77" s="127" t="s">
        <v>72</v>
      </c>
      <c r="AL77" s="127">
        <v>67</v>
      </c>
      <c r="AM77" s="127" t="s">
        <v>72</v>
      </c>
      <c r="AN77" s="127">
        <v>1366</v>
      </c>
      <c r="AO77" s="127" t="s">
        <v>72</v>
      </c>
      <c r="AP77" s="127">
        <v>1605</v>
      </c>
      <c r="AQ77" s="127" t="s">
        <v>72</v>
      </c>
      <c r="AR77" s="127">
        <v>313</v>
      </c>
      <c r="AS77" s="7" t="s">
        <v>72</v>
      </c>
      <c r="AT77" s="314" t="s">
        <v>1</v>
      </c>
      <c r="AU77" s="32" t="s">
        <v>1</v>
      </c>
      <c r="AV77" s="30">
        <v>255</v>
      </c>
      <c r="AW77" s="32" t="s">
        <v>1</v>
      </c>
      <c r="AX77" s="31">
        <v>0.0560562761046384</v>
      </c>
      <c r="AY77" s="314" t="s">
        <v>1</v>
      </c>
      <c r="AZ77" s="317" t="s">
        <v>133</v>
      </c>
      <c r="BA77" s="32" t="s">
        <v>1</v>
      </c>
      <c r="BB77" s="31">
        <v>0.0823529411764706</v>
      </c>
      <c r="BC77" s="314" t="s">
        <v>1</v>
      </c>
      <c r="BD77" s="314" t="s">
        <v>1</v>
      </c>
      <c r="BE77" s="32" t="s">
        <v>1</v>
      </c>
      <c r="BF77" s="32" t="s">
        <v>1</v>
      </c>
      <c r="BG77" s="314" t="s">
        <v>1</v>
      </c>
      <c r="BH77" s="314" t="s">
        <v>1</v>
      </c>
      <c r="BI77" s="7" t="s">
        <v>94</v>
      </c>
      <c r="BJ77" s="7">
        <v>35</v>
      </c>
      <c r="BK77" s="7">
        <v>2106</v>
      </c>
      <c r="BL77" s="7" t="s">
        <v>72</v>
      </c>
      <c r="BM77" s="7" t="s">
        <v>74</v>
      </c>
      <c r="BN77" s="7">
        <v>161</v>
      </c>
      <c r="BO77" s="7">
        <v>870</v>
      </c>
      <c r="BP77" s="7" t="s">
        <v>72</v>
      </c>
      <c r="BQ77" s="7" t="s">
        <v>1</v>
      </c>
      <c r="BR77" s="7" t="s">
        <v>1</v>
      </c>
      <c r="BS77" s="7" t="s">
        <v>1</v>
      </c>
      <c r="BT77" s="7" t="s">
        <v>1</v>
      </c>
      <c r="BU77" s="7" t="s">
        <v>1</v>
      </c>
      <c r="BV77" s="118" t="s">
        <v>1</v>
      </c>
      <c r="BW77" s="118" t="s">
        <v>1</v>
      </c>
      <c r="BX77" s="118" t="s">
        <v>1</v>
      </c>
      <c r="BY77" s="312" t="s">
        <v>1</v>
      </c>
      <c r="BZ77" s="307" t="s">
        <v>1</v>
      </c>
      <c r="CA77" s="118" t="s">
        <v>1</v>
      </c>
      <c r="CB77" s="118" t="s">
        <v>1</v>
      </c>
      <c r="CC77" s="307" t="s">
        <v>1</v>
      </c>
      <c r="CD77" s="118" t="s">
        <v>1</v>
      </c>
      <c r="CE77" s="118" t="s">
        <v>1</v>
      </c>
      <c r="CF77" s="7" t="s">
        <v>1</v>
      </c>
    </row>
    <row r="78" ht="27" customHeight="1" spans="1:84">
      <c r="A78" s="29">
        <v>45181</v>
      </c>
      <c r="B78" s="7" t="s">
        <v>89</v>
      </c>
      <c r="C78" s="32" t="s">
        <v>1</v>
      </c>
      <c r="D78" s="30" t="s">
        <v>1</v>
      </c>
      <c r="E78" s="30" t="s">
        <v>1</v>
      </c>
      <c r="F78" s="32" t="str">
        <f t="shared" si="3"/>
        <v/>
      </c>
      <c r="G78" s="32" t="s">
        <v>1</v>
      </c>
      <c r="H78" s="7" t="s">
        <v>1</v>
      </c>
      <c r="I78" s="32" t="s">
        <v>1</v>
      </c>
      <c r="J78" s="31" t="str">
        <f t="shared" si="4"/>
        <v/>
      </c>
      <c r="K78" s="31" t="str">
        <f>IFERROR(E78/#REF!,"")</f>
        <v/>
      </c>
      <c r="L78" s="127">
        <v>102321</v>
      </c>
      <c r="M78" s="32" t="s">
        <v>72</v>
      </c>
      <c r="N78" s="32" t="s">
        <v>1</v>
      </c>
      <c r="O78" s="32">
        <v>6.2</v>
      </c>
      <c r="P78" s="32" t="s">
        <v>1</v>
      </c>
      <c r="Q78" s="31" t="e">
        <f t="shared" si="2"/>
        <v>#VALUE!</v>
      </c>
      <c r="R78" s="32" t="s">
        <v>1</v>
      </c>
      <c r="S78" s="32" t="s">
        <v>1</v>
      </c>
      <c r="T78" s="32" t="s">
        <v>1</v>
      </c>
      <c r="U78" s="32" t="s">
        <v>1</v>
      </c>
      <c r="V78" s="7" t="s">
        <v>1</v>
      </c>
      <c r="W78" s="7" t="s">
        <v>72</v>
      </c>
      <c r="X78" s="7" t="s">
        <v>1</v>
      </c>
      <c r="Y78" s="7" t="s">
        <v>72</v>
      </c>
      <c r="Z78" s="7" t="s">
        <v>1</v>
      </c>
      <c r="AA78" s="30" t="s">
        <v>72</v>
      </c>
      <c r="AB78" s="7" t="s">
        <v>1</v>
      </c>
      <c r="AC78" s="7" t="s">
        <v>72</v>
      </c>
      <c r="AD78" s="7" t="s">
        <v>1</v>
      </c>
      <c r="AE78" s="7" t="s">
        <v>72</v>
      </c>
      <c r="AF78" s="7" t="s">
        <v>1</v>
      </c>
      <c r="AG78" s="7" t="s">
        <v>72</v>
      </c>
      <c r="AH78" s="127">
        <v>2911</v>
      </c>
      <c r="AI78" s="127" t="s">
        <v>72</v>
      </c>
      <c r="AJ78" s="127">
        <v>698</v>
      </c>
      <c r="AK78" s="127" t="s">
        <v>72</v>
      </c>
      <c r="AL78" s="127">
        <v>104</v>
      </c>
      <c r="AM78" s="127" t="s">
        <v>72</v>
      </c>
      <c r="AN78" s="127">
        <v>1398</v>
      </c>
      <c r="AO78" s="127" t="s">
        <v>72</v>
      </c>
      <c r="AP78" s="127">
        <v>1635</v>
      </c>
      <c r="AQ78" s="127" t="s">
        <v>72</v>
      </c>
      <c r="AR78" s="127">
        <v>337</v>
      </c>
      <c r="AS78" s="7" t="s">
        <v>72</v>
      </c>
      <c r="AT78" s="314" t="s">
        <v>1</v>
      </c>
      <c r="AU78" s="32" t="s">
        <v>1</v>
      </c>
      <c r="AV78" s="30">
        <v>233</v>
      </c>
      <c r="AW78" s="32" t="s">
        <v>1</v>
      </c>
      <c r="AX78" s="31">
        <v>0.0502155172413793</v>
      </c>
      <c r="AY78" s="314" t="s">
        <v>1</v>
      </c>
      <c r="AZ78" s="317">
        <v>18</v>
      </c>
      <c r="BA78" s="32" t="s">
        <v>1</v>
      </c>
      <c r="BB78" s="31">
        <v>0.0772532188841202</v>
      </c>
      <c r="BC78" s="314" t="s">
        <v>1</v>
      </c>
      <c r="BD78" s="314" t="s">
        <v>1</v>
      </c>
      <c r="BE78" s="32" t="s">
        <v>1</v>
      </c>
      <c r="BF78" s="32" t="s">
        <v>1</v>
      </c>
      <c r="BG78" s="314" t="s">
        <v>1</v>
      </c>
      <c r="BH78" s="314" t="s">
        <v>1</v>
      </c>
      <c r="BI78" s="7" t="s">
        <v>94</v>
      </c>
      <c r="BJ78" s="7">
        <v>34</v>
      </c>
      <c r="BK78" s="7">
        <v>2443</v>
      </c>
      <c r="BL78" s="7" t="s">
        <v>72</v>
      </c>
      <c r="BM78" s="7" t="s">
        <v>74</v>
      </c>
      <c r="BN78" s="7">
        <v>145</v>
      </c>
      <c r="BO78" s="7">
        <v>926</v>
      </c>
      <c r="BP78" s="7" t="s">
        <v>72</v>
      </c>
      <c r="BQ78" s="7" t="s">
        <v>1</v>
      </c>
      <c r="BR78" s="7" t="s">
        <v>1</v>
      </c>
      <c r="BS78" s="7" t="s">
        <v>1</v>
      </c>
      <c r="BT78" s="7" t="s">
        <v>1</v>
      </c>
      <c r="BU78" s="7" t="s">
        <v>1</v>
      </c>
      <c r="BV78" s="118" t="s">
        <v>76</v>
      </c>
      <c r="BW78" s="118" t="s">
        <v>78</v>
      </c>
      <c r="BX78" s="118" t="s">
        <v>87</v>
      </c>
      <c r="BY78" s="307" t="s">
        <v>77</v>
      </c>
      <c r="BZ78" s="308" t="s">
        <v>85</v>
      </c>
      <c r="CA78" s="118" t="s">
        <v>105</v>
      </c>
      <c r="CB78" s="118" t="s">
        <v>79</v>
      </c>
      <c r="CC78" s="118" t="s">
        <v>128</v>
      </c>
      <c r="CD78" s="312" t="s">
        <v>134</v>
      </c>
      <c r="CE78" s="118" t="s">
        <v>107</v>
      </c>
      <c r="CF78" s="7" t="s">
        <v>1</v>
      </c>
    </row>
    <row r="79" ht="27" customHeight="1" spans="1:84">
      <c r="A79" s="29">
        <v>45182</v>
      </c>
      <c r="B79" s="7" t="s">
        <v>89</v>
      </c>
      <c r="C79" s="32" t="s">
        <v>1</v>
      </c>
      <c r="D79" s="30" t="s">
        <v>1</v>
      </c>
      <c r="E79" s="30" t="s">
        <v>1</v>
      </c>
      <c r="F79" s="32" t="str">
        <f t="shared" si="3"/>
        <v/>
      </c>
      <c r="G79" s="32" t="s">
        <v>1</v>
      </c>
      <c r="H79" s="7" t="s">
        <v>1</v>
      </c>
      <c r="I79" s="32" t="s">
        <v>1</v>
      </c>
      <c r="J79" s="31" t="str">
        <f t="shared" si="4"/>
        <v/>
      </c>
      <c r="K79" s="31" t="str">
        <f>IFERROR(E79/#REF!,"")</f>
        <v/>
      </c>
      <c r="L79" s="127">
        <v>257156</v>
      </c>
      <c r="M79" s="32" t="s">
        <v>72</v>
      </c>
      <c r="N79" s="32" t="s">
        <v>1</v>
      </c>
      <c r="O79" s="32">
        <v>7.15</v>
      </c>
      <c r="P79" s="32" t="s">
        <v>1</v>
      </c>
      <c r="Q79" s="31" t="e">
        <f t="shared" si="2"/>
        <v>#VALUE!</v>
      </c>
      <c r="R79" s="32" t="s">
        <v>1</v>
      </c>
      <c r="S79" s="32" t="s">
        <v>1</v>
      </c>
      <c r="T79" s="32" t="s">
        <v>1</v>
      </c>
      <c r="U79" s="32" t="s">
        <v>1</v>
      </c>
      <c r="V79" s="7" t="s">
        <v>1</v>
      </c>
      <c r="W79" s="7" t="s">
        <v>72</v>
      </c>
      <c r="X79" s="7" t="s">
        <v>1</v>
      </c>
      <c r="Y79" s="7" t="s">
        <v>72</v>
      </c>
      <c r="Z79" s="7" t="s">
        <v>1</v>
      </c>
      <c r="AA79" s="30" t="s">
        <v>72</v>
      </c>
      <c r="AB79" s="7" t="s">
        <v>1</v>
      </c>
      <c r="AC79" s="7" t="s">
        <v>72</v>
      </c>
      <c r="AD79" s="7" t="s">
        <v>1</v>
      </c>
      <c r="AE79" s="7" t="s">
        <v>72</v>
      </c>
      <c r="AF79" s="7" t="s">
        <v>1</v>
      </c>
      <c r="AG79" s="7" t="s">
        <v>72</v>
      </c>
      <c r="AH79" s="127">
        <v>2986</v>
      </c>
      <c r="AI79" s="127" t="s">
        <v>72</v>
      </c>
      <c r="AJ79" s="127">
        <v>676</v>
      </c>
      <c r="AK79" s="127" t="s">
        <v>72</v>
      </c>
      <c r="AL79" s="127">
        <v>89</v>
      </c>
      <c r="AM79" s="127" t="s">
        <v>72</v>
      </c>
      <c r="AN79" s="127">
        <v>1576</v>
      </c>
      <c r="AO79" s="127" t="s">
        <v>72</v>
      </c>
      <c r="AP79" s="127">
        <v>1704</v>
      </c>
      <c r="AQ79" s="127" t="s">
        <v>72</v>
      </c>
      <c r="AR79" s="127">
        <v>360</v>
      </c>
      <c r="AS79" s="7" t="s">
        <v>72</v>
      </c>
      <c r="AT79" s="314" t="s">
        <v>1</v>
      </c>
      <c r="AU79" s="32" t="s">
        <v>1</v>
      </c>
      <c r="AV79" s="30">
        <v>231</v>
      </c>
      <c r="AW79" s="32" t="s">
        <v>1</v>
      </c>
      <c r="AX79" s="31">
        <v>0.0475700164744646</v>
      </c>
      <c r="AY79" s="314" t="s">
        <v>1</v>
      </c>
      <c r="AZ79" s="317">
        <v>19</v>
      </c>
      <c r="BA79" s="32" t="s">
        <v>1</v>
      </c>
      <c r="BB79" s="31">
        <v>0.0822510822510823</v>
      </c>
      <c r="BC79" s="314" t="s">
        <v>1</v>
      </c>
      <c r="BD79" s="314" t="s">
        <v>1</v>
      </c>
      <c r="BE79" s="32" t="s">
        <v>1</v>
      </c>
      <c r="BF79" s="32" t="s">
        <v>1</v>
      </c>
      <c r="BG79" s="314" t="s">
        <v>1</v>
      </c>
      <c r="BH79" s="314" t="s">
        <v>1</v>
      </c>
      <c r="BI79" s="7" t="s">
        <v>94</v>
      </c>
      <c r="BJ79" s="7">
        <v>22</v>
      </c>
      <c r="BK79" s="7">
        <v>3062</v>
      </c>
      <c r="BL79" s="7" t="s">
        <v>72</v>
      </c>
      <c r="BM79" s="7" t="s">
        <v>73</v>
      </c>
      <c r="BN79" s="7">
        <v>98</v>
      </c>
      <c r="BO79" s="7">
        <v>1316</v>
      </c>
      <c r="BP79" s="7" t="s">
        <v>72</v>
      </c>
      <c r="BQ79" s="7" t="s">
        <v>1</v>
      </c>
      <c r="BR79" s="7" t="s">
        <v>1</v>
      </c>
      <c r="BS79" s="7" t="s">
        <v>1</v>
      </c>
      <c r="BT79" s="7" t="s">
        <v>1</v>
      </c>
      <c r="BU79" s="7" t="s">
        <v>1</v>
      </c>
      <c r="BV79" s="118" t="s">
        <v>1</v>
      </c>
      <c r="BW79" s="118" t="s">
        <v>1</v>
      </c>
      <c r="BX79" s="118" t="s">
        <v>1</v>
      </c>
      <c r="BY79" s="307" t="s">
        <v>1</v>
      </c>
      <c r="BZ79" s="308" t="s">
        <v>1</v>
      </c>
      <c r="CA79" s="118" t="s">
        <v>1</v>
      </c>
      <c r="CB79" s="118" t="s">
        <v>1</v>
      </c>
      <c r="CC79" s="118" t="s">
        <v>1</v>
      </c>
      <c r="CD79" s="312" t="s">
        <v>1</v>
      </c>
      <c r="CE79" s="118" t="s">
        <v>1</v>
      </c>
      <c r="CF79" s="7" t="s">
        <v>1</v>
      </c>
    </row>
    <row r="80" ht="27" customHeight="1" spans="1:84">
      <c r="A80" s="29">
        <v>45183</v>
      </c>
      <c r="B80" s="118" t="s">
        <v>126</v>
      </c>
      <c r="C80" s="32" t="s">
        <v>1</v>
      </c>
      <c r="D80" s="30" t="s">
        <v>1</v>
      </c>
      <c r="E80" s="30" t="s">
        <v>1</v>
      </c>
      <c r="F80" s="32" t="str">
        <f t="shared" si="3"/>
        <v/>
      </c>
      <c r="G80" s="32" t="s">
        <v>1</v>
      </c>
      <c r="H80" s="7" t="s">
        <v>1</v>
      </c>
      <c r="I80" s="32" t="s">
        <v>1</v>
      </c>
      <c r="J80" s="31" t="str">
        <f t="shared" si="4"/>
        <v/>
      </c>
      <c r="K80" s="31" t="str">
        <f>IFERROR(E80/#REF!,"")</f>
        <v/>
      </c>
      <c r="L80" s="127">
        <v>334356</v>
      </c>
      <c r="M80" s="32" t="s">
        <v>72</v>
      </c>
      <c r="N80" s="32" t="s">
        <v>1</v>
      </c>
      <c r="O80" s="32" t="s">
        <v>1</v>
      </c>
      <c r="P80" s="32" t="s">
        <v>1</v>
      </c>
      <c r="Q80" s="31" t="e">
        <f t="shared" si="2"/>
        <v>#VALUE!</v>
      </c>
      <c r="R80" s="32" t="s">
        <v>1</v>
      </c>
      <c r="S80" s="32" t="s">
        <v>1</v>
      </c>
      <c r="T80" s="32" t="s">
        <v>1</v>
      </c>
      <c r="U80" s="32" t="s">
        <v>1</v>
      </c>
      <c r="V80" s="7" t="s">
        <v>1</v>
      </c>
      <c r="W80" s="7" t="s">
        <v>72</v>
      </c>
      <c r="X80" s="7" t="s">
        <v>1</v>
      </c>
      <c r="Y80" s="7" t="s">
        <v>72</v>
      </c>
      <c r="Z80" s="7" t="s">
        <v>1</v>
      </c>
      <c r="AA80" s="30" t="s">
        <v>72</v>
      </c>
      <c r="AB80" s="7" t="s">
        <v>1</v>
      </c>
      <c r="AC80" s="7" t="s">
        <v>72</v>
      </c>
      <c r="AD80" s="7" t="s">
        <v>1</v>
      </c>
      <c r="AE80" s="7" t="s">
        <v>72</v>
      </c>
      <c r="AF80" s="7" t="s">
        <v>1</v>
      </c>
      <c r="AG80" s="7" t="s">
        <v>72</v>
      </c>
      <c r="AH80" s="127">
        <v>3118</v>
      </c>
      <c r="AI80" s="127" t="s">
        <v>72</v>
      </c>
      <c r="AJ80" s="127">
        <v>583</v>
      </c>
      <c r="AK80" s="127" t="s">
        <v>72</v>
      </c>
      <c r="AL80" s="127">
        <v>115</v>
      </c>
      <c r="AM80" s="127" t="s">
        <v>72</v>
      </c>
      <c r="AN80" s="127">
        <v>1498</v>
      </c>
      <c r="AO80" s="127" t="s">
        <v>72</v>
      </c>
      <c r="AP80" s="127">
        <v>1695</v>
      </c>
      <c r="AQ80" s="127" t="s">
        <v>72</v>
      </c>
      <c r="AR80" s="127">
        <v>359</v>
      </c>
      <c r="AS80" s="7" t="s">
        <v>72</v>
      </c>
      <c r="AT80" s="314" t="s">
        <v>1</v>
      </c>
      <c r="AU80" s="32" t="s">
        <v>1</v>
      </c>
      <c r="AV80" s="30">
        <v>253</v>
      </c>
      <c r="AW80" s="32" t="s">
        <v>1</v>
      </c>
      <c r="AX80" s="31">
        <v>0.0522403468924221</v>
      </c>
      <c r="AY80" s="314" t="s">
        <v>1</v>
      </c>
      <c r="AZ80" s="7">
        <v>29</v>
      </c>
      <c r="BA80" s="32" t="s">
        <v>1</v>
      </c>
      <c r="BB80" s="31">
        <v>0.114624505928854</v>
      </c>
      <c r="BC80" s="314" t="s">
        <v>1</v>
      </c>
      <c r="BD80" s="314" t="s">
        <v>1</v>
      </c>
      <c r="BE80" s="32" t="s">
        <v>1</v>
      </c>
      <c r="BF80" s="32" t="s">
        <v>1</v>
      </c>
      <c r="BG80" s="314" t="s">
        <v>1</v>
      </c>
      <c r="BH80" s="314" t="s">
        <v>1</v>
      </c>
      <c r="BI80" s="7" t="s">
        <v>94</v>
      </c>
      <c r="BJ80" s="7">
        <v>23</v>
      </c>
      <c r="BK80" s="7">
        <v>2889</v>
      </c>
      <c r="BL80" s="7" t="s">
        <v>72</v>
      </c>
      <c r="BM80" s="7" t="s">
        <v>74</v>
      </c>
      <c r="BN80" s="7">
        <v>115</v>
      </c>
      <c r="BO80" s="7">
        <v>1127</v>
      </c>
      <c r="BP80" s="7" t="s">
        <v>72</v>
      </c>
      <c r="BQ80" s="7" t="s">
        <v>1</v>
      </c>
      <c r="BR80" s="7" t="s">
        <v>1</v>
      </c>
      <c r="BS80" s="7" t="s">
        <v>1</v>
      </c>
      <c r="BT80" s="7" t="s">
        <v>1</v>
      </c>
      <c r="BU80" s="7" t="s">
        <v>1</v>
      </c>
      <c r="BV80" s="118" t="s">
        <v>1</v>
      </c>
      <c r="BW80" s="118" t="s">
        <v>1</v>
      </c>
      <c r="BX80" s="118" t="s">
        <v>1</v>
      </c>
      <c r="BY80" s="307" t="s">
        <v>1</v>
      </c>
      <c r="BZ80" s="308" t="s">
        <v>1</v>
      </c>
      <c r="CA80" s="118" t="s">
        <v>1</v>
      </c>
      <c r="CB80" s="118" t="s">
        <v>1</v>
      </c>
      <c r="CC80" s="118" t="s">
        <v>1</v>
      </c>
      <c r="CD80" s="312" t="s">
        <v>1</v>
      </c>
      <c r="CE80" s="118" t="s">
        <v>1</v>
      </c>
      <c r="CF80" s="7" t="s">
        <v>1</v>
      </c>
    </row>
    <row r="81" ht="27" customHeight="1" spans="1:84">
      <c r="A81" s="29">
        <v>45184</v>
      </c>
      <c r="B81" s="118" t="s">
        <v>1</v>
      </c>
      <c r="C81" s="32" t="s">
        <v>1</v>
      </c>
      <c r="D81" s="30" t="s">
        <v>1</v>
      </c>
      <c r="E81" s="30" t="s">
        <v>1</v>
      </c>
      <c r="F81" s="32" t="str">
        <f t="shared" si="3"/>
        <v/>
      </c>
      <c r="G81" s="32" t="s">
        <v>1</v>
      </c>
      <c r="H81" s="7" t="s">
        <v>1</v>
      </c>
      <c r="I81" s="32" t="s">
        <v>1</v>
      </c>
      <c r="J81" s="31" t="str">
        <f t="shared" si="4"/>
        <v/>
      </c>
      <c r="K81" s="31" t="str">
        <f>IFERROR(E81/#REF!,"")</f>
        <v/>
      </c>
      <c r="L81" s="127">
        <v>108665</v>
      </c>
      <c r="M81" s="32" t="s">
        <v>72</v>
      </c>
      <c r="N81" s="32" t="s">
        <v>1</v>
      </c>
      <c r="O81" s="32" t="s">
        <v>1</v>
      </c>
      <c r="P81" s="32" t="s">
        <v>1</v>
      </c>
      <c r="Q81" s="31" t="e">
        <f t="shared" si="2"/>
        <v>#VALUE!</v>
      </c>
      <c r="R81" s="32" t="s">
        <v>1</v>
      </c>
      <c r="S81" s="32" t="s">
        <v>1</v>
      </c>
      <c r="T81" s="32" t="s">
        <v>1</v>
      </c>
      <c r="U81" s="32" t="s">
        <v>1</v>
      </c>
      <c r="V81" s="7" t="s">
        <v>1</v>
      </c>
      <c r="W81" s="7" t="s">
        <v>72</v>
      </c>
      <c r="X81" s="7" t="s">
        <v>1</v>
      </c>
      <c r="Y81" s="7" t="s">
        <v>72</v>
      </c>
      <c r="Z81" s="7" t="s">
        <v>1</v>
      </c>
      <c r="AA81" s="30" t="s">
        <v>72</v>
      </c>
      <c r="AB81" s="7" t="s">
        <v>1</v>
      </c>
      <c r="AC81" s="7" t="s">
        <v>72</v>
      </c>
      <c r="AD81" s="7" t="s">
        <v>1</v>
      </c>
      <c r="AE81" s="7" t="s">
        <v>72</v>
      </c>
      <c r="AF81" s="7" t="s">
        <v>1</v>
      </c>
      <c r="AG81" s="7" t="s">
        <v>72</v>
      </c>
      <c r="AH81" s="127">
        <v>2853</v>
      </c>
      <c r="AI81" s="127" t="s">
        <v>72</v>
      </c>
      <c r="AJ81" s="127">
        <v>607</v>
      </c>
      <c r="AK81" s="127" t="s">
        <v>72</v>
      </c>
      <c r="AL81" s="127">
        <v>88</v>
      </c>
      <c r="AM81" s="127" t="s">
        <v>72</v>
      </c>
      <c r="AN81" s="127">
        <v>1527</v>
      </c>
      <c r="AO81" s="127" t="s">
        <v>72</v>
      </c>
      <c r="AP81" s="127">
        <v>1566</v>
      </c>
      <c r="AQ81" s="127" t="s">
        <v>72</v>
      </c>
      <c r="AR81" s="127">
        <v>286</v>
      </c>
      <c r="AS81" s="7" t="s">
        <v>72</v>
      </c>
      <c r="AT81" s="314" t="s">
        <v>1</v>
      </c>
      <c r="AU81" s="32" t="s">
        <v>1</v>
      </c>
      <c r="AV81" s="30">
        <v>288</v>
      </c>
      <c r="AW81" s="32" t="s">
        <v>1</v>
      </c>
      <c r="AX81" s="31">
        <v>0.0620957309184994</v>
      </c>
      <c r="AY81" s="314" t="s">
        <v>1</v>
      </c>
      <c r="AZ81" s="7">
        <v>34</v>
      </c>
      <c r="BA81" s="32" t="s">
        <v>1</v>
      </c>
      <c r="BB81" s="31">
        <v>0.118055555555556</v>
      </c>
      <c r="BC81" s="314" t="s">
        <v>1</v>
      </c>
      <c r="BD81" s="314" t="s">
        <v>1</v>
      </c>
      <c r="BE81" s="32" t="s">
        <v>1</v>
      </c>
      <c r="BF81" s="32" t="s">
        <v>1</v>
      </c>
      <c r="BG81" s="314" t="s">
        <v>1</v>
      </c>
      <c r="BH81" s="314" t="s">
        <v>1</v>
      </c>
      <c r="BI81" s="7" t="s">
        <v>94</v>
      </c>
      <c r="BJ81" s="7">
        <v>27</v>
      </c>
      <c r="BK81" s="7">
        <v>2412</v>
      </c>
      <c r="BL81" s="7" t="s">
        <v>72</v>
      </c>
      <c r="BM81" s="7" t="s">
        <v>74</v>
      </c>
      <c r="BN81" s="7">
        <v>140</v>
      </c>
      <c r="BO81" s="7">
        <v>964</v>
      </c>
      <c r="BP81" s="7" t="s">
        <v>72</v>
      </c>
      <c r="BQ81" s="7" t="s">
        <v>1</v>
      </c>
      <c r="BR81" s="7" t="s">
        <v>1</v>
      </c>
      <c r="BS81" s="7" t="s">
        <v>1</v>
      </c>
      <c r="BT81" s="7" t="s">
        <v>1</v>
      </c>
      <c r="BU81" s="7" t="s">
        <v>1</v>
      </c>
      <c r="BV81" s="118" t="s">
        <v>1</v>
      </c>
      <c r="BW81" s="118" t="s">
        <v>1</v>
      </c>
      <c r="BX81" s="118" t="s">
        <v>1</v>
      </c>
      <c r="BY81" s="307" t="s">
        <v>1</v>
      </c>
      <c r="BZ81" s="308" t="s">
        <v>1</v>
      </c>
      <c r="CA81" s="118" t="s">
        <v>1</v>
      </c>
      <c r="CB81" s="118" t="s">
        <v>1</v>
      </c>
      <c r="CC81" s="118" t="s">
        <v>1</v>
      </c>
      <c r="CD81" s="312" t="s">
        <v>1</v>
      </c>
      <c r="CE81" s="118" t="s">
        <v>1</v>
      </c>
      <c r="CF81" s="7" t="s">
        <v>1</v>
      </c>
    </row>
    <row r="82" ht="27" customHeight="1" spans="1:84">
      <c r="A82" s="29">
        <v>45185</v>
      </c>
      <c r="B82" s="7" t="s">
        <v>89</v>
      </c>
      <c r="C82" s="32" t="s">
        <v>1</v>
      </c>
      <c r="D82" s="30" t="s">
        <v>1</v>
      </c>
      <c r="E82" s="30" t="s">
        <v>1</v>
      </c>
      <c r="F82" s="32" t="str">
        <f t="shared" si="3"/>
        <v/>
      </c>
      <c r="G82" s="32" t="s">
        <v>1</v>
      </c>
      <c r="H82" s="7" t="s">
        <v>1</v>
      </c>
      <c r="I82" s="32" t="s">
        <v>1</v>
      </c>
      <c r="J82" s="31" t="str">
        <f t="shared" si="4"/>
        <v/>
      </c>
      <c r="K82" s="31" t="str">
        <f>IFERROR(E82/#REF!,"")</f>
        <v/>
      </c>
      <c r="L82" s="127">
        <v>26602</v>
      </c>
      <c r="M82" s="32" t="s">
        <v>72</v>
      </c>
      <c r="N82" s="32" t="s">
        <v>1</v>
      </c>
      <c r="O82" s="32" t="s">
        <v>1</v>
      </c>
      <c r="P82" s="32" t="s">
        <v>1</v>
      </c>
      <c r="Q82" s="31" t="e">
        <f t="shared" si="2"/>
        <v>#VALUE!</v>
      </c>
      <c r="R82" s="32" t="s">
        <v>1</v>
      </c>
      <c r="S82" s="32" t="s">
        <v>1</v>
      </c>
      <c r="T82" s="32" t="s">
        <v>1</v>
      </c>
      <c r="U82" s="32" t="s">
        <v>1</v>
      </c>
      <c r="V82" s="7" t="s">
        <v>1</v>
      </c>
      <c r="W82" s="7" t="s">
        <v>72</v>
      </c>
      <c r="X82" s="7" t="s">
        <v>1</v>
      </c>
      <c r="Y82" s="7" t="s">
        <v>72</v>
      </c>
      <c r="Z82" s="7" t="s">
        <v>1</v>
      </c>
      <c r="AA82" s="30" t="s">
        <v>72</v>
      </c>
      <c r="AB82" s="7" t="s">
        <v>1</v>
      </c>
      <c r="AC82" s="7" t="s">
        <v>72</v>
      </c>
      <c r="AD82" s="7" t="s">
        <v>1</v>
      </c>
      <c r="AE82" s="7" t="s">
        <v>72</v>
      </c>
      <c r="AF82" s="7" t="s">
        <v>1</v>
      </c>
      <c r="AG82" s="7" t="s">
        <v>72</v>
      </c>
      <c r="AH82" s="127">
        <v>3285</v>
      </c>
      <c r="AI82" s="127" t="s">
        <v>72</v>
      </c>
      <c r="AJ82" s="127">
        <v>605</v>
      </c>
      <c r="AK82" s="127" t="s">
        <v>72</v>
      </c>
      <c r="AL82" s="127">
        <v>119</v>
      </c>
      <c r="AM82" s="127" t="s">
        <v>72</v>
      </c>
      <c r="AN82" s="127">
        <v>1523</v>
      </c>
      <c r="AO82" s="127" t="s">
        <v>72</v>
      </c>
      <c r="AP82" s="127">
        <v>1847</v>
      </c>
      <c r="AQ82" s="127" t="s">
        <v>72</v>
      </c>
      <c r="AR82" s="127">
        <v>424</v>
      </c>
      <c r="AS82" s="7" t="s">
        <v>72</v>
      </c>
      <c r="AT82" s="314" t="s">
        <v>1</v>
      </c>
      <c r="AU82" s="32" t="s">
        <v>1</v>
      </c>
      <c r="AV82" s="30">
        <v>331</v>
      </c>
      <c r="AW82" s="32" t="s">
        <v>1</v>
      </c>
      <c r="AX82" s="31">
        <v>0.065273121672254</v>
      </c>
      <c r="AY82" s="314" t="s">
        <v>1</v>
      </c>
      <c r="AZ82" s="7">
        <v>46</v>
      </c>
      <c r="BA82" s="32" t="s">
        <v>1</v>
      </c>
      <c r="BB82" s="31">
        <v>0.138972809667674</v>
      </c>
      <c r="BC82" s="314" t="s">
        <v>1</v>
      </c>
      <c r="BD82" s="314" t="s">
        <v>1</v>
      </c>
      <c r="BE82" s="32" t="s">
        <v>1</v>
      </c>
      <c r="BF82" s="32" t="s">
        <v>1</v>
      </c>
      <c r="BG82" s="314" t="s">
        <v>1</v>
      </c>
      <c r="BH82" s="314" t="s">
        <v>1</v>
      </c>
      <c r="BI82" s="7" t="s">
        <v>94</v>
      </c>
      <c r="BJ82" s="7">
        <v>21</v>
      </c>
      <c r="BK82" s="7">
        <v>3575</v>
      </c>
      <c r="BL82" s="7" t="s">
        <v>72</v>
      </c>
      <c r="BM82" s="7" t="s">
        <v>73</v>
      </c>
      <c r="BN82" s="7">
        <v>89</v>
      </c>
      <c r="BO82" s="7">
        <v>1503</v>
      </c>
      <c r="BP82" s="7" t="s">
        <v>72</v>
      </c>
      <c r="BQ82" s="7" t="s">
        <v>1</v>
      </c>
      <c r="BR82" s="7" t="s">
        <v>1</v>
      </c>
      <c r="BS82" s="7" t="s">
        <v>1</v>
      </c>
      <c r="BT82" s="7" t="s">
        <v>1</v>
      </c>
      <c r="BU82" s="7" t="s">
        <v>1</v>
      </c>
      <c r="BV82" s="118" t="s">
        <v>1</v>
      </c>
      <c r="BW82" s="118" t="s">
        <v>1</v>
      </c>
      <c r="BX82" s="118" t="s">
        <v>1</v>
      </c>
      <c r="BY82" s="307" t="s">
        <v>1</v>
      </c>
      <c r="BZ82" s="308" t="s">
        <v>1</v>
      </c>
      <c r="CA82" s="118" t="s">
        <v>1</v>
      </c>
      <c r="CB82" s="118" t="s">
        <v>1</v>
      </c>
      <c r="CC82" s="118" t="s">
        <v>1</v>
      </c>
      <c r="CD82" s="312" t="s">
        <v>1</v>
      </c>
      <c r="CE82" s="118" t="s">
        <v>1</v>
      </c>
      <c r="CF82" s="7" t="s">
        <v>1</v>
      </c>
    </row>
    <row r="83" ht="27" customHeight="1" spans="1:84">
      <c r="A83" s="29">
        <v>45186</v>
      </c>
      <c r="B83" s="7" t="s">
        <v>89</v>
      </c>
      <c r="C83" s="32" t="s">
        <v>1</v>
      </c>
      <c r="D83" s="30" t="s">
        <v>1</v>
      </c>
      <c r="E83" s="30" t="s">
        <v>1</v>
      </c>
      <c r="F83" s="32" t="str">
        <f t="shared" si="3"/>
        <v/>
      </c>
      <c r="G83" s="32" t="s">
        <v>1</v>
      </c>
      <c r="H83" s="7" t="s">
        <v>1</v>
      </c>
      <c r="I83" s="32" t="s">
        <v>1</v>
      </c>
      <c r="J83" s="31" t="str">
        <f t="shared" si="4"/>
        <v/>
      </c>
      <c r="K83" s="31" t="str">
        <f>IFERROR(E83/#REF!,"")</f>
        <v/>
      </c>
      <c r="L83" s="127">
        <v>49458</v>
      </c>
      <c r="M83" s="32" t="s">
        <v>72</v>
      </c>
      <c r="N83" s="32" t="s">
        <v>1</v>
      </c>
      <c r="O83" s="32" t="s">
        <v>1</v>
      </c>
      <c r="P83" s="32" t="s">
        <v>1</v>
      </c>
      <c r="Q83" s="31" t="e">
        <f t="shared" si="2"/>
        <v>#VALUE!</v>
      </c>
      <c r="R83" s="32" t="s">
        <v>1</v>
      </c>
      <c r="S83" s="32" t="s">
        <v>1</v>
      </c>
      <c r="T83" s="32" t="s">
        <v>1</v>
      </c>
      <c r="U83" s="32" t="s">
        <v>1</v>
      </c>
      <c r="V83" s="7" t="s">
        <v>1</v>
      </c>
      <c r="W83" s="7" t="s">
        <v>72</v>
      </c>
      <c r="X83" s="7" t="s">
        <v>1</v>
      </c>
      <c r="Y83" s="7" t="s">
        <v>72</v>
      </c>
      <c r="Z83" s="7" t="s">
        <v>1</v>
      </c>
      <c r="AA83" s="30" t="s">
        <v>72</v>
      </c>
      <c r="AB83" s="7" t="s">
        <v>1</v>
      </c>
      <c r="AC83" s="7" t="s">
        <v>72</v>
      </c>
      <c r="AD83" s="7" t="s">
        <v>1</v>
      </c>
      <c r="AE83" s="7" t="s">
        <v>72</v>
      </c>
      <c r="AF83" s="7" t="s">
        <v>1</v>
      </c>
      <c r="AG83" s="7" t="s">
        <v>72</v>
      </c>
      <c r="AH83" s="127">
        <v>3509</v>
      </c>
      <c r="AI83" s="127" t="s">
        <v>72</v>
      </c>
      <c r="AJ83" s="127">
        <v>734</v>
      </c>
      <c r="AK83" s="127" t="s">
        <v>72</v>
      </c>
      <c r="AL83" s="127">
        <v>105</v>
      </c>
      <c r="AM83" s="127" t="s">
        <v>72</v>
      </c>
      <c r="AN83" s="127">
        <v>1527</v>
      </c>
      <c r="AO83" s="127" t="s">
        <v>72</v>
      </c>
      <c r="AP83" s="127">
        <v>2028</v>
      </c>
      <c r="AQ83" s="127" t="s">
        <v>72</v>
      </c>
      <c r="AR83" s="127">
        <v>427</v>
      </c>
      <c r="AS83" s="7" t="s">
        <v>72</v>
      </c>
      <c r="AT83" s="314" t="s">
        <v>1</v>
      </c>
      <c r="AU83" s="32" t="s">
        <v>1</v>
      </c>
      <c r="AV83" s="30">
        <v>306</v>
      </c>
      <c r="AW83" s="32" t="s">
        <v>1</v>
      </c>
      <c r="AX83" s="31">
        <v>0.0570576170054074</v>
      </c>
      <c r="AY83" s="314" t="s">
        <v>1</v>
      </c>
      <c r="AZ83" s="7">
        <v>49</v>
      </c>
      <c r="BA83" s="32" t="s">
        <v>1</v>
      </c>
      <c r="BB83" s="31">
        <v>0.160130718954248</v>
      </c>
      <c r="BC83" s="314" t="s">
        <v>1</v>
      </c>
      <c r="BD83" s="314" t="s">
        <v>1</v>
      </c>
      <c r="BE83" s="32" t="s">
        <v>1</v>
      </c>
      <c r="BF83" s="32" t="s">
        <v>1</v>
      </c>
      <c r="BG83" s="314" t="s">
        <v>1</v>
      </c>
      <c r="BH83" s="314" t="s">
        <v>1</v>
      </c>
      <c r="BI83" s="7" t="s">
        <v>102</v>
      </c>
      <c r="BJ83" s="7">
        <v>20</v>
      </c>
      <c r="BK83" s="7">
        <v>4041</v>
      </c>
      <c r="BL83" s="7" t="s">
        <v>72</v>
      </c>
      <c r="BM83" s="7" t="s">
        <v>73</v>
      </c>
      <c r="BN83" s="7">
        <v>92</v>
      </c>
      <c r="BO83" s="7">
        <v>1570</v>
      </c>
      <c r="BP83" s="7" t="s">
        <v>72</v>
      </c>
      <c r="BQ83" s="7" t="s">
        <v>1</v>
      </c>
      <c r="BR83" s="7" t="s">
        <v>1</v>
      </c>
      <c r="BS83" s="7" t="s">
        <v>1</v>
      </c>
      <c r="BT83" s="7" t="s">
        <v>1</v>
      </c>
      <c r="BU83" s="7" t="s">
        <v>1</v>
      </c>
      <c r="BV83" s="118" t="s">
        <v>1</v>
      </c>
      <c r="BW83" s="118" t="s">
        <v>1</v>
      </c>
      <c r="BX83" s="118" t="s">
        <v>1</v>
      </c>
      <c r="BY83" s="307" t="s">
        <v>1</v>
      </c>
      <c r="BZ83" s="308" t="s">
        <v>1</v>
      </c>
      <c r="CA83" s="118" t="s">
        <v>1</v>
      </c>
      <c r="CB83" s="118" t="s">
        <v>1</v>
      </c>
      <c r="CC83" s="118" t="s">
        <v>1</v>
      </c>
      <c r="CD83" s="312" t="s">
        <v>1</v>
      </c>
      <c r="CE83" s="118" t="s">
        <v>1</v>
      </c>
      <c r="CF83" s="7" t="s">
        <v>1</v>
      </c>
    </row>
    <row r="84" ht="27" customHeight="1" spans="1:84">
      <c r="A84" s="29">
        <v>45187</v>
      </c>
      <c r="B84" s="7" t="s">
        <v>89</v>
      </c>
      <c r="C84" s="32" t="s">
        <v>1</v>
      </c>
      <c r="D84" s="30" t="s">
        <v>1</v>
      </c>
      <c r="E84" s="30" t="s">
        <v>1</v>
      </c>
      <c r="F84" s="32" t="str">
        <f t="shared" si="3"/>
        <v/>
      </c>
      <c r="G84" s="32" t="s">
        <v>1</v>
      </c>
      <c r="H84" s="7" t="s">
        <v>1</v>
      </c>
      <c r="I84" s="32" t="s">
        <v>1</v>
      </c>
      <c r="J84" s="31" t="str">
        <f t="shared" si="4"/>
        <v/>
      </c>
      <c r="K84" s="31" t="str">
        <f>IFERROR(E84/#REF!,"")</f>
        <v/>
      </c>
      <c r="L84" s="127">
        <v>17117</v>
      </c>
      <c r="M84" s="32" t="s">
        <v>72</v>
      </c>
      <c r="N84" s="32" t="s">
        <v>1</v>
      </c>
      <c r="O84" s="32" t="s">
        <v>1</v>
      </c>
      <c r="P84" s="32" t="s">
        <v>1</v>
      </c>
      <c r="Q84" s="31" t="e">
        <f t="shared" si="2"/>
        <v>#VALUE!</v>
      </c>
      <c r="R84" s="32" t="s">
        <v>1</v>
      </c>
      <c r="S84" s="32" t="s">
        <v>1</v>
      </c>
      <c r="T84" s="32" t="s">
        <v>1</v>
      </c>
      <c r="U84" s="32" t="s">
        <v>1</v>
      </c>
      <c r="V84" s="7" t="s">
        <v>1</v>
      </c>
      <c r="W84" s="7" t="s">
        <v>72</v>
      </c>
      <c r="X84" s="7" t="s">
        <v>1</v>
      </c>
      <c r="Y84" s="7" t="s">
        <v>72</v>
      </c>
      <c r="Z84" s="7" t="s">
        <v>1</v>
      </c>
      <c r="AA84" s="30" t="s">
        <v>72</v>
      </c>
      <c r="AB84" s="7" t="s">
        <v>1</v>
      </c>
      <c r="AC84" s="7" t="s">
        <v>72</v>
      </c>
      <c r="AD84" s="7" t="s">
        <v>1</v>
      </c>
      <c r="AE84" s="7" t="s">
        <v>72</v>
      </c>
      <c r="AF84" s="7" t="s">
        <v>1</v>
      </c>
      <c r="AG84" s="7" t="s">
        <v>72</v>
      </c>
      <c r="AH84" s="127">
        <v>3381</v>
      </c>
      <c r="AI84" s="127" t="s">
        <v>72</v>
      </c>
      <c r="AJ84" s="127">
        <v>739</v>
      </c>
      <c r="AK84" s="127" t="s">
        <v>72</v>
      </c>
      <c r="AL84" s="127">
        <v>133</v>
      </c>
      <c r="AM84" s="127" t="s">
        <v>72</v>
      </c>
      <c r="AN84" s="127">
        <v>1369</v>
      </c>
      <c r="AO84" s="127" t="s">
        <v>72</v>
      </c>
      <c r="AP84" s="127">
        <v>1900</v>
      </c>
      <c r="AQ84" s="127" t="s">
        <v>72</v>
      </c>
      <c r="AR84" s="127">
        <v>442</v>
      </c>
      <c r="AS84" s="7" t="s">
        <v>72</v>
      </c>
      <c r="AT84" s="314" t="s">
        <v>1</v>
      </c>
      <c r="AU84" s="32" t="s">
        <v>1</v>
      </c>
      <c r="AV84" s="30">
        <v>319</v>
      </c>
      <c r="AW84" s="32" t="s">
        <v>1</v>
      </c>
      <c r="AX84" s="31">
        <v>0.0626104023552502</v>
      </c>
      <c r="AY84" s="314" t="s">
        <v>1</v>
      </c>
      <c r="AZ84" s="7">
        <v>51</v>
      </c>
      <c r="BA84" s="32" t="s">
        <v>1</v>
      </c>
      <c r="BB84" s="31">
        <v>0.15987460815047</v>
      </c>
      <c r="BC84" s="314" t="s">
        <v>1</v>
      </c>
      <c r="BD84" s="314" t="s">
        <v>1</v>
      </c>
      <c r="BE84" s="32" t="s">
        <v>1</v>
      </c>
      <c r="BF84" s="32" t="s">
        <v>1</v>
      </c>
      <c r="BG84" s="314" t="s">
        <v>1</v>
      </c>
      <c r="BH84" s="314" t="s">
        <v>1</v>
      </c>
      <c r="BI84" s="7" t="s">
        <v>102</v>
      </c>
      <c r="BJ84" s="7">
        <v>21</v>
      </c>
      <c r="BK84" s="7">
        <v>3651</v>
      </c>
      <c r="BL84" s="7" t="s">
        <v>72</v>
      </c>
      <c r="BM84" s="7" t="s">
        <v>73</v>
      </c>
      <c r="BN84" s="7">
        <v>81</v>
      </c>
      <c r="BO84" s="7">
        <v>1646</v>
      </c>
      <c r="BP84" s="7" t="s">
        <v>72</v>
      </c>
      <c r="BQ84" s="7" t="s">
        <v>1</v>
      </c>
      <c r="BR84" s="7" t="s">
        <v>1</v>
      </c>
      <c r="BS84" s="7" t="s">
        <v>1</v>
      </c>
      <c r="BT84" s="7" t="s">
        <v>1</v>
      </c>
      <c r="BU84" s="7" t="s">
        <v>1</v>
      </c>
      <c r="BV84" s="118" t="s">
        <v>1</v>
      </c>
      <c r="BW84" s="118" t="s">
        <v>1</v>
      </c>
      <c r="BX84" s="118" t="s">
        <v>1</v>
      </c>
      <c r="BY84" s="307" t="s">
        <v>1</v>
      </c>
      <c r="BZ84" s="308" t="s">
        <v>1</v>
      </c>
      <c r="CA84" s="118" t="s">
        <v>1</v>
      </c>
      <c r="CB84" s="118" t="s">
        <v>1</v>
      </c>
      <c r="CC84" s="118" t="s">
        <v>1</v>
      </c>
      <c r="CD84" s="312" t="s">
        <v>1</v>
      </c>
      <c r="CE84" s="118" t="s">
        <v>1</v>
      </c>
      <c r="CF84" s="7" t="s">
        <v>1</v>
      </c>
    </row>
    <row r="85" ht="27" customHeight="1" spans="1:84">
      <c r="A85" s="29">
        <v>45188</v>
      </c>
      <c r="B85" s="7" t="s">
        <v>126</v>
      </c>
      <c r="C85" s="32" t="s">
        <v>1</v>
      </c>
      <c r="D85" s="30" t="s">
        <v>1</v>
      </c>
      <c r="E85" s="30" t="s">
        <v>1</v>
      </c>
      <c r="F85" s="32" t="str">
        <f t="shared" si="3"/>
        <v/>
      </c>
      <c r="G85" s="32" t="s">
        <v>1</v>
      </c>
      <c r="H85" s="7" t="s">
        <v>1</v>
      </c>
      <c r="I85" s="32" t="s">
        <v>1</v>
      </c>
      <c r="J85" s="31" t="str">
        <f t="shared" si="4"/>
        <v/>
      </c>
      <c r="K85" s="31" t="str">
        <f>IFERROR(E85/#REF!,"")</f>
        <v/>
      </c>
      <c r="L85" s="127">
        <v>247956</v>
      </c>
      <c r="M85" s="32" t="s">
        <v>72</v>
      </c>
      <c r="N85" s="32" t="s">
        <v>1</v>
      </c>
      <c r="O85" s="32" t="s">
        <v>1</v>
      </c>
      <c r="P85" s="32" t="s">
        <v>1</v>
      </c>
      <c r="Q85" s="31" t="e">
        <f t="shared" si="2"/>
        <v>#VALUE!</v>
      </c>
      <c r="R85" s="32" t="s">
        <v>1</v>
      </c>
      <c r="S85" s="32" t="s">
        <v>1</v>
      </c>
      <c r="T85" s="32" t="s">
        <v>1</v>
      </c>
      <c r="U85" s="32" t="s">
        <v>1</v>
      </c>
      <c r="V85" s="7" t="s">
        <v>1</v>
      </c>
      <c r="W85" s="7" t="s">
        <v>72</v>
      </c>
      <c r="X85" s="7" t="s">
        <v>1</v>
      </c>
      <c r="Y85" s="7" t="s">
        <v>72</v>
      </c>
      <c r="Z85" s="7" t="s">
        <v>1</v>
      </c>
      <c r="AA85" s="30" t="s">
        <v>72</v>
      </c>
      <c r="AB85" s="7" t="s">
        <v>1</v>
      </c>
      <c r="AC85" s="7" t="s">
        <v>72</v>
      </c>
      <c r="AD85" s="7" t="s">
        <v>1</v>
      </c>
      <c r="AE85" s="7" t="s">
        <v>72</v>
      </c>
      <c r="AF85" s="7" t="s">
        <v>1</v>
      </c>
      <c r="AG85" s="7" t="s">
        <v>72</v>
      </c>
      <c r="AH85" s="127">
        <v>3626</v>
      </c>
      <c r="AI85" s="127" t="s">
        <v>72</v>
      </c>
      <c r="AJ85" s="127">
        <v>716</v>
      </c>
      <c r="AK85" s="127" t="s">
        <v>72</v>
      </c>
      <c r="AL85" s="127">
        <v>161</v>
      </c>
      <c r="AM85" s="127" t="s">
        <v>72</v>
      </c>
      <c r="AN85" s="127">
        <v>1405</v>
      </c>
      <c r="AO85" s="127" t="s">
        <v>72</v>
      </c>
      <c r="AP85" s="127">
        <v>1838</v>
      </c>
      <c r="AQ85" s="127" t="s">
        <v>72</v>
      </c>
      <c r="AR85" s="127">
        <v>503</v>
      </c>
      <c r="AS85" s="7" t="s">
        <v>72</v>
      </c>
      <c r="AT85" s="314" t="s">
        <v>1</v>
      </c>
      <c r="AU85" s="32" t="s">
        <v>1</v>
      </c>
      <c r="AV85" s="30">
        <v>363</v>
      </c>
      <c r="AW85" s="32" t="s">
        <v>1</v>
      </c>
      <c r="AX85" s="31">
        <v>0.0677997758685095</v>
      </c>
      <c r="AY85" s="314" t="s">
        <v>1</v>
      </c>
      <c r="AZ85" s="7">
        <v>51</v>
      </c>
      <c r="BA85" s="32" t="s">
        <v>1</v>
      </c>
      <c r="BB85" s="31">
        <v>0.140495867768595</v>
      </c>
      <c r="BC85" s="314" t="s">
        <v>1</v>
      </c>
      <c r="BD85" s="314" t="s">
        <v>1</v>
      </c>
      <c r="BE85" s="32" t="s">
        <v>1</v>
      </c>
      <c r="BF85" s="32" t="s">
        <v>1</v>
      </c>
      <c r="BG85" s="314" t="s">
        <v>1</v>
      </c>
      <c r="BH85" s="314" t="s">
        <v>1</v>
      </c>
      <c r="BI85" s="7" t="s">
        <v>102</v>
      </c>
      <c r="BJ85" s="7">
        <v>20</v>
      </c>
      <c r="BK85" s="7">
        <v>3498</v>
      </c>
      <c r="BL85" s="7" t="s">
        <v>72</v>
      </c>
      <c r="BM85" s="7" t="s">
        <v>73</v>
      </c>
      <c r="BN85" s="7">
        <v>80</v>
      </c>
      <c r="BO85" s="7">
        <v>1641</v>
      </c>
      <c r="BP85" s="7" t="s">
        <v>72</v>
      </c>
      <c r="BQ85" s="7" t="s">
        <v>1</v>
      </c>
      <c r="BR85" s="7" t="s">
        <v>1</v>
      </c>
      <c r="BS85" s="7" t="s">
        <v>1</v>
      </c>
      <c r="BT85" s="7" t="s">
        <v>1</v>
      </c>
      <c r="BU85" s="7" t="s">
        <v>1</v>
      </c>
      <c r="BV85" s="7" t="s">
        <v>1</v>
      </c>
      <c r="BW85" s="7" t="s">
        <v>1</v>
      </c>
      <c r="BX85" s="7" t="s">
        <v>1</v>
      </c>
      <c r="BY85" s="7" t="s">
        <v>1</v>
      </c>
      <c r="BZ85" s="7" t="s">
        <v>1</v>
      </c>
      <c r="CA85" s="7" t="s">
        <v>1</v>
      </c>
      <c r="CB85" s="7" t="s">
        <v>1</v>
      </c>
      <c r="CC85" s="7" t="s">
        <v>1</v>
      </c>
      <c r="CD85" s="7" t="s">
        <v>1</v>
      </c>
      <c r="CE85" s="7" t="s">
        <v>1</v>
      </c>
      <c r="CF85" s="7" t="s">
        <v>1</v>
      </c>
    </row>
    <row r="86" ht="27" customHeight="1" spans="1:84">
      <c r="A86" s="29">
        <v>45189</v>
      </c>
      <c r="B86" s="7" t="s">
        <v>125</v>
      </c>
      <c r="C86" s="32" t="s">
        <v>1</v>
      </c>
      <c r="D86" s="30" t="s">
        <v>1</v>
      </c>
      <c r="E86" s="30" t="s">
        <v>1</v>
      </c>
      <c r="F86" s="32" t="str">
        <f t="shared" si="3"/>
        <v/>
      </c>
      <c r="G86" s="32" t="s">
        <v>1</v>
      </c>
      <c r="H86" s="7" t="s">
        <v>1</v>
      </c>
      <c r="I86" s="32" t="s">
        <v>1</v>
      </c>
      <c r="J86" s="31" t="str">
        <f t="shared" si="4"/>
        <v/>
      </c>
      <c r="K86" s="31" t="str">
        <f>IFERROR(E86/#REF!,"")</f>
        <v/>
      </c>
      <c r="L86" s="127">
        <v>155604</v>
      </c>
      <c r="M86" s="32" t="s">
        <v>72</v>
      </c>
      <c r="N86" s="32" t="s">
        <v>1</v>
      </c>
      <c r="O86" s="32" t="s">
        <v>1</v>
      </c>
      <c r="P86" s="32" t="s">
        <v>1</v>
      </c>
      <c r="Q86" s="31" t="e">
        <f t="shared" si="2"/>
        <v>#VALUE!</v>
      </c>
      <c r="R86" s="32" t="s">
        <v>1</v>
      </c>
      <c r="S86" s="32" t="s">
        <v>1</v>
      </c>
      <c r="T86" s="32" t="s">
        <v>1</v>
      </c>
      <c r="U86" s="32" t="s">
        <v>1</v>
      </c>
      <c r="V86" s="7" t="s">
        <v>1</v>
      </c>
      <c r="W86" s="7" t="s">
        <v>72</v>
      </c>
      <c r="X86" s="7" t="s">
        <v>1</v>
      </c>
      <c r="Y86" s="7" t="s">
        <v>72</v>
      </c>
      <c r="Z86" s="7" t="s">
        <v>1</v>
      </c>
      <c r="AA86" s="30" t="s">
        <v>72</v>
      </c>
      <c r="AB86" s="7" t="s">
        <v>1</v>
      </c>
      <c r="AC86" s="7" t="s">
        <v>72</v>
      </c>
      <c r="AD86" s="7" t="s">
        <v>1</v>
      </c>
      <c r="AE86" s="7" t="s">
        <v>72</v>
      </c>
      <c r="AF86" s="7" t="s">
        <v>1</v>
      </c>
      <c r="AG86" s="7" t="s">
        <v>72</v>
      </c>
      <c r="AH86" s="127">
        <v>3453</v>
      </c>
      <c r="AI86" s="127" t="s">
        <v>72</v>
      </c>
      <c r="AJ86" s="127">
        <v>662</v>
      </c>
      <c r="AK86" s="127" t="s">
        <v>72</v>
      </c>
      <c r="AL86" s="127">
        <v>128</v>
      </c>
      <c r="AM86" s="127" t="s">
        <v>72</v>
      </c>
      <c r="AN86" s="127">
        <v>1290</v>
      </c>
      <c r="AO86" s="127" t="s">
        <v>72</v>
      </c>
      <c r="AP86" s="127">
        <v>1738</v>
      </c>
      <c r="AQ86" s="127" t="s">
        <v>72</v>
      </c>
      <c r="AR86" s="127">
        <v>337</v>
      </c>
      <c r="AS86" s="7" t="s">
        <v>72</v>
      </c>
      <c r="AT86" s="314" t="s">
        <v>1</v>
      </c>
      <c r="AU86" s="32" t="s">
        <v>1</v>
      </c>
      <c r="AV86" s="30">
        <v>385</v>
      </c>
      <c r="AW86" s="32" t="s">
        <v>1</v>
      </c>
      <c r="AX86" s="31">
        <v>0.0763737353699663</v>
      </c>
      <c r="AY86" s="314" t="s">
        <v>1</v>
      </c>
      <c r="AZ86" s="7">
        <v>48</v>
      </c>
      <c r="BA86" s="32" t="s">
        <v>1</v>
      </c>
      <c r="BB86" s="31">
        <v>0.124675324675325</v>
      </c>
      <c r="BC86" s="314" t="s">
        <v>1</v>
      </c>
      <c r="BD86" s="314" t="s">
        <v>1</v>
      </c>
      <c r="BE86" s="32" t="s">
        <v>1</v>
      </c>
      <c r="BF86" s="32" t="s">
        <v>1</v>
      </c>
      <c r="BG86" s="314" t="s">
        <v>1</v>
      </c>
      <c r="BH86" s="314" t="s">
        <v>1</v>
      </c>
      <c r="BI86" s="7" t="s">
        <v>102</v>
      </c>
      <c r="BJ86" s="7">
        <v>24</v>
      </c>
      <c r="BK86" s="7">
        <v>2418</v>
      </c>
      <c r="BL86" s="7" t="s">
        <v>72</v>
      </c>
      <c r="BM86" s="7" t="s">
        <v>74</v>
      </c>
      <c r="BN86" s="7">
        <v>122</v>
      </c>
      <c r="BO86" s="7">
        <v>1024</v>
      </c>
      <c r="BP86" s="7" t="s">
        <v>72</v>
      </c>
      <c r="BQ86" s="7" t="s">
        <v>1</v>
      </c>
      <c r="BR86" s="7" t="s">
        <v>1</v>
      </c>
      <c r="BS86" s="7" t="s">
        <v>1</v>
      </c>
      <c r="BT86" s="7" t="s">
        <v>1</v>
      </c>
      <c r="BU86" s="7" t="s">
        <v>1</v>
      </c>
      <c r="BV86" s="7" t="s">
        <v>1</v>
      </c>
      <c r="BW86" s="7" t="s">
        <v>1</v>
      </c>
      <c r="BX86" s="7" t="s">
        <v>1</v>
      </c>
      <c r="BY86" s="7" t="s">
        <v>1</v>
      </c>
      <c r="BZ86" s="7" t="s">
        <v>1</v>
      </c>
      <c r="CA86" s="7" t="s">
        <v>1</v>
      </c>
      <c r="CB86" s="7" t="s">
        <v>1</v>
      </c>
      <c r="CC86" s="7" t="s">
        <v>1</v>
      </c>
      <c r="CD86" s="7" t="s">
        <v>1</v>
      </c>
      <c r="CE86" s="7" t="s">
        <v>1</v>
      </c>
      <c r="CF86" s="7" t="s">
        <v>1</v>
      </c>
    </row>
    <row r="87" ht="27" customHeight="1" spans="1:84">
      <c r="A87" s="29">
        <v>45190</v>
      </c>
      <c r="B87" s="7" t="s">
        <v>89</v>
      </c>
      <c r="C87" s="32" t="s">
        <v>1</v>
      </c>
      <c r="D87" s="30" t="s">
        <v>1</v>
      </c>
      <c r="E87" s="30" t="s">
        <v>1</v>
      </c>
      <c r="F87" s="32" t="str">
        <f t="shared" si="3"/>
        <v/>
      </c>
      <c r="G87" s="32" t="s">
        <v>1</v>
      </c>
      <c r="H87" s="7" t="s">
        <v>1</v>
      </c>
      <c r="I87" s="32" t="s">
        <v>1</v>
      </c>
      <c r="J87" s="31" t="str">
        <f t="shared" si="4"/>
        <v/>
      </c>
      <c r="K87" s="31" t="str">
        <f>IFERROR(E87/#REF!,"")</f>
        <v/>
      </c>
      <c r="L87" s="127">
        <v>121800</v>
      </c>
      <c r="M87" s="32" t="s">
        <v>72</v>
      </c>
      <c r="N87" s="32" t="s">
        <v>1</v>
      </c>
      <c r="O87" s="32" t="s">
        <v>1</v>
      </c>
      <c r="P87" s="32" t="s">
        <v>1</v>
      </c>
      <c r="Q87" s="31" t="e">
        <f t="shared" si="2"/>
        <v>#VALUE!</v>
      </c>
      <c r="R87" s="32" t="s">
        <v>1</v>
      </c>
      <c r="S87" s="32" t="s">
        <v>1</v>
      </c>
      <c r="T87" s="32" t="s">
        <v>1</v>
      </c>
      <c r="U87" s="32" t="s">
        <v>1</v>
      </c>
      <c r="V87" s="7" t="s">
        <v>1</v>
      </c>
      <c r="W87" s="7" t="s">
        <v>72</v>
      </c>
      <c r="X87" s="7" t="s">
        <v>1</v>
      </c>
      <c r="Y87" s="7" t="s">
        <v>72</v>
      </c>
      <c r="Z87" s="7" t="s">
        <v>1</v>
      </c>
      <c r="AA87" s="30" t="s">
        <v>72</v>
      </c>
      <c r="AB87" s="7" t="s">
        <v>1</v>
      </c>
      <c r="AC87" s="7" t="s">
        <v>72</v>
      </c>
      <c r="AD87" s="7" t="s">
        <v>1</v>
      </c>
      <c r="AE87" s="7" t="s">
        <v>72</v>
      </c>
      <c r="AF87" s="7" t="s">
        <v>1</v>
      </c>
      <c r="AG87" s="7" t="s">
        <v>72</v>
      </c>
      <c r="AH87" s="127">
        <v>3450</v>
      </c>
      <c r="AI87" s="127" t="s">
        <v>72</v>
      </c>
      <c r="AJ87" s="127">
        <v>542</v>
      </c>
      <c r="AK87" s="127" t="s">
        <v>72</v>
      </c>
      <c r="AL87" s="127">
        <v>94</v>
      </c>
      <c r="AM87" s="127" t="s">
        <v>72</v>
      </c>
      <c r="AN87" s="127">
        <v>1480</v>
      </c>
      <c r="AO87" s="127" t="s">
        <v>72</v>
      </c>
      <c r="AP87" s="127">
        <v>1859</v>
      </c>
      <c r="AQ87" s="127" t="s">
        <v>72</v>
      </c>
      <c r="AR87" s="127">
        <v>384</v>
      </c>
      <c r="AS87" s="7" t="s">
        <v>72</v>
      </c>
      <c r="AT87" s="314" t="s">
        <v>1</v>
      </c>
      <c r="AU87" s="32" t="s">
        <v>1</v>
      </c>
      <c r="AV87" s="30">
        <v>346</v>
      </c>
      <c r="AW87" s="32" t="s">
        <v>1</v>
      </c>
      <c r="AX87" s="31">
        <v>0.0674858591769066</v>
      </c>
      <c r="AY87" s="314" t="s">
        <v>1</v>
      </c>
      <c r="AZ87" s="7">
        <v>36</v>
      </c>
      <c r="BA87" s="32" t="s">
        <v>1</v>
      </c>
      <c r="BB87" s="31">
        <v>0.104046242774566</v>
      </c>
      <c r="BC87" s="314" t="s">
        <v>1</v>
      </c>
      <c r="BD87" s="314" t="s">
        <v>1</v>
      </c>
      <c r="BE87" s="32" t="s">
        <v>1</v>
      </c>
      <c r="BF87" s="32" t="s">
        <v>1</v>
      </c>
      <c r="BG87" s="314" t="s">
        <v>1</v>
      </c>
      <c r="BH87" s="314" t="s">
        <v>1</v>
      </c>
      <c r="BI87" s="7" t="s">
        <v>102</v>
      </c>
      <c r="BJ87" s="7">
        <v>19</v>
      </c>
      <c r="BK87" s="7">
        <v>3195</v>
      </c>
      <c r="BL87" s="7" t="s">
        <v>72</v>
      </c>
      <c r="BM87" s="7" t="s">
        <v>74</v>
      </c>
      <c r="BN87" s="7">
        <v>139</v>
      </c>
      <c r="BO87" s="7">
        <v>958</v>
      </c>
      <c r="BP87" s="7" t="s">
        <v>72</v>
      </c>
      <c r="BQ87" s="7" t="s">
        <v>1</v>
      </c>
      <c r="BR87" s="7" t="s">
        <v>1</v>
      </c>
      <c r="BS87" s="7" t="s">
        <v>1</v>
      </c>
      <c r="BT87" s="7" t="s">
        <v>1</v>
      </c>
      <c r="BU87" s="7" t="s">
        <v>1</v>
      </c>
      <c r="BV87" s="7" t="s">
        <v>1</v>
      </c>
      <c r="BW87" s="7" t="s">
        <v>1</v>
      </c>
      <c r="BX87" s="7" t="s">
        <v>1</v>
      </c>
      <c r="BY87" s="7" t="s">
        <v>1</v>
      </c>
      <c r="BZ87" s="7" t="s">
        <v>1</v>
      </c>
      <c r="CA87" s="7" t="s">
        <v>1</v>
      </c>
      <c r="CB87" s="7" t="s">
        <v>1</v>
      </c>
      <c r="CC87" s="7" t="s">
        <v>1</v>
      </c>
      <c r="CD87" s="7" t="s">
        <v>1</v>
      </c>
      <c r="CE87" s="7" t="s">
        <v>1</v>
      </c>
      <c r="CF87" s="7" t="s">
        <v>1</v>
      </c>
    </row>
    <row r="88" ht="27" customHeight="1" spans="1:84">
      <c r="A88" s="29">
        <v>45191</v>
      </c>
      <c r="B88" s="7" t="s">
        <v>89</v>
      </c>
      <c r="C88" s="32" t="s">
        <v>1</v>
      </c>
      <c r="D88" s="30" t="s">
        <v>1</v>
      </c>
      <c r="E88" s="30" t="s">
        <v>1</v>
      </c>
      <c r="F88" s="32" t="str">
        <f t="shared" si="3"/>
        <v/>
      </c>
      <c r="G88" s="32" t="s">
        <v>1</v>
      </c>
      <c r="H88" s="7" t="s">
        <v>1</v>
      </c>
      <c r="I88" s="32" t="s">
        <v>1</v>
      </c>
      <c r="J88" s="31" t="str">
        <f t="shared" si="4"/>
        <v/>
      </c>
      <c r="K88" s="31" t="str">
        <f>IFERROR(E88/#REF!,"")</f>
        <v/>
      </c>
      <c r="L88" s="127">
        <v>123389</v>
      </c>
      <c r="M88" s="32" t="s">
        <v>72</v>
      </c>
      <c r="N88" s="32" t="s">
        <v>1</v>
      </c>
      <c r="O88" s="32" t="s">
        <v>1</v>
      </c>
      <c r="P88" s="32" t="s">
        <v>1</v>
      </c>
      <c r="Q88" s="31" t="e">
        <f t="shared" si="2"/>
        <v>#VALUE!</v>
      </c>
      <c r="R88" s="32" t="s">
        <v>1</v>
      </c>
      <c r="S88" s="32" t="s">
        <v>1</v>
      </c>
      <c r="T88" s="32" t="s">
        <v>1</v>
      </c>
      <c r="U88" s="32" t="s">
        <v>1</v>
      </c>
      <c r="V88" s="7" t="s">
        <v>1</v>
      </c>
      <c r="W88" s="7" t="s">
        <v>72</v>
      </c>
      <c r="X88" s="7" t="s">
        <v>1</v>
      </c>
      <c r="Y88" s="7" t="s">
        <v>72</v>
      </c>
      <c r="Z88" s="7" t="s">
        <v>1</v>
      </c>
      <c r="AA88" s="30" t="s">
        <v>72</v>
      </c>
      <c r="AB88" s="7" t="s">
        <v>1</v>
      </c>
      <c r="AC88" s="7" t="s">
        <v>72</v>
      </c>
      <c r="AD88" s="7" t="s">
        <v>1</v>
      </c>
      <c r="AE88" s="7" t="s">
        <v>72</v>
      </c>
      <c r="AF88" s="7" t="s">
        <v>1</v>
      </c>
      <c r="AG88" s="7" t="s">
        <v>72</v>
      </c>
      <c r="AH88" s="127">
        <v>2876</v>
      </c>
      <c r="AI88" s="127" t="s">
        <v>72</v>
      </c>
      <c r="AJ88" s="127">
        <v>616</v>
      </c>
      <c r="AK88" s="127" t="s">
        <v>72</v>
      </c>
      <c r="AL88" s="127">
        <v>113</v>
      </c>
      <c r="AM88" s="127" t="s">
        <v>72</v>
      </c>
      <c r="AN88" s="127">
        <v>1262</v>
      </c>
      <c r="AO88" s="127" t="s">
        <v>72</v>
      </c>
      <c r="AP88" s="127">
        <v>1471</v>
      </c>
      <c r="AQ88" s="127" t="s">
        <v>72</v>
      </c>
      <c r="AR88" s="127">
        <v>256</v>
      </c>
      <c r="AS88" s="7" t="s">
        <v>72</v>
      </c>
      <c r="AT88" s="314" t="s">
        <v>1</v>
      </c>
      <c r="AU88" s="32" t="s">
        <v>1</v>
      </c>
      <c r="AV88" s="30">
        <v>294</v>
      </c>
      <c r="AW88" s="32" t="s">
        <v>1</v>
      </c>
      <c r="AX88" s="31">
        <v>0.0665007916760914</v>
      </c>
      <c r="AY88" s="314" t="s">
        <v>1</v>
      </c>
      <c r="AZ88" s="7">
        <v>24</v>
      </c>
      <c r="BA88" s="32" t="s">
        <v>1</v>
      </c>
      <c r="BB88" s="31">
        <v>0.0816326530612245</v>
      </c>
      <c r="BC88" s="314" t="s">
        <v>1</v>
      </c>
      <c r="BD88" s="314" t="s">
        <v>1</v>
      </c>
      <c r="BE88" s="32" t="s">
        <v>1</v>
      </c>
      <c r="BF88" s="32" t="s">
        <v>1</v>
      </c>
      <c r="BG88" s="314" t="s">
        <v>1</v>
      </c>
      <c r="BH88" s="314" t="s">
        <v>1</v>
      </c>
      <c r="BI88" s="7" t="s">
        <v>94</v>
      </c>
      <c r="BJ88" s="7">
        <v>26</v>
      </c>
      <c r="BK88" s="7">
        <v>2792</v>
      </c>
      <c r="BL88" s="7" t="s">
        <v>72</v>
      </c>
      <c r="BM88" s="7" t="s">
        <v>74</v>
      </c>
      <c r="BN88" s="7">
        <v>157</v>
      </c>
      <c r="BO88" s="7">
        <v>797</v>
      </c>
      <c r="BP88" s="7" t="s">
        <v>72</v>
      </c>
      <c r="BQ88" s="7" t="s">
        <v>1</v>
      </c>
      <c r="BR88" s="7" t="s">
        <v>1</v>
      </c>
      <c r="BS88" s="7" t="s">
        <v>1</v>
      </c>
      <c r="BT88" s="7" t="s">
        <v>1</v>
      </c>
      <c r="BU88" s="7" t="s">
        <v>1</v>
      </c>
      <c r="BV88" s="7" t="s">
        <v>1</v>
      </c>
      <c r="BW88" s="7" t="s">
        <v>1</v>
      </c>
      <c r="BX88" s="7" t="s">
        <v>1</v>
      </c>
      <c r="BY88" s="7" t="s">
        <v>1</v>
      </c>
      <c r="BZ88" s="7" t="s">
        <v>1</v>
      </c>
      <c r="CA88" s="7" t="s">
        <v>1</v>
      </c>
      <c r="CB88" s="7" t="s">
        <v>1</v>
      </c>
      <c r="CC88" s="7" t="s">
        <v>1</v>
      </c>
      <c r="CD88" s="7" t="s">
        <v>1</v>
      </c>
      <c r="CE88" s="7" t="s">
        <v>1</v>
      </c>
      <c r="CF88" s="7" t="s">
        <v>1</v>
      </c>
    </row>
    <row r="89" ht="27" customHeight="1" spans="1:84">
      <c r="A89" s="29">
        <v>45192</v>
      </c>
      <c r="B89" s="7" t="s">
        <v>89</v>
      </c>
      <c r="C89" s="32" t="s">
        <v>1</v>
      </c>
      <c r="D89" s="30" t="s">
        <v>1</v>
      </c>
      <c r="E89" s="30" t="s">
        <v>1</v>
      </c>
      <c r="F89" s="32" t="str">
        <f t="shared" si="3"/>
        <v/>
      </c>
      <c r="G89" s="32" t="s">
        <v>1</v>
      </c>
      <c r="H89" s="7" t="s">
        <v>1</v>
      </c>
      <c r="I89" s="32" t="s">
        <v>1</v>
      </c>
      <c r="J89" s="31" t="str">
        <f t="shared" si="4"/>
        <v/>
      </c>
      <c r="K89" s="31" t="str">
        <f>IFERROR(E89/#REF!,"")</f>
        <v/>
      </c>
      <c r="L89" s="127">
        <v>121627.97</v>
      </c>
      <c r="M89" s="32" t="s">
        <v>72</v>
      </c>
      <c r="N89" s="32" t="s">
        <v>1</v>
      </c>
      <c r="O89" s="32" t="s">
        <v>1</v>
      </c>
      <c r="P89" s="32" t="s">
        <v>1</v>
      </c>
      <c r="Q89" s="31" t="e">
        <f t="shared" si="2"/>
        <v>#VALUE!</v>
      </c>
      <c r="R89" s="32" t="s">
        <v>1</v>
      </c>
      <c r="S89" s="32" t="s">
        <v>1</v>
      </c>
      <c r="T89" s="32" t="s">
        <v>1</v>
      </c>
      <c r="U89" s="32" t="s">
        <v>1</v>
      </c>
      <c r="V89" s="7" t="s">
        <v>1</v>
      </c>
      <c r="W89" s="7" t="s">
        <v>72</v>
      </c>
      <c r="X89" s="7" t="s">
        <v>1</v>
      </c>
      <c r="Y89" s="7" t="s">
        <v>72</v>
      </c>
      <c r="Z89" s="7" t="s">
        <v>1</v>
      </c>
      <c r="AA89" s="30" t="s">
        <v>72</v>
      </c>
      <c r="AB89" s="7" t="s">
        <v>1</v>
      </c>
      <c r="AC89" s="7" t="s">
        <v>72</v>
      </c>
      <c r="AD89" s="7" t="s">
        <v>1</v>
      </c>
      <c r="AE89" s="7" t="s">
        <v>72</v>
      </c>
      <c r="AF89" s="7" t="s">
        <v>1</v>
      </c>
      <c r="AG89" s="7" t="s">
        <v>72</v>
      </c>
      <c r="AH89" s="127">
        <v>3334</v>
      </c>
      <c r="AI89" s="127" t="s">
        <v>72</v>
      </c>
      <c r="AJ89" s="127">
        <v>826</v>
      </c>
      <c r="AK89" s="127" t="s">
        <v>72</v>
      </c>
      <c r="AL89" s="127">
        <v>112</v>
      </c>
      <c r="AM89" s="127" t="s">
        <v>72</v>
      </c>
      <c r="AN89" s="127">
        <v>1579</v>
      </c>
      <c r="AO89" s="127" t="s">
        <v>72</v>
      </c>
      <c r="AP89" s="127">
        <v>1881</v>
      </c>
      <c r="AQ89" s="127" t="s">
        <v>72</v>
      </c>
      <c r="AR89" s="127">
        <v>358</v>
      </c>
      <c r="AS89" s="7" t="s">
        <v>72</v>
      </c>
      <c r="AT89" s="314" t="s">
        <v>1</v>
      </c>
      <c r="AU89" s="32" t="s">
        <v>1</v>
      </c>
      <c r="AV89" s="30">
        <v>312</v>
      </c>
      <c r="AW89" s="32" t="s">
        <v>1</v>
      </c>
      <c r="AX89" s="31">
        <v>0.0590461771385314</v>
      </c>
      <c r="AY89" s="314" t="s">
        <v>1</v>
      </c>
      <c r="AZ89" s="7">
        <v>42</v>
      </c>
      <c r="BA89" s="32" t="s">
        <v>1</v>
      </c>
      <c r="BB89" s="31">
        <v>0.134615384615385</v>
      </c>
      <c r="BC89" s="314" t="s">
        <v>1</v>
      </c>
      <c r="BD89" s="314" t="s">
        <v>1</v>
      </c>
      <c r="BE89" s="32" t="s">
        <v>1</v>
      </c>
      <c r="BF89" s="32" t="s">
        <v>1</v>
      </c>
      <c r="BG89" s="314" t="s">
        <v>1</v>
      </c>
      <c r="BH89" s="314" t="s">
        <v>1</v>
      </c>
      <c r="BI89" s="7" t="s">
        <v>94</v>
      </c>
      <c r="BJ89" s="7">
        <v>22</v>
      </c>
      <c r="BK89" s="7">
        <v>3267</v>
      </c>
      <c r="BL89" s="7" t="s">
        <v>72</v>
      </c>
      <c r="BM89" s="7" t="s">
        <v>73</v>
      </c>
      <c r="BN89" s="7">
        <v>100</v>
      </c>
      <c r="BO89" s="7">
        <v>1291</v>
      </c>
      <c r="BP89" s="7" t="s">
        <v>72</v>
      </c>
      <c r="BQ89" s="7" t="s">
        <v>1</v>
      </c>
      <c r="BR89" s="7" t="s">
        <v>1</v>
      </c>
      <c r="BS89" s="7" t="s">
        <v>1</v>
      </c>
      <c r="BT89" s="7" t="s">
        <v>1</v>
      </c>
      <c r="BU89" s="7" t="s">
        <v>1</v>
      </c>
      <c r="BV89" s="7" t="s">
        <v>1</v>
      </c>
      <c r="BW89" s="7" t="s">
        <v>1</v>
      </c>
      <c r="BX89" s="7" t="s">
        <v>1</v>
      </c>
      <c r="BY89" s="7" t="s">
        <v>1</v>
      </c>
      <c r="BZ89" s="7" t="s">
        <v>1</v>
      </c>
      <c r="CA89" s="7" t="s">
        <v>1</v>
      </c>
      <c r="CB89" s="7" t="s">
        <v>1</v>
      </c>
      <c r="CC89" s="7" t="s">
        <v>1</v>
      </c>
      <c r="CD89" s="7" t="s">
        <v>1</v>
      </c>
      <c r="CE89" s="7" t="s">
        <v>1</v>
      </c>
      <c r="CF89" s="7" t="s">
        <v>1</v>
      </c>
    </row>
    <row r="90" ht="27" customHeight="1" spans="1:84">
      <c r="A90" s="29">
        <v>45193</v>
      </c>
      <c r="B90" s="7" t="s">
        <v>126</v>
      </c>
      <c r="C90" s="32" t="s">
        <v>1</v>
      </c>
      <c r="D90" s="30" t="s">
        <v>1</v>
      </c>
      <c r="E90" s="30" t="s">
        <v>1</v>
      </c>
      <c r="F90" s="32" t="str">
        <f t="shared" si="3"/>
        <v/>
      </c>
      <c r="G90" s="32" t="s">
        <v>1</v>
      </c>
      <c r="H90" s="7" t="s">
        <v>1</v>
      </c>
      <c r="I90" s="32" t="s">
        <v>1</v>
      </c>
      <c r="J90" s="31" t="str">
        <f t="shared" si="4"/>
        <v/>
      </c>
      <c r="K90" s="31" t="str">
        <f>IFERROR(E90/#REF!,"")</f>
        <v/>
      </c>
      <c r="L90" s="127">
        <v>410188</v>
      </c>
      <c r="M90" s="32" t="s">
        <v>72</v>
      </c>
      <c r="N90" s="32" t="s">
        <v>1</v>
      </c>
      <c r="O90" s="32" t="s">
        <v>1</v>
      </c>
      <c r="P90" s="32" t="s">
        <v>1</v>
      </c>
      <c r="Q90" s="31" t="e">
        <f t="shared" si="2"/>
        <v>#VALUE!</v>
      </c>
      <c r="R90" s="32" t="s">
        <v>1</v>
      </c>
      <c r="S90" s="32" t="s">
        <v>1</v>
      </c>
      <c r="T90" s="32" t="s">
        <v>1</v>
      </c>
      <c r="U90" s="32" t="s">
        <v>1</v>
      </c>
      <c r="V90" s="7" t="s">
        <v>1</v>
      </c>
      <c r="W90" s="7" t="s">
        <v>72</v>
      </c>
      <c r="X90" s="7" t="s">
        <v>1</v>
      </c>
      <c r="Y90" s="7" t="s">
        <v>72</v>
      </c>
      <c r="Z90" s="7" t="s">
        <v>1</v>
      </c>
      <c r="AA90" s="30" t="s">
        <v>72</v>
      </c>
      <c r="AB90" s="7" t="s">
        <v>1</v>
      </c>
      <c r="AC90" s="7" t="s">
        <v>72</v>
      </c>
      <c r="AD90" s="7" t="s">
        <v>1</v>
      </c>
      <c r="AE90" s="7" t="s">
        <v>72</v>
      </c>
      <c r="AF90" s="7" t="s">
        <v>1</v>
      </c>
      <c r="AG90" s="7" t="s">
        <v>72</v>
      </c>
      <c r="AH90" s="127">
        <v>3968</v>
      </c>
      <c r="AI90" s="127" t="s">
        <v>72</v>
      </c>
      <c r="AJ90" s="127">
        <v>852</v>
      </c>
      <c r="AK90" s="127" t="s">
        <v>72</v>
      </c>
      <c r="AL90" s="127">
        <v>151</v>
      </c>
      <c r="AM90" s="127" t="s">
        <v>72</v>
      </c>
      <c r="AN90" s="127">
        <v>1482</v>
      </c>
      <c r="AO90" s="127" t="s">
        <v>72</v>
      </c>
      <c r="AP90" s="127">
        <v>2212</v>
      </c>
      <c r="AQ90" s="127" t="s">
        <v>72</v>
      </c>
      <c r="AR90" s="127">
        <v>428</v>
      </c>
      <c r="AS90" s="7" t="s">
        <v>72</v>
      </c>
      <c r="AT90" s="314" t="s">
        <v>1</v>
      </c>
      <c r="AU90" s="32" t="s">
        <v>1</v>
      </c>
      <c r="AV90" s="30">
        <v>344</v>
      </c>
      <c r="AW90" s="32" t="s">
        <v>1</v>
      </c>
      <c r="AX90" s="31">
        <v>0.0590456573978716</v>
      </c>
      <c r="AY90" s="314" t="s">
        <v>1</v>
      </c>
      <c r="AZ90" s="7">
        <v>49</v>
      </c>
      <c r="BA90" s="32" t="s">
        <v>1</v>
      </c>
      <c r="BB90" s="31">
        <v>0.142441860465116</v>
      </c>
      <c r="BC90" s="314" t="s">
        <v>1</v>
      </c>
      <c r="BD90" s="314" t="s">
        <v>1</v>
      </c>
      <c r="BE90" s="32" t="s">
        <v>1</v>
      </c>
      <c r="BF90" s="32" t="s">
        <v>1</v>
      </c>
      <c r="BG90" s="314" t="s">
        <v>1</v>
      </c>
      <c r="BH90" s="314" t="s">
        <v>1</v>
      </c>
      <c r="BI90" s="7" t="s">
        <v>102</v>
      </c>
      <c r="BJ90" s="7">
        <v>17</v>
      </c>
      <c r="BK90" s="7">
        <v>4335</v>
      </c>
      <c r="BL90" s="7" t="s">
        <v>72</v>
      </c>
      <c r="BM90" s="7" t="s">
        <v>73</v>
      </c>
      <c r="BN90" s="7">
        <v>82</v>
      </c>
      <c r="BO90" s="7">
        <v>1750</v>
      </c>
      <c r="BP90" s="7" t="s">
        <v>72</v>
      </c>
      <c r="BQ90" s="7" t="s">
        <v>1</v>
      </c>
      <c r="BR90" s="7" t="s">
        <v>1</v>
      </c>
      <c r="BS90" s="7" t="s">
        <v>1</v>
      </c>
      <c r="BT90" s="7" t="s">
        <v>1</v>
      </c>
      <c r="BU90" s="7" t="s">
        <v>1</v>
      </c>
      <c r="BV90" s="7" t="s">
        <v>1</v>
      </c>
      <c r="BW90" s="7" t="s">
        <v>1</v>
      </c>
      <c r="BX90" s="7" t="s">
        <v>1</v>
      </c>
      <c r="BY90" s="7" t="s">
        <v>1</v>
      </c>
      <c r="BZ90" s="7" t="s">
        <v>1</v>
      </c>
      <c r="CA90" s="7" t="s">
        <v>1</v>
      </c>
      <c r="CB90" s="7" t="s">
        <v>1</v>
      </c>
      <c r="CC90" s="7" t="s">
        <v>1</v>
      </c>
      <c r="CD90" s="7" t="s">
        <v>1</v>
      </c>
      <c r="CE90" s="7" t="s">
        <v>1</v>
      </c>
      <c r="CF90" s="7" t="s">
        <v>1</v>
      </c>
    </row>
    <row r="91" ht="27" customHeight="1" spans="1:84">
      <c r="A91" s="29">
        <v>45194</v>
      </c>
      <c r="B91" s="7" t="s">
        <v>125</v>
      </c>
      <c r="C91" s="32" t="s">
        <v>1</v>
      </c>
      <c r="D91" s="30" t="s">
        <v>1</v>
      </c>
      <c r="E91" s="30" t="s">
        <v>1</v>
      </c>
      <c r="F91" s="32" t="str">
        <f t="shared" si="3"/>
        <v/>
      </c>
      <c r="G91" s="32" t="s">
        <v>1</v>
      </c>
      <c r="H91" s="7" t="s">
        <v>1</v>
      </c>
      <c r="I91" s="32" t="s">
        <v>1</v>
      </c>
      <c r="J91" s="31" t="str">
        <f t="shared" si="4"/>
        <v/>
      </c>
      <c r="K91" s="31" t="str">
        <f>IFERROR(E91/#REF!,"")</f>
        <v/>
      </c>
      <c r="L91" s="127">
        <v>134949.05</v>
      </c>
      <c r="M91" s="32" t="s">
        <v>72</v>
      </c>
      <c r="N91" s="32" t="s">
        <v>1</v>
      </c>
      <c r="O91" s="32" t="s">
        <v>1</v>
      </c>
      <c r="P91" s="32" t="s">
        <v>1</v>
      </c>
      <c r="Q91" s="31" t="e">
        <f t="shared" si="2"/>
        <v>#VALUE!</v>
      </c>
      <c r="R91" s="32" t="s">
        <v>1</v>
      </c>
      <c r="S91" s="32" t="s">
        <v>1</v>
      </c>
      <c r="T91" s="32" t="s">
        <v>1</v>
      </c>
      <c r="U91" s="32" t="s">
        <v>1</v>
      </c>
      <c r="V91" s="7" t="s">
        <v>1</v>
      </c>
      <c r="W91" s="7" t="s">
        <v>72</v>
      </c>
      <c r="X91" s="7" t="s">
        <v>1</v>
      </c>
      <c r="Y91" s="7" t="s">
        <v>72</v>
      </c>
      <c r="Z91" s="7" t="s">
        <v>1</v>
      </c>
      <c r="AA91" s="30" t="s">
        <v>72</v>
      </c>
      <c r="AB91" s="7" t="s">
        <v>1</v>
      </c>
      <c r="AC91" s="7" t="s">
        <v>72</v>
      </c>
      <c r="AD91" s="7" t="s">
        <v>1</v>
      </c>
      <c r="AE91" s="7" t="s">
        <v>72</v>
      </c>
      <c r="AF91" s="7" t="s">
        <v>1</v>
      </c>
      <c r="AG91" s="7" t="s">
        <v>72</v>
      </c>
      <c r="AH91" s="127">
        <v>3752</v>
      </c>
      <c r="AI91" s="127" t="s">
        <v>72</v>
      </c>
      <c r="AJ91" s="127">
        <v>687</v>
      </c>
      <c r="AK91" s="127" t="s">
        <v>72</v>
      </c>
      <c r="AL91" s="127">
        <v>126</v>
      </c>
      <c r="AM91" s="127" t="s">
        <v>72</v>
      </c>
      <c r="AN91" s="127">
        <v>1314</v>
      </c>
      <c r="AO91" s="127" t="s">
        <v>72</v>
      </c>
      <c r="AP91" s="127">
        <v>2148</v>
      </c>
      <c r="AQ91" s="127" t="s">
        <v>72</v>
      </c>
      <c r="AR91" s="127">
        <v>362</v>
      </c>
      <c r="AS91" s="7" t="s">
        <v>72</v>
      </c>
      <c r="AT91" s="314" t="s">
        <v>1</v>
      </c>
      <c r="AU91" s="32" t="s">
        <v>1</v>
      </c>
      <c r="AV91" s="30">
        <v>366</v>
      </c>
      <c r="AW91" s="32" t="s">
        <v>1</v>
      </c>
      <c r="AX91" s="31">
        <v>0.0682835820895522</v>
      </c>
      <c r="AY91" s="314" t="s">
        <v>1</v>
      </c>
      <c r="AZ91" s="7">
        <v>54</v>
      </c>
      <c r="BA91" s="32" t="s">
        <v>1</v>
      </c>
      <c r="BB91" s="31">
        <v>0.147540983606557</v>
      </c>
      <c r="BC91" s="314" t="s">
        <v>1</v>
      </c>
      <c r="BD91" s="314" t="s">
        <v>1</v>
      </c>
      <c r="BE91" s="32" t="s">
        <v>1</v>
      </c>
      <c r="BF91" s="32" t="s">
        <v>1</v>
      </c>
      <c r="BG91" s="314" t="s">
        <v>1</v>
      </c>
      <c r="BH91" s="314" t="s">
        <v>1</v>
      </c>
      <c r="BI91" s="7" t="s">
        <v>102</v>
      </c>
      <c r="BJ91" s="7">
        <v>18</v>
      </c>
      <c r="BK91" s="7">
        <v>3934</v>
      </c>
      <c r="BL91" s="7" t="s">
        <v>72</v>
      </c>
      <c r="BM91" s="7" t="s">
        <v>73</v>
      </c>
      <c r="BN91" s="7">
        <v>86</v>
      </c>
      <c r="BO91" s="7">
        <v>1549</v>
      </c>
      <c r="BP91" s="7" t="s">
        <v>72</v>
      </c>
      <c r="BQ91" s="7" t="s">
        <v>1</v>
      </c>
      <c r="BR91" s="7" t="s">
        <v>1</v>
      </c>
      <c r="BS91" s="7" t="s">
        <v>1</v>
      </c>
      <c r="BT91" s="7" t="s">
        <v>1</v>
      </c>
      <c r="BU91" s="7" t="s">
        <v>1</v>
      </c>
      <c r="BV91" s="7" t="s">
        <v>1</v>
      </c>
      <c r="BW91" s="7" t="s">
        <v>1</v>
      </c>
      <c r="BX91" s="7" t="s">
        <v>1</v>
      </c>
      <c r="BY91" s="7" t="s">
        <v>1</v>
      </c>
      <c r="BZ91" s="7" t="s">
        <v>1</v>
      </c>
      <c r="CA91" s="7" t="s">
        <v>1</v>
      </c>
      <c r="CB91" s="7" t="s">
        <v>1</v>
      </c>
      <c r="CC91" s="7" t="s">
        <v>1</v>
      </c>
      <c r="CD91" s="7" t="s">
        <v>1</v>
      </c>
      <c r="CE91" s="7" t="s">
        <v>1</v>
      </c>
      <c r="CF91" s="7" t="s">
        <v>1</v>
      </c>
    </row>
    <row r="92" ht="27" customHeight="1" spans="1:84">
      <c r="A92" s="29">
        <v>45195</v>
      </c>
      <c r="B92" s="7" t="s">
        <v>89</v>
      </c>
      <c r="C92" s="32" t="s">
        <v>1</v>
      </c>
      <c r="D92" s="30" t="s">
        <v>1</v>
      </c>
      <c r="E92" s="30" t="s">
        <v>1</v>
      </c>
      <c r="F92" s="32" t="str">
        <f t="shared" si="3"/>
        <v/>
      </c>
      <c r="G92" s="32" t="s">
        <v>1</v>
      </c>
      <c r="H92" s="7" t="s">
        <v>1</v>
      </c>
      <c r="I92" s="32" t="s">
        <v>1</v>
      </c>
      <c r="J92" s="31" t="str">
        <f t="shared" si="4"/>
        <v/>
      </c>
      <c r="K92" s="31" t="str">
        <f>IFERROR(E92/#REF!,"")</f>
        <v/>
      </c>
      <c r="L92" s="127">
        <v>48281</v>
      </c>
      <c r="M92" s="32" t="s">
        <v>72</v>
      </c>
      <c r="N92" s="32" t="s">
        <v>1</v>
      </c>
      <c r="O92" s="32" t="s">
        <v>1</v>
      </c>
      <c r="P92" s="32" t="s">
        <v>1</v>
      </c>
      <c r="Q92" s="31" t="e">
        <f t="shared" si="2"/>
        <v>#VALUE!</v>
      </c>
      <c r="R92" s="32" t="s">
        <v>1</v>
      </c>
      <c r="S92" s="32" t="s">
        <v>1</v>
      </c>
      <c r="T92" s="32" t="s">
        <v>1</v>
      </c>
      <c r="U92" s="32" t="s">
        <v>1</v>
      </c>
      <c r="V92" s="7" t="s">
        <v>1</v>
      </c>
      <c r="W92" s="7" t="s">
        <v>72</v>
      </c>
      <c r="X92" s="7" t="s">
        <v>1</v>
      </c>
      <c r="Y92" s="7" t="s">
        <v>72</v>
      </c>
      <c r="Z92" s="7" t="s">
        <v>1</v>
      </c>
      <c r="AA92" s="30" t="s">
        <v>72</v>
      </c>
      <c r="AB92" s="7" t="s">
        <v>1</v>
      </c>
      <c r="AC92" s="7" t="s">
        <v>72</v>
      </c>
      <c r="AD92" s="7" t="s">
        <v>1</v>
      </c>
      <c r="AE92" s="7" t="s">
        <v>72</v>
      </c>
      <c r="AF92" s="7" t="s">
        <v>1</v>
      </c>
      <c r="AG92" s="7" t="s">
        <v>72</v>
      </c>
      <c r="AH92" s="127">
        <v>3285</v>
      </c>
      <c r="AI92" s="127" t="s">
        <v>72</v>
      </c>
      <c r="AJ92" s="127">
        <v>796</v>
      </c>
      <c r="AK92" s="127" t="s">
        <v>72</v>
      </c>
      <c r="AL92" s="127">
        <v>100</v>
      </c>
      <c r="AM92" s="127" t="s">
        <v>72</v>
      </c>
      <c r="AN92" s="127">
        <v>1411</v>
      </c>
      <c r="AO92" s="127" t="s">
        <v>72</v>
      </c>
      <c r="AP92" s="127">
        <v>1918</v>
      </c>
      <c r="AQ92" s="127" t="s">
        <v>72</v>
      </c>
      <c r="AR92" s="127">
        <v>298</v>
      </c>
      <c r="AS92" s="7" t="s">
        <v>72</v>
      </c>
      <c r="AT92" s="314" t="s">
        <v>1</v>
      </c>
      <c r="AU92" s="32" t="s">
        <v>1</v>
      </c>
      <c r="AV92" s="30">
        <v>298</v>
      </c>
      <c r="AW92" s="32" t="s">
        <v>1</v>
      </c>
      <c r="AX92" s="31">
        <v>0.0584313725490196</v>
      </c>
      <c r="AY92" s="314" t="s">
        <v>1</v>
      </c>
      <c r="AZ92" s="7">
        <v>0</v>
      </c>
      <c r="BA92" s="32" t="s">
        <v>1</v>
      </c>
      <c r="BB92" s="31">
        <v>0</v>
      </c>
      <c r="BC92" s="314" t="s">
        <v>1</v>
      </c>
      <c r="BD92" s="314" t="s">
        <v>1</v>
      </c>
      <c r="BE92" s="32" t="s">
        <v>1</v>
      </c>
      <c r="BF92" s="32" t="s">
        <v>1</v>
      </c>
      <c r="BG92" s="314" t="s">
        <v>1</v>
      </c>
      <c r="BH92" s="314" t="s">
        <v>1</v>
      </c>
      <c r="BI92" s="7" t="s">
        <v>94</v>
      </c>
      <c r="BJ92" s="7">
        <v>25</v>
      </c>
      <c r="BK92" s="7">
        <v>2978</v>
      </c>
      <c r="BL92" s="7" t="s">
        <v>72</v>
      </c>
      <c r="BM92" s="7" t="s">
        <v>74</v>
      </c>
      <c r="BN92" s="7">
        <v>128</v>
      </c>
      <c r="BO92" s="7">
        <v>1054</v>
      </c>
      <c r="BP92" s="7" t="s">
        <v>72</v>
      </c>
      <c r="BQ92" s="7" t="s">
        <v>1</v>
      </c>
      <c r="BR92" s="7" t="s">
        <v>1</v>
      </c>
      <c r="BS92" s="7" t="s">
        <v>1</v>
      </c>
      <c r="BT92" s="7" t="s">
        <v>1</v>
      </c>
      <c r="BU92" s="7" t="s">
        <v>1</v>
      </c>
      <c r="BV92" s="7" t="s">
        <v>1</v>
      </c>
      <c r="BW92" s="7" t="s">
        <v>1</v>
      </c>
      <c r="BX92" s="7" t="s">
        <v>1</v>
      </c>
      <c r="BY92" s="7" t="s">
        <v>1</v>
      </c>
      <c r="BZ92" s="7" t="s">
        <v>1</v>
      </c>
      <c r="CA92" s="7" t="s">
        <v>1</v>
      </c>
      <c r="CB92" s="7" t="s">
        <v>1</v>
      </c>
      <c r="CC92" s="7" t="s">
        <v>1</v>
      </c>
      <c r="CD92" s="7" t="s">
        <v>1</v>
      </c>
      <c r="CE92" s="7" t="s">
        <v>1</v>
      </c>
      <c r="CF92" s="7" t="s">
        <v>1</v>
      </c>
    </row>
    <row r="93" ht="27" customHeight="1" spans="1:84">
      <c r="A93" s="29">
        <v>45196</v>
      </c>
      <c r="B93" s="7" t="s">
        <v>89</v>
      </c>
      <c r="C93" s="32" t="s">
        <v>1</v>
      </c>
      <c r="D93" s="30" t="s">
        <v>1</v>
      </c>
      <c r="E93" s="30" t="s">
        <v>1</v>
      </c>
      <c r="F93" s="32" t="str">
        <f t="shared" si="3"/>
        <v/>
      </c>
      <c r="G93" s="32" t="s">
        <v>1</v>
      </c>
      <c r="H93" s="7" t="s">
        <v>1</v>
      </c>
      <c r="I93" s="32" t="s">
        <v>1</v>
      </c>
      <c r="J93" s="31" t="str">
        <f t="shared" si="4"/>
        <v/>
      </c>
      <c r="K93" s="31" t="str">
        <f>IFERROR(E93/#REF!,"")</f>
        <v/>
      </c>
      <c r="L93" s="127">
        <v>160175</v>
      </c>
      <c r="M93" s="32" t="s">
        <v>72</v>
      </c>
      <c r="N93" s="32" t="s">
        <v>1</v>
      </c>
      <c r="O93" s="32" t="s">
        <v>1</v>
      </c>
      <c r="P93" s="32" t="s">
        <v>1</v>
      </c>
      <c r="Q93" s="31" t="e">
        <f t="shared" si="2"/>
        <v>#VALUE!</v>
      </c>
      <c r="R93" s="32" t="s">
        <v>1</v>
      </c>
      <c r="S93" s="32" t="s">
        <v>1</v>
      </c>
      <c r="T93" s="32" t="s">
        <v>1</v>
      </c>
      <c r="U93" s="32" t="s">
        <v>1</v>
      </c>
      <c r="V93" s="7" t="s">
        <v>1</v>
      </c>
      <c r="W93" s="7" t="s">
        <v>72</v>
      </c>
      <c r="X93" s="7" t="s">
        <v>1</v>
      </c>
      <c r="Y93" s="7" t="s">
        <v>72</v>
      </c>
      <c r="Z93" s="7" t="s">
        <v>1</v>
      </c>
      <c r="AA93" s="30" t="s">
        <v>72</v>
      </c>
      <c r="AB93" s="7" t="s">
        <v>1</v>
      </c>
      <c r="AC93" s="7" t="s">
        <v>72</v>
      </c>
      <c r="AD93" s="7" t="s">
        <v>1</v>
      </c>
      <c r="AE93" s="7" t="s">
        <v>72</v>
      </c>
      <c r="AF93" s="7" t="s">
        <v>1</v>
      </c>
      <c r="AG93" s="7" t="s">
        <v>72</v>
      </c>
      <c r="AH93" s="127">
        <v>3062</v>
      </c>
      <c r="AI93" s="127" t="s">
        <v>72</v>
      </c>
      <c r="AJ93" s="127">
        <v>912</v>
      </c>
      <c r="AK93" s="127" t="s">
        <v>72</v>
      </c>
      <c r="AL93" s="127">
        <v>132</v>
      </c>
      <c r="AM93" s="127" t="s">
        <v>72</v>
      </c>
      <c r="AN93" s="127">
        <v>1595</v>
      </c>
      <c r="AO93" s="127" t="s">
        <v>72</v>
      </c>
      <c r="AP93" s="127">
        <v>1695</v>
      </c>
      <c r="AQ93" s="127" t="s">
        <v>72</v>
      </c>
      <c r="AR93" s="127">
        <v>277</v>
      </c>
      <c r="AS93" s="7" t="s">
        <v>72</v>
      </c>
      <c r="AT93" s="314" t="s">
        <v>1</v>
      </c>
      <c r="AU93" s="32" t="s">
        <v>1</v>
      </c>
      <c r="AV93" s="30">
        <v>314</v>
      </c>
      <c r="AW93" s="32" t="s">
        <v>1</v>
      </c>
      <c r="AX93" s="31" t="s">
        <v>103</v>
      </c>
      <c r="AY93" s="314" t="s">
        <v>1</v>
      </c>
      <c r="AZ93" s="7">
        <v>27</v>
      </c>
      <c r="BA93" s="32" t="s">
        <v>1</v>
      </c>
      <c r="BB93" s="31">
        <v>0.0859872611464968</v>
      </c>
      <c r="BC93" s="314" t="s">
        <v>1</v>
      </c>
      <c r="BD93" s="314" t="s">
        <v>1</v>
      </c>
      <c r="BE93" s="32" t="s">
        <v>1</v>
      </c>
      <c r="BF93" s="32" t="s">
        <v>1</v>
      </c>
      <c r="BG93" s="314" t="s">
        <v>1</v>
      </c>
      <c r="BH93" s="314" t="s">
        <v>1</v>
      </c>
      <c r="BI93" s="7" t="s">
        <v>94</v>
      </c>
      <c r="BJ93" s="7">
        <v>25</v>
      </c>
      <c r="BK93" s="7">
        <v>2718</v>
      </c>
      <c r="BL93" s="7" t="s">
        <v>72</v>
      </c>
      <c r="BM93" s="7" t="s">
        <v>74</v>
      </c>
      <c r="BN93" s="7">
        <v>134</v>
      </c>
      <c r="BO93" s="7">
        <v>1023</v>
      </c>
      <c r="BP93" s="7" t="s">
        <v>72</v>
      </c>
      <c r="BQ93" s="7" t="s">
        <v>1</v>
      </c>
      <c r="BR93" s="7" t="s">
        <v>1</v>
      </c>
      <c r="BS93" s="7" t="s">
        <v>1</v>
      </c>
      <c r="BT93" s="7" t="s">
        <v>1</v>
      </c>
      <c r="BU93" s="7" t="s">
        <v>1</v>
      </c>
      <c r="BV93" s="7" t="s">
        <v>1</v>
      </c>
      <c r="BW93" s="7" t="s">
        <v>1</v>
      </c>
      <c r="BX93" s="7" t="s">
        <v>1</v>
      </c>
      <c r="BY93" s="7" t="s">
        <v>1</v>
      </c>
      <c r="BZ93" s="7" t="s">
        <v>1</v>
      </c>
      <c r="CA93" s="7" t="s">
        <v>1</v>
      </c>
      <c r="CB93" s="7" t="s">
        <v>1</v>
      </c>
      <c r="CC93" s="7" t="s">
        <v>1</v>
      </c>
      <c r="CD93" s="7" t="s">
        <v>1</v>
      </c>
      <c r="CE93" s="7" t="s">
        <v>1</v>
      </c>
      <c r="CF93" s="7" t="s">
        <v>1</v>
      </c>
    </row>
    <row r="94" ht="27" customHeight="1" spans="1:84">
      <c r="A94" s="29">
        <v>45197</v>
      </c>
      <c r="B94" s="7" t="s">
        <v>126</v>
      </c>
      <c r="C94" s="32" t="s">
        <v>1</v>
      </c>
      <c r="D94" s="30" t="s">
        <v>1</v>
      </c>
      <c r="E94" s="30" t="s">
        <v>1</v>
      </c>
      <c r="F94" s="32" t="str">
        <f t="shared" si="3"/>
        <v/>
      </c>
      <c r="G94" s="32" t="s">
        <v>1</v>
      </c>
      <c r="H94" s="7" t="s">
        <v>1</v>
      </c>
      <c r="I94" s="32" t="s">
        <v>1</v>
      </c>
      <c r="J94" s="31" t="str">
        <f t="shared" si="4"/>
        <v/>
      </c>
      <c r="K94" s="31" t="str">
        <f>IFERROR(E94/#REF!,"")</f>
        <v/>
      </c>
      <c r="L94" s="127">
        <v>190161</v>
      </c>
      <c r="M94" s="32" t="s">
        <v>72</v>
      </c>
      <c r="N94" s="32" t="s">
        <v>1</v>
      </c>
      <c r="O94" s="32" t="s">
        <v>1</v>
      </c>
      <c r="P94" s="32" t="s">
        <v>1</v>
      </c>
      <c r="Q94" s="31" t="e">
        <f t="shared" si="2"/>
        <v>#VALUE!</v>
      </c>
      <c r="R94" s="32" t="s">
        <v>1</v>
      </c>
      <c r="S94" s="32" t="s">
        <v>1</v>
      </c>
      <c r="T94" s="32" t="s">
        <v>1</v>
      </c>
      <c r="U94" s="32" t="s">
        <v>1</v>
      </c>
      <c r="V94" s="7" t="s">
        <v>1</v>
      </c>
      <c r="W94" s="7" t="s">
        <v>72</v>
      </c>
      <c r="X94" s="7" t="s">
        <v>1</v>
      </c>
      <c r="Y94" s="7" t="s">
        <v>72</v>
      </c>
      <c r="Z94" s="7" t="s">
        <v>1</v>
      </c>
      <c r="AA94" s="30" t="s">
        <v>72</v>
      </c>
      <c r="AB94" s="7" t="s">
        <v>1</v>
      </c>
      <c r="AC94" s="7" t="s">
        <v>72</v>
      </c>
      <c r="AD94" s="7" t="s">
        <v>1</v>
      </c>
      <c r="AE94" s="7" t="s">
        <v>72</v>
      </c>
      <c r="AF94" s="7" t="s">
        <v>1</v>
      </c>
      <c r="AG94" s="7" t="s">
        <v>72</v>
      </c>
      <c r="AH94" s="127">
        <v>2876</v>
      </c>
      <c r="AI94" s="127" t="s">
        <v>72</v>
      </c>
      <c r="AJ94" s="127">
        <v>859</v>
      </c>
      <c r="AK94" s="127" t="s">
        <v>72</v>
      </c>
      <c r="AL94" s="127">
        <v>98</v>
      </c>
      <c r="AM94" s="127" t="s">
        <v>72</v>
      </c>
      <c r="AN94" s="127">
        <v>1447</v>
      </c>
      <c r="AO94" s="127" t="s">
        <v>72</v>
      </c>
      <c r="AP94" s="127">
        <v>1562</v>
      </c>
      <c r="AQ94" s="127" t="s">
        <v>72</v>
      </c>
      <c r="AR94" s="127">
        <v>321</v>
      </c>
      <c r="AS94" s="7" t="s">
        <v>72</v>
      </c>
      <c r="AT94" s="314" t="s">
        <v>1</v>
      </c>
      <c r="AU94" s="32" t="s">
        <v>1</v>
      </c>
      <c r="AV94" s="30">
        <v>279</v>
      </c>
      <c r="AW94" s="32" t="s">
        <v>1</v>
      </c>
      <c r="AX94" s="31">
        <v>0.0587244790570406</v>
      </c>
      <c r="AY94" s="314" t="s">
        <v>1</v>
      </c>
      <c r="AZ94" s="7">
        <v>39</v>
      </c>
      <c r="BA94" s="32" t="s">
        <v>1</v>
      </c>
      <c r="BB94" s="31">
        <v>0.139784946236559</v>
      </c>
      <c r="BC94" s="314" t="s">
        <v>1</v>
      </c>
      <c r="BD94" s="314" t="s">
        <v>1</v>
      </c>
      <c r="BE94" s="32" t="s">
        <v>1</v>
      </c>
      <c r="BF94" s="32" t="s">
        <v>1</v>
      </c>
      <c r="BG94" s="314" t="s">
        <v>1</v>
      </c>
      <c r="BH94" s="314" t="s">
        <v>1</v>
      </c>
      <c r="BI94" s="7" t="s">
        <v>94</v>
      </c>
      <c r="BJ94" s="7">
        <v>25</v>
      </c>
      <c r="BK94" s="7">
        <v>2593</v>
      </c>
      <c r="BL94" s="7" t="s">
        <v>72</v>
      </c>
      <c r="BM94" s="7" t="s">
        <v>74</v>
      </c>
      <c r="BN94" s="7">
        <v>143</v>
      </c>
      <c r="BO94" s="7">
        <v>958</v>
      </c>
      <c r="BP94" s="7" t="s">
        <v>72</v>
      </c>
      <c r="BQ94" s="7" t="s">
        <v>1</v>
      </c>
      <c r="BR94" s="7" t="s">
        <v>1</v>
      </c>
      <c r="BS94" s="7" t="s">
        <v>1</v>
      </c>
      <c r="BT94" s="7" t="s">
        <v>1</v>
      </c>
      <c r="BU94" s="7" t="s">
        <v>1</v>
      </c>
      <c r="BV94" s="7" t="s">
        <v>1</v>
      </c>
      <c r="BW94" s="7" t="s">
        <v>1</v>
      </c>
      <c r="BX94" s="7" t="s">
        <v>1</v>
      </c>
      <c r="BY94" s="7" t="s">
        <v>1</v>
      </c>
      <c r="BZ94" s="7" t="s">
        <v>1</v>
      </c>
      <c r="CA94" s="7" t="s">
        <v>1</v>
      </c>
      <c r="CB94" s="7" t="s">
        <v>1</v>
      </c>
      <c r="CC94" s="7" t="s">
        <v>1</v>
      </c>
      <c r="CD94" s="7" t="s">
        <v>1</v>
      </c>
      <c r="CE94" s="7" t="s">
        <v>1</v>
      </c>
      <c r="CF94" s="7" t="s">
        <v>1</v>
      </c>
    </row>
    <row r="95" ht="27" customHeight="1" spans="1:84">
      <c r="A95" s="29">
        <v>45198</v>
      </c>
      <c r="B95" s="7" t="s">
        <v>125</v>
      </c>
      <c r="C95" s="32" t="s">
        <v>1</v>
      </c>
      <c r="D95" s="30" t="s">
        <v>1</v>
      </c>
      <c r="E95" s="30" t="s">
        <v>1</v>
      </c>
      <c r="F95" s="32" t="str">
        <f t="shared" si="3"/>
        <v/>
      </c>
      <c r="G95" s="32" t="s">
        <v>1</v>
      </c>
      <c r="H95" s="7" t="s">
        <v>1</v>
      </c>
      <c r="I95" s="32" t="s">
        <v>1</v>
      </c>
      <c r="J95" s="31" t="str">
        <f t="shared" si="4"/>
        <v/>
      </c>
      <c r="K95" s="31" t="str">
        <f>IFERROR(E95/#REF!,"")</f>
        <v/>
      </c>
      <c r="L95" s="127">
        <v>130013</v>
      </c>
      <c r="M95" s="32" t="s">
        <v>72</v>
      </c>
      <c r="N95" s="32" t="s">
        <v>1</v>
      </c>
      <c r="O95" s="32" t="s">
        <v>1</v>
      </c>
      <c r="P95" s="32" t="s">
        <v>1</v>
      </c>
      <c r="Q95" s="31" t="e">
        <f t="shared" si="2"/>
        <v>#VALUE!</v>
      </c>
      <c r="R95" s="32" t="s">
        <v>1</v>
      </c>
      <c r="S95" s="32" t="s">
        <v>1</v>
      </c>
      <c r="T95" s="32" t="s">
        <v>1</v>
      </c>
      <c r="U95" s="32" t="s">
        <v>1</v>
      </c>
      <c r="V95" s="7" t="s">
        <v>1</v>
      </c>
      <c r="W95" s="7" t="s">
        <v>72</v>
      </c>
      <c r="X95" s="7" t="s">
        <v>1</v>
      </c>
      <c r="Y95" s="7" t="s">
        <v>72</v>
      </c>
      <c r="Z95" s="7" t="s">
        <v>1</v>
      </c>
      <c r="AA95" s="30" t="s">
        <v>72</v>
      </c>
      <c r="AB95" s="7" t="s">
        <v>1</v>
      </c>
      <c r="AC95" s="7" t="s">
        <v>72</v>
      </c>
      <c r="AD95" s="7" t="s">
        <v>1</v>
      </c>
      <c r="AE95" s="7" t="s">
        <v>72</v>
      </c>
      <c r="AF95" s="7" t="s">
        <v>1</v>
      </c>
      <c r="AG95" s="7" t="s">
        <v>72</v>
      </c>
      <c r="AH95" s="127">
        <v>2765</v>
      </c>
      <c r="AI95" s="127" t="s">
        <v>72</v>
      </c>
      <c r="AJ95" s="127">
        <v>891</v>
      </c>
      <c r="AK95" s="127" t="s">
        <v>72</v>
      </c>
      <c r="AL95" s="127">
        <v>58</v>
      </c>
      <c r="AM95" s="127" t="s">
        <v>72</v>
      </c>
      <c r="AN95" s="127">
        <v>1467</v>
      </c>
      <c r="AO95" s="127" t="s">
        <v>72</v>
      </c>
      <c r="AP95" s="127">
        <v>1489</v>
      </c>
      <c r="AQ95" s="127" t="s">
        <v>72</v>
      </c>
      <c r="AR95" s="127">
        <v>268</v>
      </c>
      <c r="AS95" s="7" t="s">
        <v>72</v>
      </c>
      <c r="AT95" s="314" t="s">
        <v>1</v>
      </c>
      <c r="AU95" s="32" t="s">
        <v>1</v>
      </c>
      <c r="AV95" s="30">
        <v>249</v>
      </c>
      <c r="AW95" s="32" t="s">
        <v>1</v>
      </c>
      <c r="AX95" s="31">
        <v>0.0531370038412292</v>
      </c>
      <c r="AY95" s="314" t="s">
        <v>1</v>
      </c>
      <c r="AZ95" s="7">
        <v>51</v>
      </c>
      <c r="BA95" s="32" t="s">
        <v>1</v>
      </c>
      <c r="BB95" s="31">
        <v>0.204819277108434</v>
      </c>
      <c r="BC95" s="314" t="s">
        <v>1</v>
      </c>
      <c r="BD95" s="314" t="s">
        <v>1</v>
      </c>
      <c r="BE95" s="32" t="s">
        <v>1</v>
      </c>
      <c r="BF95" s="32" t="s">
        <v>1</v>
      </c>
      <c r="BG95" s="314" t="s">
        <v>1</v>
      </c>
      <c r="BH95" s="314" t="s">
        <v>1</v>
      </c>
      <c r="BI95" s="7" t="s">
        <v>94</v>
      </c>
      <c r="BJ95" s="7">
        <v>28</v>
      </c>
      <c r="BK95" s="7">
        <v>2215</v>
      </c>
      <c r="BL95" s="7" t="s">
        <v>72</v>
      </c>
      <c r="BM95" s="7" t="s">
        <v>74</v>
      </c>
      <c r="BN95" s="7">
        <v>167</v>
      </c>
      <c r="BO95" s="7">
        <v>992</v>
      </c>
      <c r="BP95" s="7" t="s">
        <v>72</v>
      </c>
      <c r="BQ95" s="7" t="s">
        <v>1</v>
      </c>
      <c r="BR95" s="7" t="s">
        <v>1</v>
      </c>
      <c r="BS95" s="7" t="s">
        <v>1</v>
      </c>
      <c r="BT95" s="7" t="s">
        <v>1</v>
      </c>
      <c r="BU95" s="7" t="s">
        <v>1</v>
      </c>
      <c r="BV95" s="7" t="s">
        <v>1</v>
      </c>
      <c r="BW95" s="7" t="s">
        <v>1</v>
      </c>
      <c r="BX95" s="7" t="s">
        <v>1</v>
      </c>
      <c r="BY95" s="7" t="s">
        <v>1</v>
      </c>
      <c r="BZ95" s="7" t="s">
        <v>1</v>
      </c>
      <c r="CA95" s="7" t="s">
        <v>1</v>
      </c>
      <c r="CB95" s="7" t="s">
        <v>1</v>
      </c>
      <c r="CC95" s="7" t="s">
        <v>1</v>
      </c>
      <c r="CD95" s="7" t="s">
        <v>1</v>
      </c>
      <c r="CE95" s="7" t="s">
        <v>1</v>
      </c>
      <c r="CF95" s="7" t="s">
        <v>1</v>
      </c>
    </row>
    <row r="96" ht="27" customHeight="1" spans="1:84">
      <c r="A96" s="29">
        <v>45199</v>
      </c>
      <c r="B96" s="7" t="s">
        <v>125</v>
      </c>
      <c r="C96" s="32" t="s">
        <v>1</v>
      </c>
      <c r="D96" s="30" t="s">
        <v>1</v>
      </c>
      <c r="E96" s="30" t="s">
        <v>1</v>
      </c>
      <c r="F96" s="32" t="str">
        <f t="shared" si="3"/>
        <v/>
      </c>
      <c r="G96" s="32" t="s">
        <v>1</v>
      </c>
      <c r="H96" s="7" t="s">
        <v>1</v>
      </c>
      <c r="I96" s="32" t="s">
        <v>1</v>
      </c>
      <c r="J96" s="31" t="str">
        <f t="shared" si="4"/>
        <v/>
      </c>
      <c r="K96" s="31" t="str">
        <f>IFERROR(E96/#REF!,"")</f>
        <v/>
      </c>
      <c r="L96" s="127">
        <v>140178</v>
      </c>
      <c r="M96" s="32" t="s">
        <v>72</v>
      </c>
      <c r="N96" s="32" t="s">
        <v>1</v>
      </c>
      <c r="O96" s="32" t="s">
        <v>1</v>
      </c>
      <c r="P96" s="32" t="s">
        <v>1</v>
      </c>
      <c r="Q96" s="31" t="e">
        <f t="shared" si="2"/>
        <v>#VALUE!</v>
      </c>
      <c r="R96" s="32" t="s">
        <v>1</v>
      </c>
      <c r="S96" s="32" t="s">
        <v>1</v>
      </c>
      <c r="T96" s="32" t="s">
        <v>1</v>
      </c>
      <c r="U96" s="32" t="s">
        <v>1</v>
      </c>
      <c r="V96" s="7" t="s">
        <v>1</v>
      </c>
      <c r="W96" s="7" t="s">
        <v>72</v>
      </c>
      <c r="X96" s="7" t="s">
        <v>1</v>
      </c>
      <c r="Y96" s="7" t="s">
        <v>72</v>
      </c>
      <c r="Z96" s="7" t="s">
        <v>1</v>
      </c>
      <c r="AA96" s="30" t="s">
        <v>72</v>
      </c>
      <c r="AB96" s="7" t="s">
        <v>1</v>
      </c>
      <c r="AC96" s="7" t="s">
        <v>72</v>
      </c>
      <c r="AD96" s="7" t="s">
        <v>1</v>
      </c>
      <c r="AE96" s="7" t="s">
        <v>72</v>
      </c>
      <c r="AF96" s="7" t="s">
        <v>1</v>
      </c>
      <c r="AG96" s="7" t="s">
        <v>72</v>
      </c>
      <c r="AH96" s="127">
        <v>3146</v>
      </c>
      <c r="AI96" s="127" t="s">
        <v>72</v>
      </c>
      <c r="AJ96" s="127">
        <v>1114</v>
      </c>
      <c r="AK96" s="127" t="s">
        <v>72</v>
      </c>
      <c r="AL96" s="127">
        <v>78</v>
      </c>
      <c r="AM96" s="127" t="s">
        <v>72</v>
      </c>
      <c r="AN96" s="127">
        <v>1567</v>
      </c>
      <c r="AO96" s="127" t="s">
        <v>72</v>
      </c>
      <c r="AP96" s="127">
        <v>1685</v>
      </c>
      <c r="AQ96" s="127" t="s">
        <v>72</v>
      </c>
      <c r="AR96" s="127">
        <v>265</v>
      </c>
      <c r="AS96" s="7" t="s">
        <v>72</v>
      </c>
      <c r="AT96" s="314" t="s">
        <v>1</v>
      </c>
      <c r="AU96" s="32" t="s">
        <v>1</v>
      </c>
      <c r="AV96" s="30">
        <v>265</v>
      </c>
      <c r="AW96" s="32" t="s">
        <v>1</v>
      </c>
      <c r="AX96" s="31">
        <v>0.0503898079482791</v>
      </c>
      <c r="AY96" s="314" t="s">
        <v>1</v>
      </c>
      <c r="AZ96" s="7">
        <v>35</v>
      </c>
      <c r="BA96" s="32" t="s">
        <v>1</v>
      </c>
      <c r="BB96" s="31">
        <v>0.132075471698113</v>
      </c>
      <c r="BC96" s="314" t="s">
        <v>1</v>
      </c>
      <c r="BD96" s="314" t="s">
        <v>1</v>
      </c>
      <c r="BE96" s="32" t="s">
        <v>1</v>
      </c>
      <c r="BF96" s="32" t="s">
        <v>1</v>
      </c>
      <c r="BG96" s="314" t="s">
        <v>1</v>
      </c>
      <c r="BH96" s="314" t="s">
        <v>1</v>
      </c>
      <c r="BI96" s="7" t="s">
        <v>94</v>
      </c>
      <c r="BJ96" s="7">
        <v>31</v>
      </c>
      <c r="BK96" s="7">
        <v>2738</v>
      </c>
      <c r="BL96" s="7" t="s">
        <v>72</v>
      </c>
      <c r="BM96" s="7" t="s">
        <v>74</v>
      </c>
      <c r="BN96" s="7">
        <v>148</v>
      </c>
      <c r="BO96" s="7">
        <v>1222</v>
      </c>
      <c r="BP96" s="7" t="s">
        <v>72</v>
      </c>
      <c r="BQ96" s="7" t="s">
        <v>1</v>
      </c>
      <c r="BR96" s="7" t="s">
        <v>1</v>
      </c>
      <c r="BS96" s="7" t="s">
        <v>1</v>
      </c>
      <c r="BT96" s="7" t="s">
        <v>1</v>
      </c>
      <c r="BU96" s="7" t="s">
        <v>1</v>
      </c>
      <c r="BV96" s="7" t="s">
        <v>1</v>
      </c>
      <c r="BW96" s="7" t="s">
        <v>1</v>
      </c>
      <c r="BX96" s="7" t="s">
        <v>1</v>
      </c>
      <c r="BY96" s="7" t="s">
        <v>1</v>
      </c>
      <c r="BZ96" s="7" t="s">
        <v>1</v>
      </c>
      <c r="CA96" s="7" t="s">
        <v>1</v>
      </c>
      <c r="CB96" s="7" t="s">
        <v>1</v>
      </c>
      <c r="CC96" s="7" t="s">
        <v>1</v>
      </c>
      <c r="CD96" s="7" t="s">
        <v>1</v>
      </c>
      <c r="CE96" s="7" t="s">
        <v>1</v>
      </c>
      <c r="CF96" s="7" t="s">
        <v>1</v>
      </c>
    </row>
    <row r="97" ht="27" customHeight="1" spans="1:84">
      <c r="A97" s="29">
        <v>45200</v>
      </c>
      <c r="B97" s="7" t="s">
        <v>125</v>
      </c>
      <c r="C97" s="32" t="s">
        <v>1</v>
      </c>
      <c r="D97" s="30" t="s">
        <v>1</v>
      </c>
      <c r="E97" s="30" t="s">
        <v>1</v>
      </c>
      <c r="F97" s="32" t="str">
        <f t="shared" si="3"/>
        <v/>
      </c>
      <c r="G97" s="32" t="s">
        <v>1</v>
      </c>
      <c r="H97" s="7" t="s">
        <v>1</v>
      </c>
      <c r="I97" s="32" t="s">
        <v>1</v>
      </c>
      <c r="J97" s="31" t="s">
        <v>1</v>
      </c>
      <c r="K97" s="31" t="str">
        <f>IFERROR(E97/#REF!,"")</f>
        <v/>
      </c>
      <c r="L97" s="127">
        <v>140728</v>
      </c>
      <c r="M97" s="32" t="s">
        <v>72</v>
      </c>
      <c r="N97" s="32" t="s">
        <v>1</v>
      </c>
      <c r="O97" s="32" t="s">
        <v>1</v>
      </c>
      <c r="P97" s="32" t="s">
        <v>1</v>
      </c>
      <c r="Q97" s="31" t="e">
        <f t="shared" si="2"/>
        <v>#VALUE!</v>
      </c>
      <c r="R97" s="32" t="s">
        <v>1</v>
      </c>
      <c r="S97" s="32" t="s">
        <v>1</v>
      </c>
      <c r="T97" s="32" t="s">
        <v>1</v>
      </c>
      <c r="U97" s="32" t="s">
        <v>1</v>
      </c>
      <c r="V97" s="7" t="s">
        <v>1</v>
      </c>
      <c r="W97" s="7" t="s">
        <v>72</v>
      </c>
      <c r="X97" s="7" t="s">
        <v>1</v>
      </c>
      <c r="Y97" s="7" t="s">
        <v>72</v>
      </c>
      <c r="Z97" s="7" t="s">
        <v>1</v>
      </c>
      <c r="AA97" s="30" t="s">
        <v>72</v>
      </c>
      <c r="AB97" s="7" t="s">
        <v>1</v>
      </c>
      <c r="AC97" s="7" t="s">
        <v>72</v>
      </c>
      <c r="AD97" s="7" t="s">
        <v>1</v>
      </c>
      <c r="AE97" s="7" t="s">
        <v>72</v>
      </c>
      <c r="AF97" s="7" t="s">
        <v>1</v>
      </c>
      <c r="AG97" s="7" t="s">
        <v>72</v>
      </c>
      <c r="AH97" s="127">
        <v>3230</v>
      </c>
      <c r="AI97" s="127" t="s">
        <v>72</v>
      </c>
      <c r="AJ97" s="127">
        <v>755</v>
      </c>
      <c r="AK97" s="127" t="s">
        <v>72</v>
      </c>
      <c r="AL97" s="127">
        <v>81</v>
      </c>
      <c r="AM97" s="127" t="s">
        <v>72</v>
      </c>
      <c r="AN97" s="127">
        <v>1591</v>
      </c>
      <c r="AO97" s="127" t="s">
        <v>72</v>
      </c>
      <c r="AP97" s="127">
        <v>1786</v>
      </c>
      <c r="AQ97" s="127" t="s">
        <v>72</v>
      </c>
      <c r="AR97" s="127">
        <v>254</v>
      </c>
      <c r="AS97" s="7" t="s">
        <v>72</v>
      </c>
      <c r="AT97" s="314" t="s">
        <v>1</v>
      </c>
      <c r="AU97" s="32" t="s">
        <v>1</v>
      </c>
      <c r="AV97" s="30">
        <v>0</v>
      </c>
      <c r="AW97" s="32" t="s">
        <v>1</v>
      </c>
      <c r="AX97" s="31">
        <v>0</v>
      </c>
      <c r="AY97" s="314" t="s">
        <v>1</v>
      </c>
      <c r="AZ97" s="7">
        <v>0</v>
      </c>
      <c r="BA97" s="32" t="s">
        <v>1</v>
      </c>
      <c r="BB97" s="31" t="s">
        <v>103</v>
      </c>
      <c r="BC97" s="314" t="s">
        <v>1</v>
      </c>
      <c r="BD97" s="314" t="s">
        <v>1</v>
      </c>
      <c r="BE97" s="32" t="s">
        <v>1</v>
      </c>
      <c r="BF97" s="32" t="s">
        <v>1</v>
      </c>
      <c r="BG97" s="314" t="s">
        <v>1</v>
      </c>
      <c r="BH97" s="314" t="s">
        <v>1</v>
      </c>
      <c r="BI97" s="7" t="s">
        <v>94</v>
      </c>
      <c r="BJ97" s="7">
        <v>31</v>
      </c>
      <c r="BK97" s="7">
        <v>2603</v>
      </c>
      <c r="BL97" s="7" t="s">
        <v>72</v>
      </c>
      <c r="BM97" s="7" t="s">
        <v>74</v>
      </c>
      <c r="BN97" s="7">
        <v>149</v>
      </c>
      <c r="BO97" s="7">
        <v>1175</v>
      </c>
      <c r="BP97" s="7" t="s">
        <v>72</v>
      </c>
      <c r="BQ97" s="7" t="s">
        <v>1</v>
      </c>
      <c r="BR97" s="7" t="s">
        <v>1</v>
      </c>
      <c r="BS97" s="7" t="s">
        <v>1</v>
      </c>
      <c r="BT97" s="7" t="s">
        <v>1</v>
      </c>
      <c r="BU97" s="7" t="s">
        <v>1</v>
      </c>
      <c r="BV97" s="7" t="s">
        <v>1</v>
      </c>
      <c r="BW97" s="7" t="s">
        <v>1</v>
      </c>
      <c r="BX97" s="7" t="s">
        <v>1</v>
      </c>
      <c r="BY97" s="7" t="s">
        <v>1</v>
      </c>
      <c r="BZ97" s="7" t="s">
        <v>1</v>
      </c>
      <c r="CA97" s="7" t="s">
        <v>1</v>
      </c>
      <c r="CB97" s="7" t="s">
        <v>1</v>
      </c>
      <c r="CC97" s="7" t="s">
        <v>1</v>
      </c>
      <c r="CD97" s="7" t="s">
        <v>1</v>
      </c>
      <c r="CE97" s="7" t="s">
        <v>1</v>
      </c>
      <c r="CF97" s="7" t="s">
        <v>1</v>
      </c>
    </row>
    <row r="98" ht="27" customHeight="1" spans="1:84">
      <c r="A98" s="29">
        <v>45201</v>
      </c>
      <c r="B98" s="7" t="s">
        <v>125</v>
      </c>
      <c r="C98" s="32" t="s">
        <v>1</v>
      </c>
      <c r="D98" s="30" t="s">
        <v>1</v>
      </c>
      <c r="E98" s="30" t="s">
        <v>1</v>
      </c>
      <c r="F98" s="32" t="str">
        <f t="shared" si="3"/>
        <v/>
      </c>
      <c r="G98" s="32" t="s">
        <v>1</v>
      </c>
      <c r="H98" s="7" t="s">
        <v>1</v>
      </c>
      <c r="I98" s="32" t="s">
        <v>1</v>
      </c>
      <c r="J98" s="31" t="s">
        <v>1</v>
      </c>
      <c r="K98" s="31" t="str">
        <f>IFERROR(E98/#REF!,"")</f>
        <v/>
      </c>
      <c r="L98" s="127">
        <v>109705</v>
      </c>
      <c r="M98" s="32" t="s">
        <v>72</v>
      </c>
      <c r="N98" s="32" t="s">
        <v>1</v>
      </c>
      <c r="O98" s="32" t="s">
        <v>1</v>
      </c>
      <c r="P98" s="32" t="s">
        <v>1</v>
      </c>
      <c r="Q98" s="31" t="e">
        <f t="shared" si="2"/>
        <v>#VALUE!</v>
      </c>
      <c r="R98" s="32" t="s">
        <v>1</v>
      </c>
      <c r="S98" s="32" t="s">
        <v>1</v>
      </c>
      <c r="T98" s="32" t="s">
        <v>1</v>
      </c>
      <c r="U98" s="32" t="s">
        <v>1</v>
      </c>
      <c r="V98" s="7" t="s">
        <v>1</v>
      </c>
      <c r="W98" s="7" t="s">
        <v>72</v>
      </c>
      <c r="X98" s="7" t="s">
        <v>1</v>
      </c>
      <c r="Y98" s="7" t="s">
        <v>72</v>
      </c>
      <c r="Z98" s="7" t="s">
        <v>1</v>
      </c>
      <c r="AA98" s="30" t="s">
        <v>72</v>
      </c>
      <c r="AB98" s="7" t="s">
        <v>1</v>
      </c>
      <c r="AC98" s="7" t="s">
        <v>72</v>
      </c>
      <c r="AD98" s="7" t="s">
        <v>1</v>
      </c>
      <c r="AE98" s="7" t="s">
        <v>72</v>
      </c>
      <c r="AF98" s="7" t="s">
        <v>1</v>
      </c>
      <c r="AG98" s="7" t="s">
        <v>72</v>
      </c>
      <c r="AH98" s="127">
        <v>3122</v>
      </c>
      <c r="AI98" s="127" t="s">
        <v>72</v>
      </c>
      <c r="AJ98" s="127">
        <v>798</v>
      </c>
      <c r="AK98" s="127" t="s">
        <v>72</v>
      </c>
      <c r="AL98" s="127">
        <v>62</v>
      </c>
      <c r="AM98" s="127" t="s">
        <v>72</v>
      </c>
      <c r="AN98" s="127">
        <v>1668</v>
      </c>
      <c r="AO98" s="127" t="s">
        <v>72</v>
      </c>
      <c r="AP98" s="127">
        <v>1771</v>
      </c>
      <c r="AQ98" s="127" t="s">
        <v>72</v>
      </c>
      <c r="AR98" s="127">
        <v>285</v>
      </c>
      <c r="AS98" s="7" t="s">
        <v>72</v>
      </c>
      <c r="AT98" s="314" t="s">
        <v>1</v>
      </c>
      <c r="AU98" s="32" t="s">
        <v>1</v>
      </c>
      <c r="AV98" s="30">
        <v>0</v>
      </c>
      <c r="AW98" s="32" t="s">
        <v>1</v>
      </c>
      <c r="AX98" s="31">
        <v>0</v>
      </c>
      <c r="AY98" s="314" t="s">
        <v>1</v>
      </c>
      <c r="AZ98" s="7">
        <v>0</v>
      </c>
      <c r="BA98" s="32" t="s">
        <v>1</v>
      </c>
      <c r="BB98" s="31" t="s">
        <v>103</v>
      </c>
      <c r="BC98" s="314" t="s">
        <v>1</v>
      </c>
      <c r="BD98" s="314" t="s">
        <v>1</v>
      </c>
      <c r="BE98" s="32" t="s">
        <v>1</v>
      </c>
      <c r="BF98" s="32" t="s">
        <v>1</v>
      </c>
      <c r="BG98" s="314" t="s">
        <v>1</v>
      </c>
      <c r="BH98" s="314" t="s">
        <v>1</v>
      </c>
      <c r="BI98" s="7" t="s">
        <v>94</v>
      </c>
      <c r="BJ98" s="7">
        <v>26</v>
      </c>
      <c r="BK98" s="7">
        <v>2826</v>
      </c>
      <c r="BL98" s="7" t="s">
        <v>72</v>
      </c>
      <c r="BM98" s="7" t="s">
        <v>74</v>
      </c>
      <c r="BN98" s="7">
        <v>128</v>
      </c>
      <c r="BO98" s="7">
        <v>1195</v>
      </c>
      <c r="BP98" s="7" t="s">
        <v>72</v>
      </c>
      <c r="BQ98" s="7" t="s">
        <v>1</v>
      </c>
      <c r="BR98" s="7" t="s">
        <v>1</v>
      </c>
      <c r="BS98" s="7" t="s">
        <v>1</v>
      </c>
      <c r="BT98" s="7" t="s">
        <v>1</v>
      </c>
      <c r="BU98" s="7" t="s">
        <v>1</v>
      </c>
      <c r="BV98" s="7" t="s">
        <v>1</v>
      </c>
      <c r="BW98" s="7" t="s">
        <v>1</v>
      </c>
      <c r="BX98" s="7" t="s">
        <v>1</v>
      </c>
      <c r="BY98" s="7" t="s">
        <v>1</v>
      </c>
      <c r="BZ98" s="7" t="s">
        <v>1</v>
      </c>
      <c r="CA98" s="7" t="s">
        <v>1</v>
      </c>
      <c r="CB98" s="7" t="s">
        <v>1</v>
      </c>
      <c r="CC98" s="7" t="s">
        <v>1</v>
      </c>
      <c r="CD98" s="7" t="s">
        <v>1</v>
      </c>
      <c r="CE98" s="7" t="s">
        <v>1</v>
      </c>
      <c r="CF98" s="7" t="s">
        <v>1</v>
      </c>
    </row>
    <row r="99" ht="27" customHeight="1" spans="1:84">
      <c r="A99" s="29">
        <v>45202</v>
      </c>
      <c r="B99" s="7" t="s">
        <v>125</v>
      </c>
      <c r="C99" s="32" t="s">
        <v>1</v>
      </c>
      <c r="D99" s="30" t="s">
        <v>1</v>
      </c>
      <c r="E99" s="30" t="s">
        <v>1</v>
      </c>
      <c r="F99" s="32" t="str">
        <f t="shared" si="3"/>
        <v/>
      </c>
      <c r="G99" s="32" t="s">
        <v>1</v>
      </c>
      <c r="H99" s="7" t="s">
        <v>1</v>
      </c>
      <c r="I99" s="32" t="s">
        <v>1</v>
      </c>
      <c r="J99" s="31" t="s">
        <v>1</v>
      </c>
      <c r="K99" s="31" t="str">
        <f>IFERROR(E99/#REF!,"")</f>
        <v/>
      </c>
      <c r="L99" s="127">
        <v>151264</v>
      </c>
      <c r="M99" s="32" t="s">
        <v>72</v>
      </c>
      <c r="N99" s="32" t="s">
        <v>1</v>
      </c>
      <c r="O99" s="32" t="s">
        <v>1</v>
      </c>
      <c r="P99" s="32" t="s">
        <v>1</v>
      </c>
      <c r="Q99" s="31" t="e">
        <f t="shared" si="2"/>
        <v>#VALUE!</v>
      </c>
      <c r="R99" s="32" t="s">
        <v>1</v>
      </c>
      <c r="S99" s="32" t="s">
        <v>1</v>
      </c>
      <c r="T99" s="32" t="s">
        <v>1</v>
      </c>
      <c r="U99" s="32" t="s">
        <v>1</v>
      </c>
      <c r="V99" s="7" t="s">
        <v>1</v>
      </c>
      <c r="W99" s="7" t="s">
        <v>72</v>
      </c>
      <c r="X99" s="7" t="s">
        <v>1</v>
      </c>
      <c r="Y99" s="7" t="s">
        <v>72</v>
      </c>
      <c r="Z99" s="7" t="s">
        <v>1</v>
      </c>
      <c r="AA99" s="30" t="s">
        <v>72</v>
      </c>
      <c r="AB99" s="7" t="s">
        <v>1</v>
      </c>
      <c r="AC99" s="7" t="s">
        <v>72</v>
      </c>
      <c r="AD99" s="7" t="s">
        <v>1</v>
      </c>
      <c r="AE99" s="7" t="s">
        <v>72</v>
      </c>
      <c r="AF99" s="7" t="s">
        <v>1</v>
      </c>
      <c r="AG99" s="7" t="s">
        <v>72</v>
      </c>
      <c r="AH99" s="127">
        <v>3219</v>
      </c>
      <c r="AI99" s="127" t="s">
        <v>72</v>
      </c>
      <c r="AJ99" s="127">
        <v>772</v>
      </c>
      <c r="AK99" s="127" t="s">
        <v>72</v>
      </c>
      <c r="AL99" s="127">
        <v>66</v>
      </c>
      <c r="AM99" s="127" t="s">
        <v>72</v>
      </c>
      <c r="AN99" s="127">
        <v>1591</v>
      </c>
      <c r="AO99" s="127" t="s">
        <v>72</v>
      </c>
      <c r="AP99" s="127">
        <v>1821</v>
      </c>
      <c r="AQ99" s="127" t="s">
        <v>72</v>
      </c>
      <c r="AR99" s="127">
        <v>312</v>
      </c>
      <c r="AS99" s="7" t="s">
        <v>72</v>
      </c>
      <c r="AT99" s="314" t="s">
        <v>1</v>
      </c>
      <c r="AU99" s="32" t="s">
        <v>1</v>
      </c>
      <c r="AV99" s="30">
        <v>0</v>
      </c>
      <c r="AW99" s="32" t="s">
        <v>1</v>
      </c>
      <c r="AX99" s="31">
        <v>0</v>
      </c>
      <c r="AY99" s="314" t="s">
        <v>1</v>
      </c>
      <c r="AZ99" s="7">
        <v>0</v>
      </c>
      <c r="BA99" s="32" t="s">
        <v>1</v>
      </c>
      <c r="BB99" s="31" t="s">
        <v>103</v>
      </c>
      <c r="BC99" s="314" t="s">
        <v>1</v>
      </c>
      <c r="BD99" s="314" t="s">
        <v>1</v>
      </c>
      <c r="BE99" s="32" t="s">
        <v>1</v>
      </c>
      <c r="BF99" s="32" t="s">
        <v>1</v>
      </c>
      <c r="BG99" s="314" t="s">
        <v>1</v>
      </c>
      <c r="BH99" s="314" t="s">
        <v>1</v>
      </c>
      <c r="BI99" s="7" t="s">
        <v>94</v>
      </c>
      <c r="BJ99" s="7">
        <v>30</v>
      </c>
      <c r="BK99" s="7">
        <v>2730</v>
      </c>
      <c r="BL99" s="7" t="s">
        <v>72</v>
      </c>
      <c r="BM99" s="7" t="s">
        <v>74</v>
      </c>
      <c r="BN99" s="7">
        <v>134</v>
      </c>
      <c r="BO99" s="7">
        <v>1140</v>
      </c>
      <c r="BP99" s="7" t="s">
        <v>72</v>
      </c>
      <c r="BQ99" s="7" t="s">
        <v>1</v>
      </c>
      <c r="BR99" s="7" t="s">
        <v>1</v>
      </c>
      <c r="BS99" s="7" t="s">
        <v>1</v>
      </c>
      <c r="BT99" s="7" t="s">
        <v>1</v>
      </c>
      <c r="BU99" s="7" t="s">
        <v>1</v>
      </c>
      <c r="BV99" s="7" t="s">
        <v>1</v>
      </c>
      <c r="BW99" s="7" t="s">
        <v>1</v>
      </c>
      <c r="BX99" s="7" t="s">
        <v>1</v>
      </c>
      <c r="BY99" s="7" t="s">
        <v>1</v>
      </c>
      <c r="BZ99" s="7" t="s">
        <v>1</v>
      </c>
      <c r="CA99" s="7" t="s">
        <v>1</v>
      </c>
      <c r="CB99" s="7" t="s">
        <v>1</v>
      </c>
      <c r="CC99" s="7" t="s">
        <v>1</v>
      </c>
      <c r="CD99" s="7" t="s">
        <v>1</v>
      </c>
      <c r="CE99" s="7" t="s">
        <v>1</v>
      </c>
      <c r="CF99" s="7" t="s">
        <v>1</v>
      </c>
    </row>
    <row r="100" ht="27" customHeight="1" spans="1:84">
      <c r="A100" s="29">
        <v>45203</v>
      </c>
      <c r="B100" s="7" t="s">
        <v>125</v>
      </c>
      <c r="C100" s="32" t="s">
        <v>1</v>
      </c>
      <c r="D100" s="30" t="s">
        <v>1</v>
      </c>
      <c r="E100" s="30" t="s">
        <v>1</v>
      </c>
      <c r="F100" s="32" t="str">
        <f t="shared" si="3"/>
        <v/>
      </c>
      <c r="G100" s="32" t="s">
        <v>1</v>
      </c>
      <c r="H100" s="7" t="s">
        <v>1</v>
      </c>
      <c r="I100" s="32" t="s">
        <v>1</v>
      </c>
      <c r="J100" s="31" t="s">
        <v>1</v>
      </c>
      <c r="K100" s="31" t="str">
        <f>IFERROR(E100/#REF!,"")</f>
        <v/>
      </c>
      <c r="L100" s="127">
        <v>124269</v>
      </c>
      <c r="M100" s="32" t="s">
        <v>72</v>
      </c>
      <c r="N100" s="32" t="s">
        <v>1</v>
      </c>
      <c r="O100" s="32" t="s">
        <v>1</v>
      </c>
      <c r="P100" s="32" t="s">
        <v>1</v>
      </c>
      <c r="Q100" s="31" t="e">
        <f t="shared" si="2"/>
        <v>#VALUE!</v>
      </c>
      <c r="R100" s="32" t="s">
        <v>1</v>
      </c>
      <c r="S100" s="32" t="s">
        <v>1</v>
      </c>
      <c r="T100" s="32" t="s">
        <v>1</v>
      </c>
      <c r="U100" s="32" t="s">
        <v>1</v>
      </c>
      <c r="V100" s="7" t="s">
        <v>1</v>
      </c>
      <c r="W100" s="7" t="s">
        <v>72</v>
      </c>
      <c r="X100" s="7" t="s">
        <v>1</v>
      </c>
      <c r="Y100" s="7" t="s">
        <v>72</v>
      </c>
      <c r="Z100" s="7" t="s">
        <v>1</v>
      </c>
      <c r="AA100" s="30" t="s">
        <v>72</v>
      </c>
      <c r="AB100" s="7" t="s">
        <v>1</v>
      </c>
      <c r="AC100" s="7" t="s">
        <v>72</v>
      </c>
      <c r="AD100" s="7" t="s">
        <v>1</v>
      </c>
      <c r="AE100" s="7" t="s">
        <v>72</v>
      </c>
      <c r="AF100" s="7" t="s">
        <v>1</v>
      </c>
      <c r="AG100" s="7" t="s">
        <v>72</v>
      </c>
      <c r="AH100" s="127">
        <v>3396</v>
      </c>
      <c r="AI100" s="127" t="s">
        <v>72</v>
      </c>
      <c r="AJ100" s="127">
        <v>648</v>
      </c>
      <c r="AK100" s="127" t="s">
        <v>72</v>
      </c>
      <c r="AL100" s="127">
        <v>64</v>
      </c>
      <c r="AM100" s="127" t="s">
        <v>72</v>
      </c>
      <c r="AN100" s="127">
        <v>1703</v>
      </c>
      <c r="AO100" s="127" t="s">
        <v>72</v>
      </c>
      <c r="AP100" s="127">
        <v>1954</v>
      </c>
      <c r="AQ100" s="127" t="s">
        <v>72</v>
      </c>
      <c r="AR100" s="127">
        <v>275</v>
      </c>
      <c r="AS100" s="7" t="s">
        <v>72</v>
      </c>
      <c r="AT100" s="314" t="s">
        <v>1</v>
      </c>
      <c r="AU100" s="32" t="s">
        <v>1</v>
      </c>
      <c r="AV100" s="30">
        <v>0</v>
      </c>
      <c r="AW100" s="32" t="s">
        <v>1</v>
      </c>
      <c r="AX100" s="31">
        <v>0</v>
      </c>
      <c r="AY100" s="314" t="s">
        <v>1</v>
      </c>
      <c r="AZ100" s="7">
        <v>0</v>
      </c>
      <c r="BA100" s="32" t="s">
        <v>1</v>
      </c>
      <c r="BB100" s="31" t="s">
        <v>103</v>
      </c>
      <c r="BC100" s="314" t="s">
        <v>1</v>
      </c>
      <c r="BD100" s="314" t="s">
        <v>1</v>
      </c>
      <c r="BE100" s="32" t="s">
        <v>1</v>
      </c>
      <c r="BF100" s="32" t="s">
        <v>1</v>
      </c>
      <c r="BG100" s="314" t="s">
        <v>1</v>
      </c>
      <c r="BH100" s="314" t="s">
        <v>1</v>
      </c>
      <c r="BI100" s="7" t="s">
        <v>94</v>
      </c>
      <c r="BJ100" s="7">
        <v>36</v>
      </c>
      <c r="BK100" s="7">
        <v>2642</v>
      </c>
      <c r="BL100" s="7" t="s">
        <v>72</v>
      </c>
      <c r="BM100" s="7" t="s">
        <v>74</v>
      </c>
      <c r="BN100" s="7">
        <v>141</v>
      </c>
      <c r="BO100" s="7">
        <v>1131</v>
      </c>
      <c r="BP100" s="7" t="s">
        <v>72</v>
      </c>
      <c r="BQ100" s="7" t="s">
        <v>1</v>
      </c>
      <c r="BR100" s="7" t="s">
        <v>1</v>
      </c>
      <c r="BS100" s="7" t="s">
        <v>1</v>
      </c>
      <c r="BT100" s="7" t="s">
        <v>1</v>
      </c>
      <c r="BU100" s="7" t="s">
        <v>1</v>
      </c>
      <c r="BV100" s="7" t="s">
        <v>1</v>
      </c>
      <c r="BW100" s="7" t="s">
        <v>1</v>
      </c>
      <c r="BX100" s="7" t="s">
        <v>1</v>
      </c>
      <c r="BY100" s="7" t="s">
        <v>1</v>
      </c>
      <c r="BZ100" s="7" t="s">
        <v>1</v>
      </c>
      <c r="CA100" s="7" t="s">
        <v>1</v>
      </c>
      <c r="CB100" s="7" t="s">
        <v>1</v>
      </c>
      <c r="CC100" s="7" t="s">
        <v>1</v>
      </c>
      <c r="CD100" s="7" t="s">
        <v>1</v>
      </c>
      <c r="CE100" s="7" t="s">
        <v>1</v>
      </c>
      <c r="CF100" s="7" t="s">
        <v>1</v>
      </c>
    </row>
    <row r="101" ht="27" customHeight="1" spans="1:84">
      <c r="A101" s="29">
        <v>45204</v>
      </c>
      <c r="B101" s="7" t="s">
        <v>125</v>
      </c>
      <c r="C101" s="32" t="s">
        <v>1</v>
      </c>
      <c r="D101" s="30" t="s">
        <v>1</v>
      </c>
      <c r="E101" s="30" t="s">
        <v>1</v>
      </c>
      <c r="F101" s="32" t="str">
        <f t="shared" si="3"/>
        <v/>
      </c>
      <c r="G101" s="32" t="s">
        <v>1</v>
      </c>
      <c r="H101" s="7" t="s">
        <v>1</v>
      </c>
      <c r="I101" s="32" t="s">
        <v>1</v>
      </c>
      <c r="J101" s="31" t="s">
        <v>1</v>
      </c>
      <c r="K101" s="31" t="str">
        <f>IFERROR(E101/#REF!,"")</f>
        <v/>
      </c>
      <c r="L101" s="127">
        <v>112336</v>
      </c>
      <c r="M101" s="32" t="s">
        <v>72</v>
      </c>
      <c r="N101" s="32" t="s">
        <v>1</v>
      </c>
      <c r="O101" s="32" t="s">
        <v>1</v>
      </c>
      <c r="P101" s="32" t="s">
        <v>1</v>
      </c>
      <c r="Q101" s="31" t="e">
        <f t="shared" si="2"/>
        <v>#VALUE!</v>
      </c>
      <c r="R101" s="32" t="s">
        <v>1</v>
      </c>
      <c r="S101" s="32" t="s">
        <v>1</v>
      </c>
      <c r="T101" s="32" t="s">
        <v>1</v>
      </c>
      <c r="U101" s="32" t="s">
        <v>1</v>
      </c>
      <c r="V101" s="7" t="s">
        <v>1</v>
      </c>
      <c r="W101" s="7" t="s">
        <v>72</v>
      </c>
      <c r="X101" s="7" t="s">
        <v>1</v>
      </c>
      <c r="Y101" s="7" t="s">
        <v>72</v>
      </c>
      <c r="Z101" s="7" t="s">
        <v>1</v>
      </c>
      <c r="AA101" s="30" t="s">
        <v>72</v>
      </c>
      <c r="AB101" s="7" t="s">
        <v>1</v>
      </c>
      <c r="AC101" s="7" t="s">
        <v>72</v>
      </c>
      <c r="AD101" s="7" t="s">
        <v>1</v>
      </c>
      <c r="AE101" s="7" t="s">
        <v>72</v>
      </c>
      <c r="AF101" s="7" t="s">
        <v>1</v>
      </c>
      <c r="AG101" s="7" t="s">
        <v>72</v>
      </c>
      <c r="AH101" s="127">
        <v>3673</v>
      </c>
      <c r="AI101" s="127" t="s">
        <v>72</v>
      </c>
      <c r="AJ101" s="127">
        <v>665</v>
      </c>
      <c r="AK101" s="127" t="s">
        <v>72</v>
      </c>
      <c r="AL101" s="127">
        <v>95</v>
      </c>
      <c r="AM101" s="127" t="s">
        <v>72</v>
      </c>
      <c r="AN101" s="127">
        <v>1632</v>
      </c>
      <c r="AO101" s="127" t="s">
        <v>72</v>
      </c>
      <c r="AP101" s="127">
        <v>2097</v>
      </c>
      <c r="AQ101" s="127" t="s">
        <v>72</v>
      </c>
      <c r="AR101" s="127">
        <v>316</v>
      </c>
      <c r="AS101" s="7" t="s">
        <v>72</v>
      </c>
      <c r="AT101" s="314" t="s">
        <v>1</v>
      </c>
      <c r="AU101" s="32" t="s">
        <v>1</v>
      </c>
      <c r="AV101" s="30">
        <v>0</v>
      </c>
      <c r="AW101" s="32" t="s">
        <v>1</v>
      </c>
      <c r="AX101" s="31">
        <v>0</v>
      </c>
      <c r="AY101" s="314" t="s">
        <v>1</v>
      </c>
      <c r="AZ101" s="7">
        <v>0</v>
      </c>
      <c r="BA101" s="32" t="s">
        <v>1</v>
      </c>
      <c r="BB101" s="31" t="s">
        <v>103</v>
      </c>
      <c r="BC101" s="314" t="s">
        <v>1</v>
      </c>
      <c r="BD101" s="314" t="s">
        <v>1</v>
      </c>
      <c r="BE101" s="32" t="s">
        <v>1</v>
      </c>
      <c r="BF101" s="32" t="s">
        <v>1</v>
      </c>
      <c r="BG101" s="314" t="s">
        <v>1</v>
      </c>
      <c r="BH101" s="314" t="s">
        <v>1</v>
      </c>
      <c r="BI101" s="7" t="s">
        <v>94</v>
      </c>
      <c r="BJ101" s="7">
        <v>40</v>
      </c>
      <c r="BK101" s="7">
        <v>2550</v>
      </c>
      <c r="BL101" s="7" t="s">
        <v>72</v>
      </c>
      <c r="BM101" s="7" t="s">
        <v>74</v>
      </c>
      <c r="BN101" s="7">
        <v>135</v>
      </c>
      <c r="BO101" s="7">
        <v>1249</v>
      </c>
      <c r="BP101" s="7" t="s">
        <v>72</v>
      </c>
      <c r="BQ101" s="7" t="s">
        <v>1</v>
      </c>
      <c r="BR101" s="7" t="s">
        <v>1</v>
      </c>
      <c r="BS101" s="7" t="s">
        <v>1</v>
      </c>
      <c r="BT101" s="7" t="s">
        <v>1</v>
      </c>
      <c r="BU101" s="7" t="s">
        <v>1</v>
      </c>
      <c r="BV101" s="7" t="s">
        <v>1</v>
      </c>
      <c r="BW101" s="7" t="s">
        <v>1</v>
      </c>
      <c r="BX101" s="7" t="s">
        <v>1</v>
      </c>
      <c r="BY101" s="7" t="s">
        <v>1</v>
      </c>
      <c r="BZ101" s="7" t="s">
        <v>1</v>
      </c>
      <c r="CA101" s="7" t="s">
        <v>1</v>
      </c>
      <c r="CB101" s="7" t="s">
        <v>1</v>
      </c>
      <c r="CC101" s="7" t="s">
        <v>1</v>
      </c>
      <c r="CD101" s="7" t="s">
        <v>1</v>
      </c>
      <c r="CE101" s="7" t="s">
        <v>1</v>
      </c>
      <c r="CF101" s="7" t="s">
        <v>1</v>
      </c>
    </row>
    <row r="102" ht="27" customHeight="1" spans="1:84">
      <c r="A102" s="29">
        <v>45205</v>
      </c>
      <c r="B102" s="7" t="s">
        <v>125</v>
      </c>
      <c r="C102" s="32" t="s">
        <v>1</v>
      </c>
      <c r="D102" s="30" t="s">
        <v>1</v>
      </c>
      <c r="E102" s="30" t="s">
        <v>1</v>
      </c>
      <c r="F102" s="32" t="str">
        <f t="shared" si="3"/>
        <v/>
      </c>
      <c r="G102" s="32" t="s">
        <v>1</v>
      </c>
      <c r="H102" s="7" t="s">
        <v>1</v>
      </c>
      <c r="I102" s="32" t="s">
        <v>1</v>
      </c>
      <c r="J102" s="31" t="s">
        <v>1</v>
      </c>
      <c r="K102" s="31" t="str">
        <f>IFERROR(E102/#REF!,"")</f>
        <v/>
      </c>
      <c r="L102" s="127">
        <v>181757</v>
      </c>
      <c r="M102" s="32" t="s">
        <v>72</v>
      </c>
      <c r="N102" s="32" t="s">
        <v>1</v>
      </c>
      <c r="O102" s="32" t="s">
        <v>1</v>
      </c>
      <c r="P102" s="32" t="s">
        <v>1</v>
      </c>
      <c r="Q102" s="31" t="e">
        <f t="shared" si="2"/>
        <v>#VALUE!</v>
      </c>
      <c r="R102" s="32" t="s">
        <v>1</v>
      </c>
      <c r="S102" s="32" t="s">
        <v>1</v>
      </c>
      <c r="T102" s="32" t="s">
        <v>1</v>
      </c>
      <c r="U102" s="32" t="s">
        <v>1</v>
      </c>
      <c r="V102" s="7" t="s">
        <v>1</v>
      </c>
      <c r="W102" s="7" t="s">
        <v>72</v>
      </c>
      <c r="X102" s="7" t="s">
        <v>1</v>
      </c>
      <c r="Y102" s="7" t="s">
        <v>72</v>
      </c>
      <c r="Z102" s="7" t="s">
        <v>1</v>
      </c>
      <c r="AA102" s="30" t="s">
        <v>72</v>
      </c>
      <c r="AB102" s="7" t="s">
        <v>1</v>
      </c>
      <c r="AC102" s="7" t="s">
        <v>72</v>
      </c>
      <c r="AD102" s="7" t="s">
        <v>1</v>
      </c>
      <c r="AE102" s="7" t="s">
        <v>72</v>
      </c>
      <c r="AF102" s="7" t="s">
        <v>1</v>
      </c>
      <c r="AG102" s="7" t="s">
        <v>72</v>
      </c>
      <c r="AH102" s="127">
        <v>4160</v>
      </c>
      <c r="AI102" s="127" t="s">
        <v>72</v>
      </c>
      <c r="AJ102" s="127">
        <v>647</v>
      </c>
      <c r="AK102" s="127" t="s">
        <v>72</v>
      </c>
      <c r="AL102" s="127">
        <v>88</v>
      </c>
      <c r="AM102" s="127" t="s">
        <v>72</v>
      </c>
      <c r="AN102" s="127">
        <v>1682</v>
      </c>
      <c r="AO102" s="127" t="s">
        <v>72</v>
      </c>
      <c r="AP102" s="127">
        <v>2390</v>
      </c>
      <c r="AQ102" s="127" t="s">
        <v>72</v>
      </c>
      <c r="AR102" s="127">
        <v>406</v>
      </c>
      <c r="AS102" s="7" t="s">
        <v>72</v>
      </c>
      <c r="AT102" s="314" t="s">
        <v>1</v>
      </c>
      <c r="AU102" s="32" t="s">
        <v>1</v>
      </c>
      <c r="AV102" s="30">
        <v>0</v>
      </c>
      <c r="AW102" s="32" t="s">
        <v>1</v>
      </c>
      <c r="AX102" s="31">
        <v>0</v>
      </c>
      <c r="AY102" s="314" t="s">
        <v>1</v>
      </c>
      <c r="AZ102" s="7">
        <v>0</v>
      </c>
      <c r="BA102" s="32" t="s">
        <v>1</v>
      </c>
      <c r="BB102" s="31" t="s">
        <v>103</v>
      </c>
      <c r="BC102" s="314" t="s">
        <v>1</v>
      </c>
      <c r="BD102" s="314" t="s">
        <v>1</v>
      </c>
      <c r="BE102" s="32" t="s">
        <v>1</v>
      </c>
      <c r="BF102" s="32" t="s">
        <v>1</v>
      </c>
      <c r="BG102" s="314" t="s">
        <v>1</v>
      </c>
      <c r="BH102" s="314" t="s">
        <v>1</v>
      </c>
      <c r="BI102" s="7" t="s">
        <v>94</v>
      </c>
      <c r="BJ102" s="7">
        <v>24</v>
      </c>
      <c r="BK102" s="7">
        <v>3513</v>
      </c>
      <c r="BL102" s="7" t="s">
        <v>72</v>
      </c>
      <c r="BM102" s="7" t="s">
        <v>74</v>
      </c>
      <c r="BN102" s="7">
        <v>110</v>
      </c>
      <c r="BO102" s="7">
        <v>1478</v>
      </c>
      <c r="BP102" s="7" t="s">
        <v>72</v>
      </c>
      <c r="BQ102" s="7" t="s">
        <v>1</v>
      </c>
      <c r="BR102" s="7" t="s">
        <v>1</v>
      </c>
      <c r="BS102" s="7" t="s">
        <v>1</v>
      </c>
      <c r="BT102" s="7" t="s">
        <v>1</v>
      </c>
      <c r="BU102" s="7" t="s">
        <v>1</v>
      </c>
      <c r="BV102" s="7" t="s">
        <v>1</v>
      </c>
      <c r="BW102" s="7" t="s">
        <v>1</v>
      </c>
      <c r="BX102" s="7" t="s">
        <v>1</v>
      </c>
      <c r="BY102" s="7" t="s">
        <v>1</v>
      </c>
      <c r="BZ102" s="7" t="s">
        <v>1</v>
      </c>
      <c r="CA102" s="7" t="s">
        <v>1</v>
      </c>
      <c r="CB102" s="7" t="s">
        <v>1</v>
      </c>
      <c r="CC102" s="7" t="s">
        <v>1</v>
      </c>
      <c r="CD102" s="7" t="s">
        <v>1</v>
      </c>
      <c r="CE102" s="7" t="s">
        <v>1</v>
      </c>
      <c r="CF102" s="7" t="s">
        <v>1</v>
      </c>
    </row>
    <row r="103" ht="27" customHeight="1" spans="1:84">
      <c r="A103" s="29">
        <v>45206</v>
      </c>
      <c r="B103" s="7" t="s">
        <v>125</v>
      </c>
      <c r="C103" s="32" t="s">
        <v>1</v>
      </c>
      <c r="D103" s="30" t="s">
        <v>1</v>
      </c>
      <c r="E103" s="30" t="s">
        <v>1</v>
      </c>
      <c r="F103" s="32" t="str">
        <f t="shared" si="3"/>
        <v/>
      </c>
      <c r="G103" s="32" t="s">
        <v>1</v>
      </c>
      <c r="H103" s="7" t="s">
        <v>1</v>
      </c>
      <c r="I103" s="32" t="s">
        <v>1</v>
      </c>
      <c r="J103" s="31" t="s">
        <v>1</v>
      </c>
      <c r="K103" s="31" t="str">
        <f>IFERROR(E103/#REF!,"")</f>
        <v/>
      </c>
      <c r="L103" s="127">
        <v>148315</v>
      </c>
      <c r="M103" s="32" t="s">
        <v>72</v>
      </c>
      <c r="N103" s="32" t="s">
        <v>1</v>
      </c>
      <c r="O103" s="32" t="s">
        <v>1</v>
      </c>
      <c r="P103" s="32" t="s">
        <v>1</v>
      </c>
      <c r="Q103" s="31" t="e">
        <f t="shared" si="2"/>
        <v>#VALUE!</v>
      </c>
      <c r="R103" s="32" t="s">
        <v>1</v>
      </c>
      <c r="S103" s="32" t="s">
        <v>1</v>
      </c>
      <c r="T103" s="32" t="s">
        <v>1</v>
      </c>
      <c r="U103" s="32" t="s">
        <v>1</v>
      </c>
      <c r="V103" s="7" t="s">
        <v>1</v>
      </c>
      <c r="W103" s="7" t="s">
        <v>72</v>
      </c>
      <c r="X103" s="7" t="s">
        <v>1</v>
      </c>
      <c r="Y103" s="7" t="s">
        <v>72</v>
      </c>
      <c r="Z103" s="7" t="s">
        <v>1</v>
      </c>
      <c r="AA103" s="30" t="s">
        <v>72</v>
      </c>
      <c r="AB103" s="7" t="s">
        <v>1</v>
      </c>
      <c r="AC103" s="7" t="s">
        <v>72</v>
      </c>
      <c r="AD103" s="7" t="s">
        <v>1</v>
      </c>
      <c r="AE103" s="7" t="s">
        <v>72</v>
      </c>
      <c r="AF103" s="7" t="s">
        <v>1</v>
      </c>
      <c r="AG103" s="7" t="s">
        <v>72</v>
      </c>
      <c r="AH103" s="127">
        <v>4230</v>
      </c>
      <c r="AI103" s="127" t="s">
        <v>72</v>
      </c>
      <c r="AJ103" s="7">
        <v>566</v>
      </c>
      <c r="AK103" s="127" t="s">
        <v>72</v>
      </c>
      <c r="AL103" s="127">
        <v>112</v>
      </c>
      <c r="AM103" s="127" t="s">
        <v>72</v>
      </c>
      <c r="AN103" s="127">
        <v>1621</v>
      </c>
      <c r="AO103" s="127" t="s">
        <v>72</v>
      </c>
      <c r="AP103" s="127">
        <v>2455</v>
      </c>
      <c r="AQ103" s="127" t="s">
        <v>72</v>
      </c>
      <c r="AR103" s="127">
        <v>483</v>
      </c>
      <c r="AS103" s="7" t="s">
        <v>72</v>
      </c>
      <c r="AT103" s="314" t="s">
        <v>1</v>
      </c>
      <c r="AU103" s="32" t="s">
        <v>1</v>
      </c>
      <c r="AV103" s="30">
        <v>0</v>
      </c>
      <c r="AW103" s="32" t="s">
        <v>1</v>
      </c>
      <c r="AX103" s="31">
        <v>0</v>
      </c>
      <c r="AY103" s="314" t="s">
        <v>1</v>
      </c>
      <c r="AZ103" s="7">
        <v>0</v>
      </c>
      <c r="BA103" s="32" t="s">
        <v>1</v>
      </c>
      <c r="BB103" s="31" t="s">
        <v>103</v>
      </c>
      <c r="BC103" s="314" t="s">
        <v>1</v>
      </c>
      <c r="BD103" s="314" t="s">
        <v>1</v>
      </c>
      <c r="BE103" s="32" t="s">
        <v>1</v>
      </c>
      <c r="BF103" s="32" t="s">
        <v>1</v>
      </c>
      <c r="BG103" s="314" t="s">
        <v>1</v>
      </c>
      <c r="BH103" s="314" t="s">
        <v>1</v>
      </c>
      <c r="BI103" s="7" t="s">
        <v>94</v>
      </c>
      <c r="BJ103" s="7">
        <v>25</v>
      </c>
      <c r="BK103" s="7">
        <v>3792</v>
      </c>
      <c r="BL103" s="7" t="s">
        <v>72</v>
      </c>
      <c r="BM103" s="7" t="s">
        <v>74</v>
      </c>
      <c r="BN103" s="7">
        <v>145</v>
      </c>
      <c r="BO103" s="7">
        <v>1218</v>
      </c>
      <c r="BP103" s="7" t="s">
        <v>72</v>
      </c>
      <c r="BQ103" s="7" t="s">
        <v>1</v>
      </c>
      <c r="BR103" s="7" t="s">
        <v>1</v>
      </c>
      <c r="BS103" s="7" t="s">
        <v>1</v>
      </c>
      <c r="BT103" s="7" t="s">
        <v>1</v>
      </c>
      <c r="BU103" s="7" t="s">
        <v>1</v>
      </c>
      <c r="BV103" s="7" t="s">
        <v>1</v>
      </c>
      <c r="BW103" s="7" t="s">
        <v>1</v>
      </c>
      <c r="BX103" s="7" t="s">
        <v>1</v>
      </c>
      <c r="BY103" s="7" t="s">
        <v>1</v>
      </c>
      <c r="BZ103" s="7" t="s">
        <v>1</v>
      </c>
      <c r="CA103" s="7" t="s">
        <v>1</v>
      </c>
      <c r="CB103" s="7" t="s">
        <v>1</v>
      </c>
      <c r="CC103" s="7" t="s">
        <v>1</v>
      </c>
      <c r="CD103" s="7" t="s">
        <v>1</v>
      </c>
      <c r="CE103" s="7" t="s">
        <v>1</v>
      </c>
      <c r="CF103" s="7" t="s">
        <v>1</v>
      </c>
    </row>
    <row r="104" ht="27" customHeight="1" spans="1:84">
      <c r="A104" s="29">
        <v>45207</v>
      </c>
      <c r="B104" s="7" t="s">
        <v>125</v>
      </c>
      <c r="C104" s="32" t="s">
        <v>1</v>
      </c>
      <c r="D104" s="30" t="s">
        <v>1</v>
      </c>
      <c r="E104" s="30" t="s">
        <v>1</v>
      </c>
      <c r="F104" s="32" t="str">
        <f t="shared" si="3"/>
        <v/>
      </c>
      <c r="G104" s="32" t="s">
        <v>1</v>
      </c>
      <c r="H104" s="7" t="s">
        <v>1</v>
      </c>
      <c r="I104" s="32" t="s">
        <v>1</v>
      </c>
      <c r="J104" s="31" t="s">
        <v>1</v>
      </c>
      <c r="K104" s="31" t="str">
        <f>IFERROR(E104/#REF!,"")</f>
        <v/>
      </c>
      <c r="L104" s="127">
        <v>91882</v>
      </c>
      <c r="M104" s="32" t="s">
        <v>72</v>
      </c>
      <c r="N104" s="32" t="s">
        <v>1</v>
      </c>
      <c r="O104" s="32" t="s">
        <v>1</v>
      </c>
      <c r="P104" s="32" t="s">
        <v>1</v>
      </c>
      <c r="Q104" s="31" t="e">
        <f t="shared" si="2"/>
        <v>#VALUE!</v>
      </c>
      <c r="R104" s="32" t="s">
        <v>1</v>
      </c>
      <c r="S104" s="32" t="s">
        <v>1</v>
      </c>
      <c r="T104" s="32" t="s">
        <v>1</v>
      </c>
      <c r="U104" s="32" t="s">
        <v>1</v>
      </c>
      <c r="V104" s="7" t="s">
        <v>1</v>
      </c>
      <c r="W104" s="7" t="s">
        <v>72</v>
      </c>
      <c r="X104" s="7" t="s">
        <v>1</v>
      </c>
      <c r="Y104" s="7" t="s">
        <v>72</v>
      </c>
      <c r="Z104" s="7" t="s">
        <v>1</v>
      </c>
      <c r="AA104" s="30" t="s">
        <v>72</v>
      </c>
      <c r="AB104" s="7" t="s">
        <v>1</v>
      </c>
      <c r="AC104" s="7" t="s">
        <v>72</v>
      </c>
      <c r="AD104" s="7" t="s">
        <v>1</v>
      </c>
      <c r="AE104" s="7" t="s">
        <v>72</v>
      </c>
      <c r="AF104" s="7" t="s">
        <v>1</v>
      </c>
      <c r="AG104" s="7" t="s">
        <v>72</v>
      </c>
      <c r="AH104" s="127">
        <v>4553</v>
      </c>
      <c r="AI104" s="127" t="s">
        <v>72</v>
      </c>
      <c r="AJ104" s="127">
        <v>537</v>
      </c>
      <c r="AK104" s="127" t="s">
        <v>72</v>
      </c>
      <c r="AL104" s="127">
        <v>129</v>
      </c>
      <c r="AM104" s="127" t="s">
        <v>72</v>
      </c>
      <c r="AN104" s="127">
        <v>1658</v>
      </c>
      <c r="AO104" s="127" t="s">
        <v>72</v>
      </c>
      <c r="AP104" s="127">
        <v>2522</v>
      </c>
      <c r="AQ104" s="127" t="s">
        <v>72</v>
      </c>
      <c r="AR104" s="127">
        <v>629</v>
      </c>
      <c r="AS104" s="7" t="s">
        <v>72</v>
      </c>
      <c r="AT104" s="314" t="s">
        <v>1</v>
      </c>
      <c r="AU104" s="32" t="s">
        <v>1</v>
      </c>
      <c r="AV104" s="30">
        <v>0</v>
      </c>
      <c r="AW104" s="32" t="s">
        <v>1</v>
      </c>
      <c r="AX104" s="31">
        <v>0</v>
      </c>
      <c r="AY104" s="314" t="s">
        <v>1</v>
      </c>
      <c r="AZ104" s="7">
        <v>0</v>
      </c>
      <c r="BA104" s="32" t="s">
        <v>1</v>
      </c>
      <c r="BB104" s="31" t="s">
        <v>103</v>
      </c>
      <c r="BC104" s="314" t="s">
        <v>1</v>
      </c>
      <c r="BD104" s="314" t="s">
        <v>1</v>
      </c>
      <c r="BE104" s="32" t="s">
        <v>1</v>
      </c>
      <c r="BF104" s="32" t="s">
        <v>1</v>
      </c>
      <c r="BG104" s="314" t="s">
        <v>1</v>
      </c>
      <c r="BH104" s="314" t="s">
        <v>1</v>
      </c>
      <c r="BI104" s="7" t="s">
        <v>94</v>
      </c>
      <c r="BJ104" s="7">
        <v>26</v>
      </c>
      <c r="BK104" s="7">
        <v>3997</v>
      </c>
      <c r="BL104" s="7" t="s">
        <v>72</v>
      </c>
      <c r="BM104" s="7" t="s">
        <v>74</v>
      </c>
      <c r="BN104" s="7">
        <v>133</v>
      </c>
      <c r="BO104" s="7">
        <v>1301</v>
      </c>
      <c r="BP104" s="7" t="s">
        <v>72</v>
      </c>
      <c r="BQ104" s="7" t="s">
        <v>1</v>
      </c>
      <c r="BR104" s="7" t="s">
        <v>1</v>
      </c>
      <c r="BS104" s="7" t="s">
        <v>1</v>
      </c>
      <c r="BT104" s="7" t="s">
        <v>1</v>
      </c>
      <c r="BU104" s="7" t="s">
        <v>1</v>
      </c>
      <c r="BV104" s="7" t="s">
        <v>1</v>
      </c>
      <c r="BW104" s="7" t="s">
        <v>1</v>
      </c>
      <c r="BX104" s="7" t="s">
        <v>1</v>
      </c>
      <c r="BY104" s="7" t="s">
        <v>1</v>
      </c>
      <c r="BZ104" s="7" t="s">
        <v>1</v>
      </c>
      <c r="CA104" s="7" t="s">
        <v>1</v>
      </c>
      <c r="CB104" s="7" t="s">
        <v>1</v>
      </c>
      <c r="CC104" s="7" t="s">
        <v>1</v>
      </c>
      <c r="CD104" s="7" t="s">
        <v>1</v>
      </c>
      <c r="CE104" s="7" t="s">
        <v>1</v>
      </c>
      <c r="CF104" s="7" t="s">
        <v>1</v>
      </c>
    </row>
    <row r="105" ht="27" customHeight="1" spans="1:84">
      <c r="A105" s="29">
        <v>45208</v>
      </c>
      <c r="B105" s="7" t="s">
        <v>125</v>
      </c>
      <c r="C105" s="32" t="s">
        <v>1</v>
      </c>
      <c r="D105" s="30" t="s">
        <v>1</v>
      </c>
      <c r="E105" s="30" t="s">
        <v>1</v>
      </c>
      <c r="F105" s="32" t="str">
        <f t="shared" si="3"/>
        <v/>
      </c>
      <c r="G105" s="32" t="s">
        <v>1</v>
      </c>
      <c r="H105" s="7" t="s">
        <v>1</v>
      </c>
      <c r="I105" s="32" t="s">
        <v>1</v>
      </c>
      <c r="J105" s="31" t="s">
        <v>1</v>
      </c>
      <c r="K105" s="31" t="str">
        <f>IFERROR(E105/#REF!,"")</f>
        <v/>
      </c>
      <c r="L105" s="127">
        <v>135347</v>
      </c>
      <c r="M105" s="32" t="s">
        <v>72</v>
      </c>
      <c r="N105" s="32" t="s">
        <v>1</v>
      </c>
      <c r="O105" s="32" t="s">
        <v>1</v>
      </c>
      <c r="P105" s="32" t="s">
        <v>1</v>
      </c>
      <c r="Q105" s="31" t="e">
        <f t="shared" si="2"/>
        <v>#VALUE!</v>
      </c>
      <c r="R105" s="32" t="s">
        <v>1</v>
      </c>
      <c r="S105" s="32" t="s">
        <v>1</v>
      </c>
      <c r="T105" s="32" t="s">
        <v>1</v>
      </c>
      <c r="U105" s="32" t="s">
        <v>1</v>
      </c>
      <c r="V105" s="7" t="s">
        <v>1</v>
      </c>
      <c r="W105" s="7" t="s">
        <v>72</v>
      </c>
      <c r="X105" s="7" t="s">
        <v>1</v>
      </c>
      <c r="Y105" s="7" t="s">
        <v>72</v>
      </c>
      <c r="Z105" s="7" t="s">
        <v>1</v>
      </c>
      <c r="AA105" s="30" t="s">
        <v>72</v>
      </c>
      <c r="AB105" s="7" t="s">
        <v>1</v>
      </c>
      <c r="AC105" s="7" t="s">
        <v>72</v>
      </c>
      <c r="AD105" s="7" t="s">
        <v>1</v>
      </c>
      <c r="AE105" s="7" t="s">
        <v>72</v>
      </c>
      <c r="AF105" s="7" t="s">
        <v>1</v>
      </c>
      <c r="AG105" s="7" t="s">
        <v>72</v>
      </c>
      <c r="AH105" s="127" t="s">
        <v>1</v>
      </c>
      <c r="AI105" s="127" t="s">
        <v>72</v>
      </c>
      <c r="AJ105" s="127" t="s">
        <v>1</v>
      </c>
      <c r="AK105" s="127" t="s">
        <v>72</v>
      </c>
      <c r="AL105" s="127" t="s">
        <v>1</v>
      </c>
      <c r="AM105" s="127" t="s">
        <v>72</v>
      </c>
      <c r="AN105" s="127" t="s">
        <v>1</v>
      </c>
      <c r="AO105" s="127" t="s">
        <v>72</v>
      </c>
      <c r="AP105" s="127" t="s">
        <v>1</v>
      </c>
      <c r="AQ105" s="127" t="s">
        <v>72</v>
      </c>
      <c r="AR105" s="127" t="s">
        <v>1</v>
      </c>
      <c r="AS105" s="7" t="s">
        <v>72</v>
      </c>
      <c r="AT105" s="314" t="s">
        <v>1</v>
      </c>
      <c r="AU105" s="32" t="s">
        <v>1</v>
      </c>
      <c r="AV105" s="30">
        <v>0</v>
      </c>
      <c r="AW105" s="32" t="s">
        <v>1</v>
      </c>
      <c r="AX105" s="31">
        <v>0</v>
      </c>
      <c r="AY105" s="314" t="s">
        <v>1</v>
      </c>
      <c r="AZ105" s="7">
        <v>0</v>
      </c>
      <c r="BA105" s="32" t="s">
        <v>1</v>
      </c>
      <c r="BB105" s="31" t="s">
        <v>103</v>
      </c>
      <c r="BC105" s="314" t="s">
        <v>1</v>
      </c>
      <c r="BD105" s="314" t="s">
        <v>1</v>
      </c>
      <c r="BE105" s="32" t="s">
        <v>1</v>
      </c>
      <c r="BF105" s="32" t="s">
        <v>1</v>
      </c>
      <c r="BG105" s="314" t="s">
        <v>1</v>
      </c>
      <c r="BH105" s="314" t="s">
        <v>1</v>
      </c>
      <c r="BI105" s="7" t="s">
        <v>94</v>
      </c>
      <c r="BJ105" s="7">
        <v>25</v>
      </c>
      <c r="BK105" s="7">
        <v>3594</v>
      </c>
      <c r="BL105" s="7" t="s">
        <v>72</v>
      </c>
      <c r="BM105" s="7" t="s">
        <v>74</v>
      </c>
      <c r="BN105" s="7">
        <v>131</v>
      </c>
      <c r="BO105" s="7">
        <v>1255</v>
      </c>
      <c r="BP105" s="7" t="s">
        <v>72</v>
      </c>
      <c r="BQ105" s="7" t="s">
        <v>1</v>
      </c>
      <c r="BR105" s="7" t="s">
        <v>1</v>
      </c>
      <c r="BS105" s="7" t="s">
        <v>1</v>
      </c>
      <c r="BT105" s="7" t="s">
        <v>1</v>
      </c>
      <c r="BU105" s="7" t="s">
        <v>1</v>
      </c>
      <c r="BV105" s="7" t="s">
        <v>1</v>
      </c>
      <c r="BW105" s="7" t="s">
        <v>1</v>
      </c>
      <c r="BX105" s="7" t="s">
        <v>1</v>
      </c>
      <c r="BY105" s="7" t="s">
        <v>1</v>
      </c>
      <c r="BZ105" s="7" t="s">
        <v>1</v>
      </c>
      <c r="CA105" s="7" t="s">
        <v>1</v>
      </c>
      <c r="CB105" s="7" t="s">
        <v>1</v>
      </c>
      <c r="CC105" s="7" t="s">
        <v>1</v>
      </c>
      <c r="CD105" s="7" t="s">
        <v>1</v>
      </c>
      <c r="CE105" s="7" t="s">
        <v>1</v>
      </c>
      <c r="CF105" s="7" t="s">
        <v>1</v>
      </c>
    </row>
    <row r="106" ht="27" customHeight="1" spans="1:84">
      <c r="A106" s="29">
        <v>45209</v>
      </c>
      <c r="B106" s="7" t="s">
        <v>125</v>
      </c>
      <c r="C106" s="32" t="s">
        <v>1</v>
      </c>
      <c r="D106" s="30" t="s">
        <v>1</v>
      </c>
      <c r="E106" s="30" t="s">
        <v>1</v>
      </c>
      <c r="F106" s="32" t="str">
        <f t="shared" si="3"/>
        <v/>
      </c>
      <c r="G106" s="32" t="s">
        <v>1</v>
      </c>
      <c r="H106" s="7" t="s">
        <v>1</v>
      </c>
      <c r="I106" s="32" t="s">
        <v>1</v>
      </c>
      <c r="J106" s="31" t="s">
        <v>1</v>
      </c>
      <c r="K106" s="31" t="str">
        <f>IFERROR(E106/#REF!,"")</f>
        <v/>
      </c>
      <c r="L106" s="127">
        <v>82554</v>
      </c>
      <c r="M106" s="32" t="s">
        <v>72</v>
      </c>
      <c r="N106" s="32" t="s">
        <v>1</v>
      </c>
      <c r="O106" s="32" t="s">
        <v>1</v>
      </c>
      <c r="P106" s="32" t="s">
        <v>1</v>
      </c>
      <c r="Q106" s="31" t="e">
        <f t="shared" si="2"/>
        <v>#VALUE!</v>
      </c>
      <c r="R106" s="32" t="s">
        <v>1</v>
      </c>
      <c r="S106" s="32" t="s">
        <v>1</v>
      </c>
      <c r="T106" s="32" t="s">
        <v>1</v>
      </c>
      <c r="U106" s="32" t="s">
        <v>1</v>
      </c>
      <c r="V106" s="7" t="s">
        <v>1</v>
      </c>
      <c r="W106" s="7" t="s">
        <v>72</v>
      </c>
      <c r="X106" s="7" t="s">
        <v>1</v>
      </c>
      <c r="Y106" s="7" t="s">
        <v>72</v>
      </c>
      <c r="Z106" s="7" t="s">
        <v>1</v>
      </c>
      <c r="AA106" s="30" t="s">
        <v>72</v>
      </c>
      <c r="AB106" s="7" t="s">
        <v>1</v>
      </c>
      <c r="AC106" s="7" t="s">
        <v>72</v>
      </c>
      <c r="AD106" s="7" t="s">
        <v>1</v>
      </c>
      <c r="AE106" s="7" t="s">
        <v>72</v>
      </c>
      <c r="AF106" s="7" t="s">
        <v>1</v>
      </c>
      <c r="AG106" s="7" t="s">
        <v>72</v>
      </c>
      <c r="AH106" s="127" t="s">
        <v>1</v>
      </c>
      <c r="AI106" s="127" t="s">
        <v>72</v>
      </c>
      <c r="AJ106" s="127" t="s">
        <v>1</v>
      </c>
      <c r="AK106" s="127" t="s">
        <v>72</v>
      </c>
      <c r="AL106" s="127" t="s">
        <v>1</v>
      </c>
      <c r="AM106" s="127" t="s">
        <v>72</v>
      </c>
      <c r="AN106" s="127" t="s">
        <v>1</v>
      </c>
      <c r="AO106" s="127" t="s">
        <v>72</v>
      </c>
      <c r="AP106" s="127" t="s">
        <v>1</v>
      </c>
      <c r="AQ106" s="127" t="s">
        <v>72</v>
      </c>
      <c r="AR106" s="127" t="s">
        <v>1</v>
      </c>
      <c r="AS106" s="7" t="s">
        <v>72</v>
      </c>
      <c r="AT106" s="314" t="s">
        <v>1</v>
      </c>
      <c r="AU106" s="32" t="s">
        <v>1</v>
      </c>
      <c r="AV106" s="30">
        <v>0</v>
      </c>
      <c r="AW106" s="32" t="s">
        <v>1</v>
      </c>
      <c r="AX106" s="31">
        <v>0</v>
      </c>
      <c r="AY106" s="314" t="s">
        <v>1</v>
      </c>
      <c r="AZ106" s="7">
        <v>0</v>
      </c>
      <c r="BA106" s="32" t="s">
        <v>1</v>
      </c>
      <c r="BB106" s="31" t="s">
        <v>103</v>
      </c>
      <c r="BC106" s="314" t="s">
        <v>1</v>
      </c>
      <c r="BD106" s="314" t="s">
        <v>1</v>
      </c>
      <c r="BE106" s="32" t="s">
        <v>1</v>
      </c>
      <c r="BF106" s="32" t="s">
        <v>1</v>
      </c>
      <c r="BG106" s="314" t="s">
        <v>1</v>
      </c>
      <c r="BH106" s="314" t="s">
        <v>1</v>
      </c>
      <c r="BI106" s="7" t="s">
        <v>94</v>
      </c>
      <c r="BJ106" s="7">
        <v>30</v>
      </c>
      <c r="BK106" s="7">
        <v>2805</v>
      </c>
      <c r="BL106" s="7" t="s">
        <v>72</v>
      </c>
      <c r="BM106" s="7" t="s">
        <v>74</v>
      </c>
      <c r="BN106" s="7">
        <v>150</v>
      </c>
      <c r="BO106" s="7">
        <v>1038</v>
      </c>
      <c r="BP106" s="7" t="s">
        <v>72</v>
      </c>
      <c r="BQ106" s="7" t="s">
        <v>1</v>
      </c>
      <c r="BR106" s="7" t="s">
        <v>1</v>
      </c>
      <c r="BS106" s="7" t="s">
        <v>1</v>
      </c>
      <c r="BT106" s="7" t="s">
        <v>1</v>
      </c>
      <c r="BU106" s="7" t="s">
        <v>1</v>
      </c>
      <c r="BV106" s="7" t="s">
        <v>1</v>
      </c>
      <c r="BW106" s="7" t="s">
        <v>1</v>
      </c>
      <c r="BX106" s="7" t="s">
        <v>1</v>
      </c>
      <c r="BY106" s="7" t="s">
        <v>1</v>
      </c>
      <c r="BZ106" s="7" t="s">
        <v>1</v>
      </c>
      <c r="CA106" s="7" t="s">
        <v>1</v>
      </c>
      <c r="CB106" s="7" t="s">
        <v>1</v>
      </c>
      <c r="CC106" s="7" t="s">
        <v>1</v>
      </c>
      <c r="CD106" s="7" t="s">
        <v>1</v>
      </c>
      <c r="CE106" s="7" t="s">
        <v>1</v>
      </c>
      <c r="CF106" s="7" t="s">
        <v>1</v>
      </c>
    </row>
    <row r="107" ht="27" customHeight="1" spans="1:84">
      <c r="A107" s="29">
        <v>45210</v>
      </c>
      <c r="B107" s="7" t="s">
        <v>125</v>
      </c>
      <c r="C107" s="32" t="s">
        <v>1</v>
      </c>
      <c r="D107" s="30" t="s">
        <v>1</v>
      </c>
      <c r="E107" s="30" t="s">
        <v>1</v>
      </c>
      <c r="F107" s="32" t="str">
        <f t="shared" si="3"/>
        <v/>
      </c>
      <c r="G107" s="32" t="s">
        <v>1</v>
      </c>
      <c r="H107" s="7" t="s">
        <v>1</v>
      </c>
      <c r="I107" s="32" t="s">
        <v>1</v>
      </c>
      <c r="J107" s="31" t="s">
        <v>1</v>
      </c>
      <c r="K107" s="31" t="str">
        <f>IFERROR(E107/#REF!,"")</f>
        <v/>
      </c>
      <c r="L107" s="127">
        <v>101046</v>
      </c>
      <c r="M107" s="32" t="s">
        <v>72</v>
      </c>
      <c r="N107" s="32" t="s">
        <v>1</v>
      </c>
      <c r="O107" s="32" t="s">
        <v>1</v>
      </c>
      <c r="P107" s="32" t="s">
        <v>1</v>
      </c>
      <c r="Q107" s="31" t="e">
        <f t="shared" si="2"/>
        <v>#VALUE!</v>
      </c>
      <c r="R107" s="32" t="s">
        <v>1</v>
      </c>
      <c r="S107" s="32" t="s">
        <v>1</v>
      </c>
      <c r="T107" s="32" t="s">
        <v>1</v>
      </c>
      <c r="U107" s="32" t="s">
        <v>1</v>
      </c>
      <c r="V107" s="7" t="s">
        <v>1</v>
      </c>
      <c r="W107" s="7" t="s">
        <v>72</v>
      </c>
      <c r="X107" s="7" t="s">
        <v>1</v>
      </c>
      <c r="Y107" s="7" t="s">
        <v>72</v>
      </c>
      <c r="Z107" s="7" t="s">
        <v>1</v>
      </c>
      <c r="AA107" s="30" t="s">
        <v>72</v>
      </c>
      <c r="AB107" s="7" t="s">
        <v>1</v>
      </c>
      <c r="AC107" s="7" t="s">
        <v>72</v>
      </c>
      <c r="AD107" s="7" t="s">
        <v>1</v>
      </c>
      <c r="AE107" s="7" t="s">
        <v>72</v>
      </c>
      <c r="AF107" s="7" t="s">
        <v>1</v>
      </c>
      <c r="AG107" s="7" t="s">
        <v>72</v>
      </c>
      <c r="AH107" s="127" t="s">
        <v>1</v>
      </c>
      <c r="AI107" s="127" t="s">
        <v>72</v>
      </c>
      <c r="AJ107" s="127" t="s">
        <v>1</v>
      </c>
      <c r="AK107" s="127" t="s">
        <v>72</v>
      </c>
      <c r="AL107" s="127" t="s">
        <v>1</v>
      </c>
      <c r="AM107" s="127" t="s">
        <v>72</v>
      </c>
      <c r="AN107" s="127" t="s">
        <v>1</v>
      </c>
      <c r="AO107" s="127" t="s">
        <v>72</v>
      </c>
      <c r="AP107" s="127" t="s">
        <v>1</v>
      </c>
      <c r="AQ107" s="127" t="s">
        <v>72</v>
      </c>
      <c r="AR107" s="127" t="s">
        <v>1</v>
      </c>
      <c r="AS107" s="7" t="s">
        <v>72</v>
      </c>
      <c r="AT107" s="314" t="s">
        <v>1</v>
      </c>
      <c r="AU107" s="32" t="s">
        <v>1</v>
      </c>
      <c r="AV107" s="30">
        <v>0</v>
      </c>
      <c r="AW107" s="32" t="s">
        <v>1</v>
      </c>
      <c r="AX107" s="31">
        <v>0</v>
      </c>
      <c r="AY107" s="314" t="s">
        <v>1</v>
      </c>
      <c r="AZ107" s="7">
        <v>0</v>
      </c>
      <c r="BA107" s="32" t="s">
        <v>1</v>
      </c>
      <c r="BB107" s="31" t="s">
        <v>103</v>
      </c>
      <c r="BC107" s="314" t="s">
        <v>1</v>
      </c>
      <c r="BD107" s="314" t="s">
        <v>1</v>
      </c>
      <c r="BE107" s="32" t="s">
        <v>1</v>
      </c>
      <c r="BF107" s="32" t="s">
        <v>1</v>
      </c>
      <c r="BG107" s="314" t="s">
        <v>1</v>
      </c>
      <c r="BH107" s="314" t="s">
        <v>1</v>
      </c>
      <c r="BI107" s="7" t="s">
        <v>94</v>
      </c>
      <c r="BJ107" s="7">
        <v>29</v>
      </c>
      <c r="BK107" s="7">
        <v>2820</v>
      </c>
      <c r="BL107" s="7" t="s">
        <v>72</v>
      </c>
      <c r="BM107" s="7" t="s">
        <v>74</v>
      </c>
      <c r="BN107" s="7">
        <v>149</v>
      </c>
      <c r="BO107" s="7">
        <v>1052</v>
      </c>
      <c r="BP107" s="7" t="s">
        <v>72</v>
      </c>
      <c r="BQ107" s="7" t="s">
        <v>1</v>
      </c>
      <c r="BR107" s="7" t="s">
        <v>1</v>
      </c>
      <c r="BS107" s="7" t="s">
        <v>1</v>
      </c>
      <c r="BT107" s="7" t="s">
        <v>1</v>
      </c>
      <c r="BU107" s="7" t="s">
        <v>1</v>
      </c>
      <c r="BV107" s="7" t="s">
        <v>1</v>
      </c>
      <c r="BW107" s="7" t="s">
        <v>1</v>
      </c>
      <c r="BX107" s="7" t="s">
        <v>1</v>
      </c>
      <c r="BY107" s="7" t="s">
        <v>1</v>
      </c>
      <c r="BZ107" s="7" t="s">
        <v>1</v>
      </c>
      <c r="CA107" s="7" t="s">
        <v>1</v>
      </c>
      <c r="CB107" s="7" t="s">
        <v>1</v>
      </c>
      <c r="CC107" s="7" t="s">
        <v>1</v>
      </c>
      <c r="CD107" s="7" t="s">
        <v>1</v>
      </c>
      <c r="CE107" s="7" t="s">
        <v>1</v>
      </c>
      <c r="CF107" s="7" t="s">
        <v>1</v>
      </c>
    </row>
    <row r="108" ht="27" customHeight="1" spans="1:84">
      <c r="A108" s="29">
        <v>45211</v>
      </c>
      <c r="B108" s="7" t="s">
        <v>125</v>
      </c>
      <c r="C108" s="32" t="s">
        <v>1</v>
      </c>
      <c r="D108" s="30" t="s">
        <v>1</v>
      </c>
      <c r="E108" s="30" t="s">
        <v>1</v>
      </c>
      <c r="F108" s="32" t="str">
        <f t="shared" si="3"/>
        <v/>
      </c>
      <c r="G108" s="32" t="s">
        <v>1</v>
      </c>
      <c r="H108" s="7" t="s">
        <v>1</v>
      </c>
      <c r="I108" s="32" t="s">
        <v>1</v>
      </c>
      <c r="J108" s="31" t="s">
        <v>1</v>
      </c>
      <c r="K108" s="31" t="str">
        <f>IFERROR(E108/#REF!,"")</f>
        <v/>
      </c>
      <c r="L108" s="127">
        <v>112096</v>
      </c>
      <c r="M108" s="32" t="s">
        <v>72</v>
      </c>
      <c r="N108" s="32" t="s">
        <v>1</v>
      </c>
      <c r="O108" s="32" t="s">
        <v>1</v>
      </c>
      <c r="P108" s="32" t="s">
        <v>1</v>
      </c>
      <c r="Q108" s="31" t="e">
        <f t="shared" si="2"/>
        <v>#VALUE!</v>
      </c>
      <c r="R108" s="32" t="s">
        <v>1</v>
      </c>
      <c r="S108" s="32" t="s">
        <v>1</v>
      </c>
      <c r="T108" s="32" t="s">
        <v>1</v>
      </c>
      <c r="U108" s="32" t="s">
        <v>1</v>
      </c>
      <c r="V108" s="7" t="s">
        <v>1</v>
      </c>
      <c r="W108" s="7" t="s">
        <v>72</v>
      </c>
      <c r="X108" s="7" t="s">
        <v>1</v>
      </c>
      <c r="Y108" s="7" t="s">
        <v>72</v>
      </c>
      <c r="Z108" s="7" t="s">
        <v>1</v>
      </c>
      <c r="AA108" s="30" t="s">
        <v>72</v>
      </c>
      <c r="AB108" s="7" t="s">
        <v>1</v>
      </c>
      <c r="AC108" s="7" t="s">
        <v>72</v>
      </c>
      <c r="AD108" s="7" t="s">
        <v>1</v>
      </c>
      <c r="AE108" s="7" t="s">
        <v>72</v>
      </c>
      <c r="AF108" s="7" t="s">
        <v>1</v>
      </c>
      <c r="AG108" s="7" t="s">
        <v>72</v>
      </c>
      <c r="AH108" s="127" t="s">
        <v>1</v>
      </c>
      <c r="AI108" s="127" t="s">
        <v>72</v>
      </c>
      <c r="AJ108" s="127" t="s">
        <v>1</v>
      </c>
      <c r="AK108" s="127" t="s">
        <v>72</v>
      </c>
      <c r="AL108" s="127" t="s">
        <v>1</v>
      </c>
      <c r="AM108" s="127" t="s">
        <v>72</v>
      </c>
      <c r="AN108" s="127" t="s">
        <v>1</v>
      </c>
      <c r="AO108" s="127" t="s">
        <v>72</v>
      </c>
      <c r="AP108" s="127" t="s">
        <v>1</v>
      </c>
      <c r="AQ108" s="127" t="s">
        <v>72</v>
      </c>
      <c r="AR108" s="127" t="s">
        <v>1</v>
      </c>
      <c r="AS108" s="7" t="s">
        <v>72</v>
      </c>
      <c r="AT108" s="314" t="s">
        <v>1</v>
      </c>
      <c r="AU108" s="32" t="s">
        <v>1</v>
      </c>
      <c r="AV108" s="30">
        <v>0</v>
      </c>
      <c r="AW108" s="32" t="s">
        <v>1</v>
      </c>
      <c r="AX108" s="31">
        <v>0</v>
      </c>
      <c r="AY108" s="314" t="s">
        <v>1</v>
      </c>
      <c r="AZ108" s="7">
        <v>0</v>
      </c>
      <c r="BA108" s="32" t="s">
        <v>1</v>
      </c>
      <c r="BB108" s="31" t="s">
        <v>103</v>
      </c>
      <c r="BC108" s="314" t="s">
        <v>1</v>
      </c>
      <c r="BD108" s="314" t="s">
        <v>1</v>
      </c>
      <c r="BE108" s="32" t="s">
        <v>1</v>
      </c>
      <c r="BF108" s="32" t="s">
        <v>1</v>
      </c>
      <c r="BG108" s="314" t="s">
        <v>1</v>
      </c>
      <c r="BH108" s="314" t="s">
        <v>1</v>
      </c>
      <c r="BI108" s="7" t="s">
        <v>94</v>
      </c>
      <c r="BJ108" s="7">
        <v>31</v>
      </c>
      <c r="BK108" s="7">
        <v>2426</v>
      </c>
      <c r="BL108" s="7" t="s">
        <v>72</v>
      </c>
      <c r="BM108" s="7" t="s">
        <v>74</v>
      </c>
      <c r="BN108" s="7">
        <v>158</v>
      </c>
      <c r="BO108" s="7">
        <v>934</v>
      </c>
      <c r="BP108" s="7" t="s">
        <v>72</v>
      </c>
      <c r="BQ108" s="7" t="s">
        <v>1</v>
      </c>
      <c r="BR108" s="7" t="s">
        <v>1</v>
      </c>
      <c r="BS108" s="7" t="s">
        <v>1</v>
      </c>
      <c r="BT108" s="7" t="s">
        <v>1</v>
      </c>
      <c r="BU108" s="7" t="s">
        <v>1</v>
      </c>
      <c r="BV108" s="7" t="s">
        <v>1</v>
      </c>
      <c r="BW108" s="7" t="s">
        <v>1</v>
      </c>
      <c r="BX108" s="7" t="s">
        <v>1</v>
      </c>
      <c r="BY108" s="7" t="s">
        <v>1</v>
      </c>
      <c r="BZ108" s="7" t="s">
        <v>1</v>
      </c>
      <c r="CA108" s="7" t="s">
        <v>1</v>
      </c>
      <c r="CB108" s="7" t="s">
        <v>1</v>
      </c>
      <c r="CC108" s="7" t="s">
        <v>1</v>
      </c>
      <c r="CD108" s="7" t="s">
        <v>1</v>
      </c>
      <c r="CE108" s="7" t="s">
        <v>1</v>
      </c>
      <c r="CF108" s="7" t="s">
        <v>1</v>
      </c>
    </row>
    <row r="109" ht="27" customHeight="1" spans="1:84">
      <c r="A109" s="29">
        <v>45212</v>
      </c>
      <c r="B109" s="7" t="s">
        <v>125</v>
      </c>
      <c r="C109" s="32" t="s">
        <v>1</v>
      </c>
      <c r="D109" s="30" t="s">
        <v>1</v>
      </c>
      <c r="E109" s="30" t="s">
        <v>1</v>
      </c>
      <c r="F109" s="32" t="str">
        <f t="shared" si="3"/>
        <v/>
      </c>
      <c r="G109" s="32" t="s">
        <v>1</v>
      </c>
      <c r="H109" s="7" t="s">
        <v>1</v>
      </c>
      <c r="I109" s="32" t="s">
        <v>1</v>
      </c>
      <c r="J109" s="31" t="s">
        <v>1</v>
      </c>
      <c r="K109" s="31" t="str">
        <f>IFERROR(E109/#REF!,"")</f>
        <v/>
      </c>
      <c r="L109" s="127">
        <v>12257</v>
      </c>
      <c r="M109" s="32" t="s">
        <v>72</v>
      </c>
      <c r="N109" s="32" t="s">
        <v>1</v>
      </c>
      <c r="O109" s="32" t="s">
        <v>1</v>
      </c>
      <c r="P109" s="32" t="s">
        <v>1</v>
      </c>
      <c r="Q109" s="31" t="e">
        <f t="shared" ref="Q109:Q127" si="5">O109/E109</f>
        <v>#VALUE!</v>
      </c>
      <c r="R109" s="32" t="s">
        <v>1</v>
      </c>
      <c r="S109" s="32" t="s">
        <v>1</v>
      </c>
      <c r="T109" s="32" t="s">
        <v>1</v>
      </c>
      <c r="U109" s="32" t="s">
        <v>1</v>
      </c>
      <c r="V109" s="7" t="s">
        <v>1</v>
      </c>
      <c r="W109" s="7" t="s">
        <v>72</v>
      </c>
      <c r="X109" s="7" t="s">
        <v>1</v>
      </c>
      <c r="Y109" s="7" t="s">
        <v>72</v>
      </c>
      <c r="Z109" s="7" t="s">
        <v>1</v>
      </c>
      <c r="AA109" s="30" t="s">
        <v>72</v>
      </c>
      <c r="AB109" s="7" t="s">
        <v>1</v>
      </c>
      <c r="AC109" s="7" t="s">
        <v>72</v>
      </c>
      <c r="AD109" s="7" t="s">
        <v>1</v>
      </c>
      <c r="AE109" s="7" t="s">
        <v>72</v>
      </c>
      <c r="AF109" s="7" t="s">
        <v>1</v>
      </c>
      <c r="AG109" s="7" t="s">
        <v>72</v>
      </c>
      <c r="AH109" s="127" t="s">
        <v>1</v>
      </c>
      <c r="AI109" s="127" t="s">
        <v>72</v>
      </c>
      <c r="AJ109" s="127" t="s">
        <v>1</v>
      </c>
      <c r="AK109" s="127" t="s">
        <v>72</v>
      </c>
      <c r="AL109" s="127" t="s">
        <v>1</v>
      </c>
      <c r="AM109" s="127" t="s">
        <v>72</v>
      </c>
      <c r="AN109" s="127" t="s">
        <v>1</v>
      </c>
      <c r="AO109" s="127" t="s">
        <v>72</v>
      </c>
      <c r="AP109" s="127" t="s">
        <v>1</v>
      </c>
      <c r="AQ109" s="127" t="s">
        <v>72</v>
      </c>
      <c r="AR109" s="127" t="s">
        <v>1</v>
      </c>
      <c r="AS109" s="7" t="s">
        <v>72</v>
      </c>
      <c r="AT109" s="314" t="s">
        <v>1</v>
      </c>
      <c r="AU109" s="32" t="s">
        <v>1</v>
      </c>
      <c r="AV109" s="30">
        <v>0</v>
      </c>
      <c r="AW109" s="32" t="s">
        <v>1</v>
      </c>
      <c r="AX109" s="31">
        <v>0</v>
      </c>
      <c r="AY109" s="314" t="s">
        <v>1</v>
      </c>
      <c r="AZ109" s="7">
        <v>0</v>
      </c>
      <c r="BA109" s="32" t="s">
        <v>1</v>
      </c>
      <c r="BB109" s="31" t="s">
        <v>103</v>
      </c>
      <c r="BC109" s="314" t="s">
        <v>1</v>
      </c>
      <c r="BD109" s="314" t="s">
        <v>1</v>
      </c>
      <c r="BE109" s="32" t="s">
        <v>1</v>
      </c>
      <c r="BF109" s="32" t="s">
        <v>1</v>
      </c>
      <c r="BG109" s="314" t="s">
        <v>1</v>
      </c>
      <c r="BH109" s="314" t="s">
        <v>1</v>
      </c>
      <c r="BI109" s="7" t="s">
        <v>94</v>
      </c>
      <c r="BJ109" s="7">
        <v>31</v>
      </c>
      <c r="BK109" s="7">
        <v>2551</v>
      </c>
      <c r="BL109" s="7" t="s">
        <v>72</v>
      </c>
      <c r="BM109" s="7" t="s">
        <v>74</v>
      </c>
      <c r="BN109" s="7">
        <v>131</v>
      </c>
      <c r="BO109" s="7">
        <v>1015</v>
      </c>
      <c r="BP109" s="7" t="s">
        <v>72</v>
      </c>
      <c r="BQ109" s="7" t="s">
        <v>1</v>
      </c>
      <c r="BR109" s="7" t="s">
        <v>1</v>
      </c>
      <c r="BS109" s="7" t="s">
        <v>1</v>
      </c>
      <c r="BT109" s="7" t="s">
        <v>1</v>
      </c>
      <c r="BU109" s="7" t="s">
        <v>1</v>
      </c>
      <c r="BV109" s="7" t="s">
        <v>1</v>
      </c>
      <c r="BW109" s="7" t="s">
        <v>1</v>
      </c>
      <c r="BX109" s="7" t="s">
        <v>1</v>
      </c>
      <c r="BY109" s="7" t="s">
        <v>1</v>
      </c>
      <c r="BZ109" s="7" t="s">
        <v>1</v>
      </c>
      <c r="CA109" s="7" t="s">
        <v>1</v>
      </c>
      <c r="CB109" s="7" t="s">
        <v>1</v>
      </c>
      <c r="CC109" s="7" t="s">
        <v>1</v>
      </c>
      <c r="CD109" s="7" t="s">
        <v>1</v>
      </c>
      <c r="CE109" s="7" t="s">
        <v>1</v>
      </c>
      <c r="CF109" s="7" t="s">
        <v>1</v>
      </c>
    </row>
    <row r="110" ht="27" customHeight="1" spans="1:84">
      <c r="A110" s="29">
        <v>45213</v>
      </c>
      <c r="B110" s="7" t="s">
        <v>125</v>
      </c>
      <c r="C110" s="32" t="s">
        <v>1</v>
      </c>
      <c r="D110" s="30" t="s">
        <v>1</v>
      </c>
      <c r="E110" s="30" t="s">
        <v>1</v>
      </c>
      <c r="F110" s="32" t="str">
        <f t="shared" si="3"/>
        <v/>
      </c>
      <c r="G110" s="32" t="s">
        <v>1</v>
      </c>
      <c r="H110" s="7" t="s">
        <v>1</v>
      </c>
      <c r="I110" s="32" t="s">
        <v>1</v>
      </c>
      <c r="J110" s="31" t="s">
        <v>1</v>
      </c>
      <c r="K110" s="31" t="str">
        <f>IFERROR(E110/#REF!,"")</f>
        <v/>
      </c>
      <c r="L110" s="127">
        <v>86483</v>
      </c>
      <c r="M110" s="32" t="s">
        <v>72</v>
      </c>
      <c r="N110" s="32" t="s">
        <v>1</v>
      </c>
      <c r="O110" s="32" t="s">
        <v>1</v>
      </c>
      <c r="P110" s="32" t="s">
        <v>1</v>
      </c>
      <c r="Q110" s="31" t="e">
        <f t="shared" si="5"/>
        <v>#VALUE!</v>
      </c>
      <c r="R110" s="32" t="s">
        <v>1</v>
      </c>
      <c r="S110" s="32" t="s">
        <v>1</v>
      </c>
      <c r="T110" s="32" t="s">
        <v>1</v>
      </c>
      <c r="U110" s="32" t="s">
        <v>1</v>
      </c>
      <c r="V110" s="7" t="s">
        <v>1</v>
      </c>
      <c r="W110" s="7" t="s">
        <v>72</v>
      </c>
      <c r="X110" s="7" t="s">
        <v>1</v>
      </c>
      <c r="Y110" s="7" t="s">
        <v>72</v>
      </c>
      <c r="Z110" s="7" t="s">
        <v>1</v>
      </c>
      <c r="AA110" s="30" t="s">
        <v>72</v>
      </c>
      <c r="AB110" s="7" t="s">
        <v>1</v>
      </c>
      <c r="AC110" s="7" t="s">
        <v>72</v>
      </c>
      <c r="AD110" s="7" t="s">
        <v>1</v>
      </c>
      <c r="AE110" s="7" t="s">
        <v>72</v>
      </c>
      <c r="AF110" s="7" t="s">
        <v>1</v>
      </c>
      <c r="AG110" s="7" t="s">
        <v>72</v>
      </c>
      <c r="AH110" s="127" t="s">
        <v>1</v>
      </c>
      <c r="AI110" s="127" t="s">
        <v>72</v>
      </c>
      <c r="AJ110" s="127" t="s">
        <v>1</v>
      </c>
      <c r="AK110" s="127" t="s">
        <v>72</v>
      </c>
      <c r="AL110" s="127" t="s">
        <v>1</v>
      </c>
      <c r="AM110" s="127" t="s">
        <v>72</v>
      </c>
      <c r="AN110" s="127" t="s">
        <v>1</v>
      </c>
      <c r="AO110" s="127" t="s">
        <v>72</v>
      </c>
      <c r="AP110" s="127" t="s">
        <v>1</v>
      </c>
      <c r="AQ110" s="127" t="s">
        <v>72</v>
      </c>
      <c r="AR110" s="127" t="s">
        <v>1</v>
      </c>
      <c r="AS110" s="7" t="s">
        <v>72</v>
      </c>
      <c r="AT110" s="314" t="s">
        <v>1</v>
      </c>
      <c r="AU110" s="32" t="s">
        <v>1</v>
      </c>
      <c r="AV110" s="30">
        <v>0</v>
      </c>
      <c r="AW110" s="32" t="s">
        <v>1</v>
      </c>
      <c r="AX110" s="31">
        <v>0</v>
      </c>
      <c r="AY110" s="314" t="s">
        <v>1</v>
      </c>
      <c r="AZ110" s="7">
        <v>0</v>
      </c>
      <c r="BA110" s="32" t="s">
        <v>1</v>
      </c>
      <c r="BB110" s="31" t="s">
        <v>103</v>
      </c>
      <c r="BC110" s="314" t="s">
        <v>1</v>
      </c>
      <c r="BD110" s="314" t="s">
        <v>1</v>
      </c>
      <c r="BE110" s="32" t="s">
        <v>1</v>
      </c>
      <c r="BF110" s="32" t="s">
        <v>1</v>
      </c>
      <c r="BG110" s="314" t="s">
        <v>1</v>
      </c>
      <c r="BH110" s="314" t="s">
        <v>1</v>
      </c>
      <c r="BI110" s="7" t="s">
        <v>94</v>
      </c>
      <c r="BJ110" s="7">
        <v>30</v>
      </c>
      <c r="BK110" s="7">
        <v>2600</v>
      </c>
      <c r="BL110" s="7" t="s">
        <v>72</v>
      </c>
      <c r="BM110" s="7" t="s">
        <v>74</v>
      </c>
      <c r="BN110" s="7">
        <v>190</v>
      </c>
      <c r="BO110" s="7">
        <v>816</v>
      </c>
      <c r="BP110" s="7" t="s">
        <v>72</v>
      </c>
      <c r="BQ110" s="7" t="s">
        <v>1</v>
      </c>
      <c r="BR110" s="7" t="s">
        <v>1</v>
      </c>
      <c r="BS110" s="7" t="s">
        <v>1</v>
      </c>
      <c r="BT110" s="7" t="s">
        <v>1</v>
      </c>
      <c r="BU110" s="7" t="s">
        <v>1</v>
      </c>
      <c r="BV110" s="7" t="s">
        <v>1</v>
      </c>
      <c r="BW110" s="7" t="s">
        <v>1</v>
      </c>
      <c r="BX110" s="7" t="s">
        <v>1</v>
      </c>
      <c r="BY110" s="7" t="s">
        <v>1</v>
      </c>
      <c r="BZ110" s="7" t="s">
        <v>1</v>
      </c>
      <c r="CA110" s="7" t="s">
        <v>1</v>
      </c>
      <c r="CB110" s="7" t="s">
        <v>1</v>
      </c>
      <c r="CC110" s="7" t="s">
        <v>1</v>
      </c>
      <c r="CD110" s="7" t="s">
        <v>1</v>
      </c>
      <c r="CE110" s="7" t="s">
        <v>1</v>
      </c>
      <c r="CF110" s="7" t="s">
        <v>1</v>
      </c>
    </row>
    <row r="111" ht="27" customHeight="1" spans="1:84">
      <c r="A111" s="29">
        <v>45214</v>
      </c>
      <c r="B111" s="7" t="s">
        <v>125</v>
      </c>
      <c r="C111" s="32" t="s">
        <v>1</v>
      </c>
      <c r="D111" s="30" t="s">
        <v>1</v>
      </c>
      <c r="E111" s="30" t="s">
        <v>1</v>
      </c>
      <c r="F111" s="32" t="str">
        <f t="shared" si="3"/>
        <v/>
      </c>
      <c r="G111" s="32" t="s">
        <v>1</v>
      </c>
      <c r="H111" s="7" t="s">
        <v>1</v>
      </c>
      <c r="I111" s="32" t="s">
        <v>1</v>
      </c>
      <c r="J111" s="31" t="s">
        <v>1</v>
      </c>
      <c r="K111" s="31" t="str">
        <f>IFERROR(E111/#REF!,"")</f>
        <v/>
      </c>
      <c r="L111" s="127">
        <v>112567</v>
      </c>
      <c r="M111" s="32" t="s">
        <v>72</v>
      </c>
      <c r="N111" s="32" t="s">
        <v>1</v>
      </c>
      <c r="O111" s="32" t="s">
        <v>1</v>
      </c>
      <c r="P111" s="32" t="s">
        <v>1</v>
      </c>
      <c r="Q111" s="31" t="e">
        <f t="shared" si="5"/>
        <v>#VALUE!</v>
      </c>
      <c r="R111" s="32" t="s">
        <v>1</v>
      </c>
      <c r="S111" s="32" t="s">
        <v>1</v>
      </c>
      <c r="T111" s="32" t="s">
        <v>1</v>
      </c>
      <c r="U111" s="32" t="s">
        <v>1</v>
      </c>
      <c r="V111" s="7" t="s">
        <v>1</v>
      </c>
      <c r="W111" s="7" t="s">
        <v>72</v>
      </c>
      <c r="X111" s="7" t="s">
        <v>1</v>
      </c>
      <c r="Y111" s="7" t="s">
        <v>72</v>
      </c>
      <c r="Z111" s="7" t="s">
        <v>1</v>
      </c>
      <c r="AA111" s="30" t="s">
        <v>72</v>
      </c>
      <c r="AB111" s="7" t="s">
        <v>1</v>
      </c>
      <c r="AC111" s="7" t="s">
        <v>72</v>
      </c>
      <c r="AD111" s="7" t="s">
        <v>1</v>
      </c>
      <c r="AE111" s="7" t="s">
        <v>72</v>
      </c>
      <c r="AF111" s="7" t="s">
        <v>1</v>
      </c>
      <c r="AG111" s="7" t="s">
        <v>72</v>
      </c>
      <c r="AH111" s="127" t="s">
        <v>1</v>
      </c>
      <c r="AI111" s="127" t="s">
        <v>72</v>
      </c>
      <c r="AJ111" s="127" t="s">
        <v>1</v>
      </c>
      <c r="AK111" s="127" t="s">
        <v>72</v>
      </c>
      <c r="AL111" s="127" t="s">
        <v>1</v>
      </c>
      <c r="AM111" s="127" t="s">
        <v>72</v>
      </c>
      <c r="AN111" s="127" t="s">
        <v>1</v>
      </c>
      <c r="AO111" s="127" t="s">
        <v>72</v>
      </c>
      <c r="AP111" s="127" t="s">
        <v>1</v>
      </c>
      <c r="AQ111" s="127" t="s">
        <v>72</v>
      </c>
      <c r="AR111" s="127" t="s">
        <v>1</v>
      </c>
      <c r="AS111" s="7" t="s">
        <v>72</v>
      </c>
      <c r="AT111" s="314" t="s">
        <v>1</v>
      </c>
      <c r="AU111" s="32" t="s">
        <v>1</v>
      </c>
      <c r="AV111" s="30">
        <v>0</v>
      </c>
      <c r="AW111" s="32" t="s">
        <v>1</v>
      </c>
      <c r="AX111" s="31">
        <v>0</v>
      </c>
      <c r="AY111" s="314" t="s">
        <v>1</v>
      </c>
      <c r="AZ111" s="7">
        <v>0</v>
      </c>
      <c r="BA111" s="32" t="s">
        <v>1</v>
      </c>
      <c r="BB111" s="31" t="s">
        <v>103</v>
      </c>
      <c r="BC111" s="314" t="s">
        <v>1</v>
      </c>
      <c r="BD111" s="314" t="s">
        <v>1</v>
      </c>
      <c r="BE111" s="32" t="s">
        <v>1</v>
      </c>
      <c r="BF111" s="32" t="s">
        <v>1</v>
      </c>
      <c r="BG111" s="314" t="s">
        <v>1</v>
      </c>
      <c r="BH111" s="314" t="s">
        <v>1</v>
      </c>
      <c r="BI111" s="7" t="s">
        <v>94</v>
      </c>
      <c r="BJ111" s="7">
        <v>33</v>
      </c>
      <c r="BK111" s="7">
        <v>2809</v>
      </c>
      <c r="BL111" s="7" t="s">
        <v>72</v>
      </c>
      <c r="BM111" s="7" t="s">
        <v>74</v>
      </c>
      <c r="BN111" s="7">
        <v>147</v>
      </c>
      <c r="BO111" s="7">
        <v>1037</v>
      </c>
      <c r="BP111" s="7" t="s">
        <v>72</v>
      </c>
      <c r="BQ111" s="7" t="s">
        <v>1</v>
      </c>
      <c r="BR111" s="7" t="s">
        <v>1</v>
      </c>
      <c r="BS111" s="7" t="s">
        <v>1</v>
      </c>
      <c r="BT111" s="7" t="s">
        <v>1</v>
      </c>
      <c r="BU111" s="7" t="s">
        <v>1</v>
      </c>
      <c r="BV111" s="7" t="s">
        <v>1</v>
      </c>
      <c r="BW111" s="7" t="s">
        <v>1</v>
      </c>
      <c r="BX111" s="7" t="s">
        <v>1</v>
      </c>
      <c r="BY111" s="7" t="s">
        <v>1</v>
      </c>
      <c r="BZ111" s="7" t="s">
        <v>1</v>
      </c>
      <c r="CA111" s="7" t="s">
        <v>1</v>
      </c>
      <c r="CB111" s="7" t="s">
        <v>1</v>
      </c>
      <c r="CC111" s="7" t="s">
        <v>1</v>
      </c>
      <c r="CD111" s="7" t="s">
        <v>1</v>
      </c>
      <c r="CE111" s="7" t="s">
        <v>1</v>
      </c>
      <c r="CF111" s="7" t="s">
        <v>1</v>
      </c>
    </row>
    <row r="112" ht="27" customHeight="1" spans="1:84">
      <c r="A112" s="29">
        <v>45215</v>
      </c>
      <c r="B112" s="7" t="s">
        <v>125</v>
      </c>
      <c r="C112" s="32" t="s">
        <v>1</v>
      </c>
      <c r="D112" s="30" t="s">
        <v>1</v>
      </c>
      <c r="E112" s="30" t="s">
        <v>1</v>
      </c>
      <c r="F112" s="32" t="str">
        <f t="shared" si="3"/>
        <v/>
      </c>
      <c r="G112" s="32" t="s">
        <v>1</v>
      </c>
      <c r="H112" s="7" t="s">
        <v>1</v>
      </c>
      <c r="I112" s="32" t="s">
        <v>1</v>
      </c>
      <c r="J112" s="31" t="s">
        <v>1</v>
      </c>
      <c r="K112" s="31" t="str">
        <f>IFERROR(E112/#REF!,"")</f>
        <v/>
      </c>
      <c r="L112" s="127">
        <v>78415</v>
      </c>
      <c r="M112" s="32" t="s">
        <v>72</v>
      </c>
      <c r="N112" s="32" t="s">
        <v>1</v>
      </c>
      <c r="O112" s="32" t="s">
        <v>1</v>
      </c>
      <c r="P112" s="32" t="s">
        <v>1</v>
      </c>
      <c r="Q112" s="31" t="e">
        <f t="shared" si="5"/>
        <v>#VALUE!</v>
      </c>
      <c r="R112" s="32" t="s">
        <v>1</v>
      </c>
      <c r="S112" s="32" t="s">
        <v>1</v>
      </c>
      <c r="T112" s="32" t="s">
        <v>1</v>
      </c>
      <c r="U112" s="32" t="s">
        <v>1</v>
      </c>
      <c r="V112" s="7" t="s">
        <v>1</v>
      </c>
      <c r="W112" s="7" t="s">
        <v>72</v>
      </c>
      <c r="X112" s="7" t="s">
        <v>1</v>
      </c>
      <c r="Y112" s="7" t="s">
        <v>72</v>
      </c>
      <c r="Z112" s="7" t="s">
        <v>1</v>
      </c>
      <c r="AA112" s="30" t="s">
        <v>72</v>
      </c>
      <c r="AB112" s="7" t="s">
        <v>1</v>
      </c>
      <c r="AC112" s="7" t="s">
        <v>72</v>
      </c>
      <c r="AD112" s="7" t="s">
        <v>1</v>
      </c>
      <c r="AE112" s="7" t="s">
        <v>72</v>
      </c>
      <c r="AF112" s="7" t="s">
        <v>1</v>
      </c>
      <c r="AG112" s="7" t="s">
        <v>72</v>
      </c>
      <c r="AH112" s="127" t="s">
        <v>1</v>
      </c>
      <c r="AI112" s="127" t="s">
        <v>72</v>
      </c>
      <c r="AJ112" s="127" t="s">
        <v>1</v>
      </c>
      <c r="AK112" s="127" t="s">
        <v>72</v>
      </c>
      <c r="AL112" s="127" t="s">
        <v>1</v>
      </c>
      <c r="AM112" s="127" t="s">
        <v>72</v>
      </c>
      <c r="AN112" s="127" t="s">
        <v>1</v>
      </c>
      <c r="AO112" s="127" t="s">
        <v>72</v>
      </c>
      <c r="AP112" s="127" t="s">
        <v>1</v>
      </c>
      <c r="AQ112" s="127" t="s">
        <v>72</v>
      </c>
      <c r="AR112" s="127" t="s">
        <v>1</v>
      </c>
      <c r="AS112" s="7" t="s">
        <v>72</v>
      </c>
      <c r="AT112" s="314" t="s">
        <v>1</v>
      </c>
      <c r="AU112" s="32" t="s">
        <v>1</v>
      </c>
      <c r="AV112" s="30">
        <v>0</v>
      </c>
      <c r="AW112" s="32" t="s">
        <v>1</v>
      </c>
      <c r="AX112" s="31">
        <v>0</v>
      </c>
      <c r="AY112" s="314" t="s">
        <v>1</v>
      </c>
      <c r="AZ112" s="7">
        <v>7</v>
      </c>
      <c r="BA112" s="32" t="s">
        <v>1</v>
      </c>
      <c r="BB112" s="31" t="s">
        <v>103</v>
      </c>
      <c r="BC112" s="314" t="s">
        <v>1</v>
      </c>
      <c r="BD112" s="314" t="s">
        <v>1</v>
      </c>
      <c r="BE112" s="32" t="s">
        <v>1</v>
      </c>
      <c r="BF112" s="32" t="s">
        <v>1</v>
      </c>
      <c r="BG112" s="314" t="s">
        <v>1</v>
      </c>
      <c r="BH112" s="314" t="s">
        <v>1</v>
      </c>
      <c r="BI112" s="7" t="s">
        <v>94</v>
      </c>
      <c r="BJ112" s="7">
        <v>40</v>
      </c>
      <c r="BK112" s="7">
        <v>2632</v>
      </c>
      <c r="BL112" s="7" t="s">
        <v>72</v>
      </c>
      <c r="BM112" s="7" t="s">
        <v>74</v>
      </c>
      <c r="BN112" s="7">
        <v>174</v>
      </c>
      <c r="BO112" s="7">
        <v>921</v>
      </c>
      <c r="BP112" s="7" t="s">
        <v>72</v>
      </c>
      <c r="BQ112" s="7" t="s">
        <v>1</v>
      </c>
      <c r="BR112" s="7" t="s">
        <v>1</v>
      </c>
      <c r="BS112" s="7" t="s">
        <v>1</v>
      </c>
      <c r="BT112" s="7" t="s">
        <v>1</v>
      </c>
      <c r="BU112" s="7" t="s">
        <v>1</v>
      </c>
      <c r="BV112" s="7" t="s">
        <v>1</v>
      </c>
      <c r="BW112" s="7" t="s">
        <v>1</v>
      </c>
      <c r="BX112" s="7" t="s">
        <v>1</v>
      </c>
      <c r="BY112" s="7" t="s">
        <v>1</v>
      </c>
      <c r="BZ112" s="7" t="s">
        <v>1</v>
      </c>
      <c r="CA112" s="7" t="s">
        <v>1</v>
      </c>
      <c r="CB112" s="7" t="s">
        <v>1</v>
      </c>
      <c r="CC112" s="7" t="s">
        <v>1</v>
      </c>
      <c r="CD112" s="7" t="s">
        <v>1</v>
      </c>
      <c r="CE112" s="7" t="s">
        <v>1</v>
      </c>
      <c r="CF112" s="7" t="s">
        <v>1</v>
      </c>
    </row>
    <row r="113" ht="27" customHeight="1" spans="1:84">
      <c r="A113" s="29">
        <v>45216</v>
      </c>
      <c r="B113" s="7" t="s">
        <v>89</v>
      </c>
      <c r="C113" s="32" t="s">
        <v>1</v>
      </c>
      <c r="D113" s="30" t="s">
        <v>1</v>
      </c>
      <c r="E113" s="30" t="s">
        <v>1</v>
      </c>
      <c r="F113" s="32" t="str">
        <f t="shared" si="3"/>
        <v/>
      </c>
      <c r="G113" s="32" t="s">
        <v>1</v>
      </c>
      <c r="H113" s="7" t="s">
        <v>1</v>
      </c>
      <c r="I113" s="32" t="s">
        <v>1</v>
      </c>
      <c r="J113" s="31" t="s">
        <v>1</v>
      </c>
      <c r="K113" s="31" t="str">
        <f>IFERROR(E113/#REF!,"")</f>
        <v/>
      </c>
      <c r="L113" s="127">
        <v>86125</v>
      </c>
      <c r="M113" s="32" t="s">
        <v>72</v>
      </c>
      <c r="N113" s="32" t="s">
        <v>1</v>
      </c>
      <c r="O113" s="32" t="s">
        <v>1</v>
      </c>
      <c r="P113" s="32" t="s">
        <v>1</v>
      </c>
      <c r="Q113" s="31" t="e">
        <f t="shared" si="5"/>
        <v>#VALUE!</v>
      </c>
      <c r="R113" s="32" t="s">
        <v>1</v>
      </c>
      <c r="S113" s="32" t="s">
        <v>1</v>
      </c>
      <c r="T113" s="32" t="s">
        <v>1</v>
      </c>
      <c r="U113" s="32" t="s">
        <v>1</v>
      </c>
      <c r="V113" s="7" t="s">
        <v>1</v>
      </c>
      <c r="W113" s="7" t="s">
        <v>72</v>
      </c>
      <c r="X113" s="7" t="s">
        <v>1</v>
      </c>
      <c r="Y113" s="7" t="s">
        <v>72</v>
      </c>
      <c r="Z113" s="7" t="s">
        <v>1</v>
      </c>
      <c r="AA113" s="30" t="s">
        <v>72</v>
      </c>
      <c r="AB113" s="7" t="s">
        <v>1</v>
      </c>
      <c r="AC113" s="7" t="s">
        <v>72</v>
      </c>
      <c r="AD113" s="7" t="s">
        <v>1</v>
      </c>
      <c r="AE113" s="7" t="s">
        <v>72</v>
      </c>
      <c r="AF113" s="7" t="s">
        <v>1</v>
      </c>
      <c r="AG113" s="7" t="s">
        <v>72</v>
      </c>
      <c r="AH113" s="127" t="s">
        <v>1</v>
      </c>
      <c r="AI113" s="127" t="s">
        <v>72</v>
      </c>
      <c r="AJ113" s="127" t="s">
        <v>1</v>
      </c>
      <c r="AK113" s="127" t="s">
        <v>72</v>
      </c>
      <c r="AL113" s="127" t="s">
        <v>1</v>
      </c>
      <c r="AM113" s="127" t="s">
        <v>72</v>
      </c>
      <c r="AN113" s="127" t="s">
        <v>1</v>
      </c>
      <c r="AO113" s="127" t="s">
        <v>72</v>
      </c>
      <c r="AP113" s="127" t="s">
        <v>1</v>
      </c>
      <c r="AQ113" s="127" t="s">
        <v>72</v>
      </c>
      <c r="AR113" s="127" t="s">
        <v>1</v>
      </c>
      <c r="AS113" s="7" t="s">
        <v>72</v>
      </c>
      <c r="AT113" s="314" t="s">
        <v>1</v>
      </c>
      <c r="AU113" s="32" t="s">
        <v>1</v>
      </c>
      <c r="AV113" s="30">
        <v>0</v>
      </c>
      <c r="AW113" s="32" t="s">
        <v>1</v>
      </c>
      <c r="AX113" s="31">
        <v>0</v>
      </c>
      <c r="AY113" s="314" t="s">
        <v>1</v>
      </c>
      <c r="AZ113" s="7">
        <v>0</v>
      </c>
      <c r="BA113" s="32" t="s">
        <v>1</v>
      </c>
      <c r="BB113" s="31" t="s">
        <v>103</v>
      </c>
      <c r="BC113" s="314" t="s">
        <v>1</v>
      </c>
      <c r="BD113" s="314" t="s">
        <v>1</v>
      </c>
      <c r="BE113" s="32" t="s">
        <v>1</v>
      </c>
      <c r="BF113" s="32" t="s">
        <v>1</v>
      </c>
      <c r="BG113" s="314" t="s">
        <v>1</v>
      </c>
      <c r="BH113" s="314" t="s">
        <v>1</v>
      </c>
      <c r="BI113" s="7" t="s">
        <v>94</v>
      </c>
      <c r="BJ113" s="7">
        <v>38</v>
      </c>
      <c r="BK113" s="7">
        <v>2564</v>
      </c>
      <c r="BL113" s="7" t="s">
        <v>72</v>
      </c>
      <c r="BM113" s="7" t="s">
        <v>74</v>
      </c>
      <c r="BN113" s="7">
        <v>152</v>
      </c>
      <c r="BO113" s="7">
        <v>987</v>
      </c>
      <c r="BP113" s="7" t="s">
        <v>72</v>
      </c>
      <c r="BQ113" s="7" t="s">
        <v>1</v>
      </c>
      <c r="BR113" s="7" t="s">
        <v>1</v>
      </c>
      <c r="BS113" s="7" t="s">
        <v>1</v>
      </c>
      <c r="BT113" s="7" t="s">
        <v>1</v>
      </c>
      <c r="BU113" s="7" t="s">
        <v>1</v>
      </c>
      <c r="BV113" s="7" t="s">
        <v>1</v>
      </c>
      <c r="BW113" s="7" t="s">
        <v>1</v>
      </c>
      <c r="BX113" s="7" t="s">
        <v>1</v>
      </c>
      <c r="BY113" s="7" t="s">
        <v>1</v>
      </c>
      <c r="BZ113" s="7" t="s">
        <v>1</v>
      </c>
      <c r="CA113" s="7" t="s">
        <v>1</v>
      </c>
      <c r="CB113" s="7" t="s">
        <v>1</v>
      </c>
      <c r="CC113" s="7" t="s">
        <v>1</v>
      </c>
      <c r="CD113" s="7" t="s">
        <v>1</v>
      </c>
      <c r="CE113" s="7" t="s">
        <v>1</v>
      </c>
      <c r="CF113" s="7" t="s">
        <v>1</v>
      </c>
    </row>
    <row r="114" ht="27" customHeight="1" spans="1:84">
      <c r="A114" s="29">
        <v>45217</v>
      </c>
      <c r="B114" s="7" t="s">
        <v>89</v>
      </c>
      <c r="C114" s="32" t="s">
        <v>1</v>
      </c>
      <c r="D114" s="30" t="s">
        <v>1</v>
      </c>
      <c r="E114" s="30" t="s">
        <v>1</v>
      </c>
      <c r="F114" s="32" t="str">
        <f t="shared" si="3"/>
        <v/>
      </c>
      <c r="G114" s="32" t="s">
        <v>1</v>
      </c>
      <c r="H114" s="7" t="s">
        <v>1</v>
      </c>
      <c r="I114" s="32" t="s">
        <v>1</v>
      </c>
      <c r="J114" s="31" t="s">
        <v>1</v>
      </c>
      <c r="K114" s="31" t="str">
        <f>IFERROR(E114/#REF!,"")</f>
        <v/>
      </c>
      <c r="L114" s="127">
        <v>25554</v>
      </c>
      <c r="M114" s="32" t="s">
        <v>72</v>
      </c>
      <c r="N114" s="32" t="s">
        <v>1</v>
      </c>
      <c r="O114" s="32" t="s">
        <v>1</v>
      </c>
      <c r="P114" s="32" t="s">
        <v>1</v>
      </c>
      <c r="Q114" s="31" t="e">
        <f t="shared" si="5"/>
        <v>#VALUE!</v>
      </c>
      <c r="R114" s="32" t="s">
        <v>1</v>
      </c>
      <c r="S114" s="32" t="s">
        <v>1</v>
      </c>
      <c r="T114" s="32" t="s">
        <v>1</v>
      </c>
      <c r="U114" s="32" t="s">
        <v>1</v>
      </c>
      <c r="V114" s="7" t="s">
        <v>1</v>
      </c>
      <c r="W114" s="7" t="s">
        <v>72</v>
      </c>
      <c r="X114" s="7" t="s">
        <v>1</v>
      </c>
      <c r="Y114" s="7" t="s">
        <v>72</v>
      </c>
      <c r="Z114" s="7" t="s">
        <v>1</v>
      </c>
      <c r="AA114" s="30" t="s">
        <v>72</v>
      </c>
      <c r="AB114" s="7" t="s">
        <v>1</v>
      </c>
      <c r="AC114" s="7" t="s">
        <v>72</v>
      </c>
      <c r="AD114" s="7" t="s">
        <v>1</v>
      </c>
      <c r="AE114" s="7" t="s">
        <v>72</v>
      </c>
      <c r="AF114" s="7" t="s">
        <v>1</v>
      </c>
      <c r="AG114" s="7" t="s">
        <v>72</v>
      </c>
      <c r="AH114" s="127" t="s">
        <v>1</v>
      </c>
      <c r="AI114" s="127" t="s">
        <v>72</v>
      </c>
      <c r="AJ114" s="127" t="s">
        <v>1</v>
      </c>
      <c r="AK114" s="127" t="s">
        <v>72</v>
      </c>
      <c r="AL114" s="127" t="s">
        <v>1</v>
      </c>
      <c r="AM114" s="127" t="s">
        <v>72</v>
      </c>
      <c r="AN114" s="127" t="s">
        <v>1</v>
      </c>
      <c r="AO114" s="127" t="s">
        <v>72</v>
      </c>
      <c r="AP114" s="127" t="s">
        <v>1</v>
      </c>
      <c r="AQ114" s="127" t="s">
        <v>72</v>
      </c>
      <c r="AR114" s="127" t="s">
        <v>1</v>
      </c>
      <c r="AS114" s="7" t="s">
        <v>72</v>
      </c>
      <c r="AT114" s="314" t="s">
        <v>1</v>
      </c>
      <c r="AU114" s="32" t="s">
        <v>1</v>
      </c>
      <c r="AV114" s="30">
        <v>0</v>
      </c>
      <c r="AW114" s="32" t="s">
        <v>1</v>
      </c>
      <c r="AX114" s="31">
        <v>0</v>
      </c>
      <c r="AY114" s="314" t="s">
        <v>1</v>
      </c>
      <c r="AZ114" s="7">
        <v>105</v>
      </c>
      <c r="BA114" s="32" t="s">
        <v>1</v>
      </c>
      <c r="BB114" s="31" t="s">
        <v>103</v>
      </c>
      <c r="BC114" s="314" t="s">
        <v>1</v>
      </c>
      <c r="BD114" s="314" t="s">
        <v>1</v>
      </c>
      <c r="BE114" s="32" t="s">
        <v>1</v>
      </c>
      <c r="BF114" s="32" t="s">
        <v>1</v>
      </c>
      <c r="BG114" s="314" t="s">
        <v>1</v>
      </c>
      <c r="BH114" s="314" t="s">
        <v>1</v>
      </c>
      <c r="BI114" s="7" t="s">
        <v>94</v>
      </c>
      <c r="BJ114" s="7">
        <v>29</v>
      </c>
      <c r="BK114" s="7">
        <v>2948</v>
      </c>
      <c r="BL114" s="7" t="s">
        <v>72</v>
      </c>
      <c r="BM114" s="7" t="s">
        <v>74</v>
      </c>
      <c r="BN114" s="7">
        <v>124</v>
      </c>
      <c r="BO114" s="7">
        <v>1170</v>
      </c>
      <c r="BP114" s="7" t="s">
        <v>72</v>
      </c>
      <c r="BQ114" s="7" t="s">
        <v>1</v>
      </c>
      <c r="BR114" s="7" t="s">
        <v>1</v>
      </c>
      <c r="BS114" s="7" t="s">
        <v>1</v>
      </c>
      <c r="BT114" s="7" t="s">
        <v>1</v>
      </c>
      <c r="BU114" s="7" t="s">
        <v>1</v>
      </c>
      <c r="BV114" s="7" t="s">
        <v>1</v>
      </c>
      <c r="BW114" s="7" t="s">
        <v>1</v>
      </c>
      <c r="BX114" s="7" t="s">
        <v>1</v>
      </c>
      <c r="BY114" s="7" t="s">
        <v>1</v>
      </c>
      <c r="BZ114" s="7" t="s">
        <v>1</v>
      </c>
      <c r="CA114" s="7" t="s">
        <v>1</v>
      </c>
      <c r="CB114" s="7" t="s">
        <v>1</v>
      </c>
      <c r="CC114" s="7" t="s">
        <v>1</v>
      </c>
      <c r="CD114" s="7" t="s">
        <v>1</v>
      </c>
      <c r="CE114" s="7" t="s">
        <v>1</v>
      </c>
      <c r="CF114" s="7" t="s">
        <v>1</v>
      </c>
    </row>
    <row r="115" ht="27" customHeight="1" spans="1:84">
      <c r="A115" s="29">
        <v>45218</v>
      </c>
      <c r="B115" s="7" t="s">
        <v>89</v>
      </c>
      <c r="C115" s="32" t="s">
        <v>1</v>
      </c>
      <c r="D115" s="30" t="s">
        <v>1</v>
      </c>
      <c r="E115" s="30" t="s">
        <v>1</v>
      </c>
      <c r="F115" s="32" t="str">
        <f t="shared" si="3"/>
        <v/>
      </c>
      <c r="G115" s="32" t="s">
        <v>1</v>
      </c>
      <c r="H115" s="7" t="s">
        <v>1</v>
      </c>
      <c r="I115" s="32" t="s">
        <v>1</v>
      </c>
      <c r="J115" s="31" t="s">
        <v>1</v>
      </c>
      <c r="K115" s="31" t="str">
        <f>IFERROR(E115/#REF!,"")</f>
        <v/>
      </c>
      <c r="L115" s="127">
        <v>47928</v>
      </c>
      <c r="M115" s="32" t="s">
        <v>72</v>
      </c>
      <c r="N115" s="32" t="s">
        <v>1</v>
      </c>
      <c r="O115" s="32" t="s">
        <v>1</v>
      </c>
      <c r="P115" s="32" t="s">
        <v>1</v>
      </c>
      <c r="Q115" s="31" t="e">
        <f t="shared" si="5"/>
        <v>#VALUE!</v>
      </c>
      <c r="R115" s="32" t="s">
        <v>1</v>
      </c>
      <c r="S115" s="32" t="s">
        <v>1</v>
      </c>
      <c r="T115" s="32" t="s">
        <v>1</v>
      </c>
      <c r="U115" s="32" t="s">
        <v>1</v>
      </c>
      <c r="V115" s="7" t="s">
        <v>1</v>
      </c>
      <c r="W115" s="7" t="s">
        <v>72</v>
      </c>
      <c r="X115" s="7" t="s">
        <v>1</v>
      </c>
      <c r="Y115" s="7" t="s">
        <v>72</v>
      </c>
      <c r="Z115" s="7" t="s">
        <v>1</v>
      </c>
      <c r="AA115" s="30" t="s">
        <v>72</v>
      </c>
      <c r="AB115" s="7" t="s">
        <v>1</v>
      </c>
      <c r="AC115" s="7" t="s">
        <v>72</v>
      </c>
      <c r="AD115" s="7" t="s">
        <v>1</v>
      </c>
      <c r="AE115" s="7" t="s">
        <v>72</v>
      </c>
      <c r="AF115" s="7" t="s">
        <v>1</v>
      </c>
      <c r="AG115" s="7" t="s">
        <v>72</v>
      </c>
      <c r="AH115" s="127" t="s">
        <v>1</v>
      </c>
      <c r="AI115" s="127" t="s">
        <v>72</v>
      </c>
      <c r="AJ115" s="127" t="s">
        <v>1</v>
      </c>
      <c r="AK115" s="127" t="s">
        <v>72</v>
      </c>
      <c r="AL115" s="127" t="s">
        <v>1</v>
      </c>
      <c r="AM115" s="127" t="s">
        <v>72</v>
      </c>
      <c r="AN115" s="127" t="s">
        <v>1</v>
      </c>
      <c r="AO115" s="127" t="s">
        <v>72</v>
      </c>
      <c r="AP115" s="127" t="s">
        <v>1</v>
      </c>
      <c r="AQ115" s="127" t="s">
        <v>72</v>
      </c>
      <c r="AR115" s="127" t="s">
        <v>1</v>
      </c>
      <c r="AS115" s="7" t="s">
        <v>72</v>
      </c>
      <c r="AT115" s="314" t="s">
        <v>1</v>
      </c>
      <c r="AU115" s="32" t="s">
        <v>1</v>
      </c>
      <c r="AV115" s="30">
        <v>0</v>
      </c>
      <c r="AW115" s="32" t="s">
        <v>1</v>
      </c>
      <c r="AX115" s="31">
        <v>0</v>
      </c>
      <c r="AY115" s="314" t="s">
        <v>1</v>
      </c>
      <c r="AZ115" s="7">
        <v>87</v>
      </c>
      <c r="BA115" s="32" t="s">
        <v>1</v>
      </c>
      <c r="BB115" s="31" t="s">
        <v>103</v>
      </c>
      <c r="BC115" s="314" t="s">
        <v>1</v>
      </c>
      <c r="BD115" s="314" t="s">
        <v>1</v>
      </c>
      <c r="BE115" s="32" t="s">
        <v>1</v>
      </c>
      <c r="BF115" s="32" t="s">
        <v>1</v>
      </c>
      <c r="BG115" s="314" t="s">
        <v>1</v>
      </c>
      <c r="BH115" s="314" t="s">
        <v>1</v>
      </c>
      <c r="BI115" s="7" t="s">
        <v>94</v>
      </c>
      <c r="BJ115" s="7">
        <v>24</v>
      </c>
      <c r="BK115" s="7">
        <v>3447</v>
      </c>
      <c r="BL115" s="7" t="s">
        <v>72</v>
      </c>
      <c r="BM115" s="7" t="s">
        <v>73</v>
      </c>
      <c r="BN115" s="7">
        <v>84</v>
      </c>
      <c r="BO115" s="7">
        <v>1555</v>
      </c>
      <c r="BP115" s="7" t="s">
        <v>72</v>
      </c>
      <c r="BQ115" s="7" t="s">
        <v>1</v>
      </c>
      <c r="BR115" s="7" t="s">
        <v>1</v>
      </c>
      <c r="BS115" s="7" t="s">
        <v>1</v>
      </c>
      <c r="BT115" s="7" t="s">
        <v>1</v>
      </c>
      <c r="BU115" s="7" t="s">
        <v>1</v>
      </c>
      <c r="BV115" s="7" t="s">
        <v>1</v>
      </c>
      <c r="BW115" s="7" t="s">
        <v>1</v>
      </c>
      <c r="BX115" s="7" t="s">
        <v>1</v>
      </c>
      <c r="BY115" s="7" t="s">
        <v>1</v>
      </c>
      <c r="BZ115" s="7" t="s">
        <v>1</v>
      </c>
      <c r="CA115" s="7" t="s">
        <v>1</v>
      </c>
      <c r="CB115" s="7" t="s">
        <v>1</v>
      </c>
      <c r="CC115" s="7" t="s">
        <v>1</v>
      </c>
      <c r="CD115" s="7" t="s">
        <v>1</v>
      </c>
      <c r="CE115" s="7" t="s">
        <v>1</v>
      </c>
      <c r="CF115" s="7" t="s">
        <v>1</v>
      </c>
    </row>
    <row r="116" ht="27" customHeight="1" spans="1:84">
      <c r="A116" s="29">
        <v>45219</v>
      </c>
      <c r="B116" s="7" t="s">
        <v>89</v>
      </c>
      <c r="C116" s="32" t="s">
        <v>1</v>
      </c>
      <c r="D116" s="30" t="s">
        <v>1</v>
      </c>
      <c r="E116" s="30" t="s">
        <v>1</v>
      </c>
      <c r="F116" s="32" t="str">
        <f t="shared" si="3"/>
        <v/>
      </c>
      <c r="G116" s="32" t="s">
        <v>1</v>
      </c>
      <c r="H116" s="7" t="s">
        <v>1</v>
      </c>
      <c r="I116" s="32" t="s">
        <v>1</v>
      </c>
      <c r="J116" s="31" t="s">
        <v>1</v>
      </c>
      <c r="K116" s="31" t="str">
        <f>IFERROR(E116/#REF!,"")</f>
        <v/>
      </c>
      <c r="L116" s="127" t="s">
        <v>1</v>
      </c>
      <c r="M116" s="32" t="s">
        <v>72</v>
      </c>
      <c r="N116" s="32" t="s">
        <v>1</v>
      </c>
      <c r="O116" s="32" t="s">
        <v>1</v>
      </c>
      <c r="P116" s="32" t="s">
        <v>1</v>
      </c>
      <c r="Q116" s="31" t="e">
        <f t="shared" si="5"/>
        <v>#VALUE!</v>
      </c>
      <c r="R116" s="32" t="s">
        <v>1</v>
      </c>
      <c r="S116" s="32" t="s">
        <v>1</v>
      </c>
      <c r="T116" s="32" t="s">
        <v>1</v>
      </c>
      <c r="U116" s="32" t="s">
        <v>1</v>
      </c>
      <c r="V116" s="7" t="s">
        <v>1</v>
      </c>
      <c r="W116" s="7" t="s">
        <v>72</v>
      </c>
      <c r="X116" s="7" t="s">
        <v>1</v>
      </c>
      <c r="Y116" s="7" t="s">
        <v>72</v>
      </c>
      <c r="Z116" s="7" t="s">
        <v>1</v>
      </c>
      <c r="AA116" s="30" t="s">
        <v>72</v>
      </c>
      <c r="AB116" s="7" t="s">
        <v>1</v>
      </c>
      <c r="AC116" s="7" t="s">
        <v>72</v>
      </c>
      <c r="AD116" s="7" t="s">
        <v>1</v>
      </c>
      <c r="AE116" s="7" t="s">
        <v>72</v>
      </c>
      <c r="AF116" s="7" t="s">
        <v>1</v>
      </c>
      <c r="AG116" s="7" t="s">
        <v>72</v>
      </c>
      <c r="AH116" s="127" t="s">
        <v>1</v>
      </c>
      <c r="AI116" s="127" t="s">
        <v>72</v>
      </c>
      <c r="AJ116" s="127" t="s">
        <v>1</v>
      </c>
      <c r="AK116" s="127" t="s">
        <v>72</v>
      </c>
      <c r="AL116" s="127" t="s">
        <v>1</v>
      </c>
      <c r="AM116" s="127" t="s">
        <v>72</v>
      </c>
      <c r="AN116" s="127" t="s">
        <v>1</v>
      </c>
      <c r="AO116" s="127" t="s">
        <v>72</v>
      </c>
      <c r="AP116" s="127" t="s">
        <v>1</v>
      </c>
      <c r="AQ116" s="127" t="s">
        <v>72</v>
      </c>
      <c r="AR116" s="127" t="s">
        <v>1</v>
      </c>
      <c r="AS116" s="7" t="s">
        <v>72</v>
      </c>
      <c r="AT116" s="314" t="s">
        <v>1</v>
      </c>
      <c r="AU116" s="32" t="s">
        <v>1</v>
      </c>
      <c r="AV116" s="30">
        <v>565</v>
      </c>
      <c r="AW116" s="32" t="s">
        <v>1</v>
      </c>
      <c r="AX116" s="31">
        <v>0.0761558161477288</v>
      </c>
      <c r="AY116" s="314" t="s">
        <v>1</v>
      </c>
      <c r="AZ116" s="7">
        <v>86</v>
      </c>
      <c r="BA116" s="32" t="s">
        <v>1</v>
      </c>
      <c r="BB116" s="31">
        <v>0.152212389380531</v>
      </c>
      <c r="BC116" s="314" t="s">
        <v>1</v>
      </c>
      <c r="BD116" s="314" t="s">
        <v>1</v>
      </c>
      <c r="BE116" s="32" t="s">
        <v>1</v>
      </c>
      <c r="BF116" s="32" t="s">
        <v>1</v>
      </c>
      <c r="BG116" s="314" t="s">
        <v>1</v>
      </c>
      <c r="BH116" s="314" t="s">
        <v>1</v>
      </c>
      <c r="BI116" s="7" t="s">
        <v>94</v>
      </c>
      <c r="BJ116" s="7">
        <v>31</v>
      </c>
      <c r="BK116" s="7">
        <v>2823</v>
      </c>
      <c r="BL116" s="7" t="s">
        <v>72</v>
      </c>
      <c r="BM116" s="7" t="s">
        <v>74</v>
      </c>
      <c r="BN116" s="7">
        <v>113</v>
      </c>
      <c r="BO116" s="7">
        <v>1271</v>
      </c>
      <c r="BP116" s="7" t="s">
        <v>72</v>
      </c>
      <c r="BQ116" s="7" t="s">
        <v>1</v>
      </c>
      <c r="BR116" s="7" t="s">
        <v>1</v>
      </c>
      <c r="BS116" s="7" t="s">
        <v>1</v>
      </c>
      <c r="BT116" s="7" t="s">
        <v>1</v>
      </c>
      <c r="BU116" s="7" t="s">
        <v>1</v>
      </c>
      <c r="BV116" s="7" t="s">
        <v>1</v>
      </c>
      <c r="BW116" s="7" t="s">
        <v>1</v>
      </c>
      <c r="BX116" s="7" t="s">
        <v>1</v>
      </c>
      <c r="BY116" s="7" t="s">
        <v>1</v>
      </c>
      <c r="BZ116" s="7" t="s">
        <v>1</v>
      </c>
      <c r="CA116" s="7" t="s">
        <v>1</v>
      </c>
      <c r="CB116" s="7" t="s">
        <v>1</v>
      </c>
      <c r="CC116" s="7" t="s">
        <v>1</v>
      </c>
      <c r="CD116" s="7" t="s">
        <v>1</v>
      </c>
      <c r="CE116" s="7" t="s">
        <v>1</v>
      </c>
      <c r="CF116" s="7" t="s">
        <v>1</v>
      </c>
    </row>
    <row r="117" ht="27" customHeight="1" spans="1:84">
      <c r="A117" s="29">
        <v>45220</v>
      </c>
      <c r="B117" s="7" t="s">
        <v>89</v>
      </c>
      <c r="C117" s="32" t="s">
        <v>1</v>
      </c>
      <c r="D117" s="30" t="s">
        <v>1</v>
      </c>
      <c r="E117" s="30" t="s">
        <v>1</v>
      </c>
      <c r="F117" s="32" t="str">
        <f t="shared" si="3"/>
        <v/>
      </c>
      <c r="G117" s="32" t="s">
        <v>1</v>
      </c>
      <c r="H117" s="7" t="s">
        <v>1</v>
      </c>
      <c r="I117" s="32" t="s">
        <v>1</v>
      </c>
      <c r="J117" s="31" t="s">
        <v>1</v>
      </c>
      <c r="K117" s="31" t="str">
        <f>IFERROR(E117/#REF!,"")</f>
        <v/>
      </c>
      <c r="L117" s="127" t="s">
        <v>1</v>
      </c>
      <c r="M117" s="32" t="s">
        <v>72</v>
      </c>
      <c r="N117" s="32" t="s">
        <v>1</v>
      </c>
      <c r="O117" s="32" t="s">
        <v>1</v>
      </c>
      <c r="P117" s="32" t="s">
        <v>1</v>
      </c>
      <c r="Q117" s="31" t="e">
        <f t="shared" si="5"/>
        <v>#VALUE!</v>
      </c>
      <c r="R117" s="32" t="s">
        <v>1</v>
      </c>
      <c r="S117" s="32" t="s">
        <v>1</v>
      </c>
      <c r="T117" s="32" t="s">
        <v>1</v>
      </c>
      <c r="U117" s="32" t="s">
        <v>1</v>
      </c>
      <c r="V117" s="7" t="s">
        <v>1</v>
      </c>
      <c r="W117" s="7" t="s">
        <v>72</v>
      </c>
      <c r="X117" s="7" t="s">
        <v>1</v>
      </c>
      <c r="Y117" s="7" t="s">
        <v>72</v>
      </c>
      <c r="Z117" s="7" t="s">
        <v>1</v>
      </c>
      <c r="AA117" s="30" t="s">
        <v>72</v>
      </c>
      <c r="AB117" s="7" t="s">
        <v>1</v>
      </c>
      <c r="AC117" s="7" t="s">
        <v>72</v>
      </c>
      <c r="AD117" s="7" t="s">
        <v>1</v>
      </c>
      <c r="AE117" s="7" t="s">
        <v>72</v>
      </c>
      <c r="AF117" s="7" t="s">
        <v>1</v>
      </c>
      <c r="AG117" s="7" t="s">
        <v>72</v>
      </c>
      <c r="AH117" s="127" t="s">
        <v>1</v>
      </c>
      <c r="AI117" s="127" t="s">
        <v>72</v>
      </c>
      <c r="AJ117" s="127" t="s">
        <v>1</v>
      </c>
      <c r="AK117" s="127" t="s">
        <v>72</v>
      </c>
      <c r="AL117" s="127" t="s">
        <v>1</v>
      </c>
      <c r="AM117" s="127" t="s">
        <v>72</v>
      </c>
      <c r="AN117" s="127" t="s">
        <v>1</v>
      </c>
      <c r="AO117" s="127" t="s">
        <v>72</v>
      </c>
      <c r="AP117" s="127" t="s">
        <v>1</v>
      </c>
      <c r="AQ117" s="127" t="s">
        <v>72</v>
      </c>
      <c r="AR117" s="127" t="s">
        <v>1</v>
      </c>
      <c r="AS117" s="7" t="s">
        <v>72</v>
      </c>
      <c r="AT117" s="314" t="s">
        <v>1</v>
      </c>
      <c r="AU117" s="32" t="s">
        <v>1</v>
      </c>
      <c r="AV117" s="30">
        <v>535</v>
      </c>
      <c r="AW117" s="32" t="s">
        <v>1</v>
      </c>
      <c r="AX117" s="31">
        <v>0.0682659180808983</v>
      </c>
      <c r="AY117" s="314" t="s">
        <v>1</v>
      </c>
      <c r="AZ117" s="7">
        <v>98</v>
      </c>
      <c r="BA117" s="32" t="s">
        <v>1</v>
      </c>
      <c r="BB117" s="31">
        <v>0.183177570093458</v>
      </c>
      <c r="BC117" s="314" t="s">
        <v>1</v>
      </c>
      <c r="BD117" s="314" t="s">
        <v>1</v>
      </c>
      <c r="BE117" s="32" t="s">
        <v>1</v>
      </c>
      <c r="BF117" s="32" t="s">
        <v>1</v>
      </c>
      <c r="BG117" s="314" t="s">
        <v>1</v>
      </c>
      <c r="BH117" s="314" t="s">
        <v>1</v>
      </c>
      <c r="BI117" s="7" t="s">
        <v>94</v>
      </c>
      <c r="BJ117" s="7">
        <v>31</v>
      </c>
      <c r="BK117" s="7">
        <v>3362</v>
      </c>
      <c r="BL117" s="7" t="s">
        <v>72</v>
      </c>
      <c r="BM117" s="7" t="s">
        <v>74</v>
      </c>
      <c r="BN117" s="7">
        <v>115</v>
      </c>
      <c r="BO117" s="7">
        <v>1501</v>
      </c>
      <c r="BP117" s="7" t="s">
        <v>72</v>
      </c>
      <c r="BQ117" s="7" t="s">
        <v>1</v>
      </c>
      <c r="BR117" s="7" t="s">
        <v>1</v>
      </c>
      <c r="BS117" s="7" t="s">
        <v>1</v>
      </c>
      <c r="BT117" s="7" t="s">
        <v>1</v>
      </c>
      <c r="BU117" s="7" t="s">
        <v>1</v>
      </c>
      <c r="BV117" s="7" t="s">
        <v>1</v>
      </c>
      <c r="BW117" s="7" t="s">
        <v>1</v>
      </c>
      <c r="BX117" s="7" t="s">
        <v>1</v>
      </c>
      <c r="BY117" s="7" t="s">
        <v>1</v>
      </c>
      <c r="BZ117" s="7" t="s">
        <v>1</v>
      </c>
      <c r="CA117" s="7" t="s">
        <v>1</v>
      </c>
      <c r="CB117" s="7" t="s">
        <v>1</v>
      </c>
      <c r="CC117" s="7" t="s">
        <v>1</v>
      </c>
      <c r="CD117" s="7" t="s">
        <v>1</v>
      </c>
      <c r="CE117" s="7" t="s">
        <v>1</v>
      </c>
      <c r="CF117" s="7" t="s">
        <v>1</v>
      </c>
    </row>
    <row r="118" ht="27" customHeight="1" spans="1:84">
      <c r="A118" s="29">
        <v>45221</v>
      </c>
      <c r="B118" s="7" t="s">
        <v>89</v>
      </c>
      <c r="C118" s="32" t="s">
        <v>1</v>
      </c>
      <c r="D118" s="30" t="s">
        <v>1</v>
      </c>
      <c r="E118" s="30" t="s">
        <v>1</v>
      </c>
      <c r="F118" s="32" t="str">
        <f t="shared" si="3"/>
        <v/>
      </c>
      <c r="G118" s="32" t="s">
        <v>1</v>
      </c>
      <c r="H118" s="7" t="s">
        <v>1</v>
      </c>
      <c r="I118" s="32" t="s">
        <v>1</v>
      </c>
      <c r="J118" s="31" t="s">
        <v>1</v>
      </c>
      <c r="K118" s="31" t="str">
        <f>IFERROR(E118/#REF!,"")</f>
        <v/>
      </c>
      <c r="L118" s="127" t="s">
        <v>1</v>
      </c>
      <c r="M118" s="32" t="s">
        <v>72</v>
      </c>
      <c r="N118" s="32" t="s">
        <v>1</v>
      </c>
      <c r="O118" s="32" t="s">
        <v>1</v>
      </c>
      <c r="P118" s="32" t="s">
        <v>1</v>
      </c>
      <c r="Q118" s="31" t="e">
        <f t="shared" si="5"/>
        <v>#VALUE!</v>
      </c>
      <c r="R118" s="32" t="s">
        <v>1</v>
      </c>
      <c r="S118" s="32" t="s">
        <v>1</v>
      </c>
      <c r="T118" s="32" t="s">
        <v>1</v>
      </c>
      <c r="U118" s="32" t="s">
        <v>1</v>
      </c>
      <c r="V118" s="7" t="s">
        <v>1</v>
      </c>
      <c r="W118" s="7" t="s">
        <v>72</v>
      </c>
      <c r="X118" s="7" t="s">
        <v>1</v>
      </c>
      <c r="Y118" s="7" t="s">
        <v>72</v>
      </c>
      <c r="Z118" s="7" t="s">
        <v>1</v>
      </c>
      <c r="AA118" s="30" t="s">
        <v>72</v>
      </c>
      <c r="AB118" s="7" t="s">
        <v>1</v>
      </c>
      <c r="AC118" s="7" t="s">
        <v>72</v>
      </c>
      <c r="AD118" s="7" t="s">
        <v>1</v>
      </c>
      <c r="AE118" s="7" t="s">
        <v>72</v>
      </c>
      <c r="AF118" s="7" t="s">
        <v>1</v>
      </c>
      <c r="AG118" s="7" t="s">
        <v>72</v>
      </c>
      <c r="AH118" s="127" t="s">
        <v>1</v>
      </c>
      <c r="AI118" s="127" t="s">
        <v>72</v>
      </c>
      <c r="AJ118" s="127" t="s">
        <v>1</v>
      </c>
      <c r="AK118" s="127" t="s">
        <v>72</v>
      </c>
      <c r="AL118" s="127" t="s">
        <v>1</v>
      </c>
      <c r="AM118" s="127" t="s">
        <v>72</v>
      </c>
      <c r="AN118" s="127" t="s">
        <v>1</v>
      </c>
      <c r="AO118" s="127" t="s">
        <v>72</v>
      </c>
      <c r="AP118" s="127" t="s">
        <v>1</v>
      </c>
      <c r="AQ118" s="127" t="s">
        <v>72</v>
      </c>
      <c r="AR118" s="127" t="s">
        <v>1</v>
      </c>
      <c r="AS118" s="7" t="s">
        <v>72</v>
      </c>
      <c r="AT118" s="314" t="s">
        <v>1</v>
      </c>
      <c r="AU118" s="32" t="s">
        <v>1</v>
      </c>
      <c r="AV118" s="30">
        <v>676</v>
      </c>
      <c r="AW118" s="32" t="s">
        <v>1</v>
      </c>
      <c r="AX118" s="31">
        <v>0.0750277469478357</v>
      </c>
      <c r="AY118" s="314" t="s">
        <v>1</v>
      </c>
      <c r="AZ118" s="7">
        <v>144</v>
      </c>
      <c r="BA118" s="32" t="s">
        <v>1</v>
      </c>
      <c r="BB118" s="31">
        <v>0.21301775147929</v>
      </c>
      <c r="BC118" s="314" t="s">
        <v>1</v>
      </c>
      <c r="BD118" s="314" t="s">
        <v>1</v>
      </c>
      <c r="BE118" s="32" t="s">
        <v>1</v>
      </c>
      <c r="BF118" s="32" t="s">
        <v>1</v>
      </c>
      <c r="BG118" s="314" t="s">
        <v>1</v>
      </c>
      <c r="BH118" s="314" t="s">
        <v>1</v>
      </c>
      <c r="BI118" s="7" t="s">
        <v>102</v>
      </c>
      <c r="BJ118" s="7">
        <v>18</v>
      </c>
      <c r="BK118" s="7">
        <v>4641</v>
      </c>
      <c r="BL118" s="7" t="s">
        <v>72</v>
      </c>
      <c r="BM118" s="7" t="s">
        <v>73</v>
      </c>
      <c r="BN118" s="7">
        <v>91</v>
      </c>
      <c r="BO118" s="7">
        <v>1951</v>
      </c>
      <c r="BP118" s="7" t="s">
        <v>72</v>
      </c>
      <c r="BQ118" s="7" t="s">
        <v>1</v>
      </c>
      <c r="BR118" s="7" t="s">
        <v>1</v>
      </c>
      <c r="BS118" s="7" t="s">
        <v>1</v>
      </c>
      <c r="BT118" s="7" t="s">
        <v>1</v>
      </c>
      <c r="BU118" s="7" t="s">
        <v>1</v>
      </c>
      <c r="BV118" s="7" t="s">
        <v>1</v>
      </c>
      <c r="BW118" s="7" t="s">
        <v>1</v>
      </c>
      <c r="BX118" s="7" t="s">
        <v>1</v>
      </c>
      <c r="BY118" s="7" t="s">
        <v>1</v>
      </c>
      <c r="BZ118" s="7" t="s">
        <v>1</v>
      </c>
      <c r="CA118" s="7" t="s">
        <v>1</v>
      </c>
      <c r="CB118" s="7" t="s">
        <v>1</v>
      </c>
      <c r="CC118" s="7" t="s">
        <v>1</v>
      </c>
      <c r="CD118" s="7" t="s">
        <v>1</v>
      </c>
      <c r="CE118" s="7" t="s">
        <v>1</v>
      </c>
      <c r="CF118" s="7" t="s">
        <v>1</v>
      </c>
    </row>
    <row r="119" ht="27" customHeight="1" spans="1:84">
      <c r="A119" s="29">
        <v>45222</v>
      </c>
      <c r="B119" s="7" t="s">
        <v>126</v>
      </c>
      <c r="C119" s="32" t="s">
        <v>1</v>
      </c>
      <c r="D119" s="30" t="s">
        <v>1</v>
      </c>
      <c r="E119" s="30" t="s">
        <v>1</v>
      </c>
      <c r="F119" s="32" t="str">
        <f t="shared" si="3"/>
        <v/>
      </c>
      <c r="G119" s="32" t="s">
        <v>1</v>
      </c>
      <c r="H119" s="7" t="s">
        <v>1</v>
      </c>
      <c r="I119" s="32" t="s">
        <v>1</v>
      </c>
      <c r="J119" s="31" t="s">
        <v>1</v>
      </c>
      <c r="K119" s="31" t="str">
        <f>IFERROR(E119/#REF!,"")</f>
        <v/>
      </c>
      <c r="L119" s="127" t="s">
        <v>1</v>
      </c>
      <c r="M119" s="32" t="s">
        <v>72</v>
      </c>
      <c r="N119" s="32" t="s">
        <v>1</v>
      </c>
      <c r="O119" s="32" t="s">
        <v>1</v>
      </c>
      <c r="P119" s="32" t="s">
        <v>1</v>
      </c>
      <c r="Q119" s="31" t="e">
        <f t="shared" si="5"/>
        <v>#VALUE!</v>
      </c>
      <c r="R119" s="32" t="s">
        <v>1</v>
      </c>
      <c r="S119" s="32" t="s">
        <v>1</v>
      </c>
      <c r="T119" s="32" t="s">
        <v>1</v>
      </c>
      <c r="U119" s="32" t="s">
        <v>1</v>
      </c>
      <c r="V119" s="7" t="s">
        <v>1</v>
      </c>
      <c r="W119" s="7" t="s">
        <v>72</v>
      </c>
      <c r="X119" s="7" t="s">
        <v>1</v>
      </c>
      <c r="Y119" s="7" t="s">
        <v>72</v>
      </c>
      <c r="Z119" s="7" t="s">
        <v>1</v>
      </c>
      <c r="AA119" s="30" t="s">
        <v>72</v>
      </c>
      <c r="AB119" s="7" t="s">
        <v>1</v>
      </c>
      <c r="AC119" s="7" t="s">
        <v>72</v>
      </c>
      <c r="AD119" s="7" t="s">
        <v>1</v>
      </c>
      <c r="AE119" s="7" t="s">
        <v>72</v>
      </c>
      <c r="AF119" s="7" t="s">
        <v>1</v>
      </c>
      <c r="AG119" s="7" t="s">
        <v>72</v>
      </c>
      <c r="AH119" s="127" t="s">
        <v>1</v>
      </c>
      <c r="AI119" s="127" t="s">
        <v>72</v>
      </c>
      <c r="AJ119" s="127" t="s">
        <v>1</v>
      </c>
      <c r="AK119" s="127" t="s">
        <v>72</v>
      </c>
      <c r="AL119" s="127" t="s">
        <v>1</v>
      </c>
      <c r="AM119" s="127" t="s">
        <v>72</v>
      </c>
      <c r="AN119" s="127" t="s">
        <v>1</v>
      </c>
      <c r="AO119" s="127" t="s">
        <v>72</v>
      </c>
      <c r="AP119" s="127" t="s">
        <v>1</v>
      </c>
      <c r="AQ119" s="127" t="s">
        <v>72</v>
      </c>
      <c r="AR119" s="127" t="s">
        <v>1</v>
      </c>
      <c r="AS119" s="7" t="s">
        <v>72</v>
      </c>
      <c r="AT119" s="314" t="s">
        <v>1</v>
      </c>
      <c r="AU119" s="32" t="s">
        <v>1</v>
      </c>
      <c r="AV119" s="30">
        <v>1269</v>
      </c>
      <c r="AW119" s="32" t="s">
        <v>1</v>
      </c>
      <c r="AX119" s="31">
        <v>0.0877896921480457</v>
      </c>
      <c r="AY119" s="314" t="s">
        <v>1</v>
      </c>
      <c r="AZ119" s="7">
        <v>308</v>
      </c>
      <c r="BA119" s="32" t="s">
        <v>1</v>
      </c>
      <c r="BB119" s="31">
        <v>0.242710795902285</v>
      </c>
      <c r="BC119" s="314" t="s">
        <v>1</v>
      </c>
      <c r="BD119" s="314" t="s">
        <v>1</v>
      </c>
      <c r="BE119" s="32" t="s">
        <v>1</v>
      </c>
      <c r="BF119" s="32" t="s">
        <v>1</v>
      </c>
      <c r="BG119" s="314" t="s">
        <v>1</v>
      </c>
      <c r="BH119" s="314" t="s">
        <v>1</v>
      </c>
      <c r="BI119" s="7" t="s">
        <v>102</v>
      </c>
      <c r="BJ119" s="7">
        <v>20</v>
      </c>
      <c r="BK119" s="7">
        <v>6463</v>
      </c>
      <c r="BL119" s="7" t="s">
        <v>72</v>
      </c>
      <c r="BM119" s="7" t="s">
        <v>73</v>
      </c>
      <c r="BN119" s="7">
        <v>72</v>
      </c>
      <c r="BO119" s="7">
        <v>3012</v>
      </c>
      <c r="BP119" s="7" t="s">
        <v>72</v>
      </c>
      <c r="BQ119" s="7" t="s">
        <v>1</v>
      </c>
      <c r="BR119" s="7" t="s">
        <v>1</v>
      </c>
      <c r="BS119" s="7" t="s">
        <v>1</v>
      </c>
      <c r="BT119" s="7" t="s">
        <v>1</v>
      </c>
      <c r="BU119" s="7" t="s">
        <v>1</v>
      </c>
      <c r="BV119" s="7" t="s">
        <v>1</v>
      </c>
      <c r="BW119" s="7" t="s">
        <v>1</v>
      </c>
      <c r="BX119" s="7" t="s">
        <v>1</v>
      </c>
      <c r="BY119" s="7" t="s">
        <v>1</v>
      </c>
      <c r="BZ119" s="7" t="s">
        <v>1</v>
      </c>
      <c r="CA119" s="7" t="s">
        <v>1</v>
      </c>
      <c r="CB119" s="7" t="s">
        <v>1</v>
      </c>
      <c r="CC119" s="7" t="s">
        <v>1</v>
      </c>
      <c r="CD119" s="7" t="s">
        <v>1</v>
      </c>
      <c r="CE119" s="7" t="s">
        <v>1</v>
      </c>
      <c r="CF119" s="7" t="s">
        <v>1</v>
      </c>
    </row>
    <row r="120" ht="27" customHeight="1" spans="1:84">
      <c r="A120" s="29">
        <v>45223</v>
      </c>
      <c r="B120" s="7" t="s">
        <v>125</v>
      </c>
      <c r="C120" s="32" t="s">
        <v>1</v>
      </c>
      <c r="D120" s="30" t="s">
        <v>1</v>
      </c>
      <c r="E120" s="30" t="s">
        <v>1</v>
      </c>
      <c r="F120" s="32" t="str">
        <f t="shared" si="3"/>
        <v/>
      </c>
      <c r="G120" s="32" t="s">
        <v>1</v>
      </c>
      <c r="H120" s="7" t="s">
        <v>1</v>
      </c>
      <c r="I120" s="32" t="s">
        <v>1</v>
      </c>
      <c r="J120" s="31" t="s">
        <v>1</v>
      </c>
      <c r="K120" s="31" t="str">
        <f>IFERROR(E120/#REF!,"")</f>
        <v/>
      </c>
      <c r="L120" s="127" t="s">
        <v>1</v>
      </c>
      <c r="M120" s="32" t="s">
        <v>72</v>
      </c>
      <c r="N120" s="32" t="s">
        <v>1</v>
      </c>
      <c r="O120" s="32" t="s">
        <v>1</v>
      </c>
      <c r="P120" s="32" t="s">
        <v>1</v>
      </c>
      <c r="Q120" s="31" t="e">
        <f t="shared" si="5"/>
        <v>#VALUE!</v>
      </c>
      <c r="R120" s="32" t="s">
        <v>1</v>
      </c>
      <c r="S120" s="32" t="s">
        <v>1</v>
      </c>
      <c r="T120" s="32" t="s">
        <v>1</v>
      </c>
      <c r="U120" s="32" t="s">
        <v>1</v>
      </c>
      <c r="V120" s="7" t="s">
        <v>1</v>
      </c>
      <c r="W120" s="7" t="s">
        <v>72</v>
      </c>
      <c r="X120" s="7" t="s">
        <v>1</v>
      </c>
      <c r="Y120" s="7" t="s">
        <v>72</v>
      </c>
      <c r="Z120" s="7" t="s">
        <v>1</v>
      </c>
      <c r="AA120" s="30" t="s">
        <v>72</v>
      </c>
      <c r="AB120" s="7" t="s">
        <v>1</v>
      </c>
      <c r="AC120" s="7" t="s">
        <v>72</v>
      </c>
      <c r="AD120" s="7" t="s">
        <v>1</v>
      </c>
      <c r="AE120" s="7" t="s">
        <v>72</v>
      </c>
      <c r="AF120" s="7" t="s">
        <v>1</v>
      </c>
      <c r="AG120" s="7" t="s">
        <v>72</v>
      </c>
      <c r="AH120" s="127" t="s">
        <v>1</v>
      </c>
      <c r="AI120" s="127" t="s">
        <v>72</v>
      </c>
      <c r="AJ120" s="127" t="s">
        <v>1</v>
      </c>
      <c r="AK120" s="127" t="s">
        <v>72</v>
      </c>
      <c r="AL120" s="127" t="s">
        <v>1</v>
      </c>
      <c r="AM120" s="127" t="s">
        <v>72</v>
      </c>
      <c r="AN120" s="127" t="s">
        <v>1</v>
      </c>
      <c r="AO120" s="127" t="s">
        <v>72</v>
      </c>
      <c r="AP120" s="127" t="s">
        <v>1</v>
      </c>
      <c r="AQ120" s="127" t="s">
        <v>72</v>
      </c>
      <c r="AR120" s="127" t="s">
        <v>1</v>
      </c>
      <c r="AS120" s="7" t="s">
        <v>72</v>
      </c>
      <c r="AT120" s="314" t="s">
        <v>1</v>
      </c>
      <c r="AU120" s="32" t="s">
        <v>1</v>
      </c>
      <c r="AV120" s="30">
        <v>949</v>
      </c>
      <c r="AW120" s="32" t="s">
        <v>1</v>
      </c>
      <c r="AX120" s="31">
        <v>0.0765816655907037</v>
      </c>
      <c r="AY120" s="314" t="s">
        <v>1</v>
      </c>
      <c r="AZ120" s="7">
        <v>168</v>
      </c>
      <c r="BA120" s="32" t="s">
        <v>1</v>
      </c>
      <c r="BB120" s="31">
        <v>0.177028451001054</v>
      </c>
      <c r="BC120" s="314" t="s">
        <v>1</v>
      </c>
      <c r="BD120" s="314" t="s">
        <v>1</v>
      </c>
      <c r="BE120" s="32" t="s">
        <v>1</v>
      </c>
      <c r="BF120" s="32" t="s">
        <v>1</v>
      </c>
      <c r="BG120" s="314" t="s">
        <v>1</v>
      </c>
      <c r="BH120" s="314" t="s">
        <v>1</v>
      </c>
      <c r="BI120" s="7" t="s">
        <v>102</v>
      </c>
      <c r="BJ120" s="7">
        <v>15</v>
      </c>
      <c r="BK120" s="7">
        <v>6526</v>
      </c>
      <c r="BL120" s="7" t="s">
        <v>72</v>
      </c>
      <c r="BM120" s="7" t="s">
        <v>73</v>
      </c>
      <c r="BN120" s="7">
        <v>66</v>
      </c>
      <c r="BO120" s="7">
        <v>3144</v>
      </c>
      <c r="BP120" s="7" t="s">
        <v>72</v>
      </c>
      <c r="BQ120" s="7" t="s">
        <v>1</v>
      </c>
      <c r="BR120" s="7" t="s">
        <v>1</v>
      </c>
      <c r="BS120" s="7" t="s">
        <v>1</v>
      </c>
      <c r="BT120" s="7" t="s">
        <v>1</v>
      </c>
      <c r="BU120" s="7" t="s">
        <v>1</v>
      </c>
      <c r="BV120" s="7" t="s">
        <v>1</v>
      </c>
      <c r="BW120" s="7" t="s">
        <v>1</v>
      </c>
      <c r="BX120" s="7" t="s">
        <v>1</v>
      </c>
      <c r="BY120" s="7" t="s">
        <v>1</v>
      </c>
      <c r="BZ120" s="7" t="s">
        <v>1</v>
      </c>
      <c r="CA120" s="7" t="s">
        <v>1</v>
      </c>
      <c r="CB120" s="7" t="s">
        <v>1</v>
      </c>
      <c r="CC120" s="7" t="s">
        <v>1</v>
      </c>
      <c r="CD120" s="7" t="s">
        <v>1</v>
      </c>
      <c r="CE120" s="7" t="s">
        <v>1</v>
      </c>
      <c r="CF120" s="7" t="s">
        <v>1</v>
      </c>
    </row>
    <row r="121" ht="27" customHeight="1" spans="1:84">
      <c r="A121" s="29">
        <v>45224</v>
      </c>
      <c r="B121" s="7" t="s">
        <v>89</v>
      </c>
      <c r="C121" s="32" t="s">
        <v>1</v>
      </c>
      <c r="D121" s="30" t="s">
        <v>1</v>
      </c>
      <c r="E121" s="30" t="s">
        <v>1</v>
      </c>
      <c r="F121" s="32" t="str">
        <f t="shared" si="3"/>
        <v/>
      </c>
      <c r="G121" s="32" t="s">
        <v>1</v>
      </c>
      <c r="H121" s="7" t="s">
        <v>1</v>
      </c>
      <c r="I121" s="32" t="s">
        <v>1</v>
      </c>
      <c r="J121" s="31" t="s">
        <v>1</v>
      </c>
      <c r="K121" s="31" t="str">
        <f>IFERROR(E121/#REF!,"")</f>
        <v/>
      </c>
      <c r="L121" s="127" t="s">
        <v>1</v>
      </c>
      <c r="M121" s="32" t="s">
        <v>72</v>
      </c>
      <c r="N121" s="32" t="s">
        <v>1</v>
      </c>
      <c r="O121" s="32" t="s">
        <v>1</v>
      </c>
      <c r="P121" s="32" t="s">
        <v>1</v>
      </c>
      <c r="Q121" s="31" t="e">
        <f t="shared" si="5"/>
        <v>#VALUE!</v>
      </c>
      <c r="R121" s="32" t="s">
        <v>1</v>
      </c>
      <c r="S121" s="32" t="s">
        <v>1</v>
      </c>
      <c r="T121" s="32" t="s">
        <v>1</v>
      </c>
      <c r="U121" s="32" t="s">
        <v>1</v>
      </c>
      <c r="V121" s="7" t="s">
        <v>1</v>
      </c>
      <c r="W121" s="7" t="s">
        <v>72</v>
      </c>
      <c r="X121" s="7" t="s">
        <v>1</v>
      </c>
      <c r="Y121" s="7" t="s">
        <v>72</v>
      </c>
      <c r="Z121" s="7" t="s">
        <v>1</v>
      </c>
      <c r="AA121" s="30" t="s">
        <v>72</v>
      </c>
      <c r="AB121" s="7" t="s">
        <v>1</v>
      </c>
      <c r="AC121" s="7" t="s">
        <v>72</v>
      </c>
      <c r="AD121" s="7" t="s">
        <v>1</v>
      </c>
      <c r="AE121" s="7" t="s">
        <v>72</v>
      </c>
      <c r="AF121" s="7" t="s">
        <v>1</v>
      </c>
      <c r="AG121" s="7" t="s">
        <v>72</v>
      </c>
      <c r="AH121" s="127" t="s">
        <v>1</v>
      </c>
      <c r="AI121" s="127" t="s">
        <v>72</v>
      </c>
      <c r="AJ121" s="127" t="s">
        <v>1</v>
      </c>
      <c r="AK121" s="127" t="s">
        <v>72</v>
      </c>
      <c r="AL121" s="127" t="s">
        <v>1</v>
      </c>
      <c r="AM121" s="127" t="s">
        <v>72</v>
      </c>
      <c r="AN121" s="127" t="s">
        <v>1</v>
      </c>
      <c r="AO121" s="127" t="s">
        <v>72</v>
      </c>
      <c r="AP121" s="127" t="s">
        <v>1</v>
      </c>
      <c r="AQ121" s="127" t="s">
        <v>72</v>
      </c>
      <c r="AR121" s="127" t="s">
        <v>1</v>
      </c>
      <c r="AS121" s="7" t="s">
        <v>72</v>
      </c>
      <c r="AT121" s="314" t="s">
        <v>1</v>
      </c>
      <c r="AU121" s="32" t="s">
        <v>1</v>
      </c>
      <c r="AV121" s="30">
        <v>672</v>
      </c>
      <c r="AW121" s="32" t="s">
        <v>1</v>
      </c>
      <c r="AX121" s="31">
        <v>0.0665346534653465</v>
      </c>
      <c r="AY121" s="314" t="s">
        <v>1</v>
      </c>
      <c r="AZ121" s="7">
        <v>122</v>
      </c>
      <c r="BA121" s="32" t="s">
        <v>1</v>
      </c>
      <c r="BB121" s="31">
        <v>0.181547619047619</v>
      </c>
      <c r="BC121" s="314" t="s">
        <v>1</v>
      </c>
      <c r="BD121" s="314" t="s">
        <v>1</v>
      </c>
      <c r="BE121" s="32" t="s">
        <v>1</v>
      </c>
      <c r="BF121" s="32" t="s">
        <v>1</v>
      </c>
      <c r="BG121" s="314" t="s">
        <v>1</v>
      </c>
      <c r="BH121" s="314" t="s">
        <v>1</v>
      </c>
      <c r="BI121" s="7" t="s">
        <v>102</v>
      </c>
      <c r="BJ121" s="7">
        <v>20</v>
      </c>
      <c r="BK121" s="7">
        <v>4678</v>
      </c>
      <c r="BL121" s="7" t="s">
        <v>72</v>
      </c>
      <c r="BM121" s="7" t="s">
        <v>73</v>
      </c>
      <c r="BN121" s="7">
        <v>81</v>
      </c>
      <c r="BO121" s="7">
        <v>2453</v>
      </c>
      <c r="BP121" s="7" t="s">
        <v>72</v>
      </c>
      <c r="BQ121" s="7" t="s">
        <v>1</v>
      </c>
      <c r="BR121" s="7" t="s">
        <v>1</v>
      </c>
      <c r="BS121" s="7" t="s">
        <v>1</v>
      </c>
      <c r="BT121" s="7" t="s">
        <v>1</v>
      </c>
      <c r="BU121" s="7" t="s">
        <v>1</v>
      </c>
      <c r="BV121" s="7" t="s">
        <v>1</v>
      </c>
      <c r="BW121" s="7" t="s">
        <v>1</v>
      </c>
      <c r="BX121" s="7" t="s">
        <v>1</v>
      </c>
      <c r="BY121" s="7" t="s">
        <v>1</v>
      </c>
      <c r="BZ121" s="7" t="s">
        <v>1</v>
      </c>
      <c r="CA121" s="7" t="s">
        <v>1</v>
      </c>
      <c r="CB121" s="7" t="s">
        <v>1</v>
      </c>
      <c r="CC121" s="7" t="s">
        <v>1</v>
      </c>
      <c r="CD121" s="7" t="s">
        <v>1</v>
      </c>
      <c r="CE121" s="7" t="s">
        <v>1</v>
      </c>
      <c r="CF121" s="7" t="s">
        <v>1</v>
      </c>
    </row>
    <row r="122" ht="27" customHeight="1" spans="1:84">
      <c r="A122" s="29">
        <v>45225</v>
      </c>
      <c r="B122" s="7" t="s">
        <v>89</v>
      </c>
      <c r="C122" s="32" t="s">
        <v>1</v>
      </c>
      <c r="D122" s="30" t="s">
        <v>1</v>
      </c>
      <c r="E122" s="30" t="s">
        <v>1</v>
      </c>
      <c r="F122" s="32" t="str">
        <f t="shared" si="3"/>
        <v/>
      </c>
      <c r="G122" s="32" t="s">
        <v>1</v>
      </c>
      <c r="H122" s="7" t="s">
        <v>1</v>
      </c>
      <c r="I122" s="32" t="s">
        <v>1</v>
      </c>
      <c r="J122" s="31" t="s">
        <v>1</v>
      </c>
      <c r="K122" s="31" t="str">
        <f>IFERROR(E122/#REF!,"")</f>
        <v/>
      </c>
      <c r="L122" s="127" t="s">
        <v>1</v>
      </c>
      <c r="M122" s="32" t="s">
        <v>72</v>
      </c>
      <c r="N122" s="32" t="s">
        <v>1</v>
      </c>
      <c r="O122" s="32" t="s">
        <v>1</v>
      </c>
      <c r="P122" s="32" t="s">
        <v>1</v>
      </c>
      <c r="Q122" s="31" t="e">
        <f t="shared" si="5"/>
        <v>#VALUE!</v>
      </c>
      <c r="R122" s="32" t="s">
        <v>1</v>
      </c>
      <c r="S122" s="32" t="s">
        <v>1</v>
      </c>
      <c r="T122" s="32" t="s">
        <v>1</v>
      </c>
      <c r="U122" s="32" t="s">
        <v>1</v>
      </c>
      <c r="V122" s="7" t="s">
        <v>1</v>
      </c>
      <c r="W122" s="7" t="s">
        <v>72</v>
      </c>
      <c r="X122" s="7" t="s">
        <v>1</v>
      </c>
      <c r="Y122" s="7" t="s">
        <v>72</v>
      </c>
      <c r="Z122" s="7" t="s">
        <v>1</v>
      </c>
      <c r="AA122" s="30" t="s">
        <v>72</v>
      </c>
      <c r="AB122" s="7" t="s">
        <v>1</v>
      </c>
      <c r="AC122" s="7" t="s">
        <v>72</v>
      </c>
      <c r="AD122" s="7" t="s">
        <v>1</v>
      </c>
      <c r="AE122" s="7" t="s">
        <v>72</v>
      </c>
      <c r="AF122" s="7" t="s">
        <v>1</v>
      </c>
      <c r="AG122" s="7" t="s">
        <v>72</v>
      </c>
      <c r="AH122" s="127" t="s">
        <v>1</v>
      </c>
      <c r="AI122" s="127" t="s">
        <v>72</v>
      </c>
      <c r="AJ122" s="127" t="s">
        <v>1</v>
      </c>
      <c r="AK122" s="127" t="s">
        <v>72</v>
      </c>
      <c r="AL122" s="127" t="s">
        <v>1</v>
      </c>
      <c r="AM122" s="127" t="s">
        <v>72</v>
      </c>
      <c r="AN122" s="127" t="s">
        <v>1</v>
      </c>
      <c r="AO122" s="127" t="s">
        <v>72</v>
      </c>
      <c r="AP122" s="127" t="s">
        <v>1</v>
      </c>
      <c r="AQ122" s="127" t="s">
        <v>72</v>
      </c>
      <c r="AR122" s="127" t="s">
        <v>1</v>
      </c>
      <c r="AS122" s="7" t="s">
        <v>72</v>
      </c>
      <c r="AT122" s="314" t="s">
        <v>1</v>
      </c>
      <c r="AU122" s="32" t="s">
        <v>1</v>
      </c>
      <c r="AV122" s="30">
        <v>633</v>
      </c>
      <c r="AW122" s="32" t="s">
        <v>1</v>
      </c>
      <c r="AX122" s="31">
        <v>0.0678093197643278</v>
      </c>
      <c r="AY122" s="314" t="s">
        <v>1</v>
      </c>
      <c r="AZ122" s="7">
        <v>79</v>
      </c>
      <c r="BA122" s="32" t="s">
        <v>1</v>
      </c>
      <c r="BB122" s="31">
        <v>0.12480252764613</v>
      </c>
      <c r="BC122" s="314" t="s">
        <v>1</v>
      </c>
      <c r="BD122" s="314" t="s">
        <v>1</v>
      </c>
      <c r="BE122" s="32" t="s">
        <v>1</v>
      </c>
      <c r="BF122" s="32" t="s">
        <v>1</v>
      </c>
      <c r="BG122" s="314" t="s">
        <v>1</v>
      </c>
      <c r="BH122" s="314" t="s">
        <v>1</v>
      </c>
      <c r="BI122" s="7" t="s">
        <v>94</v>
      </c>
      <c r="BJ122" s="7">
        <v>28</v>
      </c>
      <c r="BK122" s="7">
        <v>3521</v>
      </c>
      <c r="BL122" s="7" t="s">
        <v>72</v>
      </c>
      <c r="BM122" s="7" t="s">
        <v>73</v>
      </c>
      <c r="BN122" s="7">
        <v>94</v>
      </c>
      <c r="BO122" s="7">
        <v>1910</v>
      </c>
      <c r="BP122" s="7" t="s">
        <v>72</v>
      </c>
      <c r="BQ122" s="7" t="s">
        <v>1</v>
      </c>
      <c r="BR122" s="7" t="s">
        <v>1</v>
      </c>
      <c r="BS122" s="7" t="s">
        <v>1</v>
      </c>
      <c r="BT122" s="7" t="s">
        <v>1</v>
      </c>
      <c r="BU122" s="7" t="s">
        <v>1</v>
      </c>
      <c r="BV122" s="7" t="s">
        <v>1</v>
      </c>
      <c r="BW122" s="7" t="s">
        <v>1</v>
      </c>
      <c r="BX122" s="7" t="s">
        <v>1</v>
      </c>
      <c r="BY122" s="7" t="s">
        <v>1</v>
      </c>
      <c r="BZ122" s="7" t="s">
        <v>1</v>
      </c>
      <c r="CA122" s="7" t="s">
        <v>1</v>
      </c>
      <c r="CB122" s="7" t="s">
        <v>1</v>
      </c>
      <c r="CC122" s="7" t="s">
        <v>1</v>
      </c>
      <c r="CD122" s="7" t="s">
        <v>1</v>
      </c>
      <c r="CE122" s="7" t="s">
        <v>1</v>
      </c>
      <c r="CF122" s="7" t="s">
        <v>1</v>
      </c>
    </row>
    <row r="123" ht="27" customHeight="1" spans="1:84">
      <c r="A123" s="29">
        <v>45226</v>
      </c>
      <c r="B123" s="7" t="s">
        <v>89</v>
      </c>
      <c r="C123" s="32" t="s">
        <v>1</v>
      </c>
      <c r="D123" s="30" t="s">
        <v>1</v>
      </c>
      <c r="E123" s="30" t="s">
        <v>1</v>
      </c>
      <c r="F123" s="32" t="str">
        <f t="shared" si="3"/>
        <v/>
      </c>
      <c r="G123" s="32" t="s">
        <v>1</v>
      </c>
      <c r="H123" s="7" t="s">
        <v>1</v>
      </c>
      <c r="I123" s="32" t="s">
        <v>1</v>
      </c>
      <c r="J123" s="31" t="s">
        <v>1</v>
      </c>
      <c r="K123" s="31" t="str">
        <f>IFERROR(E123/#REF!,"")</f>
        <v/>
      </c>
      <c r="L123" s="127" t="s">
        <v>1</v>
      </c>
      <c r="M123" s="32" t="s">
        <v>72</v>
      </c>
      <c r="N123" s="32" t="s">
        <v>1</v>
      </c>
      <c r="O123" s="32" t="s">
        <v>1</v>
      </c>
      <c r="P123" s="32" t="s">
        <v>1</v>
      </c>
      <c r="Q123" s="31" t="e">
        <f t="shared" si="5"/>
        <v>#VALUE!</v>
      </c>
      <c r="R123" s="32" t="s">
        <v>1</v>
      </c>
      <c r="S123" s="32" t="s">
        <v>1</v>
      </c>
      <c r="T123" s="32" t="s">
        <v>1</v>
      </c>
      <c r="U123" s="32" t="s">
        <v>1</v>
      </c>
      <c r="V123" s="7" t="s">
        <v>1</v>
      </c>
      <c r="W123" s="7" t="s">
        <v>72</v>
      </c>
      <c r="X123" s="7" t="s">
        <v>1</v>
      </c>
      <c r="Y123" s="7" t="s">
        <v>72</v>
      </c>
      <c r="Z123" s="7" t="s">
        <v>1</v>
      </c>
      <c r="AA123" s="30" t="s">
        <v>72</v>
      </c>
      <c r="AB123" s="7" t="s">
        <v>1</v>
      </c>
      <c r="AC123" s="7" t="s">
        <v>72</v>
      </c>
      <c r="AD123" s="7" t="s">
        <v>1</v>
      </c>
      <c r="AE123" s="7" t="s">
        <v>72</v>
      </c>
      <c r="AF123" s="7" t="s">
        <v>1</v>
      </c>
      <c r="AG123" s="7" t="s">
        <v>72</v>
      </c>
      <c r="AH123" s="127" t="s">
        <v>1</v>
      </c>
      <c r="AI123" s="127" t="s">
        <v>72</v>
      </c>
      <c r="AJ123" s="127" t="s">
        <v>1</v>
      </c>
      <c r="AK123" s="127" t="s">
        <v>72</v>
      </c>
      <c r="AL123" s="127" t="s">
        <v>1</v>
      </c>
      <c r="AM123" s="127" t="s">
        <v>72</v>
      </c>
      <c r="AN123" s="127" t="s">
        <v>1</v>
      </c>
      <c r="AO123" s="127" t="s">
        <v>72</v>
      </c>
      <c r="AP123" s="127" t="s">
        <v>1</v>
      </c>
      <c r="AQ123" s="127" t="s">
        <v>72</v>
      </c>
      <c r="AR123" s="127" t="s">
        <v>1</v>
      </c>
      <c r="AS123" s="7" t="s">
        <v>72</v>
      </c>
      <c r="AT123" s="314" t="s">
        <v>1</v>
      </c>
      <c r="AU123" s="32" t="s">
        <v>1</v>
      </c>
      <c r="AV123" s="30">
        <v>563</v>
      </c>
      <c r="AW123" s="32" t="s">
        <v>1</v>
      </c>
      <c r="AX123" s="31">
        <v>0.0648094854380108</v>
      </c>
      <c r="AY123" s="314" t="s">
        <v>1</v>
      </c>
      <c r="AZ123" s="7">
        <v>81</v>
      </c>
      <c r="BA123" s="32" t="s">
        <v>1</v>
      </c>
      <c r="BB123" s="31">
        <v>0.143872113676732</v>
      </c>
      <c r="BC123" s="314" t="s">
        <v>1</v>
      </c>
      <c r="BD123" s="314" t="s">
        <v>1</v>
      </c>
      <c r="BE123" s="32" t="s">
        <v>1</v>
      </c>
      <c r="BF123" s="32" t="s">
        <v>1</v>
      </c>
      <c r="BG123" s="314" t="s">
        <v>1</v>
      </c>
      <c r="BH123" s="314" t="s">
        <v>1</v>
      </c>
      <c r="BI123" s="7" t="s">
        <v>94</v>
      </c>
      <c r="BJ123" s="7">
        <v>26</v>
      </c>
      <c r="BK123" s="7">
        <v>3283</v>
      </c>
      <c r="BL123" s="7" t="s">
        <v>72</v>
      </c>
      <c r="BM123" s="7" t="s">
        <v>73</v>
      </c>
      <c r="BN123" s="7">
        <v>95</v>
      </c>
      <c r="BO123" s="7">
        <v>1716</v>
      </c>
      <c r="BP123" s="7" t="s">
        <v>72</v>
      </c>
      <c r="BQ123" s="7" t="s">
        <v>1</v>
      </c>
      <c r="BR123" s="7" t="s">
        <v>1</v>
      </c>
      <c r="BS123" s="7" t="s">
        <v>1</v>
      </c>
      <c r="BT123" s="7" t="s">
        <v>1</v>
      </c>
      <c r="BU123" s="7" t="s">
        <v>1</v>
      </c>
      <c r="BV123" s="7" t="s">
        <v>1</v>
      </c>
      <c r="BW123" s="7" t="s">
        <v>1</v>
      </c>
      <c r="BX123" s="7" t="s">
        <v>1</v>
      </c>
      <c r="BY123" s="7" t="s">
        <v>1</v>
      </c>
      <c r="BZ123" s="7" t="s">
        <v>1</v>
      </c>
      <c r="CA123" s="7" t="s">
        <v>1</v>
      </c>
      <c r="CB123" s="7" t="s">
        <v>1</v>
      </c>
      <c r="CC123" s="7" t="s">
        <v>1</v>
      </c>
      <c r="CD123" s="7" t="s">
        <v>1</v>
      </c>
      <c r="CE123" s="7" t="s">
        <v>1</v>
      </c>
      <c r="CF123" s="7" t="s">
        <v>1</v>
      </c>
    </row>
    <row r="124" ht="27" customHeight="1" spans="1:84">
      <c r="A124" s="29">
        <v>45227</v>
      </c>
      <c r="B124" s="7" t="s">
        <v>89</v>
      </c>
      <c r="C124" s="32" t="s">
        <v>1</v>
      </c>
      <c r="D124" s="30" t="s">
        <v>1</v>
      </c>
      <c r="E124" s="30" t="s">
        <v>1</v>
      </c>
      <c r="F124" s="32" t="str">
        <f t="shared" si="3"/>
        <v/>
      </c>
      <c r="G124" s="32" t="s">
        <v>1</v>
      </c>
      <c r="H124" s="7" t="s">
        <v>1</v>
      </c>
      <c r="I124" s="32" t="s">
        <v>1</v>
      </c>
      <c r="J124" s="31" t="s">
        <v>1</v>
      </c>
      <c r="K124" s="31" t="str">
        <f>IFERROR(E124/#REF!,"")</f>
        <v/>
      </c>
      <c r="L124" s="127" t="s">
        <v>1</v>
      </c>
      <c r="M124" s="32" t="s">
        <v>72</v>
      </c>
      <c r="N124" s="32" t="s">
        <v>1</v>
      </c>
      <c r="O124" s="32" t="s">
        <v>1</v>
      </c>
      <c r="P124" s="32" t="s">
        <v>1</v>
      </c>
      <c r="Q124" s="31" t="e">
        <f t="shared" si="5"/>
        <v>#VALUE!</v>
      </c>
      <c r="R124" s="32" t="s">
        <v>1</v>
      </c>
      <c r="S124" s="32" t="s">
        <v>1</v>
      </c>
      <c r="T124" s="32" t="s">
        <v>1</v>
      </c>
      <c r="U124" s="32" t="s">
        <v>1</v>
      </c>
      <c r="V124" s="7" t="s">
        <v>1</v>
      </c>
      <c r="W124" s="7" t="s">
        <v>72</v>
      </c>
      <c r="X124" s="7" t="s">
        <v>1</v>
      </c>
      <c r="Y124" s="7" t="s">
        <v>72</v>
      </c>
      <c r="Z124" s="7" t="s">
        <v>1</v>
      </c>
      <c r="AA124" s="30" t="s">
        <v>72</v>
      </c>
      <c r="AB124" s="7" t="s">
        <v>1</v>
      </c>
      <c r="AC124" s="7" t="s">
        <v>72</v>
      </c>
      <c r="AD124" s="7" t="s">
        <v>1</v>
      </c>
      <c r="AE124" s="7" t="s">
        <v>72</v>
      </c>
      <c r="AF124" s="7" t="s">
        <v>1</v>
      </c>
      <c r="AG124" s="7" t="s">
        <v>72</v>
      </c>
      <c r="AH124" s="127" t="s">
        <v>1</v>
      </c>
      <c r="AI124" s="127" t="s">
        <v>72</v>
      </c>
      <c r="AJ124" s="127" t="s">
        <v>1</v>
      </c>
      <c r="AK124" s="127" t="s">
        <v>72</v>
      </c>
      <c r="AL124" s="127" t="s">
        <v>1</v>
      </c>
      <c r="AM124" s="127" t="s">
        <v>72</v>
      </c>
      <c r="AN124" s="127" t="s">
        <v>1</v>
      </c>
      <c r="AO124" s="127" t="s">
        <v>72</v>
      </c>
      <c r="AP124" s="127" t="s">
        <v>1</v>
      </c>
      <c r="AQ124" s="127" t="s">
        <v>72</v>
      </c>
      <c r="AR124" s="127" t="s">
        <v>1</v>
      </c>
      <c r="AS124" s="7" t="s">
        <v>72</v>
      </c>
      <c r="AT124" s="314" t="s">
        <v>1</v>
      </c>
      <c r="AU124" s="32" t="s">
        <v>1</v>
      </c>
      <c r="AV124" s="30">
        <v>549</v>
      </c>
      <c r="AW124" s="32" t="s">
        <v>1</v>
      </c>
      <c r="AX124" s="31">
        <v>0.0558949297495418</v>
      </c>
      <c r="AY124" s="314" t="s">
        <v>1</v>
      </c>
      <c r="AZ124" s="7">
        <v>100</v>
      </c>
      <c r="BA124" s="32" t="s">
        <v>1</v>
      </c>
      <c r="BB124" s="31">
        <v>0.182149362477231</v>
      </c>
      <c r="BC124" s="314" t="s">
        <v>1</v>
      </c>
      <c r="BD124" s="314" t="s">
        <v>1</v>
      </c>
      <c r="BE124" s="32" t="s">
        <v>1</v>
      </c>
      <c r="BF124" s="32" t="s">
        <v>1</v>
      </c>
      <c r="BG124" s="314" t="s">
        <v>1</v>
      </c>
      <c r="BH124" s="314" t="s">
        <v>1</v>
      </c>
      <c r="BI124" s="7" t="s">
        <v>102</v>
      </c>
      <c r="BJ124" s="7">
        <v>18</v>
      </c>
      <c r="BK124" s="7">
        <v>4620</v>
      </c>
      <c r="BL124" s="7" t="s">
        <v>72</v>
      </c>
      <c r="BM124" s="7" t="s">
        <v>73</v>
      </c>
      <c r="BN124" s="7">
        <v>67</v>
      </c>
      <c r="BO124" s="7">
        <v>2627</v>
      </c>
      <c r="BP124" s="7" t="s">
        <v>72</v>
      </c>
      <c r="BQ124" s="7" t="s">
        <v>1</v>
      </c>
      <c r="BR124" s="7" t="s">
        <v>1</v>
      </c>
      <c r="BS124" s="7" t="s">
        <v>1</v>
      </c>
      <c r="BT124" s="7" t="s">
        <v>1</v>
      </c>
      <c r="BU124" s="7" t="s">
        <v>1</v>
      </c>
      <c r="BV124" s="7" t="s">
        <v>1</v>
      </c>
      <c r="BW124" s="7" t="s">
        <v>1</v>
      </c>
      <c r="BX124" s="7" t="s">
        <v>1</v>
      </c>
      <c r="BY124" s="7" t="s">
        <v>1</v>
      </c>
      <c r="BZ124" s="7" t="s">
        <v>1</v>
      </c>
      <c r="CA124" s="7" t="s">
        <v>1</v>
      </c>
      <c r="CB124" s="7" t="s">
        <v>1</v>
      </c>
      <c r="CC124" s="7" t="s">
        <v>1</v>
      </c>
      <c r="CD124" s="7" t="s">
        <v>1</v>
      </c>
      <c r="CE124" s="7" t="s">
        <v>1</v>
      </c>
      <c r="CF124" s="7" t="s">
        <v>1</v>
      </c>
    </row>
    <row r="125" ht="27" customHeight="1" spans="1:84">
      <c r="A125" s="29">
        <v>45228</v>
      </c>
      <c r="B125" s="7" t="s">
        <v>89</v>
      </c>
      <c r="C125" s="32" t="s">
        <v>1</v>
      </c>
      <c r="D125" s="30" t="s">
        <v>1</v>
      </c>
      <c r="E125" s="30" t="s">
        <v>1</v>
      </c>
      <c r="F125" s="32" t="str">
        <f>E125</f>
        <v/>
      </c>
      <c r="G125" s="32" t="s">
        <v>1</v>
      </c>
      <c r="H125" s="7" t="s">
        <v>1</v>
      </c>
      <c r="I125" s="32" t="s">
        <v>1</v>
      </c>
      <c r="J125" s="31" t="s">
        <v>1</v>
      </c>
      <c r="K125" s="31" t="str">
        <f>IFERROR(E125/#REF!,"")</f>
        <v/>
      </c>
      <c r="L125" s="127" t="s">
        <v>1</v>
      </c>
      <c r="M125" s="32" t="s">
        <v>72</v>
      </c>
      <c r="N125" s="32" t="s">
        <v>1</v>
      </c>
      <c r="O125" s="32" t="s">
        <v>1</v>
      </c>
      <c r="P125" s="32" t="s">
        <v>1</v>
      </c>
      <c r="Q125" s="31" t="e">
        <f t="shared" si="5"/>
        <v>#VALUE!</v>
      </c>
      <c r="R125" s="32" t="s">
        <v>1</v>
      </c>
      <c r="S125" s="32" t="s">
        <v>1</v>
      </c>
      <c r="T125" s="32" t="s">
        <v>1</v>
      </c>
      <c r="U125" s="32" t="s">
        <v>1</v>
      </c>
      <c r="V125" s="7" t="s">
        <v>1</v>
      </c>
      <c r="W125" s="7" t="s">
        <v>72</v>
      </c>
      <c r="X125" s="7" t="s">
        <v>1</v>
      </c>
      <c r="Y125" s="7" t="s">
        <v>72</v>
      </c>
      <c r="Z125" s="7" t="s">
        <v>1</v>
      </c>
      <c r="AA125" s="30" t="s">
        <v>72</v>
      </c>
      <c r="AB125" s="7" t="s">
        <v>1</v>
      </c>
      <c r="AC125" s="7" t="s">
        <v>72</v>
      </c>
      <c r="AD125" s="7" t="s">
        <v>1</v>
      </c>
      <c r="AE125" s="7" t="s">
        <v>72</v>
      </c>
      <c r="AF125" s="7" t="s">
        <v>1</v>
      </c>
      <c r="AG125" s="7" t="s">
        <v>72</v>
      </c>
      <c r="AH125" s="127" t="s">
        <v>1</v>
      </c>
      <c r="AI125" s="127" t="s">
        <v>72</v>
      </c>
      <c r="AJ125" s="127" t="s">
        <v>1</v>
      </c>
      <c r="AK125" s="127" t="s">
        <v>72</v>
      </c>
      <c r="AL125" s="127" t="s">
        <v>1</v>
      </c>
      <c r="AM125" s="127" t="s">
        <v>72</v>
      </c>
      <c r="AN125" s="127" t="s">
        <v>1</v>
      </c>
      <c r="AO125" s="127" t="s">
        <v>72</v>
      </c>
      <c r="AP125" s="127" t="s">
        <v>1</v>
      </c>
      <c r="AQ125" s="127" t="s">
        <v>72</v>
      </c>
      <c r="AR125" s="127" t="s">
        <v>1</v>
      </c>
      <c r="AS125" s="7" t="s">
        <v>72</v>
      </c>
      <c r="AT125" s="314" t="s">
        <v>1</v>
      </c>
      <c r="AU125" s="32" t="s">
        <v>1</v>
      </c>
      <c r="AV125" s="30" t="s">
        <v>1</v>
      </c>
      <c r="AW125" s="32" t="s">
        <v>1</v>
      </c>
      <c r="AX125" s="31" t="e">
        <f>AV125/X125</f>
        <v>#VALUE!</v>
      </c>
      <c r="AY125" s="314" t="s">
        <v>1</v>
      </c>
      <c r="AZ125" s="7" t="s">
        <v>1</v>
      </c>
      <c r="BA125" s="32" t="s">
        <v>1</v>
      </c>
      <c r="BB125" s="31" t="e">
        <f>AZ125/AV125</f>
        <v>#VALUE!</v>
      </c>
      <c r="BC125" s="314" t="s">
        <v>1</v>
      </c>
      <c r="BD125" s="314" t="s">
        <v>1</v>
      </c>
      <c r="BE125" s="32" t="s">
        <v>1</v>
      </c>
      <c r="BF125" s="32" t="s">
        <v>1</v>
      </c>
      <c r="BG125" s="314" t="s">
        <v>1</v>
      </c>
      <c r="BH125" s="314" t="s">
        <v>1</v>
      </c>
      <c r="BI125" s="7" t="s">
        <v>102</v>
      </c>
      <c r="BJ125" s="7">
        <v>20</v>
      </c>
      <c r="BK125" s="7">
        <v>4951</v>
      </c>
      <c r="BL125" s="7" t="s">
        <v>72</v>
      </c>
      <c r="BM125" s="7" t="s">
        <v>73</v>
      </c>
      <c r="BN125" s="7">
        <v>80</v>
      </c>
      <c r="BO125" s="7">
        <v>2465</v>
      </c>
      <c r="BP125" s="7" t="s">
        <v>72</v>
      </c>
      <c r="BQ125" s="7" t="s">
        <v>1</v>
      </c>
      <c r="BR125" s="7" t="s">
        <v>1</v>
      </c>
      <c r="BS125" s="7" t="s">
        <v>1</v>
      </c>
      <c r="BT125" s="7" t="s">
        <v>1</v>
      </c>
      <c r="BU125" s="7" t="s">
        <v>1</v>
      </c>
      <c r="BV125" s="7" t="s">
        <v>1</v>
      </c>
      <c r="BW125" s="7" t="s">
        <v>1</v>
      </c>
      <c r="BX125" s="7" t="s">
        <v>1</v>
      </c>
      <c r="BY125" s="7" t="s">
        <v>1</v>
      </c>
      <c r="BZ125" s="7" t="s">
        <v>1</v>
      </c>
      <c r="CA125" s="7" t="s">
        <v>1</v>
      </c>
      <c r="CB125" s="7" t="s">
        <v>1</v>
      </c>
      <c r="CC125" s="7" t="s">
        <v>1</v>
      </c>
      <c r="CD125" s="7" t="s">
        <v>1</v>
      </c>
      <c r="CE125" s="7" t="s">
        <v>1</v>
      </c>
      <c r="CF125" s="7" t="s">
        <v>1</v>
      </c>
    </row>
    <row r="126" ht="27" customHeight="1" spans="1:84">
      <c r="A126" s="29">
        <v>45229</v>
      </c>
      <c r="B126" s="7" t="s">
        <v>89</v>
      </c>
      <c r="C126" s="32" t="s">
        <v>1</v>
      </c>
      <c r="D126" s="30" t="s">
        <v>1</v>
      </c>
      <c r="E126" s="30" t="s">
        <v>1</v>
      </c>
      <c r="F126" s="32" t="str">
        <f>E126</f>
        <v/>
      </c>
      <c r="G126" s="32" t="s">
        <v>1</v>
      </c>
      <c r="H126" s="7" t="s">
        <v>1</v>
      </c>
      <c r="I126" s="32" t="s">
        <v>1</v>
      </c>
      <c r="J126" s="31" t="s">
        <v>1</v>
      </c>
      <c r="K126" s="31" t="str">
        <f>IFERROR(E126/#REF!,"")</f>
        <v/>
      </c>
      <c r="L126" s="127" t="s">
        <v>1</v>
      </c>
      <c r="M126" s="32" t="s">
        <v>72</v>
      </c>
      <c r="N126" s="32" t="s">
        <v>1</v>
      </c>
      <c r="O126" s="32" t="s">
        <v>1</v>
      </c>
      <c r="P126" s="32" t="s">
        <v>1</v>
      </c>
      <c r="Q126" s="31" t="e">
        <f t="shared" si="5"/>
        <v>#VALUE!</v>
      </c>
      <c r="R126" s="32" t="s">
        <v>1</v>
      </c>
      <c r="S126" s="32" t="s">
        <v>1</v>
      </c>
      <c r="T126" s="32" t="s">
        <v>1</v>
      </c>
      <c r="U126" s="32" t="s">
        <v>1</v>
      </c>
      <c r="V126" s="7" t="s">
        <v>1</v>
      </c>
      <c r="W126" s="7" t="s">
        <v>72</v>
      </c>
      <c r="X126" s="7" t="s">
        <v>1</v>
      </c>
      <c r="Y126" s="7" t="s">
        <v>72</v>
      </c>
      <c r="Z126" s="7" t="s">
        <v>1</v>
      </c>
      <c r="AA126" s="30" t="s">
        <v>72</v>
      </c>
      <c r="AB126" s="7" t="s">
        <v>1</v>
      </c>
      <c r="AC126" s="7" t="s">
        <v>72</v>
      </c>
      <c r="AD126" s="7" t="s">
        <v>1</v>
      </c>
      <c r="AE126" s="7" t="s">
        <v>72</v>
      </c>
      <c r="AF126" s="7" t="s">
        <v>1</v>
      </c>
      <c r="AG126" s="7" t="s">
        <v>72</v>
      </c>
      <c r="AH126" s="127" t="s">
        <v>1</v>
      </c>
      <c r="AI126" s="127" t="s">
        <v>72</v>
      </c>
      <c r="AJ126" s="127" t="s">
        <v>1</v>
      </c>
      <c r="AK126" s="127" t="s">
        <v>72</v>
      </c>
      <c r="AL126" s="127" t="s">
        <v>1</v>
      </c>
      <c r="AM126" s="127" t="s">
        <v>72</v>
      </c>
      <c r="AN126" s="127" t="s">
        <v>1</v>
      </c>
      <c r="AO126" s="127" t="s">
        <v>72</v>
      </c>
      <c r="AP126" s="127" t="s">
        <v>1</v>
      </c>
      <c r="AQ126" s="127" t="s">
        <v>72</v>
      </c>
      <c r="AR126" s="127" t="s">
        <v>1</v>
      </c>
      <c r="AS126" s="7" t="s">
        <v>72</v>
      </c>
      <c r="AT126" s="314" t="s">
        <v>1</v>
      </c>
      <c r="AU126" s="32" t="s">
        <v>1</v>
      </c>
      <c r="AV126" s="30" t="s">
        <v>1</v>
      </c>
      <c r="AW126" s="32" t="s">
        <v>1</v>
      </c>
      <c r="AX126" s="31" t="e">
        <f>AV126/X126</f>
        <v>#VALUE!</v>
      </c>
      <c r="AY126" s="314" t="s">
        <v>1</v>
      </c>
      <c r="AZ126" s="7" t="s">
        <v>1</v>
      </c>
      <c r="BA126" s="32" t="s">
        <v>1</v>
      </c>
      <c r="BB126" s="31" t="e">
        <f>AZ126/AV126</f>
        <v>#VALUE!</v>
      </c>
      <c r="BC126" s="314" t="s">
        <v>1</v>
      </c>
      <c r="BD126" s="314" t="s">
        <v>1</v>
      </c>
      <c r="BE126" s="32" t="s">
        <v>1</v>
      </c>
      <c r="BF126" s="32" t="s">
        <v>1</v>
      </c>
      <c r="BG126" s="314" t="s">
        <v>1</v>
      </c>
      <c r="BH126" s="314" t="s">
        <v>1</v>
      </c>
      <c r="BI126" s="7" t="s">
        <v>102</v>
      </c>
      <c r="BJ126" s="7">
        <v>16</v>
      </c>
      <c r="BK126" s="7">
        <v>5189</v>
      </c>
      <c r="BL126" s="7" t="s">
        <v>72</v>
      </c>
      <c r="BM126" s="7" t="s">
        <v>73</v>
      </c>
      <c r="BN126" s="7">
        <v>78</v>
      </c>
      <c r="BO126" s="7">
        <v>2471</v>
      </c>
      <c r="BP126" s="7" t="s">
        <v>72</v>
      </c>
      <c r="BQ126" s="7" t="s">
        <v>1</v>
      </c>
      <c r="BR126" s="7" t="s">
        <v>1</v>
      </c>
      <c r="BS126" s="7" t="s">
        <v>1</v>
      </c>
      <c r="BT126" s="7" t="s">
        <v>1</v>
      </c>
      <c r="BU126" s="7" t="s">
        <v>1</v>
      </c>
      <c r="BV126" s="7" t="s">
        <v>1</v>
      </c>
      <c r="BW126" s="7" t="s">
        <v>1</v>
      </c>
      <c r="BX126" s="7" t="s">
        <v>1</v>
      </c>
      <c r="BY126" s="7" t="s">
        <v>1</v>
      </c>
      <c r="BZ126" s="7" t="s">
        <v>1</v>
      </c>
      <c r="CA126" s="7" t="s">
        <v>1</v>
      </c>
      <c r="CB126" s="7" t="s">
        <v>1</v>
      </c>
      <c r="CC126" s="7" t="s">
        <v>1</v>
      </c>
      <c r="CD126" s="7" t="s">
        <v>1</v>
      </c>
      <c r="CE126" s="7" t="s">
        <v>1</v>
      </c>
      <c r="CF126" s="7" t="s">
        <v>1</v>
      </c>
    </row>
    <row r="127" ht="27" customHeight="1" spans="1:84">
      <c r="A127" s="29">
        <v>45230</v>
      </c>
      <c r="B127" s="7" t="s">
        <v>126</v>
      </c>
      <c r="C127" s="32" t="s">
        <v>1</v>
      </c>
      <c r="D127" s="30" t="s">
        <v>1</v>
      </c>
      <c r="E127" s="30" t="s">
        <v>1</v>
      </c>
      <c r="F127" s="32" t="str">
        <f>E127</f>
        <v/>
      </c>
      <c r="G127" s="32" t="s">
        <v>1</v>
      </c>
      <c r="H127" s="7" t="s">
        <v>1</v>
      </c>
      <c r="I127" s="32" t="s">
        <v>1</v>
      </c>
      <c r="J127" s="31" t="s">
        <v>1</v>
      </c>
      <c r="K127" s="31" t="str">
        <f>IFERROR(E127/#REF!,"")</f>
        <v/>
      </c>
      <c r="L127" s="127" t="s">
        <v>1</v>
      </c>
      <c r="M127" s="32" t="s">
        <v>72</v>
      </c>
      <c r="N127" s="32" t="s">
        <v>1</v>
      </c>
      <c r="O127" s="32" t="s">
        <v>1</v>
      </c>
      <c r="P127" s="32" t="s">
        <v>1</v>
      </c>
      <c r="Q127" s="31" t="e">
        <f t="shared" si="5"/>
        <v>#VALUE!</v>
      </c>
      <c r="R127" s="32" t="s">
        <v>1</v>
      </c>
      <c r="S127" s="32" t="s">
        <v>1</v>
      </c>
      <c r="T127" s="32" t="s">
        <v>1</v>
      </c>
      <c r="U127" s="32" t="s">
        <v>1</v>
      </c>
      <c r="V127" s="7" t="s">
        <v>1</v>
      </c>
      <c r="W127" s="7" t="s">
        <v>72</v>
      </c>
      <c r="X127" s="7" t="s">
        <v>1</v>
      </c>
      <c r="Y127" s="7" t="s">
        <v>72</v>
      </c>
      <c r="Z127" s="7" t="s">
        <v>1</v>
      </c>
      <c r="AA127" s="30" t="s">
        <v>72</v>
      </c>
      <c r="AB127" s="7" t="s">
        <v>1</v>
      </c>
      <c r="AC127" s="7" t="s">
        <v>72</v>
      </c>
      <c r="AD127" s="7" t="s">
        <v>1</v>
      </c>
      <c r="AE127" s="7" t="s">
        <v>72</v>
      </c>
      <c r="AF127" s="7" t="s">
        <v>1</v>
      </c>
      <c r="AG127" s="7" t="s">
        <v>72</v>
      </c>
      <c r="AH127" s="127" t="s">
        <v>1</v>
      </c>
      <c r="AI127" s="127" t="s">
        <v>72</v>
      </c>
      <c r="AJ127" s="127" t="s">
        <v>1</v>
      </c>
      <c r="AK127" s="127" t="s">
        <v>72</v>
      </c>
      <c r="AL127" s="127" t="s">
        <v>1</v>
      </c>
      <c r="AM127" s="127" t="s">
        <v>72</v>
      </c>
      <c r="AN127" s="127" t="s">
        <v>1</v>
      </c>
      <c r="AO127" s="127" t="s">
        <v>72</v>
      </c>
      <c r="AP127" s="127" t="s">
        <v>1</v>
      </c>
      <c r="AQ127" s="127" t="s">
        <v>72</v>
      </c>
      <c r="AR127" s="127" t="s">
        <v>1</v>
      </c>
      <c r="AS127" s="7" t="s">
        <v>72</v>
      </c>
      <c r="AT127" s="314" t="s">
        <v>1</v>
      </c>
      <c r="AU127" s="32" t="s">
        <v>1</v>
      </c>
      <c r="AV127" s="30" t="s">
        <v>1</v>
      </c>
      <c r="AW127" s="32" t="s">
        <v>1</v>
      </c>
      <c r="AX127" s="31" t="e">
        <f>AV127/X127</f>
        <v>#VALUE!</v>
      </c>
      <c r="AY127" s="314" t="s">
        <v>1</v>
      </c>
      <c r="AZ127" s="7" t="s">
        <v>1</v>
      </c>
      <c r="BA127" s="32" t="s">
        <v>1</v>
      </c>
      <c r="BB127" s="31" t="e">
        <f>AZ127/AV127</f>
        <v>#VALUE!</v>
      </c>
      <c r="BC127" s="314" t="s">
        <v>1</v>
      </c>
      <c r="BD127" s="314" t="s">
        <v>1</v>
      </c>
      <c r="BE127" s="32" t="s">
        <v>1</v>
      </c>
      <c r="BF127" s="32" t="s">
        <v>1</v>
      </c>
      <c r="BG127" s="314" t="s">
        <v>1</v>
      </c>
      <c r="BH127" s="314" t="s">
        <v>1</v>
      </c>
      <c r="BI127" s="7" t="s">
        <v>102</v>
      </c>
      <c r="BJ127" s="7">
        <v>17</v>
      </c>
      <c r="BK127" s="7">
        <v>7108</v>
      </c>
      <c r="BL127" s="7" t="s">
        <v>72</v>
      </c>
      <c r="BM127" s="7" t="s">
        <v>73</v>
      </c>
      <c r="BN127" s="7">
        <v>70</v>
      </c>
      <c r="BO127" s="7">
        <v>4007</v>
      </c>
      <c r="BP127" s="7" t="s">
        <v>72</v>
      </c>
      <c r="BQ127" s="7" t="s">
        <v>1</v>
      </c>
      <c r="BR127" s="7" t="s">
        <v>1</v>
      </c>
      <c r="BS127" s="7" t="s">
        <v>1</v>
      </c>
      <c r="BT127" s="7" t="s">
        <v>1</v>
      </c>
      <c r="BU127" s="7" t="s">
        <v>1</v>
      </c>
      <c r="BV127" s="7" t="s">
        <v>1</v>
      </c>
      <c r="BW127" s="7" t="s">
        <v>1</v>
      </c>
      <c r="BX127" s="7" t="s">
        <v>1</v>
      </c>
      <c r="BY127" s="7" t="s">
        <v>1</v>
      </c>
      <c r="BZ127" s="7" t="s">
        <v>1</v>
      </c>
      <c r="CA127" s="7" t="s">
        <v>1</v>
      </c>
      <c r="CB127" s="7" t="s">
        <v>1</v>
      </c>
      <c r="CC127" s="7" t="s">
        <v>1</v>
      </c>
      <c r="CD127" s="7" t="s">
        <v>1</v>
      </c>
      <c r="CE127" s="7" t="s">
        <v>1</v>
      </c>
      <c r="CF127" s="7" t="s">
        <v>1</v>
      </c>
    </row>
    <row r="128" ht="25" customHeight="1" spans="1:84">
      <c r="A128" s="29">
        <v>45231</v>
      </c>
      <c r="B128" s="7" t="s">
        <v>1</v>
      </c>
      <c r="C128" s="7" t="s">
        <v>1</v>
      </c>
      <c r="D128" s="7" t="s">
        <v>1</v>
      </c>
      <c r="E128" s="7" t="s">
        <v>1</v>
      </c>
      <c r="F128" s="7" t="s">
        <v>1</v>
      </c>
      <c r="G128" s="48" t="s">
        <v>1</v>
      </c>
      <c r="H128" s="48" t="s">
        <v>1</v>
      </c>
      <c r="I128" s="48" t="s">
        <v>1</v>
      </c>
      <c r="J128" s="48" t="s">
        <v>1</v>
      </c>
      <c r="K128" s="48" t="s">
        <v>1</v>
      </c>
      <c r="L128" s="127" t="s">
        <v>1</v>
      </c>
      <c r="M128" s="48" t="s">
        <v>1</v>
      </c>
      <c r="N128" s="48" t="s">
        <v>1</v>
      </c>
      <c r="O128" s="48" t="s">
        <v>1</v>
      </c>
      <c r="P128" s="48" t="s">
        <v>1</v>
      </c>
      <c r="Q128" s="48" t="s">
        <v>1</v>
      </c>
      <c r="R128" s="48" t="s">
        <v>1</v>
      </c>
      <c r="S128" s="48" t="s">
        <v>1</v>
      </c>
      <c r="T128" s="48" t="s">
        <v>1</v>
      </c>
      <c r="U128" s="48" t="s">
        <v>1</v>
      </c>
      <c r="V128" s="117" t="s">
        <v>1</v>
      </c>
      <c r="W128" s="117" t="s">
        <v>1</v>
      </c>
      <c r="X128" s="117" t="s">
        <v>1</v>
      </c>
      <c r="Y128" s="117" t="s">
        <v>1</v>
      </c>
      <c r="Z128" s="318" t="s">
        <v>1</v>
      </c>
      <c r="AA128" s="318" t="s">
        <v>1</v>
      </c>
      <c r="AB128" s="318" t="s">
        <v>1</v>
      </c>
      <c r="AC128" s="117" t="s">
        <v>1</v>
      </c>
      <c r="AD128" s="117" t="s">
        <v>1</v>
      </c>
      <c r="AE128" s="117" t="s">
        <v>1</v>
      </c>
      <c r="AF128" s="117" t="s">
        <v>1</v>
      </c>
      <c r="AG128" s="117" t="s">
        <v>1</v>
      </c>
      <c r="AH128" s="117" t="s">
        <v>1</v>
      </c>
      <c r="AI128" s="117" t="s">
        <v>1</v>
      </c>
      <c r="AJ128" s="117" t="s">
        <v>1</v>
      </c>
      <c r="AK128" s="117" t="s">
        <v>1</v>
      </c>
      <c r="AL128" s="117" t="s">
        <v>1</v>
      </c>
      <c r="AM128" s="117" t="s">
        <v>1</v>
      </c>
      <c r="AN128" s="117" t="s">
        <v>1</v>
      </c>
      <c r="AO128" s="117" t="s">
        <v>1</v>
      </c>
      <c r="AP128" s="117" t="s">
        <v>1</v>
      </c>
      <c r="AQ128" s="117" t="s">
        <v>1</v>
      </c>
      <c r="AR128" s="117" t="s">
        <v>1</v>
      </c>
      <c r="AS128" s="117" t="s">
        <v>1</v>
      </c>
      <c r="AT128" s="117" t="s">
        <v>1</v>
      </c>
      <c r="AU128" s="117" t="s">
        <v>1</v>
      </c>
      <c r="AV128" s="117" t="s">
        <v>1</v>
      </c>
      <c r="AW128" s="117" t="s">
        <v>1</v>
      </c>
      <c r="AX128" s="117" t="s">
        <v>1</v>
      </c>
      <c r="AY128" s="117" t="s">
        <v>1</v>
      </c>
      <c r="AZ128" s="117" t="s">
        <v>1</v>
      </c>
      <c r="BA128" s="117" t="s">
        <v>1</v>
      </c>
      <c r="BB128" s="117" t="s">
        <v>1</v>
      </c>
      <c r="BC128" s="117" t="s">
        <v>1</v>
      </c>
      <c r="BD128" s="117" t="s">
        <v>1</v>
      </c>
      <c r="BE128" s="117" t="s">
        <v>1</v>
      </c>
      <c r="BF128" s="117" t="s">
        <v>1</v>
      </c>
      <c r="BG128" s="217" t="s">
        <v>1</v>
      </c>
      <c r="BH128" s="217" t="s">
        <v>1</v>
      </c>
      <c r="BI128" s="7" t="s">
        <v>102</v>
      </c>
      <c r="BJ128" s="7">
        <v>17</v>
      </c>
      <c r="BK128" s="7">
        <v>6142</v>
      </c>
      <c r="BL128" s="7" t="s">
        <v>1</v>
      </c>
      <c r="BM128" s="7" t="s">
        <v>73</v>
      </c>
      <c r="BN128" s="7">
        <v>64</v>
      </c>
      <c r="BO128" s="7">
        <v>3276</v>
      </c>
      <c r="BP128" s="218" t="s">
        <v>1</v>
      </c>
      <c r="BQ128" s="218" t="s">
        <v>1</v>
      </c>
      <c r="BR128" s="218" t="s">
        <v>1</v>
      </c>
      <c r="BS128" s="218" t="s">
        <v>1</v>
      </c>
      <c r="BT128" s="218" t="s">
        <v>1</v>
      </c>
      <c r="BU128" s="218" t="s">
        <v>1</v>
      </c>
      <c r="BV128" s="218" t="s">
        <v>1</v>
      </c>
      <c r="BW128" s="218" t="s">
        <v>1</v>
      </c>
      <c r="BX128" s="218" t="s">
        <v>1</v>
      </c>
      <c r="BY128" s="218" t="s">
        <v>1</v>
      </c>
      <c r="BZ128" s="218" t="s">
        <v>1</v>
      </c>
      <c r="CA128" s="218" t="s">
        <v>1</v>
      </c>
      <c r="CB128" s="218" t="s">
        <v>1</v>
      </c>
      <c r="CC128" s="218" t="s">
        <v>1</v>
      </c>
      <c r="CD128" s="218" t="s">
        <v>1</v>
      </c>
      <c r="CE128" s="218" t="s">
        <v>1</v>
      </c>
      <c r="CF128" s="117" t="s">
        <v>1</v>
      </c>
    </row>
    <row r="129" ht="25" customHeight="1" spans="1:84">
      <c r="A129" s="29">
        <v>45232</v>
      </c>
      <c r="B129" s="7" t="s">
        <v>1</v>
      </c>
      <c r="C129" s="7" t="s">
        <v>1</v>
      </c>
      <c r="D129" s="7" t="s">
        <v>1</v>
      </c>
      <c r="E129" s="7" t="s">
        <v>1</v>
      </c>
      <c r="F129" s="7" t="s">
        <v>1</v>
      </c>
      <c r="G129" s="48" t="s">
        <v>1</v>
      </c>
      <c r="H129" s="48" t="s">
        <v>1</v>
      </c>
      <c r="I129" s="48" t="s">
        <v>1</v>
      </c>
      <c r="J129" s="48" t="s">
        <v>1</v>
      </c>
      <c r="K129" s="48" t="s">
        <v>1</v>
      </c>
      <c r="L129" s="127" t="s">
        <v>1</v>
      </c>
      <c r="M129" s="48" t="s">
        <v>1</v>
      </c>
      <c r="N129" s="48" t="s">
        <v>1</v>
      </c>
      <c r="O129" s="48" t="s">
        <v>1</v>
      </c>
      <c r="P129" s="48" t="s">
        <v>1</v>
      </c>
      <c r="Q129" s="48" t="s">
        <v>1</v>
      </c>
      <c r="R129" s="48" t="s">
        <v>1</v>
      </c>
      <c r="S129" s="48" t="s">
        <v>1</v>
      </c>
      <c r="T129" s="48" t="s">
        <v>1</v>
      </c>
      <c r="U129" s="48" t="s">
        <v>1</v>
      </c>
      <c r="V129" s="117" t="s">
        <v>1</v>
      </c>
      <c r="W129" s="117" t="s">
        <v>1</v>
      </c>
      <c r="X129" s="117" t="s">
        <v>1</v>
      </c>
      <c r="Y129" s="117" t="s">
        <v>1</v>
      </c>
      <c r="Z129" s="318" t="s">
        <v>1</v>
      </c>
      <c r="AA129" s="318" t="s">
        <v>1</v>
      </c>
      <c r="AB129" s="318" t="s">
        <v>1</v>
      </c>
      <c r="AC129" s="117" t="s">
        <v>1</v>
      </c>
      <c r="AD129" s="117" t="s">
        <v>1</v>
      </c>
      <c r="AE129" s="117" t="s">
        <v>1</v>
      </c>
      <c r="AF129" s="117" t="s">
        <v>1</v>
      </c>
      <c r="AG129" s="117" t="s">
        <v>1</v>
      </c>
      <c r="AH129" s="117" t="s">
        <v>1</v>
      </c>
      <c r="AI129" s="117" t="s">
        <v>1</v>
      </c>
      <c r="AJ129" s="117" t="s">
        <v>1</v>
      </c>
      <c r="AK129" s="117" t="s">
        <v>1</v>
      </c>
      <c r="AL129" s="117" t="s">
        <v>1</v>
      </c>
      <c r="AM129" s="117" t="s">
        <v>1</v>
      </c>
      <c r="AN129" s="117" t="s">
        <v>1</v>
      </c>
      <c r="AO129" s="117" t="s">
        <v>1</v>
      </c>
      <c r="AP129" s="117" t="s">
        <v>1</v>
      </c>
      <c r="AQ129" s="117" t="s">
        <v>1</v>
      </c>
      <c r="AR129" s="117" t="s">
        <v>1</v>
      </c>
      <c r="AS129" s="117" t="s">
        <v>1</v>
      </c>
      <c r="AT129" s="117" t="s">
        <v>1</v>
      </c>
      <c r="AU129" s="117" t="s">
        <v>1</v>
      </c>
      <c r="AV129" s="117" t="s">
        <v>1</v>
      </c>
      <c r="AW129" s="117" t="s">
        <v>1</v>
      </c>
      <c r="AX129" s="117" t="s">
        <v>1</v>
      </c>
      <c r="AY129" s="117" t="s">
        <v>1</v>
      </c>
      <c r="AZ129" s="117" t="s">
        <v>1</v>
      </c>
      <c r="BA129" s="117" t="s">
        <v>1</v>
      </c>
      <c r="BB129" s="117" t="s">
        <v>1</v>
      </c>
      <c r="BC129" s="117" t="s">
        <v>1</v>
      </c>
      <c r="BD129" s="117" t="s">
        <v>1</v>
      </c>
      <c r="BE129" s="117" t="s">
        <v>1</v>
      </c>
      <c r="BF129" s="117" t="s">
        <v>1</v>
      </c>
      <c r="BG129" s="217" t="s">
        <v>1</v>
      </c>
      <c r="BH129" s="217" t="s">
        <v>1</v>
      </c>
      <c r="BI129" s="7" t="s">
        <v>102</v>
      </c>
      <c r="BJ129" s="7">
        <v>13</v>
      </c>
      <c r="BK129" s="7">
        <v>6139</v>
      </c>
      <c r="BL129" s="7" t="s">
        <v>1</v>
      </c>
      <c r="BM129" s="7" t="s">
        <v>73</v>
      </c>
      <c r="BN129" s="7">
        <v>60</v>
      </c>
      <c r="BO129" s="7">
        <v>2939</v>
      </c>
      <c r="BP129" s="218" t="s">
        <v>1</v>
      </c>
      <c r="BQ129" s="218" t="s">
        <v>1</v>
      </c>
      <c r="BR129" s="218" t="s">
        <v>1</v>
      </c>
      <c r="BS129" s="218" t="s">
        <v>1</v>
      </c>
      <c r="BT129" s="218" t="s">
        <v>1</v>
      </c>
      <c r="BU129" s="218" t="s">
        <v>1</v>
      </c>
      <c r="BV129" s="218" t="s">
        <v>1</v>
      </c>
      <c r="BW129" s="218" t="s">
        <v>1</v>
      </c>
      <c r="BX129" s="218" t="s">
        <v>1</v>
      </c>
      <c r="BY129" s="218" t="s">
        <v>1</v>
      </c>
      <c r="BZ129" s="218" t="s">
        <v>1</v>
      </c>
      <c r="CA129" s="218" t="s">
        <v>1</v>
      </c>
      <c r="CB129" s="218" t="s">
        <v>1</v>
      </c>
      <c r="CC129" s="218" t="s">
        <v>1</v>
      </c>
      <c r="CD129" s="218" t="s">
        <v>1</v>
      </c>
      <c r="CE129" s="218" t="s">
        <v>1</v>
      </c>
      <c r="CF129" s="117" t="s">
        <v>1</v>
      </c>
    </row>
    <row r="130" ht="25" customHeight="1" spans="1:84">
      <c r="A130" s="29">
        <v>45233</v>
      </c>
      <c r="B130" s="7" t="s">
        <v>1</v>
      </c>
      <c r="C130" s="7" t="s">
        <v>1</v>
      </c>
      <c r="D130" s="7" t="s">
        <v>1</v>
      </c>
      <c r="E130" s="7" t="s">
        <v>1</v>
      </c>
      <c r="F130" s="7" t="s">
        <v>1</v>
      </c>
      <c r="G130" s="48" t="s">
        <v>1</v>
      </c>
      <c r="H130" s="48" t="s">
        <v>1</v>
      </c>
      <c r="I130" s="48" t="s">
        <v>1</v>
      </c>
      <c r="J130" s="48" t="s">
        <v>1</v>
      </c>
      <c r="K130" s="48" t="s">
        <v>1</v>
      </c>
      <c r="L130" s="127" t="s">
        <v>1</v>
      </c>
      <c r="M130" s="48" t="s">
        <v>1</v>
      </c>
      <c r="N130" s="48" t="s">
        <v>1</v>
      </c>
      <c r="O130" s="48" t="s">
        <v>1</v>
      </c>
      <c r="P130" s="48" t="s">
        <v>1</v>
      </c>
      <c r="Q130" s="48" t="s">
        <v>1</v>
      </c>
      <c r="R130" s="48" t="s">
        <v>1</v>
      </c>
      <c r="S130" s="48" t="s">
        <v>1</v>
      </c>
      <c r="T130" s="48" t="s">
        <v>1</v>
      </c>
      <c r="U130" s="48" t="s">
        <v>1</v>
      </c>
      <c r="V130" s="117" t="s">
        <v>1</v>
      </c>
      <c r="W130" s="117" t="s">
        <v>1</v>
      </c>
      <c r="X130" s="117" t="s">
        <v>1</v>
      </c>
      <c r="Y130" s="117" t="s">
        <v>1</v>
      </c>
      <c r="Z130" s="318" t="s">
        <v>1</v>
      </c>
      <c r="AA130" s="318" t="s">
        <v>1</v>
      </c>
      <c r="AB130" s="318" t="s">
        <v>1</v>
      </c>
      <c r="AC130" s="117" t="s">
        <v>1</v>
      </c>
      <c r="AD130" s="117" t="s">
        <v>1</v>
      </c>
      <c r="AE130" s="117" t="s">
        <v>1</v>
      </c>
      <c r="AF130" s="117" t="s">
        <v>1</v>
      </c>
      <c r="AG130" s="117" t="s">
        <v>1</v>
      </c>
      <c r="AH130" s="117" t="s">
        <v>1</v>
      </c>
      <c r="AI130" s="117" t="s">
        <v>1</v>
      </c>
      <c r="AJ130" s="117" t="s">
        <v>1</v>
      </c>
      <c r="AK130" s="117" t="s">
        <v>1</v>
      </c>
      <c r="AL130" s="117" t="s">
        <v>1</v>
      </c>
      <c r="AM130" s="117" t="s">
        <v>1</v>
      </c>
      <c r="AN130" s="117" t="s">
        <v>1</v>
      </c>
      <c r="AO130" s="117" t="s">
        <v>1</v>
      </c>
      <c r="AP130" s="117" t="s">
        <v>1</v>
      </c>
      <c r="AQ130" s="117" t="s">
        <v>1</v>
      </c>
      <c r="AR130" s="117" t="s">
        <v>1</v>
      </c>
      <c r="AS130" s="117" t="s">
        <v>1</v>
      </c>
      <c r="AT130" s="117" t="s">
        <v>1</v>
      </c>
      <c r="AU130" s="117" t="s">
        <v>1</v>
      </c>
      <c r="AV130" s="117" t="s">
        <v>1</v>
      </c>
      <c r="AW130" s="117" t="s">
        <v>1</v>
      </c>
      <c r="AX130" s="117" t="s">
        <v>1</v>
      </c>
      <c r="AY130" s="117" t="s">
        <v>1</v>
      </c>
      <c r="AZ130" s="117" t="s">
        <v>1</v>
      </c>
      <c r="BA130" s="117" t="s">
        <v>1</v>
      </c>
      <c r="BB130" s="117" t="s">
        <v>1</v>
      </c>
      <c r="BC130" s="117" t="s">
        <v>1</v>
      </c>
      <c r="BD130" s="117" t="s">
        <v>1</v>
      </c>
      <c r="BE130" s="117" t="s">
        <v>1</v>
      </c>
      <c r="BF130" s="117" t="s">
        <v>1</v>
      </c>
      <c r="BG130" s="217" t="s">
        <v>1</v>
      </c>
      <c r="BH130" s="217" t="s">
        <v>1</v>
      </c>
      <c r="BI130" s="7" t="s">
        <v>94</v>
      </c>
      <c r="BJ130" s="7">
        <v>22</v>
      </c>
      <c r="BK130" s="7">
        <v>4241</v>
      </c>
      <c r="BL130" s="7" t="s">
        <v>1</v>
      </c>
      <c r="BM130" s="7" t="s">
        <v>73</v>
      </c>
      <c r="BN130" s="7">
        <v>94</v>
      </c>
      <c r="BO130" s="7">
        <v>1987</v>
      </c>
      <c r="BP130" s="218" t="s">
        <v>1</v>
      </c>
      <c r="BQ130" s="218" t="s">
        <v>1</v>
      </c>
      <c r="BR130" s="218" t="s">
        <v>1</v>
      </c>
      <c r="BS130" s="218" t="s">
        <v>1</v>
      </c>
      <c r="BT130" s="218" t="s">
        <v>1</v>
      </c>
      <c r="BU130" s="218" t="s">
        <v>1</v>
      </c>
      <c r="BV130" s="218" t="s">
        <v>1</v>
      </c>
      <c r="BW130" s="218" t="s">
        <v>1</v>
      </c>
      <c r="BX130" s="218" t="s">
        <v>1</v>
      </c>
      <c r="BY130" s="218" t="s">
        <v>1</v>
      </c>
      <c r="BZ130" s="218" t="s">
        <v>1</v>
      </c>
      <c r="CA130" s="218" t="s">
        <v>1</v>
      </c>
      <c r="CB130" s="218" t="s">
        <v>1</v>
      </c>
      <c r="CC130" s="218" t="s">
        <v>1</v>
      </c>
      <c r="CD130" s="218" t="s">
        <v>1</v>
      </c>
      <c r="CE130" s="218" t="s">
        <v>1</v>
      </c>
      <c r="CF130" s="117" t="s">
        <v>1</v>
      </c>
    </row>
    <row r="131" ht="25" customHeight="1" spans="1:84">
      <c r="A131" s="29">
        <v>45234</v>
      </c>
      <c r="B131" s="7" t="s">
        <v>1</v>
      </c>
      <c r="C131" s="7" t="s">
        <v>1</v>
      </c>
      <c r="D131" s="7" t="s">
        <v>1</v>
      </c>
      <c r="E131" s="7" t="s">
        <v>1</v>
      </c>
      <c r="F131" s="7" t="s">
        <v>1</v>
      </c>
      <c r="G131" s="48" t="s">
        <v>1</v>
      </c>
      <c r="H131" s="48" t="s">
        <v>1</v>
      </c>
      <c r="I131" s="48" t="s">
        <v>1</v>
      </c>
      <c r="J131" s="48" t="s">
        <v>1</v>
      </c>
      <c r="K131" s="48" t="s">
        <v>1</v>
      </c>
      <c r="L131" s="127" t="s">
        <v>1</v>
      </c>
      <c r="M131" s="48" t="s">
        <v>1</v>
      </c>
      <c r="N131" s="48" t="s">
        <v>1</v>
      </c>
      <c r="O131" s="48" t="s">
        <v>1</v>
      </c>
      <c r="P131" s="48" t="s">
        <v>1</v>
      </c>
      <c r="Q131" s="48" t="s">
        <v>1</v>
      </c>
      <c r="R131" s="48" t="s">
        <v>1</v>
      </c>
      <c r="S131" s="48" t="s">
        <v>1</v>
      </c>
      <c r="T131" s="48" t="s">
        <v>1</v>
      </c>
      <c r="U131" s="48" t="s">
        <v>1</v>
      </c>
      <c r="V131" s="117" t="s">
        <v>1</v>
      </c>
      <c r="W131" s="117" t="s">
        <v>1</v>
      </c>
      <c r="X131" s="117" t="s">
        <v>1</v>
      </c>
      <c r="Y131" s="117" t="s">
        <v>1</v>
      </c>
      <c r="Z131" s="318" t="s">
        <v>1</v>
      </c>
      <c r="AA131" s="318" t="s">
        <v>1</v>
      </c>
      <c r="AB131" s="318" t="s">
        <v>1</v>
      </c>
      <c r="AC131" s="117" t="s">
        <v>1</v>
      </c>
      <c r="AD131" s="117" t="s">
        <v>1</v>
      </c>
      <c r="AE131" s="117" t="s">
        <v>1</v>
      </c>
      <c r="AF131" s="117" t="s">
        <v>1</v>
      </c>
      <c r="AG131" s="117" t="s">
        <v>1</v>
      </c>
      <c r="AH131" s="117" t="s">
        <v>1</v>
      </c>
      <c r="AI131" s="117" t="s">
        <v>1</v>
      </c>
      <c r="AJ131" s="117" t="s">
        <v>1</v>
      </c>
      <c r="AK131" s="117" t="s">
        <v>1</v>
      </c>
      <c r="AL131" s="117" t="s">
        <v>1</v>
      </c>
      <c r="AM131" s="117" t="s">
        <v>1</v>
      </c>
      <c r="AN131" s="117" t="s">
        <v>1</v>
      </c>
      <c r="AO131" s="117" t="s">
        <v>1</v>
      </c>
      <c r="AP131" s="117" t="s">
        <v>1</v>
      </c>
      <c r="AQ131" s="117" t="s">
        <v>1</v>
      </c>
      <c r="AR131" s="117" t="s">
        <v>1</v>
      </c>
      <c r="AS131" s="117" t="s">
        <v>1</v>
      </c>
      <c r="AT131" s="117" t="s">
        <v>1</v>
      </c>
      <c r="AU131" s="117" t="s">
        <v>1</v>
      </c>
      <c r="AV131" s="117" t="s">
        <v>1</v>
      </c>
      <c r="AW131" s="117" t="s">
        <v>1</v>
      </c>
      <c r="AX131" s="117" t="s">
        <v>1</v>
      </c>
      <c r="AY131" s="117" t="s">
        <v>1</v>
      </c>
      <c r="AZ131" s="117" t="s">
        <v>1</v>
      </c>
      <c r="BA131" s="117" t="s">
        <v>1</v>
      </c>
      <c r="BB131" s="117" t="s">
        <v>1</v>
      </c>
      <c r="BC131" s="117" t="s">
        <v>1</v>
      </c>
      <c r="BD131" s="117" t="s">
        <v>1</v>
      </c>
      <c r="BE131" s="117" t="s">
        <v>1</v>
      </c>
      <c r="BF131" s="117" t="s">
        <v>1</v>
      </c>
      <c r="BG131" s="217" t="s">
        <v>1</v>
      </c>
      <c r="BH131" s="217" t="s">
        <v>1</v>
      </c>
      <c r="BI131" s="7" t="s">
        <v>94</v>
      </c>
      <c r="BJ131" s="7">
        <v>24</v>
      </c>
      <c r="BK131" s="7">
        <v>3474</v>
      </c>
      <c r="BL131" s="7" t="s">
        <v>1</v>
      </c>
      <c r="BM131" s="7" t="s">
        <v>73</v>
      </c>
      <c r="BN131" s="7">
        <v>98</v>
      </c>
      <c r="BO131" s="7">
        <v>1649</v>
      </c>
      <c r="BP131" s="218" t="s">
        <v>1</v>
      </c>
      <c r="BQ131" s="218" t="s">
        <v>1</v>
      </c>
      <c r="BR131" s="218" t="s">
        <v>1</v>
      </c>
      <c r="BS131" s="218" t="s">
        <v>1</v>
      </c>
      <c r="BT131" s="218" t="s">
        <v>1</v>
      </c>
      <c r="BU131" s="218" t="s">
        <v>1</v>
      </c>
      <c r="BV131" s="218" t="s">
        <v>1</v>
      </c>
      <c r="BW131" s="218" t="s">
        <v>1</v>
      </c>
      <c r="BX131" s="218" t="s">
        <v>1</v>
      </c>
      <c r="BY131" s="218" t="s">
        <v>1</v>
      </c>
      <c r="BZ131" s="218" t="s">
        <v>1</v>
      </c>
      <c r="CA131" s="218" t="s">
        <v>1</v>
      </c>
      <c r="CB131" s="218" t="s">
        <v>1</v>
      </c>
      <c r="CC131" s="218" t="s">
        <v>1</v>
      </c>
      <c r="CD131" s="218" t="s">
        <v>1</v>
      </c>
      <c r="CE131" s="218" t="s">
        <v>1</v>
      </c>
      <c r="CF131" s="117" t="s">
        <v>1</v>
      </c>
    </row>
    <row r="132" ht="25" customHeight="1" spans="1:84">
      <c r="A132" s="29">
        <v>45235</v>
      </c>
      <c r="B132" s="7" t="s">
        <v>1</v>
      </c>
      <c r="C132" s="7" t="s">
        <v>1</v>
      </c>
      <c r="D132" s="7" t="s">
        <v>1</v>
      </c>
      <c r="E132" s="7" t="s">
        <v>1</v>
      </c>
      <c r="F132" s="7" t="s">
        <v>1</v>
      </c>
      <c r="G132" s="48" t="s">
        <v>1</v>
      </c>
      <c r="H132" s="48" t="s">
        <v>1</v>
      </c>
      <c r="I132" s="48" t="s">
        <v>1</v>
      </c>
      <c r="J132" s="48" t="s">
        <v>1</v>
      </c>
      <c r="K132" s="48" t="s">
        <v>1</v>
      </c>
      <c r="L132" s="127" t="s">
        <v>1</v>
      </c>
      <c r="M132" s="48" t="s">
        <v>1</v>
      </c>
      <c r="N132" s="48" t="s">
        <v>1</v>
      </c>
      <c r="O132" s="48" t="s">
        <v>1</v>
      </c>
      <c r="P132" s="48" t="s">
        <v>1</v>
      </c>
      <c r="Q132" s="48" t="s">
        <v>1</v>
      </c>
      <c r="R132" s="48" t="s">
        <v>1</v>
      </c>
      <c r="S132" s="48" t="s">
        <v>1</v>
      </c>
      <c r="T132" s="48" t="s">
        <v>1</v>
      </c>
      <c r="U132" s="48" t="s">
        <v>1</v>
      </c>
      <c r="V132" s="117" t="s">
        <v>1</v>
      </c>
      <c r="W132" s="117" t="s">
        <v>1</v>
      </c>
      <c r="X132" s="117" t="s">
        <v>1</v>
      </c>
      <c r="Y132" s="117" t="s">
        <v>1</v>
      </c>
      <c r="Z132" s="318" t="s">
        <v>1</v>
      </c>
      <c r="AA132" s="318" t="s">
        <v>1</v>
      </c>
      <c r="AB132" s="318" t="s">
        <v>1</v>
      </c>
      <c r="AC132" s="117" t="s">
        <v>1</v>
      </c>
      <c r="AD132" s="117" t="s">
        <v>1</v>
      </c>
      <c r="AE132" s="117" t="s">
        <v>1</v>
      </c>
      <c r="AF132" s="117" t="s">
        <v>1</v>
      </c>
      <c r="AG132" s="117" t="s">
        <v>1</v>
      </c>
      <c r="AH132" s="117" t="s">
        <v>1</v>
      </c>
      <c r="AI132" s="117" t="s">
        <v>1</v>
      </c>
      <c r="AJ132" s="117" t="s">
        <v>1</v>
      </c>
      <c r="AK132" s="117" t="s">
        <v>1</v>
      </c>
      <c r="AL132" s="117" t="s">
        <v>1</v>
      </c>
      <c r="AM132" s="117" t="s">
        <v>1</v>
      </c>
      <c r="AN132" s="117" t="s">
        <v>1</v>
      </c>
      <c r="AO132" s="117" t="s">
        <v>1</v>
      </c>
      <c r="AP132" s="117" t="s">
        <v>1</v>
      </c>
      <c r="AQ132" s="117" t="s">
        <v>1</v>
      </c>
      <c r="AR132" s="117" t="s">
        <v>1</v>
      </c>
      <c r="AS132" s="117" t="s">
        <v>1</v>
      </c>
      <c r="AT132" s="117" t="s">
        <v>1</v>
      </c>
      <c r="AU132" s="117" t="s">
        <v>1</v>
      </c>
      <c r="AV132" s="117" t="s">
        <v>1</v>
      </c>
      <c r="AW132" s="117" t="s">
        <v>1</v>
      </c>
      <c r="AX132" s="117" t="s">
        <v>1</v>
      </c>
      <c r="AY132" s="117" t="s">
        <v>1</v>
      </c>
      <c r="AZ132" s="117" t="s">
        <v>1</v>
      </c>
      <c r="BA132" s="117" t="s">
        <v>1</v>
      </c>
      <c r="BB132" s="117" t="s">
        <v>1</v>
      </c>
      <c r="BC132" s="117" t="s">
        <v>1</v>
      </c>
      <c r="BD132" s="117" t="s">
        <v>1</v>
      </c>
      <c r="BE132" s="117" t="s">
        <v>1</v>
      </c>
      <c r="BF132" s="117" t="s">
        <v>1</v>
      </c>
      <c r="BG132" s="217" t="s">
        <v>1</v>
      </c>
      <c r="BH132" s="217" t="s">
        <v>1</v>
      </c>
      <c r="BI132" s="7" t="s">
        <v>102</v>
      </c>
      <c r="BJ132" s="7">
        <v>20</v>
      </c>
      <c r="BK132" s="7">
        <v>4330</v>
      </c>
      <c r="BL132" s="7" t="s">
        <v>1</v>
      </c>
      <c r="BM132" s="7" t="s">
        <v>73</v>
      </c>
      <c r="BN132" s="7">
        <v>84</v>
      </c>
      <c r="BO132" s="7">
        <v>2053</v>
      </c>
      <c r="BP132" s="218" t="s">
        <v>1</v>
      </c>
      <c r="BQ132" s="218" t="s">
        <v>1</v>
      </c>
      <c r="BR132" s="218" t="s">
        <v>1</v>
      </c>
      <c r="BS132" s="218" t="s">
        <v>1</v>
      </c>
      <c r="BT132" s="218" t="s">
        <v>1</v>
      </c>
      <c r="BU132" s="218" t="s">
        <v>1</v>
      </c>
      <c r="BV132" s="218" t="s">
        <v>1</v>
      </c>
      <c r="BW132" s="218" t="s">
        <v>1</v>
      </c>
      <c r="BX132" s="218" t="s">
        <v>1</v>
      </c>
      <c r="BY132" s="218" t="s">
        <v>1</v>
      </c>
      <c r="BZ132" s="218" t="s">
        <v>1</v>
      </c>
      <c r="CA132" s="218" t="s">
        <v>1</v>
      </c>
      <c r="CB132" s="218" t="s">
        <v>1</v>
      </c>
      <c r="CC132" s="218" t="s">
        <v>1</v>
      </c>
      <c r="CD132" s="218" t="s">
        <v>1</v>
      </c>
      <c r="CE132" s="218" t="s">
        <v>1</v>
      </c>
      <c r="CF132" s="117" t="s">
        <v>1</v>
      </c>
    </row>
    <row r="133" ht="25" customHeight="1" spans="1:84">
      <c r="A133" s="29">
        <v>45236</v>
      </c>
      <c r="B133" s="7" t="s">
        <v>1</v>
      </c>
      <c r="C133" s="7" t="s">
        <v>1</v>
      </c>
      <c r="D133" s="7" t="s">
        <v>1</v>
      </c>
      <c r="E133" s="7" t="s">
        <v>1</v>
      </c>
      <c r="F133" s="7" t="s">
        <v>1</v>
      </c>
      <c r="G133" s="48" t="s">
        <v>1</v>
      </c>
      <c r="H133" s="48" t="s">
        <v>1</v>
      </c>
      <c r="I133" s="48" t="s">
        <v>1</v>
      </c>
      <c r="J133" s="48" t="s">
        <v>1</v>
      </c>
      <c r="K133" s="48" t="s">
        <v>1</v>
      </c>
      <c r="L133" s="127" t="s">
        <v>1</v>
      </c>
      <c r="M133" s="48" t="s">
        <v>1</v>
      </c>
      <c r="N133" s="48" t="s">
        <v>1</v>
      </c>
      <c r="O133" s="48" t="s">
        <v>1</v>
      </c>
      <c r="P133" s="48" t="s">
        <v>1</v>
      </c>
      <c r="Q133" s="48" t="s">
        <v>1</v>
      </c>
      <c r="R133" s="48" t="s">
        <v>1</v>
      </c>
      <c r="S133" s="48" t="s">
        <v>1</v>
      </c>
      <c r="T133" s="48" t="s">
        <v>1</v>
      </c>
      <c r="U133" s="48" t="s">
        <v>1</v>
      </c>
      <c r="V133" s="117" t="s">
        <v>1</v>
      </c>
      <c r="W133" s="117" t="s">
        <v>1</v>
      </c>
      <c r="X133" s="117" t="s">
        <v>1</v>
      </c>
      <c r="Y133" s="117" t="s">
        <v>1</v>
      </c>
      <c r="Z133" s="318" t="s">
        <v>1</v>
      </c>
      <c r="AA133" s="318" t="s">
        <v>1</v>
      </c>
      <c r="AB133" s="318" t="s">
        <v>1</v>
      </c>
      <c r="AC133" s="117" t="s">
        <v>1</v>
      </c>
      <c r="AD133" s="117" t="s">
        <v>1</v>
      </c>
      <c r="AE133" s="117" t="s">
        <v>1</v>
      </c>
      <c r="AF133" s="117" t="s">
        <v>1</v>
      </c>
      <c r="AG133" s="117" t="s">
        <v>1</v>
      </c>
      <c r="AH133" s="117" t="s">
        <v>1</v>
      </c>
      <c r="AI133" s="117" t="s">
        <v>1</v>
      </c>
      <c r="AJ133" s="117" t="s">
        <v>1</v>
      </c>
      <c r="AK133" s="117" t="s">
        <v>1</v>
      </c>
      <c r="AL133" s="117" t="s">
        <v>1</v>
      </c>
      <c r="AM133" s="117" t="s">
        <v>1</v>
      </c>
      <c r="AN133" s="117" t="s">
        <v>1</v>
      </c>
      <c r="AO133" s="117" t="s">
        <v>1</v>
      </c>
      <c r="AP133" s="117" t="s">
        <v>1</v>
      </c>
      <c r="AQ133" s="117" t="s">
        <v>1</v>
      </c>
      <c r="AR133" s="117" t="s">
        <v>1</v>
      </c>
      <c r="AS133" s="117" t="s">
        <v>1</v>
      </c>
      <c r="AT133" s="117" t="s">
        <v>1</v>
      </c>
      <c r="AU133" s="117" t="s">
        <v>1</v>
      </c>
      <c r="AV133" s="117" t="s">
        <v>1</v>
      </c>
      <c r="AW133" s="117" t="s">
        <v>1</v>
      </c>
      <c r="AX133" s="117" t="s">
        <v>1</v>
      </c>
      <c r="AY133" s="117" t="s">
        <v>1</v>
      </c>
      <c r="AZ133" s="117" t="s">
        <v>1</v>
      </c>
      <c r="BA133" s="117" t="s">
        <v>1</v>
      </c>
      <c r="BB133" s="117" t="s">
        <v>1</v>
      </c>
      <c r="BC133" s="117" t="s">
        <v>1</v>
      </c>
      <c r="BD133" s="117" t="s">
        <v>1</v>
      </c>
      <c r="BE133" s="117" t="s">
        <v>1</v>
      </c>
      <c r="BF133" s="117" t="s">
        <v>1</v>
      </c>
      <c r="BG133" s="217" t="s">
        <v>1</v>
      </c>
      <c r="BH133" s="217" t="s">
        <v>1</v>
      </c>
      <c r="BI133" s="7" t="s">
        <v>102</v>
      </c>
      <c r="BJ133" s="7">
        <v>19</v>
      </c>
      <c r="BK133" s="7">
        <v>5657</v>
      </c>
      <c r="BL133" s="7" t="s">
        <v>1</v>
      </c>
      <c r="BM133" s="7" t="s">
        <v>73</v>
      </c>
      <c r="BN133" s="7">
        <v>71</v>
      </c>
      <c r="BO133" s="7">
        <v>2552</v>
      </c>
      <c r="BP133" s="218" t="s">
        <v>1</v>
      </c>
      <c r="BQ133" s="218" t="s">
        <v>1</v>
      </c>
      <c r="BR133" s="218" t="s">
        <v>1</v>
      </c>
      <c r="BS133" s="218" t="s">
        <v>1</v>
      </c>
      <c r="BT133" s="218" t="s">
        <v>1</v>
      </c>
      <c r="BU133" s="218" t="s">
        <v>1</v>
      </c>
      <c r="BV133" s="218" t="s">
        <v>1</v>
      </c>
      <c r="BW133" s="218" t="s">
        <v>1</v>
      </c>
      <c r="BX133" s="218" t="s">
        <v>1</v>
      </c>
      <c r="BY133" s="218" t="s">
        <v>1</v>
      </c>
      <c r="BZ133" s="218" t="s">
        <v>1</v>
      </c>
      <c r="CA133" s="218" t="s">
        <v>1</v>
      </c>
      <c r="CB133" s="218" t="s">
        <v>1</v>
      </c>
      <c r="CC133" s="218" t="s">
        <v>1</v>
      </c>
      <c r="CD133" s="218" t="s">
        <v>1</v>
      </c>
      <c r="CE133" s="218" t="s">
        <v>1</v>
      </c>
      <c r="CF133" s="117" t="s">
        <v>1</v>
      </c>
    </row>
    <row r="134" ht="25" customHeight="1" spans="1:84">
      <c r="A134" s="29">
        <v>45237</v>
      </c>
      <c r="B134" s="7" t="s">
        <v>1</v>
      </c>
      <c r="C134" s="7" t="s">
        <v>1</v>
      </c>
      <c r="D134" s="7" t="s">
        <v>1</v>
      </c>
      <c r="E134" s="7" t="s">
        <v>1</v>
      </c>
      <c r="F134" s="7" t="s">
        <v>1</v>
      </c>
      <c r="G134" s="48" t="s">
        <v>1</v>
      </c>
      <c r="H134" s="48" t="s">
        <v>1</v>
      </c>
      <c r="I134" s="48" t="s">
        <v>1</v>
      </c>
      <c r="J134" s="48" t="s">
        <v>1</v>
      </c>
      <c r="K134" s="48" t="s">
        <v>1</v>
      </c>
      <c r="L134" s="127" t="s">
        <v>1</v>
      </c>
      <c r="M134" s="48" t="s">
        <v>1</v>
      </c>
      <c r="N134" s="48" t="s">
        <v>1</v>
      </c>
      <c r="O134" s="48" t="s">
        <v>1</v>
      </c>
      <c r="P134" s="48" t="s">
        <v>1</v>
      </c>
      <c r="Q134" s="48" t="s">
        <v>1</v>
      </c>
      <c r="R134" s="48" t="s">
        <v>1</v>
      </c>
      <c r="S134" s="48" t="s">
        <v>1</v>
      </c>
      <c r="T134" s="48" t="s">
        <v>1</v>
      </c>
      <c r="U134" s="48" t="s">
        <v>1</v>
      </c>
      <c r="V134" s="117" t="s">
        <v>1</v>
      </c>
      <c r="W134" s="117" t="s">
        <v>1</v>
      </c>
      <c r="X134" s="117" t="s">
        <v>1</v>
      </c>
      <c r="Y134" s="117" t="s">
        <v>1</v>
      </c>
      <c r="Z134" s="318" t="s">
        <v>1</v>
      </c>
      <c r="AA134" s="318" t="s">
        <v>1</v>
      </c>
      <c r="AB134" s="318" t="s">
        <v>1</v>
      </c>
      <c r="AC134" s="117" t="s">
        <v>1</v>
      </c>
      <c r="AD134" s="117" t="s">
        <v>1</v>
      </c>
      <c r="AE134" s="117" t="s">
        <v>1</v>
      </c>
      <c r="AF134" s="117" t="s">
        <v>1</v>
      </c>
      <c r="AG134" s="117" t="s">
        <v>1</v>
      </c>
      <c r="AH134" s="117" t="s">
        <v>1</v>
      </c>
      <c r="AI134" s="117" t="s">
        <v>1</v>
      </c>
      <c r="AJ134" s="117" t="s">
        <v>1</v>
      </c>
      <c r="AK134" s="117" t="s">
        <v>1</v>
      </c>
      <c r="AL134" s="117" t="s">
        <v>1</v>
      </c>
      <c r="AM134" s="117" t="s">
        <v>1</v>
      </c>
      <c r="AN134" s="117" t="s">
        <v>1</v>
      </c>
      <c r="AO134" s="117" t="s">
        <v>1</v>
      </c>
      <c r="AP134" s="117" t="s">
        <v>1</v>
      </c>
      <c r="AQ134" s="117" t="s">
        <v>1</v>
      </c>
      <c r="AR134" s="117" t="s">
        <v>1</v>
      </c>
      <c r="AS134" s="117" t="s">
        <v>1</v>
      </c>
      <c r="AT134" s="117" t="s">
        <v>1</v>
      </c>
      <c r="AU134" s="117" t="s">
        <v>1</v>
      </c>
      <c r="AV134" s="117" t="s">
        <v>1</v>
      </c>
      <c r="AW134" s="117" t="s">
        <v>1</v>
      </c>
      <c r="AX134" s="117" t="s">
        <v>1</v>
      </c>
      <c r="AY134" s="117" t="s">
        <v>1</v>
      </c>
      <c r="AZ134" s="117" t="s">
        <v>1</v>
      </c>
      <c r="BA134" s="117" t="s">
        <v>1</v>
      </c>
      <c r="BB134" s="117" t="s">
        <v>1</v>
      </c>
      <c r="BC134" s="117" t="s">
        <v>1</v>
      </c>
      <c r="BD134" s="117" t="s">
        <v>1</v>
      </c>
      <c r="BE134" s="117" t="s">
        <v>1</v>
      </c>
      <c r="BF134" s="117" t="s">
        <v>1</v>
      </c>
      <c r="BG134" s="217" t="s">
        <v>1</v>
      </c>
      <c r="BH134" s="217" t="s">
        <v>1</v>
      </c>
      <c r="BI134" s="7" t="s">
        <v>102</v>
      </c>
      <c r="BJ134" s="7">
        <v>13</v>
      </c>
      <c r="BK134" s="7">
        <v>5703</v>
      </c>
      <c r="BL134" s="7" t="s">
        <v>1</v>
      </c>
      <c r="BM134" s="7" t="s">
        <v>73</v>
      </c>
      <c r="BN134" s="7">
        <v>71</v>
      </c>
      <c r="BO134" s="7">
        <v>2611</v>
      </c>
      <c r="BP134" s="218" t="s">
        <v>1</v>
      </c>
      <c r="BQ134" s="218" t="s">
        <v>1</v>
      </c>
      <c r="BR134" s="218" t="s">
        <v>1</v>
      </c>
      <c r="BS134" s="218" t="s">
        <v>1</v>
      </c>
      <c r="BT134" s="218" t="s">
        <v>1</v>
      </c>
      <c r="BU134" s="218" t="s">
        <v>1</v>
      </c>
      <c r="BV134" s="218" t="s">
        <v>1</v>
      </c>
      <c r="BW134" s="218" t="s">
        <v>1</v>
      </c>
      <c r="BX134" s="218" t="s">
        <v>1</v>
      </c>
      <c r="BY134" s="218" t="s">
        <v>1</v>
      </c>
      <c r="BZ134" s="218" t="s">
        <v>1</v>
      </c>
      <c r="CA134" s="218" t="s">
        <v>1</v>
      </c>
      <c r="CB134" s="218" t="s">
        <v>1</v>
      </c>
      <c r="CC134" s="218" t="s">
        <v>1</v>
      </c>
      <c r="CD134" s="218" t="s">
        <v>1</v>
      </c>
      <c r="CE134" s="218" t="s">
        <v>1</v>
      </c>
      <c r="CF134" s="117" t="s">
        <v>1</v>
      </c>
    </row>
    <row r="135" ht="25" customHeight="1" spans="1:84">
      <c r="A135" s="29">
        <v>45238</v>
      </c>
      <c r="B135" s="7" t="s">
        <v>1</v>
      </c>
      <c r="C135" s="7" t="s">
        <v>1</v>
      </c>
      <c r="D135" s="7" t="s">
        <v>1</v>
      </c>
      <c r="E135" s="7" t="s">
        <v>1</v>
      </c>
      <c r="F135" s="7" t="s">
        <v>1</v>
      </c>
      <c r="G135" s="48" t="s">
        <v>1</v>
      </c>
      <c r="H135" s="48" t="s">
        <v>1</v>
      </c>
      <c r="I135" s="48" t="s">
        <v>1</v>
      </c>
      <c r="J135" s="48" t="s">
        <v>1</v>
      </c>
      <c r="K135" s="48" t="s">
        <v>1</v>
      </c>
      <c r="L135" s="127" t="s">
        <v>1</v>
      </c>
      <c r="M135" s="48" t="s">
        <v>1</v>
      </c>
      <c r="N135" s="48" t="s">
        <v>1</v>
      </c>
      <c r="O135" s="48" t="s">
        <v>1</v>
      </c>
      <c r="P135" s="48" t="s">
        <v>1</v>
      </c>
      <c r="Q135" s="48" t="s">
        <v>1</v>
      </c>
      <c r="R135" s="48" t="s">
        <v>1</v>
      </c>
      <c r="S135" s="48" t="s">
        <v>1</v>
      </c>
      <c r="T135" s="48" t="s">
        <v>1</v>
      </c>
      <c r="U135" s="48" t="s">
        <v>1</v>
      </c>
      <c r="V135" s="117" t="s">
        <v>1</v>
      </c>
      <c r="W135" s="117" t="s">
        <v>1</v>
      </c>
      <c r="X135" s="117" t="s">
        <v>1</v>
      </c>
      <c r="Y135" s="117" t="s">
        <v>1</v>
      </c>
      <c r="Z135" s="318" t="s">
        <v>1</v>
      </c>
      <c r="AA135" s="318" t="s">
        <v>1</v>
      </c>
      <c r="AB135" s="318" t="s">
        <v>1</v>
      </c>
      <c r="AC135" s="117" t="s">
        <v>1</v>
      </c>
      <c r="AD135" s="117" t="s">
        <v>1</v>
      </c>
      <c r="AE135" s="117" t="s">
        <v>1</v>
      </c>
      <c r="AF135" s="117" t="s">
        <v>1</v>
      </c>
      <c r="AG135" s="117" t="s">
        <v>1</v>
      </c>
      <c r="AH135" s="117" t="s">
        <v>1</v>
      </c>
      <c r="AI135" s="117" t="s">
        <v>1</v>
      </c>
      <c r="AJ135" s="117" t="s">
        <v>1</v>
      </c>
      <c r="AK135" s="117" t="s">
        <v>1</v>
      </c>
      <c r="AL135" s="117" t="s">
        <v>1</v>
      </c>
      <c r="AM135" s="117" t="s">
        <v>1</v>
      </c>
      <c r="AN135" s="117" t="s">
        <v>1</v>
      </c>
      <c r="AO135" s="117" t="s">
        <v>1</v>
      </c>
      <c r="AP135" s="117" t="s">
        <v>1</v>
      </c>
      <c r="AQ135" s="117" t="s">
        <v>1</v>
      </c>
      <c r="AR135" s="117" t="s">
        <v>1</v>
      </c>
      <c r="AS135" s="117" t="s">
        <v>1</v>
      </c>
      <c r="AT135" s="117" t="s">
        <v>1</v>
      </c>
      <c r="AU135" s="117" t="s">
        <v>1</v>
      </c>
      <c r="AV135" s="117" t="s">
        <v>1</v>
      </c>
      <c r="AW135" s="117" t="s">
        <v>1</v>
      </c>
      <c r="AX135" s="117" t="s">
        <v>1</v>
      </c>
      <c r="AY135" s="117" t="s">
        <v>1</v>
      </c>
      <c r="AZ135" s="117" t="s">
        <v>1</v>
      </c>
      <c r="BA135" s="117" t="s">
        <v>1</v>
      </c>
      <c r="BB135" s="117" t="s">
        <v>1</v>
      </c>
      <c r="BC135" s="117" t="s">
        <v>1</v>
      </c>
      <c r="BD135" s="117" t="s">
        <v>1</v>
      </c>
      <c r="BE135" s="117" t="s">
        <v>1</v>
      </c>
      <c r="BF135" s="117" t="s">
        <v>1</v>
      </c>
      <c r="BG135" s="217" t="s">
        <v>1</v>
      </c>
      <c r="BH135" s="217" t="s">
        <v>1</v>
      </c>
      <c r="BI135" s="217" t="s">
        <v>1</v>
      </c>
      <c r="BJ135" s="217" t="s">
        <v>1</v>
      </c>
      <c r="BK135" s="217" t="s">
        <v>1</v>
      </c>
      <c r="BL135" s="217" t="s">
        <v>1</v>
      </c>
      <c r="BM135" s="217" t="s">
        <v>1</v>
      </c>
      <c r="BN135" s="217" t="s">
        <v>1</v>
      </c>
      <c r="BO135" s="217" t="s">
        <v>1</v>
      </c>
      <c r="BP135" s="218" t="s">
        <v>1</v>
      </c>
      <c r="BQ135" s="218" t="s">
        <v>1</v>
      </c>
      <c r="BR135" s="218" t="s">
        <v>1</v>
      </c>
      <c r="BS135" s="218" t="s">
        <v>1</v>
      </c>
      <c r="BT135" s="218" t="s">
        <v>1</v>
      </c>
      <c r="BU135" s="218" t="s">
        <v>1</v>
      </c>
      <c r="BV135" s="218" t="s">
        <v>1</v>
      </c>
      <c r="BW135" s="218" t="s">
        <v>1</v>
      </c>
      <c r="BX135" s="218" t="s">
        <v>1</v>
      </c>
      <c r="BY135" s="218" t="s">
        <v>1</v>
      </c>
      <c r="BZ135" s="218" t="s">
        <v>1</v>
      </c>
      <c r="CA135" s="218" t="s">
        <v>1</v>
      </c>
      <c r="CB135" s="218" t="s">
        <v>1</v>
      </c>
      <c r="CC135" s="218" t="s">
        <v>1</v>
      </c>
      <c r="CD135" s="218" t="s">
        <v>1</v>
      </c>
      <c r="CE135" s="218" t="s">
        <v>1</v>
      </c>
      <c r="CF135" s="117" t="s">
        <v>1</v>
      </c>
    </row>
    <row r="136" ht="25" customHeight="1" spans="1:84">
      <c r="A136" s="29">
        <v>45239</v>
      </c>
      <c r="B136" s="7" t="s">
        <v>1</v>
      </c>
      <c r="C136" s="7" t="s">
        <v>1</v>
      </c>
      <c r="D136" s="7" t="s">
        <v>1</v>
      </c>
      <c r="E136" s="7" t="s">
        <v>1</v>
      </c>
      <c r="F136" s="7" t="s">
        <v>1</v>
      </c>
      <c r="G136" s="48" t="s">
        <v>1</v>
      </c>
      <c r="H136" s="48" t="s">
        <v>1</v>
      </c>
      <c r="I136" s="48" t="s">
        <v>1</v>
      </c>
      <c r="J136" s="48" t="s">
        <v>1</v>
      </c>
      <c r="K136" s="48" t="s">
        <v>1</v>
      </c>
      <c r="L136" s="127" t="s">
        <v>1</v>
      </c>
      <c r="M136" s="48" t="s">
        <v>1</v>
      </c>
      <c r="N136" s="48" t="s">
        <v>1</v>
      </c>
      <c r="O136" s="48" t="s">
        <v>1</v>
      </c>
      <c r="P136" s="48" t="s">
        <v>1</v>
      </c>
      <c r="Q136" s="48" t="s">
        <v>1</v>
      </c>
      <c r="R136" s="48" t="s">
        <v>1</v>
      </c>
      <c r="S136" s="48" t="s">
        <v>1</v>
      </c>
      <c r="T136" s="48" t="s">
        <v>1</v>
      </c>
      <c r="U136" s="48" t="s">
        <v>1</v>
      </c>
      <c r="V136" s="117" t="s">
        <v>1</v>
      </c>
      <c r="W136" s="117" t="s">
        <v>1</v>
      </c>
      <c r="X136" s="117" t="s">
        <v>1</v>
      </c>
      <c r="Y136" s="117" t="s">
        <v>1</v>
      </c>
      <c r="Z136" s="318" t="s">
        <v>1</v>
      </c>
      <c r="AA136" s="318" t="s">
        <v>1</v>
      </c>
      <c r="AB136" s="318" t="s">
        <v>1</v>
      </c>
      <c r="AC136" s="117" t="s">
        <v>1</v>
      </c>
      <c r="AD136" s="117" t="s">
        <v>1</v>
      </c>
      <c r="AE136" s="117" t="s">
        <v>1</v>
      </c>
      <c r="AF136" s="117" t="s">
        <v>1</v>
      </c>
      <c r="AG136" s="117" t="s">
        <v>1</v>
      </c>
      <c r="AH136" s="117" t="s">
        <v>1</v>
      </c>
      <c r="AI136" s="117" t="s">
        <v>1</v>
      </c>
      <c r="AJ136" s="117" t="s">
        <v>1</v>
      </c>
      <c r="AK136" s="117" t="s">
        <v>1</v>
      </c>
      <c r="AL136" s="117" t="s">
        <v>1</v>
      </c>
      <c r="AM136" s="117" t="s">
        <v>1</v>
      </c>
      <c r="AN136" s="117" t="s">
        <v>1</v>
      </c>
      <c r="AO136" s="117" t="s">
        <v>1</v>
      </c>
      <c r="AP136" s="117" t="s">
        <v>1</v>
      </c>
      <c r="AQ136" s="117" t="s">
        <v>1</v>
      </c>
      <c r="AR136" s="117" t="s">
        <v>1</v>
      </c>
      <c r="AS136" s="117" t="s">
        <v>1</v>
      </c>
      <c r="AT136" s="117" t="s">
        <v>1</v>
      </c>
      <c r="AU136" s="117" t="s">
        <v>1</v>
      </c>
      <c r="AV136" s="117" t="s">
        <v>1</v>
      </c>
      <c r="AW136" s="117" t="s">
        <v>1</v>
      </c>
      <c r="AX136" s="117" t="s">
        <v>1</v>
      </c>
      <c r="AY136" s="117" t="s">
        <v>1</v>
      </c>
      <c r="AZ136" s="117" t="s">
        <v>1</v>
      </c>
      <c r="BA136" s="117" t="s">
        <v>1</v>
      </c>
      <c r="BB136" s="117" t="s">
        <v>1</v>
      </c>
      <c r="BC136" s="117" t="s">
        <v>1</v>
      </c>
      <c r="BD136" s="117" t="s">
        <v>1</v>
      </c>
      <c r="BE136" s="117" t="s">
        <v>1</v>
      </c>
      <c r="BF136" s="117" t="s">
        <v>1</v>
      </c>
      <c r="BG136" s="217" t="s">
        <v>1</v>
      </c>
      <c r="BH136" s="217" t="s">
        <v>1</v>
      </c>
      <c r="BI136" s="217" t="s">
        <v>1</v>
      </c>
      <c r="BJ136" s="217" t="s">
        <v>1</v>
      </c>
      <c r="BK136" s="217" t="s">
        <v>1</v>
      </c>
      <c r="BL136" s="217" t="s">
        <v>1</v>
      </c>
      <c r="BM136" s="217" t="s">
        <v>1</v>
      </c>
      <c r="BN136" s="217" t="s">
        <v>1</v>
      </c>
      <c r="BO136" s="217" t="s">
        <v>1</v>
      </c>
      <c r="BP136" s="218" t="s">
        <v>1</v>
      </c>
      <c r="BQ136" s="218" t="s">
        <v>1</v>
      </c>
      <c r="BR136" s="218" t="s">
        <v>1</v>
      </c>
      <c r="BS136" s="218" t="s">
        <v>1</v>
      </c>
      <c r="BT136" s="218" t="s">
        <v>1</v>
      </c>
      <c r="BU136" s="218" t="s">
        <v>1</v>
      </c>
      <c r="BV136" s="218" t="s">
        <v>1</v>
      </c>
      <c r="BW136" s="218" t="s">
        <v>1</v>
      </c>
      <c r="BX136" s="218" t="s">
        <v>1</v>
      </c>
      <c r="BY136" s="218" t="s">
        <v>1</v>
      </c>
      <c r="BZ136" s="218" t="s">
        <v>1</v>
      </c>
      <c r="CA136" s="218" t="s">
        <v>1</v>
      </c>
      <c r="CB136" s="218" t="s">
        <v>1</v>
      </c>
      <c r="CC136" s="218" t="s">
        <v>1</v>
      </c>
      <c r="CD136" s="218" t="s">
        <v>1</v>
      </c>
      <c r="CE136" s="218" t="s">
        <v>1</v>
      </c>
      <c r="CF136" s="117" t="s">
        <v>1</v>
      </c>
    </row>
    <row r="137" ht="25" customHeight="1" spans="1:84">
      <c r="A137" s="29">
        <v>45240</v>
      </c>
      <c r="B137" s="7" t="s">
        <v>1</v>
      </c>
      <c r="C137" s="7" t="s">
        <v>1</v>
      </c>
      <c r="D137" s="7" t="s">
        <v>1</v>
      </c>
      <c r="E137" s="7" t="s">
        <v>1</v>
      </c>
      <c r="F137" s="7" t="s">
        <v>1</v>
      </c>
      <c r="G137" s="48" t="s">
        <v>1</v>
      </c>
      <c r="H137" s="48" t="s">
        <v>1</v>
      </c>
      <c r="I137" s="48" t="s">
        <v>1</v>
      </c>
      <c r="J137" s="48" t="s">
        <v>1</v>
      </c>
      <c r="K137" s="48" t="s">
        <v>1</v>
      </c>
      <c r="L137" s="127" t="s">
        <v>1</v>
      </c>
      <c r="M137" s="48" t="s">
        <v>1</v>
      </c>
      <c r="N137" s="48" t="s">
        <v>1</v>
      </c>
      <c r="O137" s="48" t="s">
        <v>1</v>
      </c>
      <c r="P137" s="48" t="s">
        <v>1</v>
      </c>
      <c r="Q137" s="48" t="s">
        <v>1</v>
      </c>
      <c r="R137" s="48" t="s">
        <v>1</v>
      </c>
      <c r="S137" s="48" t="s">
        <v>1</v>
      </c>
      <c r="T137" s="48" t="s">
        <v>1</v>
      </c>
      <c r="U137" s="48" t="s">
        <v>1</v>
      </c>
      <c r="V137" s="117" t="s">
        <v>1</v>
      </c>
      <c r="W137" s="117" t="s">
        <v>1</v>
      </c>
      <c r="X137" s="117" t="s">
        <v>1</v>
      </c>
      <c r="Y137" s="117" t="s">
        <v>1</v>
      </c>
      <c r="Z137" s="318" t="s">
        <v>1</v>
      </c>
      <c r="AA137" s="318" t="s">
        <v>1</v>
      </c>
      <c r="AB137" s="318" t="s">
        <v>1</v>
      </c>
      <c r="AC137" s="117" t="s">
        <v>1</v>
      </c>
      <c r="AD137" s="117" t="s">
        <v>1</v>
      </c>
      <c r="AE137" s="117" t="s">
        <v>1</v>
      </c>
      <c r="AF137" s="117" t="s">
        <v>1</v>
      </c>
      <c r="AG137" s="117" t="s">
        <v>1</v>
      </c>
      <c r="AH137" s="117" t="s">
        <v>1</v>
      </c>
      <c r="AI137" s="117" t="s">
        <v>1</v>
      </c>
      <c r="AJ137" s="117" t="s">
        <v>1</v>
      </c>
      <c r="AK137" s="117" t="s">
        <v>1</v>
      </c>
      <c r="AL137" s="117" t="s">
        <v>1</v>
      </c>
      <c r="AM137" s="117" t="s">
        <v>1</v>
      </c>
      <c r="AN137" s="117" t="s">
        <v>1</v>
      </c>
      <c r="AO137" s="117" t="s">
        <v>1</v>
      </c>
      <c r="AP137" s="117" t="s">
        <v>1</v>
      </c>
      <c r="AQ137" s="117" t="s">
        <v>1</v>
      </c>
      <c r="AR137" s="117" t="s">
        <v>1</v>
      </c>
      <c r="AS137" s="117" t="s">
        <v>1</v>
      </c>
      <c r="AT137" s="117" t="s">
        <v>1</v>
      </c>
      <c r="AU137" s="117" t="s">
        <v>1</v>
      </c>
      <c r="AV137" s="117" t="s">
        <v>1</v>
      </c>
      <c r="AW137" s="117" t="s">
        <v>1</v>
      </c>
      <c r="AX137" s="117" t="s">
        <v>1</v>
      </c>
      <c r="AY137" s="117" t="s">
        <v>1</v>
      </c>
      <c r="AZ137" s="117" t="s">
        <v>1</v>
      </c>
      <c r="BA137" s="117" t="s">
        <v>1</v>
      </c>
      <c r="BB137" s="117" t="s">
        <v>1</v>
      </c>
      <c r="BC137" s="117" t="s">
        <v>1</v>
      </c>
      <c r="BD137" s="117" t="s">
        <v>1</v>
      </c>
      <c r="BE137" s="117" t="s">
        <v>1</v>
      </c>
      <c r="BF137" s="117" t="s">
        <v>1</v>
      </c>
      <c r="BG137" s="217" t="s">
        <v>1</v>
      </c>
      <c r="BH137" s="217" t="s">
        <v>1</v>
      </c>
      <c r="BI137" s="217" t="s">
        <v>1</v>
      </c>
      <c r="BJ137" s="217" t="s">
        <v>1</v>
      </c>
      <c r="BK137" s="217" t="s">
        <v>1</v>
      </c>
      <c r="BL137" s="217" t="s">
        <v>1</v>
      </c>
      <c r="BM137" s="217" t="s">
        <v>1</v>
      </c>
      <c r="BN137" s="217" t="s">
        <v>1</v>
      </c>
      <c r="BO137" s="217" t="s">
        <v>1</v>
      </c>
      <c r="BP137" s="218" t="s">
        <v>1</v>
      </c>
      <c r="BQ137" s="218" t="s">
        <v>1</v>
      </c>
      <c r="BR137" s="218" t="s">
        <v>1</v>
      </c>
      <c r="BS137" s="218" t="s">
        <v>1</v>
      </c>
      <c r="BT137" s="218" t="s">
        <v>1</v>
      </c>
      <c r="BU137" s="218" t="s">
        <v>1</v>
      </c>
      <c r="BV137" s="218" t="s">
        <v>1</v>
      </c>
      <c r="BW137" s="218" t="s">
        <v>1</v>
      </c>
      <c r="BX137" s="218" t="s">
        <v>1</v>
      </c>
      <c r="BY137" s="218" t="s">
        <v>1</v>
      </c>
      <c r="BZ137" s="218" t="s">
        <v>1</v>
      </c>
      <c r="CA137" s="218" t="s">
        <v>1</v>
      </c>
      <c r="CB137" s="218" t="s">
        <v>1</v>
      </c>
      <c r="CC137" s="218" t="s">
        <v>1</v>
      </c>
      <c r="CD137" s="218" t="s">
        <v>1</v>
      </c>
      <c r="CE137" s="218" t="s">
        <v>1</v>
      </c>
      <c r="CF137" s="117" t="s">
        <v>1</v>
      </c>
    </row>
    <row r="138" ht="25" customHeight="1" spans="1:84">
      <c r="A138" s="29">
        <v>45241</v>
      </c>
      <c r="B138" s="7" t="s">
        <v>1</v>
      </c>
      <c r="C138" s="7" t="s">
        <v>1</v>
      </c>
      <c r="D138" s="7" t="s">
        <v>1</v>
      </c>
      <c r="E138" s="7" t="s">
        <v>1</v>
      </c>
      <c r="F138" s="7" t="s">
        <v>1</v>
      </c>
      <c r="G138" s="48" t="s">
        <v>1</v>
      </c>
      <c r="H138" s="48" t="s">
        <v>1</v>
      </c>
      <c r="I138" s="48" t="s">
        <v>1</v>
      </c>
      <c r="J138" s="48" t="s">
        <v>1</v>
      </c>
      <c r="K138" s="48" t="s">
        <v>1</v>
      </c>
      <c r="L138" s="127" t="s">
        <v>1</v>
      </c>
      <c r="M138" s="48" t="s">
        <v>1</v>
      </c>
      <c r="N138" s="48" t="s">
        <v>1</v>
      </c>
      <c r="O138" s="48" t="s">
        <v>1</v>
      </c>
      <c r="P138" s="48" t="s">
        <v>1</v>
      </c>
      <c r="Q138" s="48" t="s">
        <v>1</v>
      </c>
      <c r="R138" s="48" t="s">
        <v>1</v>
      </c>
      <c r="S138" s="48" t="s">
        <v>1</v>
      </c>
      <c r="T138" s="48" t="s">
        <v>1</v>
      </c>
      <c r="U138" s="48" t="s">
        <v>1</v>
      </c>
      <c r="V138" s="117" t="s">
        <v>1</v>
      </c>
      <c r="W138" s="117" t="s">
        <v>1</v>
      </c>
      <c r="X138" s="117" t="s">
        <v>1</v>
      </c>
      <c r="Y138" s="117" t="s">
        <v>1</v>
      </c>
      <c r="Z138" s="318" t="s">
        <v>1</v>
      </c>
      <c r="AA138" s="318" t="s">
        <v>1</v>
      </c>
      <c r="AB138" s="318" t="s">
        <v>1</v>
      </c>
      <c r="AC138" s="117" t="s">
        <v>1</v>
      </c>
      <c r="AD138" s="117" t="s">
        <v>1</v>
      </c>
      <c r="AE138" s="117" t="s">
        <v>1</v>
      </c>
      <c r="AF138" s="117" t="s">
        <v>1</v>
      </c>
      <c r="AG138" s="117" t="s">
        <v>1</v>
      </c>
      <c r="AH138" s="117" t="s">
        <v>1</v>
      </c>
      <c r="AI138" s="117" t="s">
        <v>1</v>
      </c>
      <c r="AJ138" s="117" t="s">
        <v>1</v>
      </c>
      <c r="AK138" s="117" t="s">
        <v>1</v>
      </c>
      <c r="AL138" s="117" t="s">
        <v>1</v>
      </c>
      <c r="AM138" s="117" t="s">
        <v>1</v>
      </c>
      <c r="AN138" s="117" t="s">
        <v>1</v>
      </c>
      <c r="AO138" s="117" t="s">
        <v>1</v>
      </c>
      <c r="AP138" s="117" t="s">
        <v>1</v>
      </c>
      <c r="AQ138" s="117" t="s">
        <v>1</v>
      </c>
      <c r="AR138" s="117" t="s">
        <v>1</v>
      </c>
      <c r="AS138" s="117" t="s">
        <v>1</v>
      </c>
      <c r="AT138" s="117" t="s">
        <v>1</v>
      </c>
      <c r="AU138" s="117" t="s">
        <v>1</v>
      </c>
      <c r="AV138" s="117" t="s">
        <v>1</v>
      </c>
      <c r="AW138" s="117" t="s">
        <v>1</v>
      </c>
      <c r="AX138" s="117" t="s">
        <v>1</v>
      </c>
      <c r="AY138" s="117" t="s">
        <v>1</v>
      </c>
      <c r="AZ138" s="117" t="s">
        <v>1</v>
      </c>
      <c r="BA138" s="117" t="s">
        <v>1</v>
      </c>
      <c r="BB138" s="117" t="s">
        <v>1</v>
      </c>
      <c r="BC138" s="117" t="s">
        <v>1</v>
      </c>
      <c r="BD138" s="117" t="s">
        <v>1</v>
      </c>
      <c r="BE138" s="117" t="s">
        <v>1</v>
      </c>
      <c r="BF138" s="117" t="s">
        <v>1</v>
      </c>
      <c r="BG138" s="217" t="s">
        <v>1</v>
      </c>
      <c r="BH138" s="217" t="s">
        <v>1</v>
      </c>
      <c r="BI138" s="217" t="s">
        <v>1</v>
      </c>
      <c r="BJ138" s="217" t="s">
        <v>1</v>
      </c>
      <c r="BK138" s="217" t="s">
        <v>1</v>
      </c>
      <c r="BL138" s="217" t="s">
        <v>1</v>
      </c>
      <c r="BM138" s="217" t="s">
        <v>1</v>
      </c>
      <c r="BN138" s="217" t="s">
        <v>1</v>
      </c>
      <c r="BO138" s="217" t="s">
        <v>1</v>
      </c>
      <c r="BP138" s="218" t="s">
        <v>1</v>
      </c>
      <c r="BQ138" s="218" t="s">
        <v>1</v>
      </c>
      <c r="BR138" s="218" t="s">
        <v>1</v>
      </c>
      <c r="BS138" s="218" t="s">
        <v>1</v>
      </c>
      <c r="BT138" s="218" t="s">
        <v>1</v>
      </c>
      <c r="BU138" s="218" t="s">
        <v>1</v>
      </c>
      <c r="BV138" s="218" t="s">
        <v>1</v>
      </c>
      <c r="BW138" s="218" t="s">
        <v>1</v>
      </c>
      <c r="BX138" s="218" t="s">
        <v>1</v>
      </c>
      <c r="BY138" s="218" t="s">
        <v>1</v>
      </c>
      <c r="BZ138" s="218" t="s">
        <v>1</v>
      </c>
      <c r="CA138" s="218" t="s">
        <v>1</v>
      </c>
      <c r="CB138" s="218" t="s">
        <v>1</v>
      </c>
      <c r="CC138" s="218" t="s">
        <v>1</v>
      </c>
      <c r="CD138" s="218" t="s">
        <v>1</v>
      </c>
      <c r="CE138" s="218" t="s">
        <v>1</v>
      </c>
      <c r="CF138" s="117" t="s">
        <v>1</v>
      </c>
    </row>
    <row r="139" ht="25" customHeight="1" spans="1:84">
      <c r="A139" s="29">
        <v>45242</v>
      </c>
      <c r="B139" s="7" t="s">
        <v>1</v>
      </c>
      <c r="C139" s="7" t="s">
        <v>1</v>
      </c>
      <c r="D139" s="7" t="s">
        <v>1</v>
      </c>
      <c r="E139" s="7" t="s">
        <v>1</v>
      </c>
      <c r="F139" s="7" t="s">
        <v>1</v>
      </c>
      <c r="G139" s="48" t="s">
        <v>1</v>
      </c>
      <c r="H139" s="48" t="s">
        <v>1</v>
      </c>
      <c r="I139" s="48" t="s">
        <v>1</v>
      </c>
      <c r="J139" s="48" t="s">
        <v>1</v>
      </c>
      <c r="K139" s="48" t="s">
        <v>1</v>
      </c>
      <c r="L139" s="127" t="s">
        <v>1</v>
      </c>
      <c r="M139" s="48" t="s">
        <v>1</v>
      </c>
      <c r="N139" s="48" t="s">
        <v>1</v>
      </c>
      <c r="O139" s="48" t="s">
        <v>1</v>
      </c>
      <c r="P139" s="48" t="s">
        <v>1</v>
      </c>
      <c r="Q139" s="48" t="s">
        <v>1</v>
      </c>
      <c r="R139" s="48" t="s">
        <v>1</v>
      </c>
      <c r="S139" s="48" t="s">
        <v>1</v>
      </c>
      <c r="T139" s="48" t="s">
        <v>1</v>
      </c>
      <c r="U139" s="48" t="s">
        <v>1</v>
      </c>
      <c r="V139" s="117" t="s">
        <v>1</v>
      </c>
      <c r="W139" s="117" t="s">
        <v>1</v>
      </c>
      <c r="X139" s="117" t="s">
        <v>1</v>
      </c>
      <c r="Y139" s="117" t="s">
        <v>1</v>
      </c>
      <c r="Z139" s="318" t="s">
        <v>1</v>
      </c>
      <c r="AA139" s="318" t="s">
        <v>1</v>
      </c>
      <c r="AB139" s="318" t="s">
        <v>1</v>
      </c>
      <c r="AC139" s="117" t="s">
        <v>1</v>
      </c>
      <c r="AD139" s="117" t="s">
        <v>1</v>
      </c>
      <c r="AE139" s="117" t="s">
        <v>1</v>
      </c>
      <c r="AF139" s="117" t="s">
        <v>1</v>
      </c>
      <c r="AG139" s="117" t="s">
        <v>1</v>
      </c>
      <c r="AH139" s="117" t="s">
        <v>1</v>
      </c>
      <c r="AI139" s="117" t="s">
        <v>1</v>
      </c>
      <c r="AJ139" s="117" t="s">
        <v>1</v>
      </c>
      <c r="AK139" s="117" t="s">
        <v>1</v>
      </c>
      <c r="AL139" s="117" t="s">
        <v>1</v>
      </c>
      <c r="AM139" s="117" t="s">
        <v>1</v>
      </c>
      <c r="AN139" s="117" t="s">
        <v>1</v>
      </c>
      <c r="AO139" s="117" t="s">
        <v>1</v>
      </c>
      <c r="AP139" s="117" t="s">
        <v>1</v>
      </c>
      <c r="AQ139" s="117" t="s">
        <v>1</v>
      </c>
      <c r="AR139" s="117" t="s">
        <v>1</v>
      </c>
      <c r="AS139" s="117" t="s">
        <v>1</v>
      </c>
      <c r="AT139" s="117" t="s">
        <v>1</v>
      </c>
      <c r="AU139" s="117" t="s">
        <v>1</v>
      </c>
      <c r="AV139" s="117" t="s">
        <v>1</v>
      </c>
      <c r="AW139" s="117" t="s">
        <v>1</v>
      </c>
      <c r="AX139" s="117" t="s">
        <v>1</v>
      </c>
      <c r="AY139" s="117" t="s">
        <v>1</v>
      </c>
      <c r="AZ139" s="117" t="s">
        <v>1</v>
      </c>
      <c r="BA139" s="117" t="s">
        <v>1</v>
      </c>
      <c r="BB139" s="117" t="s">
        <v>1</v>
      </c>
      <c r="BC139" s="117" t="s">
        <v>1</v>
      </c>
      <c r="BD139" s="117" t="s">
        <v>1</v>
      </c>
      <c r="BE139" s="117" t="s">
        <v>1</v>
      </c>
      <c r="BF139" s="117" t="s">
        <v>1</v>
      </c>
      <c r="BG139" s="217" t="s">
        <v>1</v>
      </c>
      <c r="BH139" s="217" t="s">
        <v>1</v>
      </c>
      <c r="BI139" s="217" t="s">
        <v>1</v>
      </c>
      <c r="BJ139" s="217" t="s">
        <v>1</v>
      </c>
      <c r="BK139" s="217" t="s">
        <v>1</v>
      </c>
      <c r="BL139" s="217" t="s">
        <v>1</v>
      </c>
      <c r="BM139" s="217" t="s">
        <v>1</v>
      </c>
      <c r="BN139" s="217" t="s">
        <v>1</v>
      </c>
      <c r="BO139" s="217" t="s">
        <v>1</v>
      </c>
      <c r="BP139" s="218" t="s">
        <v>1</v>
      </c>
      <c r="BQ139" s="218" t="s">
        <v>1</v>
      </c>
      <c r="BR139" s="218" t="s">
        <v>1</v>
      </c>
      <c r="BS139" s="218" t="s">
        <v>1</v>
      </c>
      <c r="BT139" s="218" t="s">
        <v>1</v>
      </c>
      <c r="BU139" s="218" t="s">
        <v>1</v>
      </c>
      <c r="BV139" s="218" t="s">
        <v>1</v>
      </c>
      <c r="BW139" s="218" t="s">
        <v>1</v>
      </c>
      <c r="BX139" s="218" t="s">
        <v>1</v>
      </c>
      <c r="BY139" s="218" t="s">
        <v>1</v>
      </c>
      <c r="BZ139" s="218" t="s">
        <v>1</v>
      </c>
      <c r="CA139" s="218" t="s">
        <v>1</v>
      </c>
      <c r="CB139" s="218" t="s">
        <v>1</v>
      </c>
      <c r="CC139" s="218" t="s">
        <v>1</v>
      </c>
      <c r="CD139" s="218" t="s">
        <v>1</v>
      </c>
      <c r="CE139" s="218" t="s">
        <v>1</v>
      </c>
      <c r="CF139" s="117" t="s">
        <v>1</v>
      </c>
    </row>
    <row r="140" ht="25" customHeight="1" spans="1:84">
      <c r="A140" s="29">
        <v>45243</v>
      </c>
      <c r="B140" s="7" t="s">
        <v>1</v>
      </c>
      <c r="C140" s="7" t="s">
        <v>1</v>
      </c>
      <c r="D140" s="7" t="s">
        <v>1</v>
      </c>
      <c r="E140" s="7" t="s">
        <v>1</v>
      </c>
      <c r="F140" s="7" t="s">
        <v>1</v>
      </c>
      <c r="G140" s="48" t="s">
        <v>1</v>
      </c>
      <c r="H140" s="48" t="s">
        <v>1</v>
      </c>
      <c r="I140" s="48" t="s">
        <v>1</v>
      </c>
      <c r="J140" s="48" t="s">
        <v>1</v>
      </c>
      <c r="K140" s="48" t="s">
        <v>1</v>
      </c>
      <c r="L140" s="127" t="s">
        <v>1</v>
      </c>
      <c r="M140" s="48" t="s">
        <v>1</v>
      </c>
      <c r="N140" s="48" t="s">
        <v>1</v>
      </c>
      <c r="O140" s="48" t="s">
        <v>1</v>
      </c>
      <c r="P140" s="48" t="s">
        <v>1</v>
      </c>
      <c r="Q140" s="48" t="s">
        <v>1</v>
      </c>
      <c r="R140" s="48" t="s">
        <v>1</v>
      </c>
      <c r="S140" s="48" t="s">
        <v>1</v>
      </c>
      <c r="T140" s="48" t="s">
        <v>1</v>
      </c>
      <c r="U140" s="48" t="s">
        <v>1</v>
      </c>
      <c r="V140" s="117" t="s">
        <v>1</v>
      </c>
      <c r="W140" s="117" t="s">
        <v>1</v>
      </c>
      <c r="X140" s="117" t="s">
        <v>1</v>
      </c>
      <c r="Y140" s="117" t="s">
        <v>1</v>
      </c>
      <c r="Z140" s="318" t="s">
        <v>1</v>
      </c>
      <c r="AA140" s="318" t="s">
        <v>1</v>
      </c>
      <c r="AB140" s="318" t="s">
        <v>1</v>
      </c>
      <c r="AC140" s="117" t="s">
        <v>1</v>
      </c>
      <c r="AD140" s="117" t="s">
        <v>1</v>
      </c>
      <c r="AE140" s="117" t="s">
        <v>1</v>
      </c>
      <c r="AF140" s="117" t="s">
        <v>1</v>
      </c>
      <c r="AG140" s="117" t="s">
        <v>1</v>
      </c>
      <c r="AH140" s="117" t="s">
        <v>1</v>
      </c>
      <c r="AI140" s="117" t="s">
        <v>1</v>
      </c>
      <c r="AJ140" s="117" t="s">
        <v>1</v>
      </c>
      <c r="AK140" s="117" t="s">
        <v>1</v>
      </c>
      <c r="AL140" s="117" t="s">
        <v>1</v>
      </c>
      <c r="AM140" s="117" t="s">
        <v>1</v>
      </c>
      <c r="AN140" s="117" t="s">
        <v>1</v>
      </c>
      <c r="AO140" s="117" t="s">
        <v>1</v>
      </c>
      <c r="AP140" s="117" t="s">
        <v>1</v>
      </c>
      <c r="AQ140" s="117" t="s">
        <v>1</v>
      </c>
      <c r="AR140" s="117" t="s">
        <v>1</v>
      </c>
      <c r="AS140" s="117" t="s">
        <v>1</v>
      </c>
      <c r="AT140" s="117" t="s">
        <v>1</v>
      </c>
      <c r="AU140" s="117" t="s">
        <v>1</v>
      </c>
      <c r="AV140" s="117" t="s">
        <v>1</v>
      </c>
      <c r="AW140" s="117" t="s">
        <v>1</v>
      </c>
      <c r="AX140" s="117" t="s">
        <v>1</v>
      </c>
      <c r="AY140" s="117" t="s">
        <v>1</v>
      </c>
      <c r="AZ140" s="117" t="s">
        <v>1</v>
      </c>
      <c r="BA140" s="117" t="s">
        <v>1</v>
      </c>
      <c r="BB140" s="117" t="s">
        <v>1</v>
      </c>
      <c r="BC140" s="117" t="s">
        <v>1</v>
      </c>
      <c r="BD140" s="117" t="s">
        <v>1</v>
      </c>
      <c r="BE140" s="117" t="s">
        <v>1</v>
      </c>
      <c r="BF140" s="117" t="s">
        <v>1</v>
      </c>
      <c r="BG140" s="217" t="s">
        <v>1</v>
      </c>
      <c r="BH140" s="217" t="s">
        <v>1</v>
      </c>
      <c r="BI140" s="217" t="s">
        <v>1</v>
      </c>
      <c r="BJ140" s="217" t="s">
        <v>1</v>
      </c>
      <c r="BK140" s="217" t="s">
        <v>1</v>
      </c>
      <c r="BL140" s="217" t="s">
        <v>1</v>
      </c>
      <c r="BM140" s="217" t="s">
        <v>1</v>
      </c>
      <c r="BN140" s="217" t="s">
        <v>1</v>
      </c>
      <c r="BO140" s="217" t="s">
        <v>1</v>
      </c>
      <c r="BP140" s="218" t="s">
        <v>1</v>
      </c>
      <c r="BQ140" s="218" t="s">
        <v>1</v>
      </c>
      <c r="BR140" s="218" t="s">
        <v>1</v>
      </c>
      <c r="BS140" s="218" t="s">
        <v>1</v>
      </c>
      <c r="BT140" s="218" t="s">
        <v>1</v>
      </c>
      <c r="BU140" s="218" t="s">
        <v>1</v>
      </c>
      <c r="BV140" s="218" t="s">
        <v>1</v>
      </c>
      <c r="BW140" s="218" t="s">
        <v>1</v>
      </c>
      <c r="BX140" s="218" t="s">
        <v>1</v>
      </c>
      <c r="BY140" s="218" t="s">
        <v>1</v>
      </c>
      <c r="BZ140" s="218" t="s">
        <v>1</v>
      </c>
      <c r="CA140" s="218" t="s">
        <v>1</v>
      </c>
      <c r="CB140" s="218" t="s">
        <v>1</v>
      </c>
      <c r="CC140" s="218" t="s">
        <v>1</v>
      </c>
      <c r="CD140" s="218" t="s">
        <v>1</v>
      </c>
      <c r="CE140" s="218" t="s">
        <v>1</v>
      </c>
      <c r="CF140" s="117" t="s">
        <v>1</v>
      </c>
    </row>
    <row r="141" ht="25" customHeight="1" spans="1:84">
      <c r="A141" s="29">
        <v>45244</v>
      </c>
      <c r="B141" s="7" t="s">
        <v>1</v>
      </c>
      <c r="C141" s="7" t="s">
        <v>1</v>
      </c>
      <c r="D141" s="7" t="s">
        <v>1</v>
      </c>
      <c r="E141" s="7" t="s">
        <v>1</v>
      </c>
      <c r="F141" s="7" t="s">
        <v>1</v>
      </c>
      <c r="G141" s="48" t="s">
        <v>1</v>
      </c>
      <c r="H141" s="48" t="s">
        <v>1</v>
      </c>
      <c r="I141" s="48" t="s">
        <v>1</v>
      </c>
      <c r="J141" s="48" t="s">
        <v>1</v>
      </c>
      <c r="K141" s="48" t="s">
        <v>1</v>
      </c>
      <c r="L141" s="127" t="s">
        <v>1</v>
      </c>
      <c r="M141" s="48" t="s">
        <v>1</v>
      </c>
      <c r="N141" s="48" t="s">
        <v>1</v>
      </c>
      <c r="O141" s="48" t="s">
        <v>1</v>
      </c>
      <c r="P141" s="48" t="s">
        <v>1</v>
      </c>
      <c r="Q141" s="48" t="s">
        <v>1</v>
      </c>
      <c r="R141" s="48" t="s">
        <v>1</v>
      </c>
      <c r="S141" s="48" t="s">
        <v>1</v>
      </c>
      <c r="T141" s="48" t="s">
        <v>1</v>
      </c>
      <c r="U141" s="48" t="s">
        <v>1</v>
      </c>
      <c r="V141" s="117" t="s">
        <v>1</v>
      </c>
      <c r="W141" s="117" t="s">
        <v>1</v>
      </c>
      <c r="X141" s="117" t="s">
        <v>1</v>
      </c>
      <c r="Y141" s="117" t="s">
        <v>1</v>
      </c>
      <c r="Z141" s="318" t="s">
        <v>1</v>
      </c>
      <c r="AA141" s="318" t="s">
        <v>1</v>
      </c>
      <c r="AB141" s="318" t="s">
        <v>1</v>
      </c>
      <c r="AC141" s="117" t="s">
        <v>1</v>
      </c>
      <c r="AD141" s="117" t="s">
        <v>1</v>
      </c>
      <c r="AE141" s="117" t="s">
        <v>1</v>
      </c>
      <c r="AF141" s="117" t="s">
        <v>1</v>
      </c>
      <c r="AG141" s="117" t="s">
        <v>1</v>
      </c>
      <c r="AH141" s="117" t="s">
        <v>1</v>
      </c>
      <c r="AI141" s="117" t="s">
        <v>1</v>
      </c>
      <c r="AJ141" s="117" t="s">
        <v>1</v>
      </c>
      <c r="AK141" s="117" t="s">
        <v>1</v>
      </c>
      <c r="AL141" s="117" t="s">
        <v>1</v>
      </c>
      <c r="AM141" s="117" t="s">
        <v>1</v>
      </c>
      <c r="AN141" s="117" t="s">
        <v>1</v>
      </c>
      <c r="AO141" s="117" t="s">
        <v>1</v>
      </c>
      <c r="AP141" s="117" t="s">
        <v>1</v>
      </c>
      <c r="AQ141" s="117" t="s">
        <v>1</v>
      </c>
      <c r="AR141" s="117" t="s">
        <v>1</v>
      </c>
      <c r="AS141" s="117" t="s">
        <v>1</v>
      </c>
      <c r="AT141" s="117" t="s">
        <v>1</v>
      </c>
      <c r="AU141" s="117" t="s">
        <v>1</v>
      </c>
      <c r="AV141" s="117" t="s">
        <v>1</v>
      </c>
      <c r="AW141" s="117" t="s">
        <v>1</v>
      </c>
      <c r="AX141" s="117" t="s">
        <v>1</v>
      </c>
      <c r="AY141" s="117" t="s">
        <v>1</v>
      </c>
      <c r="AZ141" s="117" t="s">
        <v>1</v>
      </c>
      <c r="BA141" s="117" t="s">
        <v>1</v>
      </c>
      <c r="BB141" s="117" t="s">
        <v>1</v>
      </c>
      <c r="BC141" s="117" t="s">
        <v>1</v>
      </c>
      <c r="BD141" s="117" t="s">
        <v>1</v>
      </c>
      <c r="BE141" s="117" t="s">
        <v>1</v>
      </c>
      <c r="BF141" s="117" t="s">
        <v>1</v>
      </c>
      <c r="BG141" s="217" t="s">
        <v>1</v>
      </c>
      <c r="BH141" s="217" t="s">
        <v>1</v>
      </c>
      <c r="BI141" s="217" t="s">
        <v>1</v>
      </c>
      <c r="BJ141" s="217" t="s">
        <v>1</v>
      </c>
      <c r="BK141" s="217" t="s">
        <v>1</v>
      </c>
      <c r="BL141" s="217" t="s">
        <v>1</v>
      </c>
      <c r="BM141" s="217" t="s">
        <v>1</v>
      </c>
      <c r="BN141" s="217" t="s">
        <v>1</v>
      </c>
      <c r="BO141" s="217" t="s">
        <v>1</v>
      </c>
      <c r="BP141" s="218" t="s">
        <v>1</v>
      </c>
      <c r="BQ141" s="218" t="s">
        <v>1</v>
      </c>
      <c r="BR141" s="218" t="s">
        <v>1</v>
      </c>
      <c r="BS141" s="218" t="s">
        <v>1</v>
      </c>
      <c r="BT141" s="218" t="s">
        <v>1</v>
      </c>
      <c r="BU141" s="218" t="s">
        <v>1</v>
      </c>
      <c r="BV141" s="218" t="s">
        <v>1</v>
      </c>
      <c r="BW141" s="218" t="s">
        <v>1</v>
      </c>
      <c r="BX141" s="218" t="s">
        <v>1</v>
      </c>
      <c r="BY141" s="218" t="s">
        <v>1</v>
      </c>
      <c r="BZ141" s="218" t="s">
        <v>1</v>
      </c>
      <c r="CA141" s="218" t="s">
        <v>1</v>
      </c>
      <c r="CB141" s="218" t="s">
        <v>1</v>
      </c>
      <c r="CC141" s="218" t="s">
        <v>1</v>
      </c>
      <c r="CD141" s="218" t="s">
        <v>1</v>
      </c>
      <c r="CE141" s="218" t="s">
        <v>1</v>
      </c>
      <c r="CF141" s="117" t="s">
        <v>1</v>
      </c>
    </row>
    <row r="142" ht="25" customHeight="1" spans="1:84">
      <c r="A142" s="29">
        <v>45245</v>
      </c>
      <c r="B142" s="7" t="s">
        <v>1</v>
      </c>
      <c r="C142" s="7" t="s">
        <v>1</v>
      </c>
      <c r="D142" s="7" t="s">
        <v>1</v>
      </c>
      <c r="E142" s="7" t="s">
        <v>1</v>
      </c>
      <c r="F142" s="7" t="s">
        <v>1</v>
      </c>
      <c r="G142" s="48" t="s">
        <v>1</v>
      </c>
      <c r="H142" s="48" t="s">
        <v>1</v>
      </c>
      <c r="I142" s="48" t="s">
        <v>1</v>
      </c>
      <c r="J142" s="48" t="s">
        <v>1</v>
      </c>
      <c r="K142" s="48" t="s">
        <v>1</v>
      </c>
      <c r="L142" s="127" t="s">
        <v>1</v>
      </c>
      <c r="M142" s="48" t="s">
        <v>1</v>
      </c>
      <c r="N142" s="48" t="s">
        <v>1</v>
      </c>
      <c r="O142" s="48" t="s">
        <v>1</v>
      </c>
      <c r="P142" s="48" t="s">
        <v>1</v>
      </c>
      <c r="Q142" s="48" t="s">
        <v>1</v>
      </c>
      <c r="R142" s="48" t="s">
        <v>1</v>
      </c>
      <c r="S142" s="48" t="s">
        <v>1</v>
      </c>
      <c r="T142" s="48" t="s">
        <v>1</v>
      </c>
      <c r="U142" s="48" t="s">
        <v>1</v>
      </c>
      <c r="V142" s="117" t="s">
        <v>1</v>
      </c>
      <c r="W142" s="117" t="s">
        <v>1</v>
      </c>
      <c r="X142" s="117" t="s">
        <v>1</v>
      </c>
      <c r="Y142" s="117" t="s">
        <v>1</v>
      </c>
      <c r="Z142" s="318" t="s">
        <v>1</v>
      </c>
      <c r="AA142" s="318" t="s">
        <v>1</v>
      </c>
      <c r="AB142" s="318" t="s">
        <v>1</v>
      </c>
      <c r="AC142" s="117" t="s">
        <v>1</v>
      </c>
      <c r="AD142" s="117" t="s">
        <v>1</v>
      </c>
      <c r="AE142" s="117" t="s">
        <v>1</v>
      </c>
      <c r="AF142" s="117" t="s">
        <v>1</v>
      </c>
      <c r="AG142" s="117" t="s">
        <v>1</v>
      </c>
      <c r="AH142" s="117" t="s">
        <v>1</v>
      </c>
      <c r="AI142" s="117" t="s">
        <v>1</v>
      </c>
      <c r="AJ142" s="117" t="s">
        <v>1</v>
      </c>
      <c r="AK142" s="117" t="s">
        <v>1</v>
      </c>
      <c r="AL142" s="117" t="s">
        <v>1</v>
      </c>
      <c r="AM142" s="117" t="s">
        <v>1</v>
      </c>
      <c r="AN142" s="117" t="s">
        <v>1</v>
      </c>
      <c r="AO142" s="117" t="s">
        <v>1</v>
      </c>
      <c r="AP142" s="117" t="s">
        <v>1</v>
      </c>
      <c r="AQ142" s="117" t="s">
        <v>1</v>
      </c>
      <c r="AR142" s="117" t="s">
        <v>1</v>
      </c>
      <c r="AS142" s="117" t="s">
        <v>1</v>
      </c>
      <c r="AT142" s="117" t="s">
        <v>1</v>
      </c>
      <c r="AU142" s="117" t="s">
        <v>1</v>
      </c>
      <c r="AV142" s="117" t="s">
        <v>1</v>
      </c>
      <c r="AW142" s="117" t="s">
        <v>1</v>
      </c>
      <c r="AX142" s="117" t="s">
        <v>1</v>
      </c>
      <c r="AY142" s="117" t="s">
        <v>1</v>
      </c>
      <c r="AZ142" s="117" t="s">
        <v>1</v>
      </c>
      <c r="BA142" s="117" t="s">
        <v>1</v>
      </c>
      <c r="BB142" s="117" t="s">
        <v>1</v>
      </c>
      <c r="BC142" s="117" t="s">
        <v>1</v>
      </c>
      <c r="BD142" s="117" t="s">
        <v>1</v>
      </c>
      <c r="BE142" s="117" t="s">
        <v>1</v>
      </c>
      <c r="BF142" s="117" t="s">
        <v>1</v>
      </c>
      <c r="BG142" s="217" t="s">
        <v>1</v>
      </c>
      <c r="BH142" s="217" t="s">
        <v>1</v>
      </c>
      <c r="BI142" s="217" t="s">
        <v>1</v>
      </c>
      <c r="BJ142" s="217" t="s">
        <v>1</v>
      </c>
      <c r="BK142" s="217" t="s">
        <v>1</v>
      </c>
      <c r="BL142" s="217" t="s">
        <v>1</v>
      </c>
      <c r="BM142" s="217" t="s">
        <v>1</v>
      </c>
      <c r="BN142" s="217" t="s">
        <v>1</v>
      </c>
      <c r="BO142" s="217" t="s">
        <v>1</v>
      </c>
      <c r="BP142" s="218" t="s">
        <v>1</v>
      </c>
      <c r="BQ142" s="218" t="s">
        <v>1</v>
      </c>
      <c r="BR142" s="218" t="s">
        <v>1</v>
      </c>
      <c r="BS142" s="218" t="s">
        <v>1</v>
      </c>
      <c r="BT142" s="218" t="s">
        <v>1</v>
      </c>
      <c r="BU142" s="218" t="s">
        <v>1</v>
      </c>
      <c r="BV142" s="218" t="s">
        <v>1</v>
      </c>
      <c r="BW142" s="218" t="s">
        <v>1</v>
      </c>
      <c r="BX142" s="218" t="s">
        <v>1</v>
      </c>
      <c r="BY142" s="218" t="s">
        <v>1</v>
      </c>
      <c r="BZ142" s="218" t="s">
        <v>1</v>
      </c>
      <c r="CA142" s="218" t="s">
        <v>1</v>
      </c>
      <c r="CB142" s="218" t="s">
        <v>1</v>
      </c>
      <c r="CC142" s="218" t="s">
        <v>1</v>
      </c>
      <c r="CD142" s="218" t="s">
        <v>1</v>
      </c>
      <c r="CE142" s="218" t="s">
        <v>1</v>
      </c>
      <c r="CF142" s="117" t="s">
        <v>1</v>
      </c>
    </row>
    <row r="143" ht="25" customHeight="1" spans="1:84">
      <c r="A143" s="29">
        <v>45246</v>
      </c>
      <c r="B143" s="7" t="s">
        <v>1</v>
      </c>
      <c r="C143" s="7" t="s">
        <v>1</v>
      </c>
      <c r="D143" s="7" t="s">
        <v>1</v>
      </c>
      <c r="E143" s="7" t="s">
        <v>1</v>
      </c>
      <c r="F143" s="7" t="s">
        <v>1</v>
      </c>
      <c r="G143" s="48" t="s">
        <v>1</v>
      </c>
      <c r="H143" s="48" t="s">
        <v>1</v>
      </c>
      <c r="I143" s="48" t="s">
        <v>1</v>
      </c>
      <c r="J143" s="48" t="s">
        <v>1</v>
      </c>
      <c r="K143" s="48" t="s">
        <v>1</v>
      </c>
      <c r="L143" s="127" t="s">
        <v>1</v>
      </c>
      <c r="M143" s="48" t="s">
        <v>1</v>
      </c>
      <c r="N143" s="48" t="s">
        <v>1</v>
      </c>
      <c r="O143" s="48" t="s">
        <v>1</v>
      </c>
      <c r="P143" s="48" t="s">
        <v>1</v>
      </c>
      <c r="Q143" s="48" t="s">
        <v>1</v>
      </c>
      <c r="R143" s="48" t="s">
        <v>1</v>
      </c>
      <c r="S143" s="48" t="s">
        <v>1</v>
      </c>
      <c r="T143" s="48" t="s">
        <v>1</v>
      </c>
      <c r="U143" s="48" t="s">
        <v>1</v>
      </c>
      <c r="V143" s="117" t="s">
        <v>1</v>
      </c>
      <c r="W143" s="117" t="s">
        <v>1</v>
      </c>
      <c r="X143" s="117" t="s">
        <v>1</v>
      </c>
      <c r="Y143" s="117" t="s">
        <v>1</v>
      </c>
      <c r="Z143" s="318" t="s">
        <v>1</v>
      </c>
      <c r="AA143" s="318" t="s">
        <v>1</v>
      </c>
      <c r="AB143" s="318" t="s">
        <v>1</v>
      </c>
      <c r="AC143" s="117" t="s">
        <v>1</v>
      </c>
      <c r="AD143" s="117" t="s">
        <v>1</v>
      </c>
      <c r="AE143" s="117" t="s">
        <v>1</v>
      </c>
      <c r="AF143" s="117" t="s">
        <v>1</v>
      </c>
      <c r="AG143" s="117" t="s">
        <v>1</v>
      </c>
      <c r="AH143" s="117" t="s">
        <v>1</v>
      </c>
      <c r="AI143" s="117" t="s">
        <v>1</v>
      </c>
      <c r="AJ143" s="117" t="s">
        <v>1</v>
      </c>
      <c r="AK143" s="117" t="s">
        <v>1</v>
      </c>
      <c r="AL143" s="117" t="s">
        <v>1</v>
      </c>
      <c r="AM143" s="117" t="s">
        <v>1</v>
      </c>
      <c r="AN143" s="117" t="s">
        <v>1</v>
      </c>
      <c r="AO143" s="117" t="s">
        <v>1</v>
      </c>
      <c r="AP143" s="117" t="s">
        <v>1</v>
      </c>
      <c r="AQ143" s="117" t="s">
        <v>1</v>
      </c>
      <c r="AR143" s="117" t="s">
        <v>1</v>
      </c>
      <c r="AS143" s="117" t="s">
        <v>1</v>
      </c>
      <c r="AT143" s="117" t="s">
        <v>1</v>
      </c>
      <c r="AU143" s="117" t="s">
        <v>1</v>
      </c>
      <c r="AV143" s="117" t="s">
        <v>1</v>
      </c>
      <c r="AW143" s="117" t="s">
        <v>1</v>
      </c>
      <c r="AX143" s="117" t="s">
        <v>1</v>
      </c>
      <c r="AY143" s="117" t="s">
        <v>1</v>
      </c>
      <c r="AZ143" s="117" t="s">
        <v>1</v>
      </c>
      <c r="BA143" s="117" t="s">
        <v>1</v>
      </c>
      <c r="BB143" s="117" t="s">
        <v>1</v>
      </c>
      <c r="BC143" s="117" t="s">
        <v>1</v>
      </c>
      <c r="BD143" s="117" t="s">
        <v>1</v>
      </c>
      <c r="BE143" s="117" t="s">
        <v>1</v>
      </c>
      <c r="BF143" s="117" t="s">
        <v>1</v>
      </c>
      <c r="BG143" s="217" t="s">
        <v>1</v>
      </c>
      <c r="BH143" s="217" t="s">
        <v>1</v>
      </c>
      <c r="BI143" s="217" t="s">
        <v>1</v>
      </c>
      <c r="BJ143" s="217" t="s">
        <v>1</v>
      </c>
      <c r="BK143" s="217" t="s">
        <v>1</v>
      </c>
      <c r="BL143" s="217" t="s">
        <v>1</v>
      </c>
      <c r="BM143" s="217" t="s">
        <v>1</v>
      </c>
      <c r="BN143" s="217" t="s">
        <v>1</v>
      </c>
      <c r="BO143" s="217" t="s">
        <v>1</v>
      </c>
      <c r="BP143" s="218" t="s">
        <v>1</v>
      </c>
      <c r="BQ143" s="218" t="s">
        <v>1</v>
      </c>
      <c r="BR143" s="218" t="s">
        <v>1</v>
      </c>
      <c r="BS143" s="218" t="s">
        <v>1</v>
      </c>
      <c r="BT143" s="218" t="s">
        <v>1</v>
      </c>
      <c r="BU143" s="218" t="s">
        <v>1</v>
      </c>
      <c r="BV143" s="218" t="s">
        <v>1</v>
      </c>
      <c r="BW143" s="218" t="s">
        <v>1</v>
      </c>
      <c r="BX143" s="218" t="s">
        <v>1</v>
      </c>
      <c r="BY143" s="218" t="s">
        <v>1</v>
      </c>
      <c r="BZ143" s="218" t="s">
        <v>1</v>
      </c>
      <c r="CA143" s="218" t="s">
        <v>1</v>
      </c>
      <c r="CB143" s="218" t="s">
        <v>1</v>
      </c>
      <c r="CC143" s="218" t="s">
        <v>1</v>
      </c>
      <c r="CD143" s="218" t="s">
        <v>1</v>
      </c>
      <c r="CE143" s="218" t="s">
        <v>1</v>
      </c>
      <c r="CF143" s="117" t="s">
        <v>1</v>
      </c>
    </row>
    <row r="144" ht="25" customHeight="1" spans="1:84">
      <c r="A144" s="29">
        <v>45247</v>
      </c>
      <c r="B144" s="7" t="s">
        <v>1</v>
      </c>
      <c r="C144" s="7" t="s">
        <v>1</v>
      </c>
      <c r="D144" s="7" t="s">
        <v>1</v>
      </c>
      <c r="E144" s="7" t="s">
        <v>1</v>
      </c>
      <c r="F144" s="7" t="s">
        <v>1</v>
      </c>
      <c r="G144" s="48" t="s">
        <v>1</v>
      </c>
      <c r="H144" s="48" t="s">
        <v>1</v>
      </c>
      <c r="I144" s="48" t="s">
        <v>1</v>
      </c>
      <c r="J144" s="48" t="s">
        <v>1</v>
      </c>
      <c r="K144" s="48" t="s">
        <v>1</v>
      </c>
      <c r="L144" s="127" t="s">
        <v>1</v>
      </c>
      <c r="M144" s="48" t="s">
        <v>1</v>
      </c>
      <c r="N144" s="48" t="s">
        <v>1</v>
      </c>
      <c r="O144" s="48" t="s">
        <v>1</v>
      </c>
      <c r="P144" s="48" t="s">
        <v>1</v>
      </c>
      <c r="Q144" s="48" t="s">
        <v>1</v>
      </c>
      <c r="R144" s="48" t="s">
        <v>1</v>
      </c>
      <c r="S144" s="48" t="s">
        <v>1</v>
      </c>
      <c r="T144" s="48" t="s">
        <v>1</v>
      </c>
      <c r="U144" s="48" t="s">
        <v>1</v>
      </c>
      <c r="V144" s="117" t="s">
        <v>1</v>
      </c>
      <c r="W144" s="117" t="s">
        <v>1</v>
      </c>
      <c r="X144" s="117" t="s">
        <v>1</v>
      </c>
      <c r="Y144" s="117" t="s">
        <v>1</v>
      </c>
      <c r="Z144" s="318" t="s">
        <v>1</v>
      </c>
      <c r="AA144" s="318" t="s">
        <v>1</v>
      </c>
      <c r="AB144" s="318" t="s">
        <v>1</v>
      </c>
      <c r="AC144" s="117" t="s">
        <v>1</v>
      </c>
      <c r="AD144" s="117" t="s">
        <v>1</v>
      </c>
      <c r="AE144" s="117" t="s">
        <v>1</v>
      </c>
      <c r="AF144" s="117" t="s">
        <v>1</v>
      </c>
      <c r="AG144" s="117" t="s">
        <v>1</v>
      </c>
      <c r="AH144" s="117" t="s">
        <v>1</v>
      </c>
      <c r="AI144" s="117" t="s">
        <v>1</v>
      </c>
      <c r="AJ144" s="117" t="s">
        <v>1</v>
      </c>
      <c r="AK144" s="117" t="s">
        <v>1</v>
      </c>
      <c r="AL144" s="117" t="s">
        <v>1</v>
      </c>
      <c r="AM144" s="117" t="s">
        <v>1</v>
      </c>
      <c r="AN144" s="117" t="s">
        <v>1</v>
      </c>
      <c r="AO144" s="117" t="s">
        <v>1</v>
      </c>
      <c r="AP144" s="117" t="s">
        <v>1</v>
      </c>
      <c r="AQ144" s="117" t="s">
        <v>1</v>
      </c>
      <c r="AR144" s="117" t="s">
        <v>1</v>
      </c>
      <c r="AS144" s="117" t="s">
        <v>1</v>
      </c>
      <c r="AT144" s="117" t="s">
        <v>1</v>
      </c>
      <c r="AU144" s="117" t="s">
        <v>1</v>
      </c>
      <c r="AV144" s="117" t="s">
        <v>1</v>
      </c>
      <c r="AW144" s="117" t="s">
        <v>1</v>
      </c>
      <c r="AX144" s="117" t="s">
        <v>1</v>
      </c>
      <c r="AY144" s="117" t="s">
        <v>1</v>
      </c>
      <c r="AZ144" s="117" t="s">
        <v>1</v>
      </c>
      <c r="BA144" s="117" t="s">
        <v>1</v>
      </c>
      <c r="BB144" s="117" t="s">
        <v>1</v>
      </c>
      <c r="BC144" s="117" t="s">
        <v>1</v>
      </c>
      <c r="BD144" s="117" t="s">
        <v>1</v>
      </c>
      <c r="BE144" s="117" t="s">
        <v>1</v>
      </c>
      <c r="BF144" s="117" t="s">
        <v>1</v>
      </c>
      <c r="BG144" s="217" t="s">
        <v>1</v>
      </c>
      <c r="BH144" s="217" t="s">
        <v>1</v>
      </c>
      <c r="BI144" s="217" t="s">
        <v>1</v>
      </c>
      <c r="BJ144" s="217" t="s">
        <v>1</v>
      </c>
      <c r="BK144" s="217" t="s">
        <v>1</v>
      </c>
      <c r="BL144" s="217" t="s">
        <v>1</v>
      </c>
      <c r="BM144" s="217" t="s">
        <v>1</v>
      </c>
      <c r="BN144" s="217" t="s">
        <v>1</v>
      </c>
      <c r="BO144" s="217" t="s">
        <v>1</v>
      </c>
      <c r="BP144" s="218" t="s">
        <v>1</v>
      </c>
      <c r="BQ144" s="218" t="s">
        <v>1</v>
      </c>
      <c r="BR144" s="218" t="s">
        <v>1</v>
      </c>
      <c r="BS144" s="218" t="s">
        <v>1</v>
      </c>
      <c r="BT144" s="218" t="s">
        <v>1</v>
      </c>
      <c r="BU144" s="218" t="s">
        <v>1</v>
      </c>
      <c r="BV144" s="218" t="s">
        <v>1</v>
      </c>
      <c r="BW144" s="218" t="s">
        <v>1</v>
      </c>
      <c r="BX144" s="218" t="s">
        <v>1</v>
      </c>
      <c r="BY144" s="218" t="s">
        <v>1</v>
      </c>
      <c r="BZ144" s="218" t="s">
        <v>1</v>
      </c>
      <c r="CA144" s="218" t="s">
        <v>1</v>
      </c>
      <c r="CB144" s="218" t="s">
        <v>1</v>
      </c>
      <c r="CC144" s="218" t="s">
        <v>1</v>
      </c>
      <c r="CD144" s="218" t="s">
        <v>1</v>
      </c>
      <c r="CE144" s="218" t="s">
        <v>1</v>
      </c>
      <c r="CF144" s="117" t="s">
        <v>1</v>
      </c>
    </row>
    <row r="145" ht="25" customHeight="1" spans="1:84">
      <c r="A145" s="29">
        <v>45248</v>
      </c>
      <c r="B145" s="7" t="s">
        <v>1</v>
      </c>
      <c r="C145" s="7" t="s">
        <v>1</v>
      </c>
      <c r="D145" s="7" t="s">
        <v>1</v>
      </c>
      <c r="E145" s="7" t="s">
        <v>1</v>
      </c>
      <c r="F145" s="7" t="s">
        <v>1</v>
      </c>
      <c r="G145" s="48" t="s">
        <v>1</v>
      </c>
      <c r="H145" s="48" t="s">
        <v>1</v>
      </c>
      <c r="I145" s="48" t="s">
        <v>1</v>
      </c>
      <c r="J145" s="48" t="s">
        <v>1</v>
      </c>
      <c r="K145" s="48" t="s">
        <v>1</v>
      </c>
      <c r="L145" s="127" t="s">
        <v>1</v>
      </c>
      <c r="M145" s="48" t="s">
        <v>1</v>
      </c>
      <c r="N145" s="48" t="s">
        <v>1</v>
      </c>
      <c r="O145" s="48" t="s">
        <v>1</v>
      </c>
      <c r="P145" s="48" t="s">
        <v>1</v>
      </c>
      <c r="Q145" s="48" t="s">
        <v>1</v>
      </c>
      <c r="R145" s="48" t="s">
        <v>1</v>
      </c>
      <c r="S145" s="48" t="s">
        <v>1</v>
      </c>
      <c r="T145" s="48" t="s">
        <v>1</v>
      </c>
      <c r="U145" s="48" t="s">
        <v>1</v>
      </c>
      <c r="V145" s="117" t="s">
        <v>1</v>
      </c>
      <c r="W145" s="117" t="s">
        <v>1</v>
      </c>
      <c r="X145" s="117" t="s">
        <v>1</v>
      </c>
      <c r="Y145" s="117" t="s">
        <v>1</v>
      </c>
      <c r="Z145" s="318" t="s">
        <v>1</v>
      </c>
      <c r="AA145" s="318" t="s">
        <v>1</v>
      </c>
      <c r="AB145" s="318" t="s">
        <v>1</v>
      </c>
      <c r="AC145" s="117" t="s">
        <v>1</v>
      </c>
      <c r="AD145" s="117" t="s">
        <v>1</v>
      </c>
      <c r="AE145" s="117" t="s">
        <v>1</v>
      </c>
      <c r="AF145" s="117" t="s">
        <v>1</v>
      </c>
      <c r="AG145" s="117" t="s">
        <v>1</v>
      </c>
      <c r="AH145" s="117" t="s">
        <v>1</v>
      </c>
      <c r="AI145" s="117" t="s">
        <v>1</v>
      </c>
      <c r="AJ145" s="117" t="s">
        <v>1</v>
      </c>
      <c r="AK145" s="117" t="s">
        <v>1</v>
      </c>
      <c r="AL145" s="117" t="s">
        <v>1</v>
      </c>
      <c r="AM145" s="117" t="s">
        <v>1</v>
      </c>
      <c r="AN145" s="117" t="s">
        <v>1</v>
      </c>
      <c r="AO145" s="117" t="s">
        <v>1</v>
      </c>
      <c r="AP145" s="117" t="s">
        <v>1</v>
      </c>
      <c r="AQ145" s="117" t="s">
        <v>1</v>
      </c>
      <c r="AR145" s="117" t="s">
        <v>1</v>
      </c>
      <c r="AS145" s="117" t="s">
        <v>1</v>
      </c>
      <c r="AT145" s="117" t="s">
        <v>1</v>
      </c>
      <c r="AU145" s="117" t="s">
        <v>1</v>
      </c>
      <c r="AV145" s="117" t="s">
        <v>1</v>
      </c>
      <c r="AW145" s="117" t="s">
        <v>1</v>
      </c>
      <c r="AX145" s="117" t="s">
        <v>1</v>
      </c>
      <c r="AY145" s="117" t="s">
        <v>1</v>
      </c>
      <c r="AZ145" s="117" t="s">
        <v>1</v>
      </c>
      <c r="BA145" s="117" t="s">
        <v>1</v>
      </c>
      <c r="BB145" s="117" t="s">
        <v>1</v>
      </c>
      <c r="BC145" s="117" t="s">
        <v>1</v>
      </c>
      <c r="BD145" s="117" t="s">
        <v>1</v>
      </c>
      <c r="BE145" s="117" t="s">
        <v>1</v>
      </c>
      <c r="BF145" s="117" t="s">
        <v>1</v>
      </c>
      <c r="BG145" s="217" t="s">
        <v>1</v>
      </c>
      <c r="BH145" s="217" t="s">
        <v>1</v>
      </c>
      <c r="BI145" s="217" t="s">
        <v>1</v>
      </c>
      <c r="BJ145" s="217" t="s">
        <v>1</v>
      </c>
      <c r="BK145" s="217" t="s">
        <v>1</v>
      </c>
      <c r="BL145" s="217" t="s">
        <v>1</v>
      </c>
      <c r="BM145" s="217" t="s">
        <v>1</v>
      </c>
      <c r="BN145" s="217" t="s">
        <v>1</v>
      </c>
      <c r="BO145" s="217" t="s">
        <v>1</v>
      </c>
      <c r="BP145" s="218" t="s">
        <v>1</v>
      </c>
      <c r="BQ145" s="218" t="s">
        <v>1</v>
      </c>
      <c r="BR145" s="218" t="s">
        <v>1</v>
      </c>
      <c r="BS145" s="218" t="s">
        <v>1</v>
      </c>
      <c r="BT145" s="218" t="s">
        <v>1</v>
      </c>
      <c r="BU145" s="218" t="s">
        <v>1</v>
      </c>
      <c r="BV145" s="218" t="s">
        <v>1</v>
      </c>
      <c r="BW145" s="218" t="s">
        <v>1</v>
      </c>
      <c r="BX145" s="218" t="s">
        <v>1</v>
      </c>
      <c r="BY145" s="218" t="s">
        <v>1</v>
      </c>
      <c r="BZ145" s="218" t="s">
        <v>1</v>
      </c>
      <c r="CA145" s="218" t="s">
        <v>1</v>
      </c>
      <c r="CB145" s="218" t="s">
        <v>1</v>
      </c>
      <c r="CC145" s="218" t="s">
        <v>1</v>
      </c>
      <c r="CD145" s="218" t="s">
        <v>1</v>
      </c>
      <c r="CE145" s="218" t="s">
        <v>1</v>
      </c>
      <c r="CF145" s="117" t="s">
        <v>1</v>
      </c>
    </row>
    <row r="146" ht="25" customHeight="1" spans="1:84">
      <c r="A146" s="29">
        <v>45249</v>
      </c>
      <c r="B146" s="7" t="s">
        <v>1</v>
      </c>
      <c r="C146" s="7" t="s">
        <v>1</v>
      </c>
      <c r="D146" s="7" t="s">
        <v>1</v>
      </c>
      <c r="E146" s="7" t="s">
        <v>1</v>
      </c>
      <c r="F146" s="7" t="s">
        <v>1</v>
      </c>
      <c r="G146" s="48" t="s">
        <v>1</v>
      </c>
      <c r="H146" s="48" t="s">
        <v>1</v>
      </c>
      <c r="I146" s="48" t="s">
        <v>1</v>
      </c>
      <c r="J146" s="48" t="s">
        <v>1</v>
      </c>
      <c r="K146" s="48" t="s">
        <v>1</v>
      </c>
      <c r="L146" s="127" t="s">
        <v>1</v>
      </c>
      <c r="M146" s="48" t="s">
        <v>1</v>
      </c>
      <c r="N146" s="48" t="s">
        <v>1</v>
      </c>
      <c r="O146" s="48" t="s">
        <v>1</v>
      </c>
      <c r="P146" s="48" t="s">
        <v>1</v>
      </c>
      <c r="Q146" s="48" t="s">
        <v>1</v>
      </c>
      <c r="R146" s="48" t="s">
        <v>1</v>
      </c>
      <c r="S146" s="48" t="s">
        <v>1</v>
      </c>
      <c r="T146" s="48" t="s">
        <v>1</v>
      </c>
      <c r="U146" s="48" t="s">
        <v>1</v>
      </c>
      <c r="V146" s="117" t="s">
        <v>1</v>
      </c>
      <c r="W146" s="117" t="s">
        <v>1</v>
      </c>
      <c r="X146" s="117" t="s">
        <v>1</v>
      </c>
      <c r="Y146" s="117" t="s">
        <v>1</v>
      </c>
      <c r="Z146" s="318" t="s">
        <v>1</v>
      </c>
      <c r="AA146" s="318" t="s">
        <v>1</v>
      </c>
      <c r="AB146" s="318" t="s">
        <v>1</v>
      </c>
      <c r="AC146" s="117" t="s">
        <v>1</v>
      </c>
      <c r="AD146" s="117" t="s">
        <v>1</v>
      </c>
      <c r="AE146" s="117" t="s">
        <v>1</v>
      </c>
      <c r="AF146" s="117" t="s">
        <v>1</v>
      </c>
      <c r="AG146" s="117" t="s">
        <v>1</v>
      </c>
      <c r="AH146" s="117" t="s">
        <v>1</v>
      </c>
      <c r="AI146" s="117" t="s">
        <v>1</v>
      </c>
      <c r="AJ146" s="117" t="s">
        <v>1</v>
      </c>
      <c r="AK146" s="117" t="s">
        <v>1</v>
      </c>
      <c r="AL146" s="117" t="s">
        <v>1</v>
      </c>
      <c r="AM146" s="117" t="s">
        <v>1</v>
      </c>
      <c r="AN146" s="117" t="s">
        <v>1</v>
      </c>
      <c r="AO146" s="117" t="s">
        <v>1</v>
      </c>
      <c r="AP146" s="117" t="s">
        <v>1</v>
      </c>
      <c r="AQ146" s="117" t="s">
        <v>1</v>
      </c>
      <c r="AR146" s="117" t="s">
        <v>1</v>
      </c>
      <c r="AS146" s="117" t="s">
        <v>1</v>
      </c>
      <c r="AT146" s="117" t="s">
        <v>1</v>
      </c>
      <c r="AU146" s="117" t="s">
        <v>1</v>
      </c>
      <c r="AV146" s="117" t="s">
        <v>1</v>
      </c>
      <c r="AW146" s="117" t="s">
        <v>1</v>
      </c>
      <c r="AX146" s="117" t="s">
        <v>1</v>
      </c>
      <c r="AY146" s="117" t="s">
        <v>1</v>
      </c>
      <c r="AZ146" s="117" t="s">
        <v>1</v>
      </c>
      <c r="BA146" s="117" t="s">
        <v>1</v>
      </c>
      <c r="BB146" s="117" t="s">
        <v>1</v>
      </c>
      <c r="BC146" s="117" t="s">
        <v>1</v>
      </c>
      <c r="BD146" s="117" t="s">
        <v>1</v>
      </c>
      <c r="BE146" s="117" t="s">
        <v>1</v>
      </c>
      <c r="BF146" s="117" t="s">
        <v>1</v>
      </c>
      <c r="BG146" s="217" t="s">
        <v>1</v>
      </c>
      <c r="BH146" s="217" t="s">
        <v>1</v>
      </c>
      <c r="BI146" s="217" t="s">
        <v>1</v>
      </c>
      <c r="BJ146" s="217" t="s">
        <v>1</v>
      </c>
      <c r="BK146" s="217" t="s">
        <v>1</v>
      </c>
      <c r="BL146" s="217" t="s">
        <v>1</v>
      </c>
      <c r="BM146" s="217" t="s">
        <v>1</v>
      </c>
      <c r="BN146" s="217" t="s">
        <v>1</v>
      </c>
      <c r="BO146" s="217" t="s">
        <v>1</v>
      </c>
      <c r="BP146" s="218" t="s">
        <v>1</v>
      </c>
      <c r="BQ146" s="218" t="s">
        <v>1</v>
      </c>
      <c r="BR146" s="218" t="s">
        <v>1</v>
      </c>
      <c r="BS146" s="218" t="s">
        <v>1</v>
      </c>
      <c r="BT146" s="218" t="s">
        <v>1</v>
      </c>
      <c r="BU146" s="218" t="s">
        <v>1</v>
      </c>
      <c r="BV146" s="218" t="s">
        <v>1</v>
      </c>
      <c r="BW146" s="218" t="s">
        <v>1</v>
      </c>
      <c r="BX146" s="218" t="s">
        <v>1</v>
      </c>
      <c r="BY146" s="218" t="s">
        <v>1</v>
      </c>
      <c r="BZ146" s="218" t="s">
        <v>1</v>
      </c>
      <c r="CA146" s="218" t="s">
        <v>1</v>
      </c>
      <c r="CB146" s="218" t="s">
        <v>1</v>
      </c>
      <c r="CC146" s="218" t="s">
        <v>1</v>
      </c>
      <c r="CD146" s="218" t="s">
        <v>1</v>
      </c>
      <c r="CE146" s="218" t="s">
        <v>1</v>
      </c>
      <c r="CF146" s="117" t="s">
        <v>1</v>
      </c>
    </row>
    <row r="147" ht="25" customHeight="1" spans="1:84">
      <c r="A147" s="29">
        <v>45250</v>
      </c>
      <c r="B147" s="7" t="s">
        <v>1</v>
      </c>
      <c r="C147" s="7" t="s">
        <v>1</v>
      </c>
      <c r="D147" s="7" t="s">
        <v>1</v>
      </c>
      <c r="E147" s="7" t="s">
        <v>1</v>
      </c>
      <c r="F147" s="7" t="s">
        <v>1</v>
      </c>
      <c r="G147" s="48" t="s">
        <v>1</v>
      </c>
      <c r="H147" s="48" t="s">
        <v>1</v>
      </c>
      <c r="I147" s="48" t="s">
        <v>1</v>
      </c>
      <c r="J147" s="48" t="s">
        <v>1</v>
      </c>
      <c r="K147" s="48" t="s">
        <v>1</v>
      </c>
      <c r="L147" s="127" t="s">
        <v>1</v>
      </c>
      <c r="M147" s="48" t="s">
        <v>1</v>
      </c>
      <c r="N147" s="48" t="s">
        <v>1</v>
      </c>
      <c r="O147" s="48" t="s">
        <v>1</v>
      </c>
      <c r="P147" s="48" t="s">
        <v>1</v>
      </c>
      <c r="Q147" s="48" t="s">
        <v>1</v>
      </c>
      <c r="R147" s="48" t="s">
        <v>1</v>
      </c>
      <c r="S147" s="48" t="s">
        <v>1</v>
      </c>
      <c r="T147" s="48" t="s">
        <v>1</v>
      </c>
      <c r="U147" s="48" t="s">
        <v>1</v>
      </c>
      <c r="V147" s="117" t="s">
        <v>1</v>
      </c>
      <c r="W147" s="117" t="s">
        <v>1</v>
      </c>
      <c r="X147" s="117" t="s">
        <v>1</v>
      </c>
      <c r="Y147" s="117" t="s">
        <v>1</v>
      </c>
      <c r="Z147" s="318" t="s">
        <v>1</v>
      </c>
      <c r="AA147" s="318" t="s">
        <v>1</v>
      </c>
      <c r="AB147" s="318" t="s">
        <v>1</v>
      </c>
      <c r="AC147" s="117" t="s">
        <v>1</v>
      </c>
      <c r="AD147" s="117" t="s">
        <v>1</v>
      </c>
      <c r="AE147" s="117" t="s">
        <v>1</v>
      </c>
      <c r="AF147" s="117" t="s">
        <v>1</v>
      </c>
      <c r="AG147" s="117" t="s">
        <v>1</v>
      </c>
      <c r="AH147" s="117" t="s">
        <v>1</v>
      </c>
      <c r="AI147" s="117" t="s">
        <v>1</v>
      </c>
      <c r="AJ147" s="117" t="s">
        <v>1</v>
      </c>
      <c r="AK147" s="117" t="s">
        <v>1</v>
      </c>
      <c r="AL147" s="117" t="s">
        <v>1</v>
      </c>
      <c r="AM147" s="117" t="s">
        <v>1</v>
      </c>
      <c r="AN147" s="117" t="s">
        <v>1</v>
      </c>
      <c r="AO147" s="117" t="s">
        <v>1</v>
      </c>
      <c r="AP147" s="117" t="s">
        <v>1</v>
      </c>
      <c r="AQ147" s="117" t="s">
        <v>1</v>
      </c>
      <c r="AR147" s="117" t="s">
        <v>1</v>
      </c>
      <c r="AS147" s="117" t="s">
        <v>1</v>
      </c>
      <c r="AT147" s="117" t="s">
        <v>1</v>
      </c>
      <c r="AU147" s="117" t="s">
        <v>1</v>
      </c>
      <c r="AV147" s="117" t="s">
        <v>1</v>
      </c>
      <c r="AW147" s="117" t="s">
        <v>1</v>
      </c>
      <c r="AX147" s="117" t="s">
        <v>1</v>
      </c>
      <c r="AY147" s="117" t="s">
        <v>1</v>
      </c>
      <c r="AZ147" s="117" t="s">
        <v>1</v>
      </c>
      <c r="BA147" s="117" t="s">
        <v>1</v>
      </c>
      <c r="BB147" s="117" t="s">
        <v>1</v>
      </c>
      <c r="BC147" s="117" t="s">
        <v>1</v>
      </c>
      <c r="BD147" s="117" t="s">
        <v>1</v>
      </c>
      <c r="BE147" s="117" t="s">
        <v>1</v>
      </c>
      <c r="BF147" s="117" t="s">
        <v>1</v>
      </c>
      <c r="BG147" s="217" t="s">
        <v>1</v>
      </c>
      <c r="BH147" s="217" t="s">
        <v>1</v>
      </c>
      <c r="BI147" s="217" t="s">
        <v>1</v>
      </c>
      <c r="BJ147" s="217" t="s">
        <v>1</v>
      </c>
      <c r="BK147" s="217" t="s">
        <v>1</v>
      </c>
      <c r="BL147" s="217" t="s">
        <v>1</v>
      </c>
      <c r="BM147" s="217" t="s">
        <v>1</v>
      </c>
      <c r="BN147" s="217" t="s">
        <v>1</v>
      </c>
      <c r="BO147" s="217" t="s">
        <v>1</v>
      </c>
      <c r="BP147" s="218" t="s">
        <v>1</v>
      </c>
      <c r="BQ147" s="218" t="s">
        <v>1</v>
      </c>
      <c r="BR147" s="218" t="s">
        <v>1</v>
      </c>
      <c r="BS147" s="218" t="s">
        <v>1</v>
      </c>
      <c r="BT147" s="218" t="s">
        <v>1</v>
      </c>
      <c r="BU147" s="218" t="s">
        <v>1</v>
      </c>
      <c r="BV147" s="218" t="s">
        <v>1</v>
      </c>
      <c r="BW147" s="218" t="s">
        <v>1</v>
      </c>
      <c r="BX147" s="218" t="s">
        <v>1</v>
      </c>
      <c r="BY147" s="218" t="s">
        <v>1</v>
      </c>
      <c r="BZ147" s="218" t="s">
        <v>1</v>
      </c>
      <c r="CA147" s="218" t="s">
        <v>1</v>
      </c>
      <c r="CB147" s="218" t="s">
        <v>1</v>
      </c>
      <c r="CC147" s="218" t="s">
        <v>1</v>
      </c>
      <c r="CD147" s="218" t="s">
        <v>1</v>
      </c>
      <c r="CE147" s="218" t="s">
        <v>1</v>
      </c>
      <c r="CF147" s="117" t="s">
        <v>1</v>
      </c>
    </row>
    <row r="148" ht="25" customHeight="1" spans="1:84">
      <c r="A148" s="29">
        <v>45251</v>
      </c>
      <c r="B148" s="7" t="s">
        <v>1</v>
      </c>
      <c r="C148" s="7" t="s">
        <v>1</v>
      </c>
      <c r="D148" s="7" t="s">
        <v>1</v>
      </c>
      <c r="E148" s="7" t="s">
        <v>1</v>
      </c>
      <c r="F148" s="7" t="s">
        <v>1</v>
      </c>
      <c r="G148" s="48" t="s">
        <v>1</v>
      </c>
      <c r="H148" s="48" t="s">
        <v>1</v>
      </c>
      <c r="I148" s="48" t="s">
        <v>1</v>
      </c>
      <c r="J148" s="48" t="s">
        <v>1</v>
      </c>
      <c r="K148" s="48" t="s">
        <v>1</v>
      </c>
      <c r="L148" s="127" t="s">
        <v>1</v>
      </c>
      <c r="M148" s="48" t="s">
        <v>1</v>
      </c>
      <c r="N148" s="48" t="s">
        <v>1</v>
      </c>
      <c r="O148" s="48" t="s">
        <v>1</v>
      </c>
      <c r="P148" s="48" t="s">
        <v>1</v>
      </c>
      <c r="Q148" s="48" t="s">
        <v>1</v>
      </c>
      <c r="R148" s="48" t="s">
        <v>1</v>
      </c>
      <c r="S148" s="48" t="s">
        <v>1</v>
      </c>
      <c r="T148" s="48" t="s">
        <v>1</v>
      </c>
      <c r="U148" s="48" t="s">
        <v>1</v>
      </c>
      <c r="V148" s="117" t="s">
        <v>1</v>
      </c>
      <c r="W148" s="117" t="s">
        <v>1</v>
      </c>
      <c r="X148" s="117" t="s">
        <v>1</v>
      </c>
      <c r="Y148" s="117" t="s">
        <v>1</v>
      </c>
      <c r="Z148" s="318" t="s">
        <v>1</v>
      </c>
      <c r="AA148" s="318" t="s">
        <v>1</v>
      </c>
      <c r="AB148" s="318" t="s">
        <v>1</v>
      </c>
      <c r="AC148" s="117" t="s">
        <v>1</v>
      </c>
      <c r="AD148" s="117" t="s">
        <v>1</v>
      </c>
      <c r="AE148" s="117" t="s">
        <v>1</v>
      </c>
      <c r="AF148" s="117" t="s">
        <v>1</v>
      </c>
      <c r="AG148" s="117" t="s">
        <v>1</v>
      </c>
      <c r="AH148" s="117" t="s">
        <v>1</v>
      </c>
      <c r="AI148" s="117" t="s">
        <v>1</v>
      </c>
      <c r="AJ148" s="117" t="s">
        <v>1</v>
      </c>
      <c r="AK148" s="117" t="s">
        <v>1</v>
      </c>
      <c r="AL148" s="117" t="s">
        <v>1</v>
      </c>
      <c r="AM148" s="117" t="s">
        <v>1</v>
      </c>
      <c r="AN148" s="117" t="s">
        <v>1</v>
      </c>
      <c r="AO148" s="117" t="s">
        <v>1</v>
      </c>
      <c r="AP148" s="117" t="s">
        <v>1</v>
      </c>
      <c r="AQ148" s="117" t="s">
        <v>1</v>
      </c>
      <c r="AR148" s="117" t="s">
        <v>1</v>
      </c>
      <c r="AS148" s="117" t="s">
        <v>1</v>
      </c>
      <c r="AT148" s="117" t="s">
        <v>1</v>
      </c>
      <c r="AU148" s="117" t="s">
        <v>1</v>
      </c>
      <c r="AV148" s="117" t="s">
        <v>1</v>
      </c>
      <c r="AW148" s="117" t="s">
        <v>1</v>
      </c>
      <c r="AX148" s="117" t="s">
        <v>1</v>
      </c>
      <c r="AY148" s="117" t="s">
        <v>1</v>
      </c>
      <c r="AZ148" s="117" t="s">
        <v>1</v>
      </c>
      <c r="BA148" s="117" t="s">
        <v>1</v>
      </c>
      <c r="BB148" s="117" t="s">
        <v>1</v>
      </c>
      <c r="BC148" s="117" t="s">
        <v>1</v>
      </c>
      <c r="BD148" s="117" t="s">
        <v>1</v>
      </c>
      <c r="BE148" s="117" t="s">
        <v>1</v>
      </c>
      <c r="BF148" s="117" t="s">
        <v>1</v>
      </c>
      <c r="BG148" s="217" t="s">
        <v>1</v>
      </c>
      <c r="BH148" s="217" t="s">
        <v>1</v>
      </c>
      <c r="BI148" s="217" t="s">
        <v>1</v>
      </c>
      <c r="BJ148" s="217" t="s">
        <v>1</v>
      </c>
      <c r="BK148" s="217" t="s">
        <v>1</v>
      </c>
      <c r="BL148" s="217" t="s">
        <v>1</v>
      </c>
      <c r="BM148" s="217" t="s">
        <v>1</v>
      </c>
      <c r="BN148" s="217" t="s">
        <v>1</v>
      </c>
      <c r="BO148" s="217" t="s">
        <v>1</v>
      </c>
      <c r="BP148" s="218" t="s">
        <v>1</v>
      </c>
      <c r="BQ148" s="218" t="s">
        <v>1</v>
      </c>
      <c r="BR148" s="218" t="s">
        <v>1</v>
      </c>
      <c r="BS148" s="218" t="s">
        <v>1</v>
      </c>
      <c r="BT148" s="218" t="s">
        <v>1</v>
      </c>
      <c r="BU148" s="218" t="s">
        <v>1</v>
      </c>
      <c r="BV148" s="218" t="s">
        <v>1</v>
      </c>
      <c r="BW148" s="218" t="s">
        <v>1</v>
      </c>
      <c r="BX148" s="218" t="s">
        <v>1</v>
      </c>
      <c r="BY148" s="218" t="s">
        <v>1</v>
      </c>
      <c r="BZ148" s="218" t="s">
        <v>1</v>
      </c>
      <c r="CA148" s="218" t="s">
        <v>1</v>
      </c>
      <c r="CB148" s="218" t="s">
        <v>1</v>
      </c>
      <c r="CC148" s="218" t="s">
        <v>1</v>
      </c>
      <c r="CD148" s="218" t="s">
        <v>1</v>
      </c>
      <c r="CE148" s="218" t="s">
        <v>1</v>
      </c>
      <c r="CF148" s="117" t="s">
        <v>1</v>
      </c>
    </row>
    <row r="149" ht="25" customHeight="1" spans="1:84">
      <c r="A149" s="29">
        <v>45252</v>
      </c>
      <c r="B149" s="7" t="s">
        <v>1</v>
      </c>
      <c r="C149" s="7" t="s">
        <v>1</v>
      </c>
      <c r="D149" s="7" t="s">
        <v>1</v>
      </c>
      <c r="E149" s="7" t="s">
        <v>1</v>
      </c>
      <c r="F149" s="7" t="s">
        <v>1</v>
      </c>
      <c r="G149" s="48" t="s">
        <v>1</v>
      </c>
      <c r="H149" s="48" t="s">
        <v>1</v>
      </c>
      <c r="I149" s="48" t="s">
        <v>1</v>
      </c>
      <c r="J149" s="48" t="s">
        <v>1</v>
      </c>
      <c r="K149" s="48" t="s">
        <v>1</v>
      </c>
      <c r="L149" s="127" t="s">
        <v>1</v>
      </c>
      <c r="M149" s="48" t="s">
        <v>1</v>
      </c>
      <c r="N149" s="48" t="s">
        <v>1</v>
      </c>
      <c r="O149" s="48" t="s">
        <v>1</v>
      </c>
      <c r="P149" s="48" t="s">
        <v>1</v>
      </c>
      <c r="Q149" s="48" t="s">
        <v>1</v>
      </c>
      <c r="R149" s="48" t="s">
        <v>1</v>
      </c>
      <c r="S149" s="48" t="s">
        <v>1</v>
      </c>
      <c r="T149" s="48" t="s">
        <v>1</v>
      </c>
      <c r="U149" s="48" t="s">
        <v>1</v>
      </c>
      <c r="V149" s="117" t="s">
        <v>1</v>
      </c>
      <c r="W149" s="117" t="s">
        <v>1</v>
      </c>
      <c r="X149" s="117" t="s">
        <v>1</v>
      </c>
      <c r="Y149" s="117" t="s">
        <v>1</v>
      </c>
      <c r="Z149" s="318" t="s">
        <v>1</v>
      </c>
      <c r="AA149" s="318" t="s">
        <v>1</v>
      </c>
      <c r="AB149" s="318" t="s">
        <v>1</v>
      </c>
      <c r="AC149" s="117" t="s">
        <v>1</v>
      </c>
      <c r="AD149" s="117" t="s">
        <v>1</v>
      </c>
      <c r="AE149" s="117" t="s">
        <v>1</v>
      </c>
      <c r="AF149" s="117" t="s">
        <v>1</v>
      </c>
      <c r="AG149" s="117" t="s">
        <v>1</v>
      </c>
      <c r="AH149" s="117" t="s">
        <v>1</v>
      </c>
      <c r="AI149" s="117" t="s">
        <v>1</v>
      </c>
      <c r="AJ149" s="117" t="s">
        <v>1</v>
      </c>
      <c r="AK149" s="117" t="s">
        <v>1</v>
      </c>
      <c r="AL149" s="117" t="s">
        <v>1</v>
      </c>
      <c r="AM149" s="117" t="s">
        <v>1</v>
      </c>
      <c r="AN149" s="117" t="s">
        <v>1</v>
      </c>
      <c r="AO149" s="117" t="s">
        <v>1</v>
      </c>
      <c r="AP149" s="117" t="s">
        <v>1</v>
      </c>
      <c r="AQ149" s="117" t="s">
        <v>1</v>
      </c>
      <c r="AR149" s="117" t="s">
        <v>1</v>
      </c>
      <c r="AS149" s="117" t="s">
        <v>1</v>
      </c>
      <c r="AT149" s="117" t="s">
        <v>1</v>
      </c>
      <c r="AU149" s="117" t="s">
        <v>1</v>
      </c>
      <c r="AV149" s="117" t="s">
        <v>1</v>
      </c>
      <c r="AW149" s="117" t="s">
        <v>1</v>
      </c>
      <c r="AX149" s="117" t="s">
        <v>1</v>
      </c>
      <c r="AY149" s="117" t="s">
        <v>1</v>
      </c>
      <c r="AZ149" s="117" t="s">
        <v>1</v>
      </c>
      <c r="BA149" s="117" t="s">
        <v>1</v>
      </c>
      <c r="BB149" s="117" t="s">
        <v>1</v>
      </c>
      <c r="BC149" s="117" t="s">
        <v>1</v>
      </c>
      <c r="BD149" s="117" t="s">
        <v>1</v>
      </c>
      <c r="BE149" s="117" t="s">
        <v>1</v>
      </c>
      <c r="BF149" s="117" t="s">
        <v>1</v>
      </c>
      <c r="BG149" s="217" t="s">
        <v>1</v>
      </c>
      <c r="BH149" s="217" t="s">
        <v>1</v>
      </c>
      <c r="BI149" s="217" t="s">
        <v>1</v>
      </c>
      <c r="BJ149" s="217" t="s">
        <v>1</v>
      </c>
      <c r="BK149" s="217" t="s">
        <v>1</v>
      </c>
      <c r="BL149" s="217" t="s">
        <v>1</v>
      </c>
      <c r="BM149" s="217" t="s">
        <v>1</v>
      </c>
      <c r="BN149" s="217" t="s">
        <v>1</v>
      </c>
      <c r="BO149" s="217" t="s">
        <v>1</v>
      </c>
      <c r="BP149" s="218" t="s">
        <v>1</v>
      </c>
      <c r="BQ149" s="218" t="s">
        <v>1</v>
      </c>
      <c r="BR149" s="218" t="s">
        <v>1</v>
      </c>
      <c r="BS149" s="218" t="s">
        <v>1</v>
      </c>
      <c r="BT149" s="218" t="s">
        <v>1</v>
      </c>
      <c r="BU149" s="218" t="s">
        <v>1</v>
      </c>
      <c r="BV149" s="218" t="s">
        <v>1</v>
      </c>
      <c r="BW149" s="218" t="s">
        <v>1</v>
      </c>
      <c r="BX149" s="218" t="s">
        <v>1</v>
      </c>
      <c r="BY149" s="218" t="s">
        <v>1</v>
      </c>
      <c r="BZ149" s="218" t="s">
        <v>1</v>
      </c>
      <c r="CA149" s="218" t="s">
        <v>1</v>
      </c>
      <c r="CB149" s="218" t="s">
        <v>1</v>
      </c>
      <c r="CC149" s="218" t="s">
        <v>1</v>
      </c>
      <c r="CD149" s="218" t="s">
        <v>1</v>
      </c>
      <c r="CE149" s="218" t="s">
        <v>1</v>
      </c>
      <c r="CF149" s="117" t="s">
        <v>1</v>
      </c>
    </row>
    <row r="150" ht="25" customHeight="1" spans="1:84">
      <c r="A150" s="29">
        <v>45253</v>
      </c>
      <c r="B150" s="7" t="s">
        <v>1</v>
      </c>
      <c r="C150" s="7" t="s">
        <v>1</v>
      </c>
      <c r="D150" s="7" t="s">
        <v>1</v>
      </c>
      <c r="E150" s="7" t="s">
        <v>1</v>
      </c>
      <c r="F150" s="7" t="s">
        <v>1</v>
      </c>
      <c r="G150" s="48" t="s">
        <v>1</v>
      </c>
      <c r="H150" s="48" t="s">
        <v>1</v>
      </c>
      <c r="I150" s="48" t="s">
        <v>1</v>
      </c>
      <c r="J150" s="48" t="s">
        <v>1</v>
      </c>
      <c r="K150" s="48" t="s">
        <v>1</v>
      </c>
      <c r="L150" s="127" t="s">
        <v>1</v>
      </c>
      <c r="M150" s="48" t="s">
        <v>1</v>
      </c>
      <c r="N150" s="48" t="s">
        <v>1</v>
      </c>
      <c r="O150" s="48" t="s">
        <v>1</v>
      </c>
      <c r="P150" s="48" t="s">
        <v>1</v>
      </c>
      <c r="Q150" s="48" t="s">
        <v>1</v>
      </c>
      <c r="R150" s="48" t="s">
        <v>1</v>
      </c>
      <c r="S150" s="48" t="s">
        <v>1</v>
      </c>
      <c r="T150" s="48" t="s">
        <v>1</v>
      </c>
      <c r="U150" s="48" t="s">
        <v>1</v>
      </c>
      <c r="V150" s="117" t="s">
        <v>1</v>
      </c>
      <c r="W150" s="117" t="s">
        <v>1</v>
      </c>
      <c r="X150" s="117" t="s">
        <v>1</v>
      </c>
      <c r="Y150" s="117" t="s">
        <v>1</v>
      </c>
      <c r="Z150" s="318" t="s">
        <v>1</v>
      </c>
      <c r="AA150" s="318" t="s">
        <v>1</v>
      </c>
      <c r="AB150" s="318" t="s">
        <v>1</v>
      </c>
      <c r="AC150" s="117" t="s">
        <v>1</v>
      </c>
      <c r="AD150" s="117" t="s">
        <v>1</v>
      </c>
      <c r="AE150" s="117" t="s">
        <v>1</v>
      </c>
      <c r="AF150" s="117" t="s">
        <v>1</v>
      </c>
      <c r="AG150" s="117" t="s">
        <v>1</v>
      </c>
      <c r="AH150" s="117" t="s">
        <v>1</v>
      </c>
      <c r="AI150" s="117" t="s">
        <v>1</v>
      </c>
      <c r="AJ150" s="117" t="s">
        <v>1</v>
      </c>
      <c r="AK150" s="117" t="s">
        <v>1</v>
      </c>
      <c r="AL150" s="117" t="s">
        <v>1</v>
      </c>
      <c r="AM150" s="117" t="s">
        <v>1</v>
      </c>
      <c r="AN150" s="117" t="s">
        <v>1</v>
      </c>
      <c r="AO150" s="117" t="s">
        <v>1</v>
      </c>
      <c r="AP150" s="117" t="s">
        <v>1</v>
      </c>
      <c r="AQ150" s="117" t="s">
        <v>1</v>
      </c>
      <c r="AR150" s="117" t="s">
        <v>1</v>
      </c>
      <c r="AS150" s="117" t="s">
        <v>1</v>
      </c>
      <c r="AT150" s="117" t="s">
        <v>1</v>
      </c>
      <c r="AU150" s="117" t="s">
        <v>1</v>
      </c>
      <c r="AV150" s="117" t="s">
        <v>1</v>
      </c>
      <c r="AW150" s="117" t="s">
        <v>1</v>
      </c>
      <c r="AX150" s="117" t="s">
        <v>1</v>
      </c>
      <c r="AY150" s="117" t="s">
        <v>1</v>
      </c>
      <c r="AZ150" s="117" t="s">
        <v>1</v>
      </c>
      <c r="BA150" s="117" t="s">
        <v>1</v>
      </c>
      <c r="BB150" s="117" t="s">
        <v>1</v>
      </c>
      <c r="BC150" s="117" t="s">
        <v>1</v>
      </c>
      <c r="BD150" s="117" t="s">
        <v>1</v>
      </c>
      <c r="BE150" s="117" t="s">
        <v>1</v>
      </c>
      <c r="BF150" s="117" t="s">
        <v>1</v>
      </c>
      <c r="BG150" s="217" t="s">
        <v>1</v>
      </c>
      <c r="BH150" s="217" t="s">
        <v>1</v>
      </c>
      <c r="BI150" s="217" t="s">
        <v>1</v>
      </c>
      <c r="BJ150" s="217" t="s">
        <v>1</v>
      </c>
      <c r="BK150" s="217" t="s">
        <v>1</v>
      </c>
      <c r="BL150" s="217" t="s">
        <v>1</v>
      </c>
      <c r="BM150" s="217" t="s">
        <v>1</v>
      </c>
      <c r="BN150" s="217" t="s">
        <v>1</v>
      </c>
      <c r="BO150" s="217" t="s">
        <v>1</v>
      </c>
      <c r="BP150" s="218" t="s">
        <v>1</v>
      </c>
      <c r="BQ150" s="218" t="s">
        <v>1</v>
      </c>
      <c r="BR150" s="218" t="s">
        <v>1</v>
      </c>
      <c r="BS150" s="218" t="s">
        <v>1</v>
      </c>
      <c r="BT150" s="218" t="s">
        <v>1</v>
      </c>
      <c r="BU150" s="218" t="s">
        <v>1</v>
      </c>
      <c r="BV150" s="218" t="s">
        <v>1</v>
      </c>
      <c r="BW150" s="218" t="s">
        <v>1</v>
      </c>
      <c r="BX150" s="218" t="s">
        <v>1</v>
      </c>
      <c r="BY150" s="218" t="s">
        <v>1</v>
      </c>
      <c r="BZ150" s="218" t="s">
        <v>1</v>
      </c>
      <c r="CA150" s="218" t="s">
        <v>1</v>
      </c>
      <c r="CB150" s="218" t="s">
        <v>1</v>
      </c>
      <c r="CC150" s="218" t="s">
        <v>1</v>
      </c>
      <c r="CD150" s="218" t="s">
        <v>1</v>
      </c>
      <c r="CE150" s="218" t="s">
        <v>1</v>
      </c>
      <c r="CF150" s="117" t="s">
        <v>1</v>
      </c>
    </row>
    <row r="151" ht="25" customHeight="1" spans="1:84">
      <c r="A151" s="29">
        <v>45254</v>
      </c>
      <c r="B151" s="7" t="s">
        <v>1</v>
      </c>
      <c r="C151" s="7" t="s">
        <v>1</v>
      </c>
      <c r="D151" s="7" t="s">
        <v>1</v>
      </c>
      <c r="E151" s="7" t="s">
        <v>1</v>
      </c>
      <c r="F151" s="7" t="s">
        <v>1</v>
      </c>
      <c r="G151" s="48" t="s">
        <v>1</v>
      </c>
      <c r="H151" s="48" t="s">
        <v>1</v>
      </c>
      <c r="I151" s="48" t="s">
        <v>1</v>
      </c>
      <c r="J151" s="48" t="s">
        <v>1</v>
      </c>
      <c r="K151" s="48" t="s">
        <v>1</v>
      </c>
      <c r="L151" s="127" t="s">
        <v>1</v>
      </c>
      <c r="M151" s="48" t="s">
        <v>1</v>
      </c>
      <c r="N151" s="48" t="s">
        <v>1</v>
      </c>
      <c r="O151" s="48" t="s">
        <v>1</v>
      </c>
      <c r="P151" s="48" t="s">
        <v>1</v>
      </c>
      <c r="Q151" s="48" t="s">
        <v>1</v>
      </c>
      <c r="R151" s="48" t="s">
        <v>1</v>
      </c>
      <c r="S151" s="48" t="s">
        <v>1</v>
      </c>
      <c r="T151" s="48" t="s">
        <v>1</v>
      </c>
      <c r="U151" s="48" t="s">
        <v>1</v>
      </c>
      <c r="V151" s="117" t="s">
        <v>1</v>
      </c>
      <c r="W151" s="117" t="s">
        <v>1</v>
      </c>
      <c r="X151" s="117" t="s">
        <v>1</v>
      </c>
      <c r="Y151" s="117" t="s">
        <v>1</v>
      </c>
      <c r="Z151" s="318" t="s">
        <v>1</v>
      </c>
      <c r="AA151" s="318" t="s">
        <v>1</v>
      </c>
      <c r="AB151" s="318" t="s">
        <v>1</v>
      </c>
      <c r="AC151" s="117" t="s">
        <v>1</v>
      </c>
      <c r="AD151" s="117" t="s">
        <v>1</v>
      </c>
      <c r="AE151" s="117" t="s">
        <v>1</v>
      </c>
      <c r="AF151" s="117" t="s">
        <v>1</v>
      </c>
      <c r="AG151" s="117" t="s">
        <v>1</v>
      </c>
      <c r="AH151" s="117" t="s">
        <v>1</v>
      </c>
      <c r="AI151" s="117" t="s">
        <v>1</v>
      </c>
      <c r="AJ151" s="117" t="s">
        <v>1</v>
      </c>
      <c r="AK151" s="117" t="s">
        <v>1</v>
      </c>
      <c r="AL151" s="117" t="s">
        <v>1</v>
      </c>
      <c r="AM151" s="117" t="s">
        <v>1</v>
      </c>
      <c r="AN151" s="117" t="s">
        <v>1</v>
      </c>
      <c r="AO151" s="117" t="s">
        <v>1</v>
      </c>
      <c r="AP151" s="117" t="s">
        <v>1</v>
      </c>
      <c r="AQ151" s="117" t="s">
        <v>1</v>
      </c>
      <c r="AR151" s="117" t="s">
        <v>1</v>
      </c>
      <c r="AS151" s="117" t="s">
        <v>1</v>
      </c>
      <c r="AT151" s="117" t="s">
        <v>1</v>
      </c>
      <c r="AU151" s="117" t="s">
        <v>1</v>
      </c>
      <c r="AV151" s="117" t="s">
        <v>1</v>
      </c>
      <c r="AW151" s="117" t="s">
        <v>1</v>
      </c>
      <c r="AX151" s="117" t="s">
        <v>1</v>
      </c>
      <c r="AY151" s="117" t="s">
        <v>1</v>
      </c>
      <c r="AZ151" s="117" t="s">
        <v>1</v>
      </c>
      <c r="BA151" s="117" t="s">
        <v>1</v>
      </c>
      <c r="BB151" s="117" t="s">
        <v>1</v>
      </c>
      <c r="BC151" s="117" t="s">
        <v>1</v>
      </c>
      <c r="BD151" s="117" t="s">
        <v>1</v>
      </c>
      <c r="BE151" s="117" t="s">
        <v>1</v>
      </c>
      <c r="BF151" s="117" t="s">
        <v>1</v>
      </c>
      <c r="BG151" s="217" t="s">
        <v>1</v>
      </c>
      <c r="BH151" s="217" t="s">
        <v>1</v>
      </c>
      <c r="BI151" s="217" t="s">
        <v>1</v>
      </c>
      <c r="BJ151" s="217" t="s">
        <v>1</v>
      </c>
      <c r="BK151" s="217" t="s">
        <v>1</v>
      </c>
      <c r="BL151" s="217" t="s">
        <v>1</v>
      </c>
      <c r="BM151" s="217" t="s">
        <v>1</v>
      </c>
      <c r="BN151" s="217" t="s">
        <v>1</v>
      </c>
      <c r="BO151" s="217" t="s">
        <v>1</v>
      </c>
      <c r="BP151" s="218" t="s">
        <v>1</v>
      </c>
      <c r="BQ151" s="218" t="s">
        <v>1</v>
      </c>
      <c r="BR151" s="218" t="s">
        <v>1</v>
      </c>
      <c r="BS151" s="218" t="s">
        <v>1</v>
      </c>
      <c r="BT151" s="218" t="s">
        <v>1</v>
      </c>
      <c r="BU151" s="218" t="s">
        <v>1</v>
      </c>
      <c r="BV151" s="218" t="s">
        <v>1</v>
      </c>
      <c r="BW151" s="218" t="s">
        <v>1</v>
      </c>
      <c r="BX151" s="218" t="s">
        <v>1</v>
      </c>
      <c r="BY151" s="218" t="s">
        <v>1</v>
      </c>
      <c r="BZ151" s="218" t="s">
        <v>1</v>
      </c>
      <c r="CA151" s="218" t="s">
        <v>1</v>
      </c>
      <c r="CB151" s="218" t="s">
        <v>1</v>
      </c>
      <c r="CC151" s="218" t="s">
        <v>1</v>
      </c>
      <c r="CD151" s="218" t="s">
        <v>1</v>
      </c>
      <c r="CE151" s="218" t="s">
        <v>1</v>
      </c>
      <c r="CF151" s="117" t="s">
        <v>1</v>
      </c>
    </row>
    <row r="152" ht="25" customHeight="1" spans="1:84">
      <c r="A152" s="29">
        <v>45255</v>
      </c>
      <c r="B152" s="7" t="s">
        <v>1</v>
      </c>
      <c r="C152" s="7" t="s">
        <v>1</v>
      </c>
      <c r="D152" s="7" t="s">
        <v>1</v>
      </c>
      <c r="E152" s="7" t="s">
        <v>1</v>
      </c>
      <c r="F152" s="7" t="s">
        <v>1</v>
      </c>
      <c r="G152" s="48" t="s">
        <v>1</v>
      </c>
      <c r="H152" s="48" t="s">
        <v>1</v>
      </c>
      <c r="I152" s="48" t="s">
        <v>1</v>
      </c>
      <c r="J152" s="48" t="s">
        <v>1</v>
      </c>
      <c r="K152" s="48" t="s">
        <v>1</v>
      </c>
      <c r="L152" s="127" t="s">
        <v>1</v>
      </c>
      <c r="M152" s="48" t="s">
        <v>1</v>
      </c>
      <c r="N152" s="48" t="s">
        <v>1</v>
      </c>
      <c r="O152" s="48" t="s">
        <v>1</v>
      </c>
      <c r="P152" s="48" t="s">
        <v>1</v>
      </c>
      <c r="Q152" s="48" t="s">
        <v>1</v>
      </c>
      <c r="R152" s="48" t="s">
        <v>1</v>
      </c>
      <c r="S152" s="48" t="s">
        <v>1</v>
      </c>
      <c r="T152" s="48" t="s">
        <v>1</v>
      </c>
      <c r="U152" s="48" t="s">
        <v>1</v>
      </c>
      <c r="V152" s="117" t="s">
        <v>1</v>
      </c>
      <c r="W152" s="117" t="s">
        <v>1</v>
      </c>
      <c r="X152" s="117" t="s">
        <v>1</v>
      </c>
      <c r="Y152" s="117" t="s">
        <v>1</v>
      </c>
      <c r="Z152" s="318" t="s">
        <v>1</v>
      </c>
      <c r="AA152" s="318" t="s">
        <v>1</v>
      </c>
      <c r="AB152" s="318" t="s">
        <v>1</v>
      </c>
      <c r="AC152" s="117" t="s">
        <v>1</v>
      </c>
      <c r="AD152" s="117" t="s">
        <v>1</v>
      </c>
      <c r="AE152" s="117" t="s">
        <v>1</v>
      </c>
      <c r="AF152" s="117" t="s">
        <v>1</v>
      </c>
      <c r="AG152" s="117" t="s">
        <v>1</v>
      </c>
      <c r="AH152" s="117" t="s">
        <v>1</v>
      </c>
      <c r="AI152" s="117" t="s">
        <v>1</v>
      </c>
      <c r="AJ152" s="117" t="s">
        <v>1</v>
      </c>
      <c r="AK152" s="117" t="s">
        <v>1</v>
      </c>
      <c r="AL152" s="117" t="s">
        <v>1</v>
      </c>
      <c r="AM152" s="117" t="s">
        <v>1</v>
      </c>
      <c r="AN152" s="117" t="s">
        <v>1</v>
      </c>
      <c r="AO152" s="117" t="s">
        <v>1</v>
      </c>
      <c r="AP152" s="117" t="s">
        <v>1</v>
      </c>
      <c r="AQ152" s="117" t="s">
        <v>1</v>
      </c>
      <c r="AR152" s="117" t="s">
        <v>1</v>
      </c>
      <c r="AS152" s="117" t="s">
        <v>1</v>
      </c>
      <c r="AT152" s="117" t="s">
        <v>1</v>
      </c>
      <c r="AU152" s="117" t="s">
        <v>1</v>
      </c>
      <c r="AV152" s="117" t="s">
        <v>1</v>
      </c>
      <c r="AW152" s="117" t="s">
        <v>1</v>
      </c>
      <c r="AX152" s="117" t="s">
        <v>1</v>
      </c>
      <c r="AY152" s="117" t="s">
        <v>1</v>
      </c>
      <c r="AZ152" s="117" t="s">
        <v>1</v>
      </c>
      <c r="BA152" s="117" t="s">
        <v>1</v>
      </c>
      <c r="BB152" s="117" t="s">
        <v>1</v>
      </c>
      <c r="BC152" s="117" t="s">
        <v>1</v>
      </c>
      <c r="BD152" s="117" t="s">
        <v>1</v>
      </c>
      <c r="BE152" s="117" t="s">
        <v>1</v>
      </c>
      <c r="BF152" s="117" t="s">
        <v>1</v>
      </c>
      <c r="BG152" s="217" t="s">
        <v>1</v>
      </c>
      <c r="BH152" s="217" t="s">
        <v>1</v>
      </c>
      <c r="BI152" s="217" t="s">
        <v>1</v>
      </c>
      <c r="BJ152" s="217" t="s">
        <v>1</v>
      </c>
      <c r="BK152" s="217" t="s">
        <v>1</v>
      </c>
      <c r="BL152" s="217" t="s">
        <v>1</v>
      </c>
      <c r="BM152" s="217" t="s">
        <v>1</v>
      </c>
      <c r="BN152" s="217" t="s">
        <v>1</v>
      </c>
      <c r="BO152" s="217" t="s">
        <v>1</v>
      </c>
      <c r="BP152" s="218" t="s">
        <v>1</v>
      </c>
      <c r="BQ152" s="218" t="s">
        <v>1</v>
      </c>
      <c r="BR152" s="218" t="s">
        <v>1</v>
      </c>
      <c r="BS152" s="218" t="s">
        <v>1</v>
      </c>
      <c r="BT152" s="218" t="s">
        <v>1</v>
      </c>
      <c r="BU152" s="218" t="s">
        <v>1</v>
      </c>
      <c r="BV152" s="218" t="s">
        <v>1</v>
      </c>
      <c r="BW152" s="218" t="s">
        <v>1</v>
      </c>
      <c r="BX152" s="218" t="s">
        <v>1</v>
      </c>
      <c r="BY152" s="218" t="s">
        <v>1</v>
      </c>
      <c r="BZ152" s="218" t="s">
        <v>1</v>
      </c>
      <c r="CA152" s="218" t="s">
        <v>1</v>
      </c>
      <c r="CB152" s="218" t="s">
        <v>1</v>
      </c>
      <c r="CC152" s="218" t="s">
        <v>1</v>
      </c>
      <c r="CD152" s="218" t="s">
        <v>1</v>
      </c>
      <c r="CE152" s="218" t="s">
        <v>1</v>
      </c>
      <c r="CF152" s="117" t="s">
        <v>1</v>
      </c>
    </row>
    <row r="153" ht="25" customHeight="1" spans="1:84">
      <c r="A153" s="29">
        <v>45256</v>
      </c>
      <c r="B153" s="7" t="s">
        <v>1</v>
      </c>
      <c r="C153" s="7" t="s">
        <v>1</v>
      </c>
      <c r="D153" s="7" t="s">
        <v>1</v>
      </c>
      <c r="E153" s="7" t="s">
        <v>1</v>
      </c>
      <c r="F153" s="7" t="s">
        <v>1</v>
      </c>
      <c r="G153" s="48" t="s">
        <v>1</v>
      </c>
      <c r="H153" s="48" t="s">
        <v>1</v>
      </c>
      <c r="I153" s="48" t="s">
        <v>1</v>
      </c>
      <c r="J153" s="48" t="s">
        <v>1</v>
      </c>
      <c r="K153" s="48" t="s">
        <v>1</v>
      </c>
      <c r="L153" s="127" t="s">
        <v>1</v>
      </c>
      <c r="M153" s="48" t="s">
        <v>1</v>
      </c>
      <c r="N153" s="48" t="s">
        <v>1</v>
      </c>
      <c r="O153" s="48" t="s">
        <v>1</v>
      </c>
      <c r="P153" s="48" t="s">
        <v>1</v>
      </c>
      <c r="Q153" s="48" t="s">
        <v>1</v>
      </c>
      <c r="R153" s="48" t="s">
        <v>1</v>
      </c>
      <c r="S153" s="48" t="s">
        <v>1</v>
      </c>
      <c r="T153" s="48" t="s">
        <v>1</v>
      </c>
      <c r="U153" s="48" t="s">
        <v>1</v>
      </c>
      <c r="V153" s="117" t="s">
        <v>1</v>
      </c>
      <c r="W153" s="117" t="s">
        <v>1</v>
      </c>
      <c r="X153" s="117" t="s">
        <v>1</v>
      </c>
      <c r="Y153" s="117" t="s">
        <v>1</v>
      </c>
      <c r="Z153" s="318" t="s">
        <v>1</v>
      </c>
      <c r="AA153" s="318" t="s">
        <v>1</v>
      </c>
      <c r="AB153" s="318" t="s">
        <v>1</v>
      </c>
      <c r="AC153" s="117" t="s">
        <v>1</v>
      </c>
      <c r="AD153" s="117" t="s">
        <v>1</v>
      </c>
      <c r="AE153" s="117" t="s">
        <v>1</v>
      </c>
      <c r="AF153" s="117" t="s">
        <v>1</v>
      </c>
      <c r="AG153" s="117" t="s">
        <v>1</v>
      </c>
      <c r="AH153" s="117" t="s">
        <v>1</v>
      </c>
      <c r="AI153" s="117" t="s">
        <v>1</v>
      </c>
      <c r="AJ153" s="117" t="s">
        <v>1</v>
      </c>
      <c r="AK153" s="117" t="s">
        <v>1</v>
      </c>
      <c r="AL153" s="117" t="s">
        <v>1</v>
      </c>
      <c r="AM153" s="117" t="s">
        <v>1</v>
      </c>
      <c r="AN153" s="117" t="s">
        <v>1</v>
      </c>
      <c r="AO153" s="117" t="s">
        <v>1</v>
      </c>
      <c r="AP153" s="117" t="s">
        <v>1</v>
      </c>
      <c r="AQ153" s="117" t="s">
        <v>1</v>
      </c>
      <c r="AR153" s="117" t="s">
        <v>1</v>
      </c>
      <c r="AS153" s="117" t="s">
        <v>1</v>
      </c>
      <c r="AT153" s="117" t="s">
        <v>1</v>
      </c>
      <c r="AU153" s="117" t="s">
        <v>1</v>
      </c>
      <c r="AV153" s="117" t="s">
        <v>1</v>
      </c>
      <c r="AW153" s="117" t="s">
        <v>1</v>
      </c>
      <c r="AX153" s="117" t="s">
        <v>1</v>
      </c>
      <c r="AY153" s="117" t="s">
        <v>1</v>
      </c>
      <c r="AZ153" s="117" t="s">
        <v>1</v>
      </c>
      <c r="BA153" s="117" t="s">
        <v>1</v>
      </c>
      <c r="BB153" s="117" t="s">
        <v>1</v>
      </c>
      <c r="BC153" s="117" t="s">
        <v>1</v>
      </c>
      <c r="BD153" s="117" t="s">
        <v>1</v>
      </c>
      <c r="BE153" s="117" t="s">
        <v>1</v>
      </c>
      <c r="BF153" s="117" t="s">
        <v>1</v>
      </c>
      <c r="BG153" s="217" t="s">
        <v>1</v>
      </c>
      <c r="BH153" s="217" t="s">
        <v>1</v>
      </c>
      <c r="BI153" s="217" t="s">
        <v>1</v>
      </c>
      <c r="BJ153" s="217" t="s">
        <v>1</v>
      </c>
      <c r="BK153" s="217" t="s">
        <v>1</v>
      </c>
      <c r="BL153" s="217" t="s">
        <v>1</v>
      </c>
      <c r="BM153" s="217" t="s">
        <v>1</v>
      </c>
      <c r="BN153" s="217" t="s">
        <v>1</v>
      </c>
      <c r="BO153" s="217" t="s">
        <v>1</v>
      </c>
      <c r="BP153" s="218" t="s">
        <v>1</v>
      </c>
      <c r="BQ153" s="218" t="s">
        <v>1</v>
      </c>
      <c r="BR153" s="218" t="s">
        <v>1</v>
      </c>
      <c r="BS153" s="218" t="s">
        <v>1</v>
      </c>
      <c r="BT153" s="218" t="s">
        <v>1</v>
      </c>
      <c r="BU153" s="218" t="s">
        <v>1</v>
      </c>
      <c r="BV153" s="218" t="s">
        <v>1</v>
      </c>
      <c r="BW153" s="218" t="s">
        <v>1</v>
      </c>
      <c r="BX153" s="218" t="s">
        <v>1</v>
      </c>
      <c r="BY153" s="218" t="s">
        <v>1</v>
      </c>
      <c r="BZ153" s="218" t="s">
        <v>1</v>
      </c>
      <c r="CA153" s="218" t="s">
        <v>1</v>
      </c>
      <c r="CB153" s="218" t="s">
        <v>1</v>
      </c>
      <c r="CC153" s="218" t="s">
        <v>1</v>
      </c>
      <c r="CD153" s="218" t="s">
        <v>1</v>
      </c>
      <c r="CE153" s="218" t="s">
        <v>1</v>
      </c>
      <c r="CF153" s="117" t="s">
        <v>1</v>
      </c>
    </row>
    <row r="154" ht="25" customHeight="1" spans="1:84">
      <c r="A154" s="29">
        <v>45257</v>
      </c>
      <c r="B154" s="7" t="s">
        <v>1</v>
      </c>
      <c r="C154" s="7" t="s">
        <v>1</v>
      </c>
      <c r="D154" s="7" t="s">
        <v>1</v>
      </c>
      <c r="E154" s="7" t="s">
        <v>1</v>
      </c>
      <c r="F154" s="7" t="s">
        <v>1</v>
      </c>
      <c r="G154" s="48" t="s">
        <v>1</v>
      </c>
      <c r="H154" s="48" t="s">
        <v>1</v>
      </c>
      <c r="I154" s="48" t="s">
        <v>1</v>
      </c>
      <c r="J154" s="48" t="s">
        <v>1</v>
      </c>
      <c r="K154" s="48" t="s">
        <v>1</v>
      </c>
      <c r="L154" s="127" t="s">
        <v>1</v>
      </c>
      <c r="M154" s="48" t="s">
        <v>1</v>
      </c>
      <c r="N154" s="48" t="s">
        <v>1</v>
      </c>
      <c r="O154" s="48" t="s">
        <v>1</v>
      </c>
      <c r="P154" s="48" t="s">
        <v>1</v>
      </c>
      <c r="Q154" s="48" t="s">
        <v>1</v>
      </c>
      <c r="R154" s="48" t="s">
        <v>1</v>
      </c>
      <c r="S154" s="48" t="s">
        <v>1</v>
      </c>
      <c r="T154" s="48" t="s">
        <v>1</v>
      </c>
      <c r="U154" s="48" t="s">
        <v>1</v>
      </c>
      <c r="V154" s="117" t="s">
        <v>1</v>
      </c>
      <c r="W154" s="117" t="s">
        <v>1</v>
      </c>
      <c r="X154" s="117" t="s">
        <v>1</v>
      </c>
      <c r="Y154" s="117" t="s">
        <v>1</v>
      </c>
      <c r="Z154" s="318" t="s">
        <v>1</v>
      </c>
      <c r="AA154" s="318" t="s">
        <v>1</v>
      </c>
      <c r="AB154" s="318" t="s">
        <v>1</v>
      </c>
      <c r="AC154" s="117" t="s">
        <v>1</v>
      </c>
      <c r="AD154" s="117" t="s">
        <v>1</v>
      </c>
      <c r="AE154" s="117" t="s">
        <v>1</v>
      </c>
      <c r="AF154" s="117" t="s">
        <v>1</v>
      </c>
      <c r="AG154" s="117" t="s">
        <v>1</v>
      </c>
      <c r="AH154" s="117" t="s">
        <v>1</v>
      </c>
      <c r="AI154" s="117" t="s">
        <v>1</v>
      </c>
      <c r="AJ154" s="117" t="s">
        <v>1</v>
      </c>
      <c r="AK154" s="117" t="s">
        <v>1</v>
      </c>
      <c r="AL154" s="117" t="s">
        <v>1</v>
      </c>
      <c r="AM154" s="117" t="s">
        <v>1</v>
      </c>
      <c r="AN154" s="117" t="s">
        <v>1</v>
      </c>
      <c r="AO154" s="117" t="s">
        <v>1</v>
      </c>
      <c r="AP154" s="117" t="s">
        <v>1</v>
      </c>
      <c r="AQ154" s="117" t="s">
        <v>1</v>
      </c>
      <c r="AR154" s="117" t="s">
        <v>1</v>
      </c>
      <c r="AS154" s="117" t="s">
        <v>1</v>
      </c>
      <c r="AT154" s="117" t="s">
        <v>1</v>
      </c>
      <c r="AU154" s="117" t="s">
        <v>1</v>
      </c>
      <c r="AV154" s="117" t="s">
        <v>1</v>
      </c>
      <c r="AW154" s="117" t="s">
        <v>1</v>
      </c>
      <c r="AX154" s="117" t="s">
        <v>1</v>
      </c>
      <c r="AY154" s="117" t="s">
        <v>1</v>
      </c>
      <c r="AZ154" s="117" t="s">
        <v>1</v>
      </c>
      <c r="BA154" s="117" t="s">
        <v>1</v>
      </c>
      <c r="BB154" s="117" t="s">
        <v>1</v>
      </c>
      <c r="BC154" s="117" t="s">
        <v>1</v>
      </c>
      <c r="BD154" s="117" t="s">
        <v>1</v>
      </c>
      <c r="BE154" s="117" t="s">
        <v>1</v>
      </c>
      <c r="BF154" s="117" t="s">
        <v>1</v>
      </c>
      <c r="BG154" s="217" t="s">
        <v>1</v>
      </c>
      <c r="BH154" s="217" t="s">
        <v>1</v>
      </c>
      <c r="BI154" s="217" t="s">
        <v>1</v>
      </c>
      <c r="BJ154" s="217" t="s">
        <v>1</v>
      </c>
      <c r="BK154" s="217" t="s">
        <v>1</v>
      </c>
      <c r="BL154" s="217" t="s">
        <v>1</v>
      </c>
      <c r="BM154" s="217" t="s">
        <v>1</v>
      </c>
      <c r="BN154" s="217" t="s">
        <v>1</v>
      </c>
      <c r="BO154" s="217" t="s">
        <v>1</v>
      </c>
      <c r="BP154" s="218" t="s">
        <v>1</v>
      </c>
      <c r="BQ154" s="218" t="s">
        <v>1</v>
      </c>
      <c r="BR154" s="218" t="s">
        <v>1</v>
      </c>
      <c r="BS154" s="218" t="s">
        <v>1</v>
      </c>
      <c r="BT154" s="218" t="s">
        <v>1</v>
      </c>
      <c r="BU154" s="218" t="s">
        <v>1</v>
      </c>
      <c r="BV154" s="218" t="s">
        <v>1</v>
      </c>
      <c r="BW154" s="218" t="s">
        <v>1</v>
      </c>
      <c r="BX154" s="218" t="s">
        <v>1</v>
      </c>
      <c r="BY154" s="218" t="s">
        <v>1</v>
      </c>
      <c r="BZ154" s="218" t="s">
        <v>1</v>
      </c>
      <c r="CA154" s="218" t="s">
        <v>1</v>
      </c>
      <c r="CB154" s="218" t="s">
        <v>1</v>
      </c>
      <c r="CC154" s="218" t="s">
        <v>1</v>
      </c>
      <c r="CD154" s="218" t="s">
        <v>1</v>
      </c>
      <c r="CE154" s="218" t="s">
        <v>1</v>
      </c>
      <c r="CF154" s="117" t="s">
        <v>1</v>
      </c>
    </row>
    <row r="155" ht="25" customHeight="1" spans="1:84">
      <c r="A155" s="29">
        <v>45258</v>
      </c>
      <c r="B155" s="7" t="s">
        <v>1</v>
      </c>
      <c r="C155" s="7" t="s">
        <v>1</v>
      </c>
      <c r="D155" s="7" t="s">
        <v>1</v>
      </c>
      <c r="E155" s="7" t="s">
        <v>1</v>
      </c>
      <c r="F155" s="7" t="s">
        <v>1</v>
      </c>
      <c r="G155" s="48" t="s">
        <v>1</v>
      </c>
      <c r="H155" s="48" t="s">
        <v>1</v>
      </c>
      <c r="I155" s="48" t="s">
        <v>1</v>
      </c>
      <c r="J155" s="48" t="s">
        <v>1</v>
      </c>
      <c r="K155" s="48" t="s">
        <v>1</v>
      </c>
      <c r="L155" s="127" t="s">
        <v>1</v>
      </c>
      <c r="M155" s="48" t="s">
        <v>1</v>
      </c>
      <c r="N155" s="48" t="s">
        <v>1</v>
      </c>
      <c r="O155" s="48" t="s">
        <v>1</v>
      </c>
      <c r="P155" s="48" t="s">
        <v>1</v>
      </c>
      <c r="Q155" s="48" t="s">
        <v>1</v>
      </c>
      <c r="R155" s="48" t="s">
        <v>1</v>
      </c>
      <c r="S155" s="48" t="s">
        <v>1</v>
      </c>
      <c r="T155" s="48" t="s">
        <v>1</v>
      </c>
      <c r="U155" s="48" t="s">
        <v>1</v>
      </c>
      <c r="V155" s="117" t="s">
        <v>1</v>
      </c>
      <c r="W155" s="117" t="s">
        <v>1</v>
      </c>
      <c r="X155" s="117" t="s">
        <v>1</v>
      </c>
      <c r="Y155" s="117" t="s">
        <v>1</v>
      </c>
      <c r="Z155" s="318" t="s">
        <v>1</v>
      </c>
      <c r="AA155" s="318" t="s">
        <v>1</v>
      </c>
      <c r="AB155" s="318" t="s">
        <v>1</v>
      </c>
      <c r="AC155" s="117" t="s">
        <v>1</v>
      </c>
      <c r="AD155" s="117" t="s">
        <v>1</v>
      </c>
      <c r="AE155" s="117" t="s">
        <v>1</v>
      </c>
      <c r="AF155" s="117" t="s">
        <v>1</v>
      </c>
      <c r="AG155" s="117" t="s">
        <v>1</v>
      </c>
      <c r="AH155" s="117" t="s">
        <v>1</v>
      </c>
      <c r="AI155" s="117" t="s">
        <v>1</v>
      </c>
      <c r="AJ155" s="117" t="s">
        <v>1</v>
      </c>
      <c r="AK155" s="117" t="s">
        <v>1</v>
      </c>
      <c r="AL155" s="117" t="s">
        <v>1</v>
      </c>
      <c r="AM155" s="117" t="s">
        <v>1</v>
      </c>
      <c r="AN155" s="117" t="s">
        <v>1</v>
      </c>
      <c r="AO155" s="117" t="s">
        <v>1</v>
      </c>
      <c r="AP155" s="117" t="s">
        <v>1</v>
      </c>
      <c r="AQ155" s="117" t="s">
        <v>1</v>
      </c>
      <c r="AR155" s="117" t="s">
        <v>1</v>
      </c>
      <c r="AS155" s="117" t="s">
        <v>1</v>
      </c>
      <c r="AT155" s="117" t="s">
        <v>1</v>
      </c>
      <c r="AU155" s="117" t="s">
        <v>1</v>
      </c>
      <c r="AV155" s="117" t="s">
        <v>1</v>
      </c>
      <c r="AW155" s="117" t="s">
        <v>1</v>
      </c>
      <c r="AX155" s="117" t="s">
        <v>1</v>
      </c>
      <c r="AY155" s="117" t="s">
        <v>1</v>
      </c>
      <c r="AZ155" s="117" t="s">
        <v>1</v>
      </c>
      <c r="BA155" s="117" t="s">
        <v>1</v>
      </c>
      <c r="BB155" s="117" t="s">
        <v>1</v>
      </c>
      <c r="BC155" s="117" t="s">
        <v>1</v>
      </c>
      <c r="BD155" s="117" t="s">
        <v>1</v>
      </c>
      <c r="BE155" s="117" t="s">
        <v>1</v>
      </c>
      <c r="BF155" s="117" t="s">
        <v>1</v>
      </c>
      <c r="BG155" s="217" t="s">
        <v>1</v>
      </c>
      <c r="BH155" s="217" t="s">
        <v>1</v>
      </c>
      <c r="BI155" s="217" t="s">
        <v>1</v>
      </c>
      <c r="BJ155" s="217" t="s">
        <v>1</v>
      </c>
      <c r="BK155" s="217" t="s">
        <v>1</v>
      </c>
      <c r="BL155" s="217" t="s">
        <v>1</v>
      </c>
      <c r="BM155" s="217" t="s">
        <v>1</v>
      </c>
      <c r="BN155" s="217" t="s">
        <v>1</v>
      </c>
      <c r="BO155" s="217" t="s">
        <v>1</v>
      </c>
      <c r="BP155" s="218" t="s">
        <v>1</v>
      </c>
      <c r="BQ155" s="218" t="s">
        <v>1</v>
      </c>
      <c r="BR155" s="218" t="s">
        <v>1</v>
      </c>
      <c r="BS155" s="218" t="s">
        <v>1</v>
      </c>
      <c r="BT155" s="218" t="s">
        <v>1</v>
      </c>
      <c r="BU155" s="218" t="s">
        <v>1</v>
      </c>
      <c r="BV155" s="218" t="s">
        <v>1</v>
      </c>
      <c r="BW155" s="218" t="s">
        <v>1</v>
      </c>
      <c r="BX155" s="218" t="s">
        <v>1</v>
      </c>
      <c r="BY155" s="218" t="s">
        <v>1</v>
      </c>
      <c r="BZ155" s="218" t="s">
        <v>1</v>
      </c>
      <c r="CA155" s="218" t="s">
        <v>1</v>
      </c>
      <c r="CB155" s="218" t="s">
        <v>1</v>
      </c>
      <c r="CC155" s="218" t="s">
        <v>1</v>
      </c>
      <c r="CD155" s="218" t="s">
        <v>1</v>
      </c>
      <c r="CE155" s="218" t="s">
        <v>1</v>
      </c>
      <c r="CF155" s="117" t="s">
        <v>1</v>
      </c>
    </row>
    <row r="156" ht="25" customHeight="1" spans="1:84">
      <c r="A156" s="29">
        <v>45259</v>
      </c>
      <c r="B156" s="7" t="s">
        <v>1</v>
      </c>
      <c r="C156" s="7" t="s">
        <v>1</v>
      </c>
      <c r="D156" s="7" t="s">
        <v>1</v>
      </c>
      <c r="E156" s="7" t="s">
        <v>1</v>
      </c>
      <c r="F156" s="7" t="s">
        <v>1</v>
      </c>
      <c r="G156" s="48" t="s">
        <v>1</v>
      </c>
      <c r="H156" s="48" t="s">
        <v>1</v>
      </c>
      <c r="I156" s="48" t="s">
        <v>1</v>
      </c>
      <c r="J156" s="48" t="s">
        <v>1</v>
      </c>
      <c r="K156" s="48" t="s">
        <v>1</v>
      </c>
      <c r="L156" s="127" t="s">
        <v>1</v>
      </c>
      <c r="M156" s="48" t="s">
        <v>1</v>
      </c>
      <c r="N156" s="48" t="s">
        <v>1</v>
      </c>
      <c r="O156" s="48" t="s">
        <v>1</v>
      </c>
      <c r="P156" s="48" t="s">
        <v>1</v>
      </c>
      <c r="Q156" s="48" t="s">
        <v>1</v>
      </c>
      <c r="R156" s="48" t="s">
        <v>1</v>
      </c>
      <c r="S156" s="48" t="s">
        <v>1</v>
      </c>
      <c r="T156" s="48" t="s">
        <v>1</v>
      </c>
      <c r="U156" s="48" t="s">
        <v>1</v>
      </c>
      <c r="V156" s="117" t="s">
        <v>1</v>
      </c>
      <c r="W156" s="117" t="s">
        <v>1</v>
      </c>
      <c r="X156" s="117" t="s">
        <v>1</v>
      </c>
      <c r="Y156" s="117" t="s">
        <v>1</v>
      </c>
      <c r="Z156" s="318" t="s">
        <v>1</v>
      </c>
      <c r="AA156" s="318" t="s">
        <v>1</v>
      </c>
      <c r="AB156" s="318" t="s">
        <v>1</v>
      </c>
      <c r="AC156" s="117" t="s">
        <v>1</v>
      </c>
      <c r="AD156" s="117" t="s">
        <v>1</v>
      </c>
      <c r="AE156" s="117" t="s">
        <v>1</v>
      </c>
      <c r="AF156" s="117" t="s">
        <v>1</v>
      </c>
      <c r="AG156" s="117" t="s">
        <v>1</v>
      </c>
      <c r="AH156" s="117" t="s">
        <v>1</v>
      </c>
      <c r="AI156" s="117" t="s">
        <v>1</v>
      </c>
      <c r="AJ156" s="117" t="s">
        <v>1</v>
      </c>
      <c r="AK156" s="117" t="s">
        <v>1</v>
      </c>
      <c r="AL156" s="117" t="s">
        <v>1</v>
      </c>
      <c r="AM156" s="117" t="s">
        <v>1</v>
      </c>
      <c r="AN156" s="117" t="s">
        <v>1</v>
      </c>
      <c r="AO156" s="117" t="s">
        <v>1</v>
      </c>
      <c r="AP156" s="117" t="s">
        <v>1</v>
      </c>
      <c r="AQ156" s="117" t="s">
        <v>1</v>
      </c>
      <c r="AR156" s="117" t="s">
        <v>1</v>
      </c>
      <c r="AS156" s="117" t="s">
        <v>1</v>
      </c>
      <c r="AT156" s="117" t="s">
        <v>1</v>
      </c>
      <c r="AU156" s="117" t="s">
        <v>1</v>
      </c>
      <c r="AV156" s="117" t="s">
        <v>1</v>
      </c>
      <c r="AW156" s="117" t="s">
        <v>1</v>
      </c>
      <c r="AX156" s="117" t="s">
        <v>1</v>
      </c>
      <c r="AY156" s="117" t="s">
        <v>1</v>
      </c>
      <c r="AZ156" s="117" t="s">
        <v>1</v>
      </c>
      <c r="BA156" s="117" t="s">
        <v>1</v>
      </c>
      <c r="BB156" s="117" t="s">
        <v>1</v>
      </c>
      <c r="BC156" s="117" t="s">
        <v>1</v>
      </c>
      <c r="BD156" s="117" t="s">
        <v>1</v>
      </c>
      <c r="BE156" s="117" t="s">
        <v>1</v>
      </c>
      <c r="BF156" s="117" t="s">
        <v>1</v>
      </c>
      <c r="BG156" s="217" t="s">
        <v>1</v>
      </c>
      <c r="BH156" s="217" t="s">
        <v>1</v>
      </c>
      <c r="BI156" s="217" t="s">
        <v>1</v>
      </c>
      <c r="BJ156" s="217" t="s">
        <v>1</v>
      </c>
      <c r="BK156" s="217" t="s">
        <v>1</v>
      </c>
      <c r="BL156" s="217" t="s">
        <v>1</v>
      </c>
      <c r="BM156" s="217" t="s">
        <v>1</v>
      </c>
      <c r="BN156" s="217" t="s">
        <v>1</v>
      </c>
      <c r="BO156" s="217" t="s">
        <v>1</v>
      </c>
      <c r="BP156" s="218" t="s">
        <v>1</v>
      </c>
      <c r="BQ156" s="218" t="s">
        <v>1</v>
      </c>
      <c r="BR156" s="218" t="s">
        <v>1</v>
      </c>
      <c r="BS156" s="218" t="s">
        <v>1</v>
      </c>
      <c r="BT156" s="218" t="s">
        <v>1</v>
      </c>
      <c r="BU156" s="218" t="s">
        <v>1</v>
      </c>
      <c r="BV156" s="218" t="s">
        <v>1</v>
      </c>
      <c r="BW156" s="218" t="s">
        <v>1</v>
      </c>
      <c r="BX156" s="218" t="s">
        <v>1</v>
      </c>
      <c r="BY156" s="218" t="s">
        <v>1</v>
      </c>
      <c r="BZ156" s="218" t="s">
        <v>1</v>
      </c>
      <c r="CA156" s="218" t="s">
        <v>1</v>
      </c>
      <c r="CB156" s="218" t="s">
        <v>1</v>
      </c>
      <c r="CC156" s="218" t="s">
        <v>1</v>
      </c>
      <c r="CD156" s="218" t="s">
        <v>1</v>
      </c>
      <c r="CE156" s="218" t="s">
        <v>1</v>
      </c>
      <c r="CF156" s="117" t="s">
        <v>1</v>
      </c>
    </row>
    <row r="157" ht="25" customHeight="1" spans="1:84">
      <c r="A157" s="29">
        <v>45260</v>
      </c>
      <c r="B157" s="7" t="s">
        <v>1</v>
      </c>
      <c r="C157" s="7" t="s">
        <v>1</v>
      </c>
      <c r="D157" s="7" t="s">
        <v>1</v>
      </c>
      <c r="E157" s="7" t="s">
        <v>1</v>
      </c>
      <c r="F157" s="7" t="s">
        <v>1</v>
      </c>
      <c r="G157" s="48" t="s">
        <v>1</v>
      </c>
      <c r="H157" s="48" t="s">
        <v>1</v>
      </c>
      <c r="I157" s="48" t="s">
        <v>1</v>
      </c>
      <c r="J157" s="48" t="s">
        <v>1</v>
      </c>
      <c r="K157" s="48" t="s">
        <v>1</v>
      </c>
      <c r="L157" s="127" t="s">
        <v>1</v>
      </c>
      <c r="M157" s="48" t="s">
        <v>1</v>
      </c>
      <c r="N157" s="48" t="s">
        <v>1</v>
      </c>
      <c r="O157" s="48" t="s">
        <v>1</v>
      </c>
      <c r="P157" s="48" t="s">
        <v>1</v>
      </c>
      <c r="Q157" s="48" t="s">
        <v>1</v>
      </c>
      <c r="R157" s="48" t="s">
        <v>1</v>
      </c>
      <c r="S157" s="48" t="s">
        <v>1</v>
      </c>
      <c r="T157" s="48" t="s">
        <v>1</v>
      </c>
      <c r="U157" s="48" t="s">
        <v>1</v>
      </c>
      <c r="V157" s="117" t="s">
        <v>1</v>
      </c>
      <c r="W157" s="117" t="s">
        <v>1</v>
      </c>
      <c r="X157" s="117" t="s">
        <v>1</v>
      </c>
      <c r="Y157" s="117" t="s">
        <v>1</v>
      </c>
      <c r="Z157" s="318" t="s">
        <v>1</v>
      </c>
      <c r="AA157" s="318" t="s">
        <v>1</v>
      </c>
      <c r="AB157" s="318" t="s">
        <v>1</v>
      </c>
      <c r="AC157" s="117" t="s">
        <v>1</v>
      </c>
      <c r="AD157" s="117" t="s">
        <v>1</v>
      </c>
      <c r="AE157" s="117" t="s">
        <v>1</v>
      </c>
      <c r="AF157" s="117" t="s">
        <v>1</v>
      </c>
      <c r="AG157" s="117" t="s">
        <v>1</v>
      </c>
      <c r="AH157" s="117" t="s">
        <v>1</v>
      </c>
      <c r="AI157" s="117" t="s">
        <v>1</v>
      </c>
      <c r="AJ157" s="117" t="s">
        <v>1</v>
      </c>
      <c r="AK157" s="117" t="s">
        <v>1</v>
      </c>
      <c r="AL157" s="117" t="s">
        <v>1</v>
      </c>
      <c r="AM157" s="117" t="s">
        <v>1</v>
      </c>
      <c r="AN157" s="117" t="s">
        <v>1</v>
      </c>
      <c r="AO157" s="117" t="s">
        <v>1</v>
      </c>
      <c r="AP157" s="117" t="s">
        <v>1</v>
      </c>
      <c r="AQ157" s="117" t="s">
        <v>1</v>
      </c>
      <c r="AR157" s="117" t="s">
        <v>1</v>
      </c>
      <c r="AS157" s="117" t="s">
        <v>1</v>
      </c>
      <c r="AT157" s="117" t="s">
        <v>1</v>
      </c>
      <c r="AU157" s="117" t="s">
        <v>1</v>
      </c>
      <c r="AV157" s="117" t="s">
        <v>1</v>
      </c>
      <c r="AW157" s="117" t="s">
        <v>1</v>
      </c>
      <c r="AX157" s="117" t="s">
        <v>1</v>
      </c>
      <c r="AY157" s="117" t="s">
        <v>1</v>
      </c>
      <c r="AZ157" s="117" t="s">
        <v>1</v>
      </c>
      <c r="BA157" s="117" t="s">
        <v>1</v>
      </c>
      <c r="BB157" s="117" t="s">
        <v>1</v>
      </c>
      <c r="BC157" s="117" t="s">
        <v>1</v>
      </c>
      <c r="BD157" s="117" t="s">
        <v>1</v>
      </c>
      <c r="BE157" s="117" t="s">
        <v>1</v>
      </c>
      <c r="BF157" s="117" t="s">
        <v>1</v>
      </c>
      <c r="BG157" s="217" t="s">
        <v>1</v>
      </c>
      <c r="BH157" s="217" t="s">
        <v>1</v>
      </c>
      <c r="BI157" s="217" t="s">
        <v>1</v>
      </c>
      <c r="BJ157" s="217" t="s">
        <v>1</v>
      </c>
      <c r="BK157" s="217" t="s">
        <v>1</v>
      </c>
      <c r="BL157" s="217" t="s">
        <v>1</v>
      </c>
      <c r="BM157" s="217" t="s">
        <v>1</v>
      </c>
      <c r="BN157" s="217" t="s">
        <v>1</v>
      </c>
      <c r="BO157" s="217" t="s">
        <v>1</v>
      </c>
      <c r="BP157" s="218" t="s">
        <v>1</v>
      </c>
      <c r="BQ157" s="218" t="s">
        <v>1</v>
      </c>
      <c r="BR157" s="218" t="s">
        <v>1</v>
      </c>
      <c r="BS157" s="218" t="s">
        <v>1</v>
      </c>
      <c r="BT157" s="218" t="s">
        <v>1</v>
      </c>
      <c r="BU157" s="218" t="s">
        <v>1</v>
      </c>
      <c r="BV157" s="218" t="s">
        <v>1</v>
      </c>
      <c r="BW157" s="218" t="s">
        <v>1</v>
      </c>
      <c r="BX157" s="218" t="s">
        <v>1</v>
      </c>
      <c r="BY157" s="218" t="s">
        <v>1</v>
      </c>
      <c r="BZ157" s="218" t="s">
        <v>1</v>
      </c>
      <c r="CA157" s="218" t="s">
        <v>1</v>
      </c>
      <c r="CB157" s="218" t="s">
        <v>1</v>
      </c>
      <c r="CC157" s="218" t="s">
        <v>1</v>
      </c>
      <c r="CD157" s="218" t="s">
        <v>1</v>
      </c>
      <c r="CE157" s="218" t="s">
        <v>1</v>
      </c>
      <c r="CF157" s="117" t="s">
        <v>1</v>
      </c>
    </row>
    <row r="158" ht="25" customHeight="1" spans="1:84">
      <c r="A158" s="29">
        <v>45261</v>
      </c>
      <c r="B158" s="7" t="s">
        <v>1</v>
      </c>
      <c r="C158" s="7" t="s">
        <v>1</v>
      </c>
      <c r="D158" s="7" t="s">
        <v>1</v>
      </c>
      <c r="E158" s="7" t="s">
        <v>1</v>
      </c>
      <c r="F158" s="7" t="s">
        <v>1</v>
      </c>
      <c r="G158" s="48" t="s">
        <v>1</v>
      </c>
      <c r="H158" s="48" t="s">
        <v>1</v>
      </c>
      <c r="I158" s="48" t="s">
        <v>1</v>
      </c>
      <c r="J158" s="48" t="s">
        <v>1</v>
      </c>
      <c r="K158" s="48" t="s">
        <v>1</v>
      </c>
      <c r="L158" s="127" t="s">
        <v>1</v>
      </c>
      <c r="M158" s="48" t="s">
        <v>1</v>
      </c>
      <c r="N158" s="48" t="s">
        <v>1</v>
      </c>
      <c r="O158" s="48" t="s">
        <v>1</v>
      </c>
      <c r="P158" s="48" t="s">
        <v>1</v>
      </c>
      <c r="Q158" s="48" t="s">
        <v>1</v>
      </c>
      <c r="R158" s="48" t="s">
        <v>1</v>
      </c>
      <c r="S158" s="48" t="s">
        <v>1</v>
      </c>
      <c r="T158" s="48" t="s">
        <v>1</v>
      </c>
      <c r="U158" s="48" t="s">
        <v>1</v>
      </c>
      <c r="V158" s="117" t="s">
        <v>1</v>
      </c>
      <c r="W158" s="117" t="s">
        <v>1</v>
      </c>
      <c r="X158" s="117" t="s">
        <v>1</v>
      </c>
      <c r="Y158" s="117" t="s">
        <v>1</v>
      </c>
      <c r="Z158" s="318" t="s">
        <v>1</v>
      </c>
      <c r="AA158" s="318" t="s">
        <v>1</v>
      </c>
      <c r="AB158" s="318" t="s">
        <v>1</v>
      </c>
      <c r="AC158" s="117" t="s">
        <v>1</v>
      </c>
      <c r="AD158" s="117" t="s">
        <v>1</v>
      </c>
      <c r="AE158" s="117" t="s">
        <v>1</v>
      </c>
      <c r="AF158" s="117" t="s">
        <v>1</v>
      </c>
      <c r="AG158" s="117" t="s">
        <v>1</v>
      </c>
      <c r="AH158" s="117" t="s">
        <v>1</v>
      </c>
      <c r="AI158" s="117" t="s">
        <v>1</v>
      </c>
      <c r="AJ158" s="117" t="s">
        <v>1</v>
      </c>
      <c r="AK158" s="117" t="s">
        <v>1</v>
      </c>
      <c r="AL158" s="117" t="s">
        <v>1</v>
      </c>
      <c r="AM158" s="117" t="s">
        <v>1</v>
      </c>
      <c r="AN158" s="117" t="s">
        <v>1</v>
      </c>
      <c r="AO158" s="117" t="s">
        <v>1</v>
      </c>
      <c r="AP158" s="117" t="s">
        <v>1</v>
      </c>
      <c r="AQ158" s="117" t="s">
        <v>1</v>
      </c>
      <c r="AR158" s="117" t="s">
        <v>1</v>
      </c>
      <c r="AS158" s="117" t="s">
        <v>1</v>
      </c>
      <c r="AT158" s="117" t="s">
        <v>1</v>
      </c>
      <c r="AU158" s="117" t="s">
        <v>1</v>
      </c>
      <c r="AV158" s="117" t="s">
        <v>1</v>
      </c>
      <c r="AW158" s="117" t="s">
        <v>1</v>
      </c>
      <c r="AX158" s="117" t="s">
        <v>1</v>
      </c>
      <c r="AY158" s="117" t="s">
        <v>1</v>
      </c>
      <c r="AZ158" s="117" t="s">
        <v>1</v>
      </c>
      <c r="BA158" s="117" t="s">
        <v>1</v>
      </c>
      <c r="BB158" s="117" t="s">
        <v>1</v>
      </c>
      <c r="BC158" s="117" t="s">
        <v>1</v>
      </c>
      <c r="BD158" s="117" t="s">
        <v>1</v>
      </c>
      <c r="BE158" s="117" t="s">
        <v>1</v>
      </c>
      <c r="BF158" s="117" t="s">
        <v>1</v>
      </c>
      <c r="BG158" s="217" t="s">
        <v>1</v>
      </c>
      <c r="BH158" s="217" t="s">
        <v>1</v>
      </c>
      <c r="BI158" s="217" t="s">
        <v>1</v>
      </c>
      <c r="BJ158" s="217" t="s">
        <v>1</v>
      </c>
      <c r="BK158" s="217" t="s">
        <v>1</v>
      </c>
      <c r="BL158" s="217" t="s">
        <v>1</v>
      </c>
      <c r="BM158" s="217" t="s">
        <v>1</v>
      </c>
      <c r="BN158" s="217" t="s">
        <v>1</v>
      </c>
      <c r="BO158" s="217" t="s">
        <v>1</v>
      </c>
      <c r="BP158" s="218" t="s">
        <v>1</v>
      </c>
      <c r="BQ158" s="218" t="s">
        <v>1</v>
      </c>
      <c r="BR158" s="218" t="s">
        <v>1</v>
      </c>
      <c r="BS158" s="218" t="s">
        <v>1</v>
      </c>
      <c r="BT158" s="218" t="s">
        <v>1</v>
      </c>
      <c r="BU158" s="218" t="s">
        <v>1</v>
      </c>
      <c r="BV158" s="218" t="s">
        <v>1</v>
      </c>
      <c r="BW158" s="218" t="s">
        <v>1</v>
      </c>
      <c r="BX158" s="218" t="s">
        <v>1</v>
      </c>
      <c r="BY158" s="218" t="s">
        <v>1</v>
      </c>
      <c r="BZ158" s="218" t="s">
        <v>1</v>
      </c>
      <c r="CA158" s="218" t="s">
        <v>1</v>
      </c>
      <c r="CB158" s="218" t="s">
        <v>1</v>
      </c>
      <c r="CC158" s="218" t="s">
        <v>1</v>
      </c>
      <c r="CD158" s="218" t="s">
        <v>1</v>
      </c>
      <c r="CE158" s="218" t="s">
        <v>1</v>
      </c>
      <c r="CF158" s="117" t="s">
        <v>1</v>
      </c>
    </row>
    <row r="159" ht="25" customHeight="1" spans="1:84">
      <c r="A159" s="29">
        <v>45262</v>
      </c>
      <c r="B159" s="7" t="s">
        <v>1</v>
      </c>
      <c r="C159" s="7" t="s">
        <v>1</v>
      </c>
      <c r="D159" s="7" t="s">
        <v>1</v>
      </c>
      <c r="E159" s="7" t="s">
        <v>1</v>
      </c>
      <c r="F159" s="7" t="s">
        <v>1</v>
      </c>
      <c r="G159" s="48" t="s">
        <v>1</v>
      </c>
      <c r="H159" s="48" t="s">
        <v>1</v>
      </c>
      <c r="I159" s="48" t="s">
        <v>1</v>
      </c>
      <c r="J159" s="48" t="s">
        <v>1</v>
      </c>
      <c r="K159" s="48" t="s">
        <v>1</v>
      </c>
      <c r="L159" s="127" t="s">
        <v>1</v>
      </c>
      <c r="M159" s="48" t="s">
        <v>1</v>
      </c>
      <c r="N159" s="48" t="s">
        <v>1</v>
      </c>
      <c r="O159" s="48" t="s">
        <v>1</v>
      </c>
      <c r="P159" s="48" t="s">
        <v>1</v>
      </c>
      <c r="Q159" s="48" t="s">
        <v>1</v>
      </c>
      <c r="R159" s="48" t="s">
        <v>1</v>
      </c>
      <c r="S159" s="48" t="s">
        <v>1</v>
      </c>
      <c r="T159" s="48" t="s">
        <v>1</v>
      </c>
      <c r="U159" s="48" t="s">
        <v>1</v>
      </c>
      <c r="V159" s="117" t="s">
        <v>1</v>
      </c>
      <c r="W159" s="117" t="s">
        <v>1</v>
      </c>
      <c r="X159" s="117" t="s">
        <v>1</v>
      </c>
      <c r="Y159" s="117" t="s">
        <v>1</v>
      </c>
      <c r="Z159" s="318" t="s">
        <v>1</v>
      </c>
      <c r="AA159" s="318" t="s">
        <v>1</v>
      </c>
      <c r="AB159" s="318" t="s">
        <v>1</v>
      </c>
      <c r="AC159" s="117" t="s">
        <v>1</v>
      </c>
      <c r="AD159" s="117" t="s">
        <v>1</v>
      </c>
      <c r="AE159" s="117" t="s">
        <v>1</v>
      </c>
      <c r="AF159" s="117" t="s">
        <v>1</v>
      </c>
      <c r="AG159" s="117" t="s">
        <v>1</v>
      </c>
      <c r="AH159" s="117" t="s">
        <v>1</v>
      </c>
      <c r="AI159" s="117" t="s">
        <v>1</v>
      </c>
      <c r="AJ159" s="117" t="s">
        <v>1</v>
      </c>
      <c r="AK159" s="117" t="s">
        <v>1</v>
      </c>
      <c r="AL159" s="117" t="s">
        <v>1</v>
      </c>
      <c r="AM159" s="117" t="s">
        <v>1</v>
      </c>
      <c r="AN159" s="117" t="s">
        <v>1</v>
      </c>
      <c r="AO159" s="117" t="s">
        <v>1</v>
      </c>
      <c r="AP159" s="117" t="s">
        <v>1</v>
      </c>
      <c r="AQ159" s="117" t="s">
        <v>1</v>
      </c>
      <c r="AR159" s="117" t="s">
        <v>1</v>
      </c>
      <c r="AS159" s="117" t="s">
        <v>1</v>
      </c>
      <c r="AT159" s="117" t="s">
        <v>1</v>
      </c>
      <c r="AU159" s="117" t="s">
        <v>1</v>
      </c>
      <c r="AV159" s="117" t="s">
        <v>1</v>
      </c>
      <c r="AW159" s="117" t="s">
        <v>1</v>
      </c>
      <c r="AX159" s="117" t="s">
        <v>1</v>
      </c>
      <c r="AY159" s="117" t="s">
        <v>1</v>
      </c>
      <c r="AZ159" s="117" t="s">
        <v>1</v>
      </c>
      <c r="BA159" s="117" t="s">
        <v>1</v>
      </c>
      <c r="BB159" s="117" t="s">
        <v>1</v>
      </c>
      <c r="BC159" s="117" t="s">
        <v>1</v>
      </c>
      <c r="BD159" s="117" t="s">
        <v>1</v>
      </c>
      <c r="BE159" s="117" t="s">
        <v>1</v>
      </c>
      <c r="BF159" s="117" t="s">
        <v>1</v>
      </c>
      <c r="BG159" s="217" t="s">
        <v>1</v>
      </c>
      <c r="BH159" s="217" t="s">
        <v>1</v>
      </c>
      <c r="BI159" s="217" t="s">
        <v>1</v>
      </c>
      <c r="BJ159" s="217" t="s">
        <v>1</v>
      </c>
      <c r="BK159" s="217" t="s">
        <v>1</v>
      </c>
      <c r="BL159" s="217" t="s">
        <v>1</v>
      </c>
      <c r="BM159" s="217" t="s">
        <v>1</v>
      </c>
      <c r="BN159" s="217" t="s">
        <v>1</v>
      </c>
      <c r="BO159" s="217" t="s">
        <v>1</v>
      </c>
      <c r="BP159" s="218" t="s">
        <v>1</v>
      </c>
      <c r="BQ159" s="218" t="s">
        <v>1</v>
      </c>
      <c r="BR159" s="218" t="s">
        <v>1</v>
      </c>
      <c r="BS159" s="218" t="s">
        <v>1</v>
      </c>
      <c r="BT159" s="218" t="s">
        <v>1</v>
      </c>
      <c r="BU159" s="218" t="s">
        <v>1</v>
      </c>
      <c r="BV159" s="218" t="s">
        <v>1</v>
      </c>
      <c r="BW159" s="218" t="s">
        <v>1</v>
      </c>
      <c r="BX159" s="218" t="s">
        <v>1</v>
      </c>
      <c r="BY159" s="218" t="s">
        <v>1</v>
      </c>
      <c r="BZ159" s="218" t="s">
        <v>1</v>
      </c>
      <c r="CA159" s="218" t="s">
        <v>1</v>
      </c>
      <c r="CB159" s="218" t="s">
        <v>1</v>
      </c>
      <c r="CC159" s="218" t="s">
        <v>1</v>
      </c>
      <c r="CD159" s="218" t="s">
        <v>1</v>
      </c>
      <c r="CE159" s="218" t="s">
        <v>1</v>
      </c>
      <c r="CF159" s="117" t="s">
        <v>1</v>
      </c>
    </row>
    <row r="160" ht="25" customHeight="1" spans="1:84">
      <c r="A160" s="29">
        <v>45263</v>
      </c>
      <c r="B160" s="7" t="s">
        <v>1</v>
      </c>
      <c r="C160" s="7" t="s">
        <v>1</v>
      </c>
      <c r="D160" s="7" t="s">
        <v>1</v>
      </c>
      <c r="E160" s="7" t="s">
        <v>1</v>
      </c>
      <c r="F160" s="7" t="s">
        <v>1</v>
      </c>
      <c r="G160" s="48" t="s">
        <v>1</v>
      </c>
      <c r="H160" s="48" t="s">
        <v>1</v>
      </c>
      <c r="I160" s="48" t="s">
        <v>1</v>
      </c>
      <c r="J160" s="48" t="s">
        <v>1</v>
      </c>
      <c r="K160" s="48" t="s">
        <v>1</v>
      </c>
      <c r="L160" s="127" t="s">
        <v>1</v>
      </c>
      <c r="M160" s="48" t="s">
        <v>1</v>
      </c>
      <c r="N160" s="48" t="s">
        <v>1</v>
      </c>
      <c r="O160" s="48" t="s">
        <v>1</v>
      </c>
      <c r="P160" s="48" t="s">
        <v>1</v>
      </c>
      <c r="Q160" s="48" t="s">
        <v>1</v>
      </c>
      <c r="R160" s="48" t="s">
        <v>1</v>
      </c>
      <c r="S160" s="48" t="s">
        <v>1</v>
      </c>
      <c r="T160" s="48" t="s">
        <v>1</v>
      </c>
      <c r="U160" s="48" t="s">
        <v>1</v>
      </c>
      <c r="V160" s="117" t="s">
        <v>1</v>
      </c>
      <c r="W160" s="117" t="s">
        <v>1</v>
      </c>
      <c r="X160" s="117" t="s">
        <v>1</v>
      </c>
      <c r="Y160" s="117" t="s">
        <v>1</v>
      </c>
      <c r="Z160" s="318" t="s">
        <v>1</v>
      </c>
      <c r="AA160" s="318" t="s">
        <v>1</v>
      </c>
      <c r="AB160" s="318" t="s">
        <v>1</v>
      </c>
      <c r="AC160" s="117" t="s">
        <v>1</v>
      </c>
      <c r="AD160" s="117" t="s">
        <v>1</v>
      </c>
      <c r="AE160" s="117" t="s">
        <v>1</v>
      </c>
      <c r="AF160" s="117" t="s">
        <v>1</v>
      </c>
      <c r="AG160" s="117" t="s">
        <v>1</v>
      </c>
      <c r="AH160" s="117" t="s">
        <v>1</v>
      </c>
      <c r="AI160" s="117" t="s">
        <v>1</v>
      </c>
      <c r="AJ160" s="117" t="s">
        <v>1</v>
      </c>
      <c r="AK160" s="117" t="s">
        <v>1</v>
      </c>
      <c r="AL160" s="117" t="s">
        <v>1</v>
      </c>
      <c r="AM160" s="117" t="s">
        <v>1</v>
      </c>
      <c r="AN160" s="117" t="s">
        <v>1</v>
      </c>
      <c r="AO160" s="117" t="s">
        <v>1</v>
      </c>
      <c r="AP160" s="117" t="s">
        <v>1</v>
      </c>
      <c r="AQ160" s="117" t="s">
        <v>1</v>
      </c>
      <c r="AR160" s="117" t="s">
        <v>1</v>
      </c>
      <c r="AS160" s="117" t="s">
        <v>1</v>
      </c>
      <c r="AT160" s="117" t="s">
        <v>1</v>
      </c>
      <c r="AU160" s="117" t="s">
        <v>1</v>
      </c>
      <c r="AV160" s="117" t="s">
        <v>1</v>
      </c>
      <c r="AW160" s="117" t="s">
        <v>1</v>
      </c>
      <c r="AX160" s="117" t="s">
        <v>1</v>
      </c>
      <c r="AY160" s="117" t="s">
        <v>1</v>
      </c>
      <c r="AZ160" s="117" t="s">
        <v>1</v>
      </c>
      <c r="BA160" s="117" t="s">
        <v>1</v>
      </c>
      <c r="BB160" s="117" t="s">
        <v>1</v>
      </c>
      <c r="BC160" s="117" t="s">
        <v>1</v>
      </c>
      <c r="BD160" s="117" t="s">
        <v>1</v>
      </c>
      <c r="BE160" s="117" t="s">
        <v>1</v>
      </c>
      <c r="BF160" s="117" t="s">
        <v>1</v>
      </c>
      <c r="BG160" s="217" t="s">
        <v>1</v>
      </c>
      <c r="BH160" s="217" t="s">
        <v>1</v>
      </c>
      <c r="BI160" s="217" t="s">
        <v>1</v>
      </c>
      <c r="BJ160" s="217" t="s">
        <v>1</v>
      </c>
      <c r="BK160" s="217" t="s">
        <v>1</v>
      </c>
      <c r="BL160" s="217" t="s">
        <v>1</v>
      </c>
      <c r="BM160" s="217" t="s">
        <v>1</v>
      </c>
      <c r="BN160" s="217" t="s">
        <v>1</v>
      </c>
      <c r="BO160" s="217" t="s">
        <v>1</v>
      </c>
      <c r="BP160" s="218" t="s">
        <v>1</v>
      </c>
      <c r="BQ160" s="218" t="s">
        <v>1</v>
      </c>
      <c r="BR160" s="218" t="s">
        <v>1</v>
      </c>
      <c r="BS160" s="218" t="s">
        <v>1</v>
      </c>
      <c r="BT160" s="218" t="s">
        <v>1</v>
      </c>
      <c r="BU160" s="218" t="s">
        <v>1</v>
      </c>
      <c r="BV160" s="218" t="s">
        <v>1</v>
      </c>
      <c r="BW160" s="218" t="s">
        <v>1</v>
      </c>
      <c r="BX160" s="218" t="s">
        <v>1</v>
      </c>
      <c r="BY160" s="218" t="s">
        <v>1</v>
      </c>
      <c r="BZ160" s="218" t="s">
        <v>1</v>
      </c>
      <c r="CA160" s="218" t="s">
        <v>1</v>
      </c>
      <c r="CB160" s="218" t="s">
        <v>1</v>
      </c>
      <c r="CC160" s="218" t="s">
        <v>1</v>
      </c>
      <c r="CD160" s="218" t="s">
        <v>1</v>
      </c>
      <c r="CE160" s="218" t="s">
        <v>1</v>
      </c>
      <c r="CF160" s="117" t="s">
        <v>1</v>
      </c>
    </row>
    <row r="161" ht="25" customHeight="1" spans="1:84">
      <c r="A161" s="29">
        <v>45264</v>
      </c>
      <c r="B161" s="7" t="s">
        <v>1</v>
      </c>
      <c r="C161" s="7" t="s">
        <v>1</v>
      </c>
      <c r="D161" s="7" t="s">
        <v>1</v>
      </c>
      <c r="E161" s="7" t="s">
        <v>1</v>
      </c>
      <c r="F161" s="7" t="s">
        <v>1</v>
      </c>
      <c r="G161" s="48" t="s">
        <v>1</v>
      </c>
      <c r="H161" s="48" t="s">
        <v>1</v>
      </c>
      <c r="I161" s="48" t="s">
        <v>1</v>
      </c>
      <c r="J161" s="48" t="s">
        <v>1</v>
      </c>
      <c r="K161" s="48" t="s">
        <v>1</v>
      </c>
      <c r="L161" s="127" t="s">
        <v>1</v>
      </c>
      <c r="M161" s="48" t="s">
        <v>1</v>
      </c>
      <c r="N161" s="48" t="s">
        <v>1</v>
      </c>
      <c r="O161" s="48" t="s">
        <v>1</v>
      </c>
      <c r="P161" s="48" t="s">
        <v>1</v>
      </c>
      <c r="Q161" s="48" t="s">
        <v>1</v>
      </c>
      <c r="R161" s="48" t="s">
        <v>1</v>
      </c>
      <c r="S161" s="48" t="s">
        <v>1</v>
      </c>
      <c r="T161" s="48" t="s">
        <v>1</v>
      </c>
      <c r="U161" s="48" t="s">
        <v>1</v>
      </c>
      <c r="V161" s="117" t="s">
        <v>1</v>
      </c>
      <c r="W161" s="117" t="s">
        <v>1</v>
      </c>
      <c r="X161" s="117" t="s">
        <v>1</v>
      </c>
      <c r="Y161" s="117" t="s">
        <v>1</v>
      </c>
      <c r="Z161" s="318" t="s">
        <v>1</v>
      </c>
      <c r="AA161" s="318" t="s">
        <v>1</v>
      </c>
      <c r="AB161" s="318" t="s">
        <v>1</v>
      </c>
      <c r="AC161" s="117" t="s">
        <v>1</v>
      </c>
      <c r="AD161" s="117" t="s">
        <v>1</v>
      </c>
      <c r="AE161" s="117" t="s">
        <v>1</v>
      </c>
      <c r="AF161" s="117" t="s">
        <v>1</v>
      </c>
      <c r="AG161" s="117" t="s">
        <v>1</v>
      </c>
      <c r="AH161" s="117" t="s">
        <v>1</v>
      </c>
      <c r="AI161" s="117" t="s">
        <v>1</v>
      </c>
      <c r="AJ161" s="117" t="s">
        <v>1</v>
      </c>
      <c r="AK161" s="117" t="s">
        <v>1</v>
      </c>
      <c r="AL161" s="117" t="s">
        <v>1</v>
      </c>
      <c r="AM161" s="117" t="s">
        <v>1</v>
      </c>
      <c r="AN161" s="117" t="s">
        <v>1</v>
      </c>
      <c r="AO161" s="117" t="s">
        <v>1</v>
      </c>
      <c r="AP161" s="117" t="s">
        <v>1</v>
      </c>
      <c r="AQ161" s="117" t="s">
        <v>1</v>
      </c>
      <c r="AR161" s="117" t="s">
        <v>1</v>
      </c>
      <c r="AS161" s="117" t="s">
        <v>1</v>
      </c>
      <c r="AT161" s="117" t="s">
        <v>1</v>
      </c>
      <c r="AU161" s="117" t="s">
        <v>1</v>
      </c>
      <c r="AV161" s="117" t="s">
        <v>1</v>
      </c>
      <c r="AW161" s="117" t="s">
        <v>1</v>
      </c>
      <c r="AX161" s="117" t="s">
        <v>1</v>
      </c>
      <c r="AY161" s="117" t="s">
        <v>1</v>
      </c>
      <c r="AZ161" s="117" t="s">
        <v>1</v>
      </c>
      <c r="BA161" s="117" t="s">
        <v>1</v>
      </c>
      <c r="BB161" s="117" t="s">
        <v>1</v>
      </c>
      <c r="BC161" s="117" t="s">
        <v>1</v>
      </c>
      <c r="BD161" s="117" t="s">
        <v>1</v>
      </c>
      <c r="BE161" s="117" t="s">
        <v>1</v>
      </c>
      <c r="BF161" s="117" t="s">
        <v>1</v>
      </c>
      <c r="BG161" s="217" t="s">
        <v>1</v>
      </c>
      <c r="BH161" s="217" t="s">
        <v>1</v>
      </c>
      <c r="BI161" s="217" t="s">
        <v>1</v>
      </c>
      <c r="BJ161" s="217" t="s">
        <v>1</v>
      </c>
      <c r="BK161" s="217" t="s">
        <v>1</v>
      </c>
      <c r="BL161" s="217" t="s">
        <v>1</v>
      </c>
      <c r="BM161" s="217" t="s">
        <v>1</v>
      </c>
      <c r="BN161" s="217" t="s">
        <v>1</v>
      </c>
      <c r="BO161" s="217" t="s">
        <v>1</v>
      </c>
      <c r="BP161" s="218" t="s">
        <v>1</v>
      </c>
      <c r="BQ161" s="218" t="s">
        <v>1</v>
      </c>
      <c r="BR161" s="218" t="s">
        <v>1</v>
      </c>
      <c r="BS161" s="218" t="s">
        <v>1</v>
      </c>
      <c r="BT161" s="218" t="s">
        <v>1</v>
      </c>
      <c r="BU161" s="218" t="s">
        <v>1</v>
      </c>
      <c r="BV161" s="218" t="s">
        <v>1</v>
      </c>
      <c r="BW161" s="218" t="s">
        <v>1</v>
      </c>
      <c r="BX161" s="218" t="s">
        <v>1</v>
      </c>
      <c r="BY161" s="218" t="s">
        <v>1</v>
      </c>
      <c r="BZ161" s="218" t="s">
        <v>1</v>
      </c>
      <c r="CA161" s="218" t="s">
        <v>1</v>
      </c>
      <c r="CB161" s="218" t="s">
        <v>1</v>
      </c>
      <c r="CC161" s="218" t="s">
        <v>1</v>
      </c>
      <c r="CD161" s="218" t="s">
        <v>1</v>
      </c>
      <c r="CE161" s="218" t="s">
        <v>1</v>
      </c>
      <c r="CF161" s="117" t="s">
        <v>1</v>
      </c>
    </row>
    <row r="162" ht="25" customHeight="1" spans="1:84">
      <c r="A162" s="29">
        <v>45265</v>
      </c>
      <c r="B162" s="7" t="s">
        <v>1</v>
      </c>
      <c r="C162" s="7" t="s">
        <v>1</v>
      </c>
      <c r="D162" s="7" t="s">
        <v>1</v>
      </c>
      <c r="E162" s="7" t="s">
        <v>1</v>
      </c>
      <c r="F162" s="7" t="s">
        <v>1</v>
      </c>
      <c r="G162" s="48" t="s">
        <v>1</v>
      </c>
      <c r="H162" s="48" t="s">
        <v>1</v>
      </c>
      <c r="I162" s="48" t="s">
        <v>1</v>
      </c>
      <c r="J162" s="48" t="s">
        <v>1</v>
      </c>
      <c r="K162" s="48" t="s">
        <v>1</v>
      </c>
      <c r="L162" s="127" t="s">
        <v>1</v>
      </c>
      <c r="M162" s="48" t="s">
        <v>1</v>
      </c>
      <c r="N162" s="48" t="s">
        <v>1</v>
      </c>
      <c r="O162" s="48" t="s">
        <v>1</v>
      </c>
      <c r="P162" s="48" t="s">
        <v>1</v>
      </c>
      <c r="Q162" s="48" t="s">
        <v>1</v>
      </c>
      <c r="R162" s="48" t="s">
        <v>1</v>
      </c>
      <c r="S162" s="48" t="s">
        <v>1</v>
      </c>
      <c r="T162" s="48" t="s">
        <v>1</v>
      </c>
      <c r="U162" s="48" t="s">
        <v>1</v>
      </c>
      <c r="V162" s="117" t="s">
        <v>1</v>
      </c>
      <c r="W162" s="117" t="s">
        <v>1</v>
      </c>
      <c r="X162" s="117" t="s">
        <v>1</v>
      </c>
      <c r="Y162" s="117" t="s">
        <v>1</v>
      </c>
      <c r="Z162" s="318" t="s">
        <v>1</v>
      </c>
      <c r="AA162" s="318" t="s">
        <v>1</v>
      </c>
      <c r="AB162" s="318" t="s">
        <v>1</v>
      </c>
      <c r="AC162" s="117" t="s">
        <v>1</v>
      </c>
      <c r="AD162" s="117" t="s">
        <v>1</v>
      </c>
      <c r="AE162" s="117" t="s">
        <v>1</v>
      </c>
      <c r="AF162" s="117" t="s">
        <v>1</v>
      </c>
      <c r="AG162" s="117" t="s">
        <v>1</v>
      </c>
      <c r="AH162" s="117" t="s">
        <v>1</v>
      </c>
      <c r="AI162" s="117" t="s">
        <v>1</v>
      </c>
      <c r="AJ162" s="117" t="s">
        <v>1</v>
      </c>
      <c r="AK162" s="117" t="s">
        <v>1</v>
      </c>
      <c r="AL162" s="117" t="s">
        <v>1</v>
      </c>
      <c r="AM162" s="117" t="s">
        <v>1</v>
      </c>
      <c r="AN162" s="117" t="s">
        <v>1</v>
      </c>
      <c r="AO162" s="117" t="s">
        <v>1</v>
      </c>
      <c r="AP162" s="117" t="s">
        <v>1</v>
      </c>
      <c r="AQ162" s="117" t="s">
        <v>1</v>
      </c>
      <c r="AR162" s="117" t="s">
        <v>1</v>
      </c>
      <c r="AS162" s="117" t="s">
        <v>1</v>
      </c>
      <c r="AT162" s="117" t="s">
        <v>1</v>
      </c>
      <c r="AU162" s="117" t="s">
        <v>1</v>
      </c>
      <c r="AV162" s="117" t="s">
        <v>1</v>
      </c>
      <c r="AW162" s="117" t="s">
        <v>1</v>
      </c>
      <c r="AX162" s="117" t="s">
        <v>1</v>
      </c>
      <c r="AY162" s="117" t="s">
        <v>1</v>
      </c>
      <c r="AZ162" s="117" t="s">
        <v>1</v>
      </c>
      <c r="BA162" s="117" t="s">
        <v>1</v>
      </c>
      <c r="BB162" s="117" t="s">
        <v>1</v>
      </c>
      <c r="BC162" s="117" t="s">
        <v>1</v>
      </c>
      <c r="BD162" s="117" t="s">
        <v>1</v>
      </c>
      <c r="BE162" s="117" t="s">
        <v>1</v>
      </c>
      <c r="BF162" s="117" t="s">
        <v>1</v>
      </c>
      <c r="BG162" s="217" t="s">
        <v>1</v>
      </c>
      <c r="BH162" s="217" t="s">
        <v>1</v>
      </c>
      <c r="BI162" s="217" t="s">
        <v>1</v>
      </c>
      <c r="BJ162" s="217" t="s">
        <v>1</v>
      </c>
      <c r="BK162" s="217" t="s">
        <v>1</v>
      </c>
      <c r="BL162" s="217" t="s">
        <v>1</v>
      </c>
      <c r="BM162" s="217" t="s">
        <v>1</v>
      </c>
      <c r="BN162" s="217" t="s">
        <v>1</v>
      </c>
      <c r="BO162" s="217" t="s">
        <v>1</v>
      </c>
      <c r="BP162" s="218" t="s">
        <v>1</v>
      </c>
      <c r="BQ162" s="218" t="s">
        <v>1</v>
      </c>
      <c r="BR162" s="218" t="s">
        <v>1</v>
      </c>
      <c r="BS162" s="218" t="s">
        <v>1</v>
      </c>
      <c r="BT162" s="218" t="s">
        <v>1</v>
      </c>
      <c r="BU162" s="218" t="s">
        <v>1</v>
      </c>
      <c r="BV162" s="218" t="s">
        <v>1</v>
      </c>
      <c r="BW162" s="218" t="s">
        <v>1</v>
      </c>
      <c r="BX162" s="218" t="s">
        <v>1</v>
      </c>
      <c r="BY162" s="218" t="s">
        <v>1</v>
      </c>
      <c r="BZ162" s="218" t="s">
        <v>1</v>
      </c>
      <c r="CA162" s="218" t="s">
        <v>1</v>
      </c>
      <c r="CB162" s="218" t="s">
        <v>1</v>
      </c>
      <c r="CC162" s="218" t="s">
        <v>1</v>
      </c>
      <c r="CD162" s="218" t="s">
        <v>1</v>
      </c>
      <c r="CE162" s="218" t="s">
        <v>1</v>
      </c>
      <c r="CF162" s="117" t="s">
        <v>1</v>
      </c>
    </row>
    <row r="163" ht="25" customHeight="1" spans="1:84">
      <c r="A163" s="29">
        <v>45266</v>
      </c>
      <c r="B163" s="7" t="s">
        <v>1</v>
      </c>
      <c r="C163" s="7" t="s">
        <v>1</v>
      </c>
      <c r="D163" s="7" t="s">
        <v>1</v>
      </c>
      <c r="E163" s="7" t="s">
        <v>1</v>
      </c>
      <c r="F163" s="7" t="s">
        <v>1</v>
      </c>
      <c r="G163" s="48" t="s">
        <v>1</v>
      </c>
      <c r="H163" s="48" t="s">
        <v>1</v>
      </c>
      <c r="I163" s="48" t="s">
        <v>1</v>
      </c>
      <c r="J163" s="48" t="s">
        <v>1</v>
      </c>
      <c r="K163" s="48" t="s">
        <v>1</v>
      </c>
      <c r="L163" s="127" t="s">
        <v>1</v>
      </c>
      <c r="M163" s="48" t="s">
        <v>1</v>
      </c>
      <c r="N163" s="48" t="s">
        <v>1</v>
      </c>
      <c r="O163" s="48" t="s">
        <v>1</v>
      </c>
      <c r="P163" s="48" t="s">
        <v>1</v>
      </c>
      <c r="Q163" s="48" t="s">
        <v>1</v>
      </c>
      <c r="R163" s="48" t="s">
        <v>1</v>
      </c>
      <c r="S163" s="48" t="s">
        <v>1</v>
      </c>
      <c r="T163" s="48" t="s">
        <v>1</v>
      </c>
      <c r="U163" s="48" t="s">
        <v>1</v>
      </c>
      <c r="V163" s="117" t="s">
        <v>1</v>
      </c>
      <c r="W163" s="117" t="s">
        <v>1</v>
      </c>
      <c r="X163" s="117" t="s">
        <v>1</v>
      </c>
      <c r="Y163" s="117" t="s">
        <v>1</v>
      </c>
      <c r="Z163" s="318" t="s">
        <v>1</v>
      </c>
      <c r="AA163" s="318" t="s">
        <v>1</v>
      </c>
      <c r="AB163" s="318" t="s">
        <v>1</v>
      </c>
      <c r="AC163" s="117" t="s">
        <v>1</v>
      </c>
      <c r="AD163" s="117" t="s">
        <v>1</v>
      </c>
      <c r="AE163" s="117" t="s">
        <v>1</v>
      </c>
      <c r="AF163" s="117" t="s">
        <v>1</v>
      </c>
      <c r="AG163" s="117" t="s">
        <v>1</v>
      </c>
      <c r="AH163" s="117" t="s">
        <v>1</v>
      </c>
      <c r="AI163" s="117" t="s">
        <v>1</v>
      </c>
      <c r="AJ163" s="117" t="s">
        <v>1</v>
      </c>
      <c r="AK163" s="117" t="s">
        <v>1</v>
      </c>
      <c r="AL163" s="117" t="s">
        <v>1</v>
      </c>
      <c r="AM163" s="117" t="s">
        <v>1</v>
      </c>
      <c r="AN163" s="117" t="s">
        <v>1</v>
      </c>
      <c r="AO163" s="117" t="s">
        <v>1</v>
      </c>
      <c r="AP163" s="117" t="s">
        <v>1</v>
      </c>
      <c r="AQ163" s="117" t="s">
        <v>1</v>
      </c>
      <c r="AR163" s="117" t="s">
        <v>1</v>
      </c>
      <c r="AS163" s="117" t="s">
        <v>1</v>
      </c>
      <c r="AT163" s="117" t="s">
        <v>1</v>
      </c>
      <c r="AU163" s="117" t="s">
        <v>1</v>
      </c>
      <c r="AV163" s="117" t="s">
        <v>1</v>
      </c>
      <c r="AW163" s="117" t="s">
        <v>1</v>
      </c>
      <c r="AX163" s="117" t="s">
        <v>1</v>
      </c>
      <c r="AY163" s="117" t="s">
        <v>1</v>
      </c>
      <c r="AZ163" s="117" t="s">
        <v>1</v>
      </c>
      <c r="BA163" s="117" t="s">
        <v>1</v>
      </c>
      <c r="BB163" s="117" t="s">
        <v>1</v>
      </c>
      <c r="BC163" s="117" t="s">
        <v>1</v>
      </c>
      <c r="BD163" s="117" t="s">
        <v>1</v>
      </c>
      <c r="BE163" s="117" t="s">
        <v>1</v>
      </c>
      <c r="BF163" s="117" t="s">
        <v>1</v>
      </c>
      <c r="BG163" s="217" t="s">
        <v>1</v>
      </c>
      <c r="BH163" s="217" t="s">
        <v>1</v>
      </c>
      <c r="BI163" s="217" t="s">
        <v>1</v>
      </c>
      <c r="BJ163" s="217" t="s">
        <v>1</v>
      </c>
      <c r="BK163" s="217" t="s">
        <v>1</v>
      </c>
      <c r="BL163" s="217" t="s">
        <v>1</v>
      </c>
      <c r="BM163" s="217" t="s">
        <v>1</v>
      </c>
      <c r="BN163" s="217" t="s">
        <v>1</v>
      </c>
      <c r="BO163" s="217" t="s">
        <v>1</v>
      </c>
      <c r="BP163" s="218" t="s">
        <v>1</v>
      </c>
      <c r="BQ163" s="218" t="s">
        <v>1</v>
      </c>
      <c r="BR163" s="218" t="s">
        <v>1</v>
      </c>
      <c r="BS163" s="218" t="s">
        <v>1</v>
      </c>
      <c r="BT163" s="218" t="s">
        <v>1</v>
      </c>
      <c r="BU163" s="218" t="s">
        <v>1</v>
      </c>
      <c r="BV163" s="218" t="s">
        <v>1</v>
      </c>
      <c r="BW163" s="218" t="s">
        <v>1</v>
      </c>
      <c r="BX163" s="218" t="s">
        <v>1</v>
      </c>
      <c r="BY163" s="218" t="s">
        <v>1</v>
      </c>
      <c r="BZ163" s="218" t="s">
        <v>1</v>
      </c>
      <c r="CA163" s="218" t="s">
        <v>1</v>
      </c>
      <c r="CB163" s="218" t="s">
        <v>1</v>
      </c>
      <c r="CC163" s="218" t="s">
        <v>1</v>
      </c>
      <c r="CD163" s="218" t="s">
        <v>1</v>
      </c>
      <c r="CE163" s="218" t="s">
        <v>1</v>
      </c>
      <c r="CF163" s="117" t="s">
        <v>1</v>
      </c>
    </row>
    <row r="164" ht="25" customHeight="1" spans="1:84">
      <c r="A164" s="29">
        <v>45267</v>
      </c>
      <c r="B164" s="7" t="s">
        <v>1</v>
      </c>
      <c r="C164" s="7" t="s">
        <v>1</v>
      </c>
      <c r="D164" s="7" t="s">
        <v>1</v>
      </c>
      <c r="E164" s="7" t="s">
        <v>1</v>
      </c>
      <c r="F164" s="7" t="s">
        <v>1</v>
      </c>
      <c r="G164" s="48" t="s">
        <v>1</v>
      </c>
      <c r="H164" s="48" t="s">
        <v>1</v>
      </c>
      <c r="I164" s="48" t="s">
        <v>1</v>
      </c>
      <c r="J164" s="48" t="s">
        <v>1</v>
      </c>
      <c r="K164" s="48" t="s">
        <v>1</v>
      </c>
      <c r="L164" s="127" t="s">
        <v>1</v>
      </c>
      <c r="M164" s="48" t="s">
        <v>1</v>
      </c>
      <c r="N164" s="48" t="s">
        <v>1</v>
      </c>
      <c r="O164" s="48" t="s">
        <v>1</v>
      </c>
      <c r="P164" s="48" t="s">
        <v>1</v>
      </c>
      <c r="Q164" s="48" t="s">
        <v>1</v>
      </c>
      <c r="R164" s="48" t="s">
        <v>1</v>
      </c>
      <c r="S164" s="48" t="s">
        <v>1</v>
      </c>
      <c r="T164" s="48" t="s">
        <v>1</v>
      </c>
      <c r="U164" s="48" t="s">
        <v>1</v>
      </c>
      <c r="V164" s="117" t="s">
        <v>1</v>
      </c>
      <c r="W164" s="117" t="s">
        <v>1</v>
      </c>
      <c r="X164" s="117" t="s">
        <v>1</v>
      </c>
      <c r="Y164" s="117" t="s">
        <v>1</v>
      </c>
      <c r="Z164" s="318" t="s">
        <v>1</v>
      </c>
      <c r="AA164" s="318" t="s">
        <v>1</v>
      </c>
      <c r="AB164" s="318" t="s">
        <v>1</v>
      </c>
      <c r="AC164" s="117" t="s">
        <v>1</v>
      </c>
      <c r="AD164" s="117" t="s">
        <v>1</v>
      </c>
      <c r="AE164" s="117" t="s">
        <v>1</v>
      </c>
      <c r="AF164" s="117" t="s">
        <v>1</v>
      </c>
      <c r="AG164" s="117" t="s">
        <v>1</v>
      </c>
      <c r="AH164" s="117" t="s">
        <v>1</v>
      </c>
      <c r="AI164" s="117" t="s">
        <v>1</v>
      </c>
      <c r="AJ164" s="117" t="s">
        <v>1</v>
      </c>
      <c r="AK164" s="117" t="s">
        <v>1</v>
      </c>
      <c r="AL164" s="117" t="s">
        <v>1</v>
      </c>
      <c r="AM164" s="117" t="s">
        <v>1</v>
      </c>
      <c r="AN164" s="117" t="s">
        <v>1</v>
      </c>
      <c r="AO164" s="117" t="s">
        <v>1</v>
      </c>
      <c r="AP164" s="117" t="s">
        <v>1</v>
      </c>
      <c r="AQ164" s="117" t="s">
        <v>1</v>
      </c>
      <c r="AR164" s="117" t="s">
        <v>1</v>
      </c>
      <c r="AS164" s="117" t="s">
        <v>1</v>
      </c>
      <c r="AT164" s="117" t="s">
        <v>1</v>
      </c>
      <c r="AU164" s="117" t="s">
        <v>1</v>
      </c>
      <c r="AV164" s="117" t="s">
        <v>1</v>
      </c>
      <c r="AW164" s="117" t="s">
        <v>1</v>
      </c>
      <c r="AX164" s="117" t="s">
        <v>1</v>
      </c>
      <c r="AY164" s="117" t="s">
        <v>1</v>
      </c>
      <c r="AZ164" s="117" t="s">
        <v>1</v>
      </c>
      <c r="BA164" s="117" t="s">
        <v>1</v>
      </c>
      <c r="BB164" s="117" t="s">
        <v>1</v>
      </c>
      <c r="BC164" s="117" t="s">
        <v>1</v>
      </c>
      <c r="BD164" s="117" t="s">
        <v>1</v>
      </c>
      <c r="BE164" s="117" t="s">
        <v>1</v>
      </c>
      <c r="BF164" s="117" t="s">
        <v>1</v>
      </c>
      <c r="BG164" s="217" t="s">
        <v>1</v>
      </c>
      <c r="BH164" s="217" t="s">
        <v>1</v>
      </c>
      <c r="BI164" s="217" t="s">
        <v>1</v>
      </c>
      <c r="BJ164" s="217" t="s">
        <v>1</v>
      </c>
      <c r="BK164" s="217" t="s">
        <v>1</v>
      </c>
      <c r="BL164" s="217" t="s">
        <v>1</v>
      </c>
      <c r="BM164" s="217" t="s">
        <v>1</v>
      </c>
      <c r="BN164" s="217" t="s">
        <v>1</v>
      </c>
      <c r="BO164" s="217" t="s">
        <v>1</v>
      </c>
      <c r="BP164" s="218" t="s">
        <v>1</v>
      </c>
      <c r="BQ164" s="218" t="s">
        <v>1</v>
      </c>
      <c r="BR164" s="218" t="s">
        <v>1</v>
      </c>
      <c r="BS164" s="218" t="s">
        <v>1</v>
      </c>
      <c r="BT164" s="218" t="s">
        <v>1</v>
      </c>
      <c r="BU164" s="218" t="s">
        <v>1</v>
      </c>
      <c r="BV164" s="218" t="s">
        <v>1</v>
      </c>
      <c r="BW164" s="218" t="s">
        <v>1</v>
      </c>
      <c r="BX164" s="218" t="s">
        <v>1</v>
      </c>
      <c r="BY164" s="218" t="s">
        <v>1</v>
      </c>
      <c r="BZ164" s="218" t="s">
        <v>1</v>
      </c>
      <c r="CA164" s="218" t="s">
        <v>1</v>
      </c>
      <c r="CB164" s="218" t="s">
        <v>1</v>
      </c>
      <c r="CC164" s="218" t="s">
        <v>1</v>
      </c>
      <c r="CD164" s="218" t="s">
        <v>1</v>
      </c>
      <c r="CE164" s="218" t="s">
        <v>1</v>
      </c>
      <c r="CF164" s="117" t="s">
        <v>1</v>
      </c>
    </row>
    <row r="165" ht="25" customHeight="1" spans="1:84">
      <c r="A165" s="29">
        <v>45268</v>
      </c>
      <c r="B165" s="7" t="s">
        <v>1</v>
      </c>
      <c r="C165" s="7" t="s">
        <v>1</v>
      </c>
      <c r="D165" s="7" t="s">
        <v>1</v>
      </c>
      <c r="E165" s="7" t="s">
        <v>1</v>
      </c>
      <c r="F165" s="7" t="s">
        <v>1</v>
      </c>
      <c r="G165" s="48" t="s">
        <v>1</v>
      </c>
      <c r="H165" s="48" t="s">
        <v>1</v>
      </c>
      <c r="I165" s="48" t="s">
        <v>1</v>
      </c>
      <c r="J165" s="48" t="s">
        <v>1</v>
      </c>
      <c r="K165" s="48" t="s">
        <v>1</v>
      </c>
      <c r="L165" s="127" t="s">
        <v>1</v>
      </c>
      <c r="M165" s="48" t="s">
        <v>1</v>
      </c>
      <c r="N165" s="48" t="s">
        <v>1</v>
      </c>
      <c r="O165" s="48" t="s">
        <v>1</v>
      </c>
      <c r="P165" s="48" t="s">
        <v>1</v>
      </c>
      <c r="Q165" s="48" t="s">
        <v>1</v>
      </c>
      <c r="R165" s="48" t="s">
        <v>1</v>
      </c>
      <c r="S165" s="48" t="s">
        <v>1</v>
      </c>
      <c r="T165" s="48" t="s">
        <v>1</v>
      </c>
      <c r="U165" s="48" t="s">
        <v>1</v>
      </c>
      <c r="V165" s="117" t="s">
        <v>1</v>
      </c>
      <c r="W165" s="117" t="s">
        <v>1</v>
      </c>
      <c r="X165" s="117" t="s">
        <v>1</v>
      </c>
      <c r="Y165" s="117" t="s">
        <v>1</v>
      </c>
      <c r="Z165" s="318" t="s">
        <v>1</v>
      </c>
      <c r="AA165" s="318" t="s">
        <v>1</v>
      </c>
      <c r="AB165" s="318" t="s">
        <v>1</v>
      </c>
      <c r="AC165" s="117" t="s">
        <v>1</v>
      </c>
      <c r="AD165" s="117" t="s">
        <v>1</v>
      </c>
      <c r="AE165" s="117" t="s">
        <v>1</v>
      </c>
      <c r="AF165" s="117" t="s">
        <v>1</v>
      </c>
      <c r="AG165" s="117" t="s">
        <v>1</v>
      </c>
      <c r="AH165" s="117" t="s">
        <v>1</v>
      </c>
      <c r="AI165" s="117" t="s">
        <v>1</v>
      </c>
      <c r="AJ165" s="117" t="s">
        <v>1</v>
      </c>
      <c r="AK165" s="117" t="s">
        <v>1</v>
      </c>
      <c r="AL165" s="117" t="s">
        <v>1</v>
      </c>
      <c r="AM165" s="117" t="s">
        <v>1</v>
      </c>
      <c r="AN165" s="117" t="s">
        <v>1</v>
      </c>
      <c r="AO165" s="117" t="s">
        <v>1</v>
      </c>
      <c r="AP165" s="117" t="s">
        <v>1</v>
      </c>
      <c r="AQ165" s="117" t="s">
        <v>1</v>
      </c>
      <c r="AR165" s="117" t="s">
        <v>1</v>
      </c>
      <c r="AS165" s="117" t="s">
        <v>1</v>
      </c>
      <c r="AT165" s="117" t="s">
        <v>1</v>
      </c>
      <c r="AU165" s="117" t="s">
        <v>1</v>
      </c>
      <c r="AV165" s="117" t="s">
        <v>1</v>
      </c>
      <c r="AW165" s="117" t="s">
        <v>1</v>
      </c>
      <c r="AX165" s="117" t="s">
        <v>1</v>
      </c>
      <c r="AY165" s="117" t="s">
        <v>1</v>
      </c>
      <c r="AZ165" s="117" t="s">
        <v>1</v>
      </c>
      <c r="BA165" s="117" t="s">
        <v>1</v>
      </c>
      <c r="BB165" s="117" t="s">
        <v>1</v>
      </c>
      <c r="BC165" s="117" t="s">
        <v>1</v>
      </c>
      <c r="BD165" s="117" t="s">
        <v>1</v>
      </c>
      <c r="BE165" s="117" t="s">
        <v>1</v>
      </c>
      <c r="BF165" s="117" t="s">
        <v>1</v>
      </c>
      <c r="BG165" s="217" t="s">
        <v>1</v>
      </c>
      <c r="BH165" s="217" t="s">
        <v>1</v>
      </c>
      <c r="BI165" s="217" t="s">
        <v>1</v>
      </c>
      <c r="BJ165" s="217" t="s">
        <v>1</v>
      </c>
      <c r="BK165" s="217" t="s">
        <v>1</v>
      </c>
      <c r="BL165" s="217" t="s">
        <v>1</v>
      </c>
      <c r="BM165" s="217" t="s">
        <v>1</v>
      </c>
      <c r="BN165" s="217" t="s">
        <v>1</v>
      </c>
      <c r="BO165" s="217" t="s">
        <v>1</v>
      </c>
      <c r="BP165" s="218" t="s">
        <v>1</v>
      </c>
      <c r="BQ165" s="218" t="s">
        <v>1</v>
      </c>
      <c r="BR165" s="218" t="s">
        <v>1</v>
      </c>
      <c r="BS165" s="218" t="s">
        <v>1</v>
      </c>
      <c r="BT165" s="218" t="s">
        <v>1</v>
      </c>
      <c r="BU165" s="218" t="s">
        <v>1</v>
      </c>
      <c r="BV165" s="218" t="s">
        <v>1</v>
      </c>
      <c r="BW165" s="218" t="s">
        <v>1</v>
      </c>
      <c r="BX165" s="218" t="s">
        <v>1</v>
      </c>
      <c r="BY165" s="218" t="s">
        <v>1</v>
      </c>
      <c r="BZ165" s="218" t="s">
        <v>1</v>
      </c>
      <c r="CA165" s="218" t="s">
        <v>1</v>
      </c>
      <c r="CB165" s="218" t="s">
        <v>1</v>
      </c>
      <c r="CC165" s="218" t="s">
        <v>1</v>
      </c>
      <c r="CD165" s="218" t="s">
        <v>1</v>
      </c>
      <c r="CE165" s="218" t="s">
        <v>1</v>
      </c>
      <c r="CF165" s="117" t="s">
        <v>1</v>
      </c>
    </row>
    <row r="166" ht="25" customHeight="1" spans="1:84">
      <c r="A166" s="29">
        <v>45269</v>
      </c>
      <c r="B166" s="7" t="s">
        <v>1</v>
      </c>
      <c r="C166" s="7" t="s">
        <v>1</v>
      </c>
      <c r="D166" s="7" t="s">
        <v>1</v>
      </c>
      <c r="E166" s="7" t="s">
        <v>1</v>
      </c>
      <c r="F166" s="7" t="s">
        <v>1</v>
      </c>
      <c r="G166" s="48" t="s">
        <v>1</v>
      </c>
      <c r="H166" s="48" t="s">
        <v>1</v>
      </c>
      <c r="I166" s="48" t="s">
        <v>1</v>
      </c>
      <c r="J166" s="48" t="s">
        <v>1</v>
      </c>
      <c r="K166" s="48" t="s">
        <v>1</v>
      </c>
      <c r="L166" s="127" t="s">
        <v>1</v>
      </c>
      <c r="M166" s="48" t="s">
        <v>1</v>
      </c>
      <c r="N166" s="48" t="s">
        <v>1</v>
      </c>
      <c r="O166" s="48" t="s">
        <v>1</v>
      </c>
      <c r="P166" s="48" t="s">
        <v>1</v>
      </c>
      <c r="Q166" s="48" t="s">
        <v>1</v>
      </c>
      <c r="R166" s="48" t="s">
        <v>1</v>
      </c>
      <c r="S166" s="48" t="s">
        <v>1</v>
      </c>
      <c r="T166" s="48" t="s">
        <v>1</v>
      </c>
      <c r="U166" s="48" t="s">
        <v>1</v>
      </c>
      <c r="V166" s="117" t="s">
        <v>1</v>
      </c>
      <c r="W166" s="117" t="s">
        <v>1</v>
      </c>
      <c r="X166" s="117" t="s">
        <v>1</v>
      </c>
      <c r="Y166" s="117" t="s">
        <v>1</v>
      </c>
      <c r="Z166" s="318" t="s">
        <v>1</v>
      </c>
      <c r="AA166" s="318" t="s">
        <v>1</v>
      </c>
      <c r="AB166" s="318" t="s">
        <v>1</v>
      </c>
      <c r="AC166" s="117" t="s">
        <v>1</v>
      </c>
      <c r="AD166" s="117" t="s">
        <v>1</v>
      </c>
      <c r="AE166" s="117" t="s">
        <v>1</v>
      </c>
      <c r="AF166" s="117" t="s">
        <v>1</v>
      </c>
      <c r="AG166" s="117" t="s">
        <v>1</v>
      </c>
      <c r="AH166" s="117" t="s">
        <v>1</v>
      </c>
      <c r="AI166" s="117" t="s">
        <v>1</v>
      </c>
      <c r="AJ166" s="117" t="s">
        <v>1</v>
      </c>
      <c r="AK166" s="117" t="s">
        <v>1</v>
      </c>
      <c r="AL166" s="117" t="s">
        <v>1</v>
      </c>
      <c r="AM166" s="117" t="s">
        <v>1</v>
      </c>
      <c r="AN166" s="117" t="s">
        <v>1</v>
      </c>
      <c r="AO166" s="117" t="s">
        <v>1</v>
      </c>
      <c r="AP166" s="117" t="s">
        <v>1</v>
      </c>
      <c r="AQ166" s="117" t="s">
        <v>1</v>
      </c>
      <c r="AR166" s="117" t="s">
        <v>1</v>
      </c>
      <c r="AS166" s="117" t="s">
        <v>1</v>
      </c>
      <c r="AT166" s="117" t="s">
        <v>1</v>
      </c>
      <c r="AU166" s="117" t="s">
        <v>1</v>
      </c>
      <c r="AV166" s="117" t="s">
        <v>1</v>
      </c>
      <c r="AW166" s="117" t="s">
        <v>1</v>
      </c>
      <c r="AX166" s="117" t="s">
        <v>1</v>
      </c>
      <c r="AY166" s="117" t="s">
        <v>1</v>
      </c>
      <c r="AZ166" s="117" t="s">
        <v>1</v>
      </c>
      <c r="BA166" s="117" t="s">
        <v>1</v>
      </c>
      <c r="BB166" s="117" t="s">
        <v>1</v>
      </c>
      <c r="BC166" s="117" t="s">
        <v>1</v>
      </c>
      <c r="BD166" s="117" t="s">
        <v>1</v>
      </c>
      <c r="BE166" s="117" t="s">
        <v>1</v>
      </c>
      <c r="BF166" s="117" t="s">
        <v>1</v>
      </c>
      <c r="BG166" s="217" t="s">
        <v>1</v>
      </c>
      <c r="BH166" s="217" t="s">
        <v>1</v>
      </c>
      <c r="BI166" s="217" t="s">
        <v>1</v>
      </c>
      <c r="BJ166" s="217" t="s">
        <v>1</v>
      </c>
      <c r="BK166" s="217" t="s">
        <v>1</v>
      </c>
      <c r="BL166" s="217" t="s">
        <v>1</v>
      </c>
      <c r="BM166" s="217" t="s">
        <v>1</v>
      </c>
      <c r="BN166" s="217" t="s">
        <v>1</v>
      </c>
      <c r="BO166" s="217" t="s">
        <v>1</v>
      </c>
      <c r="BP166" s="218" t="s">
        <v>1</v>
      </c>
      <c r="BQ166" s="218" t="s">
        <v>1</v>
      </c>
      <c r="BR166" s="218" t="s">
        <v>1</v>
      </c>
      <c r="BS166" s="218" t="s">
        <v>1</v>
      </c>
      <c r="BT166" s="218" t="s">
        <v>1</v>
      </c>
      <c r="BU166" s="218" t="s">
        <v>1</v>
      </c>
      <c r="BV166" s="218" t="s">
        <v>1</v>
      </c>
      <c r="BW166" s="218" t="s">
        <v>1</v>
      </c>
      <c r="BX166" s="218" t="s">
        <v>1</v>
      </c>
      <c r="BY166" s="218" t="s">
        <v>1</v>
      </c>
      <c r="BZ166" s="218" t="s">
        <v>1</v>
      </c>
      <c r="CA166" s="218" t="s">
        <v>1</v>
      </c>
      <c r="CB166" s="218" t="s">
        <v>1</v>
      </c>
      <c r="CC166" s="218" t="s">
        <v>1</v>
      </c>
      <c r="CD166" s="218" t="s">
        <v>1</v>
      </c>
      <c r="CE166" s="218" t="s">
        <v>1</v>
      </c>
      <c r="CF166" s="117" t="s">
        <v>1</v>
      </c>
    </row>
    <row r="167" ht="25" customHeight="1" spans="1:84">
      <c r="A167" s="29">
        <v>45270</v>
      </c>
      <c r="B167" s="7" t="s">
        <v>1</v>
      </c>
      <c r="C167" s="7" t="s">
        <v>1</v>
      </c>
      <c r="D167" s="7" t="s">
        <v>1</v>
      </c>
      <c r="E167" s="7" t="s">
        <v>1</v>
      </c>
      <c r="F167" s="7" t="s">
        <v>1</v>
      </c>
      <c r="G167" s="48" t="s">
        <v>1</v>
      </c>
      <c r="H167" s="48" t="s">
        <v>1</v>
      </c>
      <c r="I167" s="48" t="s">
        <v>1</v>
      </c>
      <c r="J167" s="48" t="s">
        <v>1</v>
      </c>
      <c r="K167" s="48" t="s">
        <v>1</v>
      </c>
      <c r="L167" s="127" t="s">
        <v>1</v>
      </c>
      <c r="M167" s="48" t="s">
        <v>1</v>
      </c>
      <c r="N167" s="48" t="s">
        <v>1</v>
      </c>
      <c r="O167" s="48" t="s">
        <v>1</v>
      </c>
      <c r="P167" s="48" t="s">
        <v>1</v>
      </c>
      <c r="Q167" s="48" t="s">
        <v>1</v>
      </c>
      <c r="R167" s="48" t="s">
        <v>1</v>
      </c>
      <c r="S167" s="48" t="s">
        <v>1</v>
      </c>
      <c r="T167" s="48" t="s">
        <v>1</v>
      </c>
      <c r="U167" s="48" t="s">
        <v>1</v>
      </c>
      <c r="V167" s="117" t="s">
        <v>1</v>
      </c>
      <c r="W167" s="117" t="s">
        <v>1</v>
      </c>
      <c r="X167" s="117" t="s">
        <v>1</v>
      </c>
      <c r="Y167" s="117" t="s">
        <v>1</v>
      </c>
      <c r="Z167" s="318" t="s">
        <v>1</v>
      </c>
      <c r="AA167" s="318" t="s">
        <v>1</v>
      </c>
      <c r="AB167" s="318" t="s">
        <v>1</v>
      </c>
      <c r="AC167" s="117" t="s">
        <v>1</v>
      </c>
      <c r="AD167" s="117" t="s">
        <v>1</v>
      </c>
      <c r="AE167" s="117" t="s">
        <v>1</v>
      </c>
      <c r="AF167" s="117" t="s">
        <v>1</v>
      </c>
      <c r="AG167" s="117" t="s">
        <v>1</v>
      </c>
      <c r="AH167" s="117" t="s">
        <v>1</v>
      </c>
      <c r="AI167" s="117" t="s">
        <v>1</v>
      </c>
      <c r="AJ167" s="117" t="s">
        <v>1</v>
      </c>
      <c r="AK167" s="117" t="s">
        <v>1</v>
      </c>
      <c r="AL167" s="117" t="s">
        <v>1</v>
      </c>
      <c r="AM167" s="117" t="s">
        <v>1</v>
      </c>
      <c r="AN167" s="117" t="s">
        <v>1</v>
      </c>
      <c r="AO167" s="117" t="s">
        <v>1</v>
      </c>
      <c r="AP167" s="117" t="s">
        <v>1</v>
      </c>
      <c r="AQ167" s="117" t="s">
        <v>1</v>
      </c>
      <c r="AR167" s="117" t="s">
        <v>1</v>
      </c>
      <c r="AS167" s="117" t="s">
        <v>1</v>
      </c>
      <c r="AT167" s="117" t="s">
        <v>1</v>
      </c>
      <c r="AU167" s="117" t="s">
        <v>1</v>
      </c>
      <c r="AV167" s="117" t="s">
        <v>1</v>
      </c>
      <c r="AW167" s="117" t="s">
        <v>1</v>
      </c>
      <c r="AX167" s="117" t="s">
        <v>1</v>
      </c>
      <c r="AY167" s="117" t="s">
        <v>1</v>
      </c>
      <c r="AZ167" s="117" t="s">
        <v>1</v>
      </c>
      <c r="BA167" s="117" t="s">
        <v>1</v>
      </c>
      <c r="BB167" s="117" t="s">
        <v>1</v>
      </c>
      <c r="BC167" s="117" t="s">
        <v>1</v>
      </c>
      <c r="BD167" s="117" t="s">
        <v>1</v>
      </c>
      <c r="BE167" s="117" t="s">
        <v>1</v>
      </c>
      <c r="BF167" s="117" t="s">
        <v>1</v>
      </c>
      <c r="BG167" s="217" t="s">
        <v>1</v>
      </c>
      <c r="BH167" s="217" t="s">
        <v>1</v>
      </c>
      <c r="BI167" s="217" t="s">
        <v>1</v>
      </c>
      <c r="BJ167" s="217" t="s">
        <v>1</v>
      </c>
      <c r="BK167" s="217" t="s">
        <v>1</v>
      </c>
      <c r="BL167" s="217" t="s">
        <v>1</v>
      </c>
      <c r="BM167" s="217" t="s">
        <v>1</v>
      </c>
      <c r="BN167" s="217" t="s">
        <v>1</v>
      </c>
      <c r="BO167" s="217" t="s">
        <v>1</v>
      </c>
      <c r="BP167" s="218" t="s">
        <v>1</v>
      </c>
      <c r="BQ167" s="218" t="s">
        <v>1</v>
      </c>
      <c r="BR167" s="218" t="s">
        <v>1</v>
      </c>
      <c r="BS167" s="218" t="s">
        <v>1</v>
      </c>
      <c r="BT167" s="218" t="s">
        <v>1</v>
      </c>
      <c r="BU167" s="218" t="s">
        <v>1</v>
      </c>
      <c r="BV167" s="218" t="s">
        <v>1</v>
      </c>
      <c r="BW167" s="218" t="s">
        <v>1</v>
      </c>
      <c r="BX167" s="218" t="s">
        <v>1</v>
      </c>
      <c r="BY167" s="218" t="s">
        <v>1</v>
      </c>
      <c r="BZ167" s="218" t="s">
        <v>1</v>
      </c>
      <c r="CA167" s="218" t="s">
        <v>1</v>
      </c>
      <c r="CB167" s="218" t="s">
        <v>1</v>
      </c>
      <c r="CC167" s="218" t="s">
        <v>1</v>
      </c>
      <c r="CD167" s="218" t="s">
        <v>1</v>
      </c>
      <c r="CE167" s="218" t="s">
        <v>1</v>
      </c>
      <c r="CF167" s="117" t="s">
        <v>1</v>
      </c>
    </row>
    <row r="168" ht="25" customHeight="1" spans="1:84">
      <c r="A168" s="29">
        <v>45271</v>
      </c>
      <c r="B168" s="7" t="s">
        <v>1</v>
      </c>
      <c r="C168" s="7" t="s">
        <v>1</v>
      </c>
      <c r="D168" s="7" t="s">
        <v>1</v>
      </c>
      <c r="E168" s="7" t="s">
        <v>1</v>
      </c>
      <c r="F168" s="7" t="s">
        <v>1</v>
      </c>
      <c r="G168" s="48" t="s">
        <v>1</v>
      </c>
      <c r="H168" s="48" t="s">
        <v>1</v>
      </c>
      <c r="I168" s="48" t="s">
        <v>1</v>
      </c>
      <c r="J168" s="48" t="s">
        <v>1</v>
      </c>
      <c r="K168" s="48" t="s">
        <v>1</v>
      </c>
      <c r="L168" s="127" t="s">
        <v>1</v>
      </c>
      <c r="M168" s="48" t="s">
        <v>1</v>
      </c>
      <c r="N168" s="48" t="s">
        <v>1</v>
      </c>
      <c r="O168" s="48" t="s">
        <v>1</v>
      </c>
      <c r="P168" s="48" t="s">
        <v>1</v>
      </c>
      <c r="Q168" s="48" t="s">
        <v>1</v>
      </c>
      <c r="R168" s="48" t="s">
        <v>1</v>
      </c>
      <c r="S168" s="48" t="s">
        <v>1</v>
      </c>
      <c r="T168" s="48" t="s">
        <v>1</v>
      </c>
      <c r="U168" s="48" t="s">
        <v>1</v>
      </c>
      <c r="V168" s="117" t="s">
        <v>1</v>
      </c>
      <c r="W168" s="117" t="s">
        <v>1</v>
      </c>
      <c r="X168" s="117" t="s">
        <v>1</v>
      </c>
      <c r="Y168" s="117" t="s">
        <v>1</v>
      </c>
      <c r="Z168" s="318" t="s">
        <v>1</v>
      </c>
      <c r="AA168" s="318" t="s">
        <v>1</v>
      </c>
      <c r="AB168" s="318" t="s">
        <v>1</v>
      </c>
      <c r="AC168" s="117" t="s">
        <v>1</v>
      </c>
      <c r="AD168" s="117" t="s">
        <v>1</v>
      </c>
      <c r="AE168" s="117" t="s">
        <v>1</v>
      </c>
      <c r="AF168" s="117" t="s">
        <v>1</v>
      </c>
      <c r="AG168" s="117" t="s">
        <v>1</v>
      </c>
      <c r="AH168" s="117" t="s">
        <v>1</v>
      </c>
      <c r="AI168" s="117" t="s">
        <v>1</v>
      </c>
      <c r="AJ168" s="117" t="s">
        <v>1</v>
      </c>
      <c r="AK168" s="117" t="s">
        <v>1</v>
      </c>
      <c r="AL168" s="117" t="s">
        <v>1</v>
      </c>
      <c r="AM168" s="117" t="s">
        <v>1</v>
      </c>
      <c r="AN168" s="117" t="s">
        <v>1</v>
      </c>
      <c r="AO168" s="117" t="s">
        <v>1</v>
      </c>
      <c r="AP168" s="117" t="s">
        <v>1</v>
      </c>
      <c r="AQ168" s="117" t="s">
        <v>1</v>
      </c>
      <c r="AR168" s="117" t="s">
        <v>1</v>
      </c>
      <c r="AS168" s="117" t="s">
        <v>1</v>
      </c>
      <c r="AT168" s="117" t="s">
        <v>1</v>
      </c>
      <c r="AU168" s="117" t="s">
        <v>1</v>
      </c>
      <c r="AV168" s="117" t="s">
        <v>1</v>
      </c>
      <c r="AW168" s="117" t="s">
        <v>1</v>
      </c>
      <c r="AX168" s="117" t="s">
        <v>1</v>
      </c>
      <c r="AY168" s="117" t="s">
        <v>1</v>
      </c>
      <c r="AZ168" s="117" t="s">
        <v>1</v>
      </c>
      <c r="BA168" s="117" t="s">
        <v>1</v>
      </c>
      <c r="BB168" s="117" t="s">
        <v>1</v>
      </c>
      <c r="BC168" s="117" t="s">
        <v>1</v>
      </c>
      <c r="BD168" s="117" t="s">
        <v>1</v>
      </c>
      <c r="BE168" s="117" t="s">
        <v>1</v>
      </c>
      <c r="BF168" s="117" t="s">
        <v>1</v>
      </c>
      <c r="BG168" s="217" t="s">
        <v>1</v>
      </c>
      <c r="BH168" s="217" t="s">
        <v>1</v>
      </c>
      <c r="BI168" s="217" t="s">
        <v>1</v>
      </c>
      <c r="BJ168" s="217" t="s">
        <v>1</v>
      </c>
      <c r="BK168" s="217" t="s">
        <v>1</v>
      </c>
      <c r="BL168" s="217" t="s">
        <v>1</v>
      </c>
      <c r="BM168" s="217" t="s">
        <v>1</v>
      </c>
      <c r="BN168" s="217" t="s">
        <v>1</v>
      </c>
      <c r="BO168" s="217" t="s">
        <v>1</v>
      </c>
      <c r="BP168" s="218" t="s">
        <v>1</v>
      </c>
      <c r="BQ168" s="218" t="s">
        <v>1</v>
      </c>
      <c r="BR168" s="218" t="s">
        <v>1</v>
      </c>
      <c r="BS168" s="218" t="s">
        <v>1</v>
      </c>
      <c r="BT168" s="218" t="s">
        <v>1</v>
      </c>
      <c r="BU168" s="218" t="s">
        <v>1</v>
      </c>
      <c r="BV168" s="218" t="s">
        <v>1</v>
      </c>
      <c r="BW168" s="218" t="s">
        <v>1</v>
      </c>
      <c r="BX168" s="218" t="s">
        <v>1</v>
      </c>
      <c r="BY168" s="218" t="s">
        <v>1</v>
      </c>
      <c r="BZ168" s="218" t="s">
        <v>1</v>
      </c>
      <c r="CA168" s="218" t="s">
        <v>1</v>
      </c>
      <c r="CB168" s="218" t="s">
        <v>1</v>
      </c>
      <c r="CC168" s="218" t="s">
        <v>1</v>
      </c>
      <c r="CD168" s="218" t="s">
        <v>1</v>
      </c>
      <c r="CE168" s="218" t="s">
        <v>1</v>
      </c>
      <c r="CF168" s="117" t="s">
        <v>1</v>
      </c>
    </row>
    <row r="169" ht="25" customHeight="1" spans="1:84">
      <c r="A169" s="29">
        <v>45272</v>
      </c>
      <c r="B169" s="7" t="s">
        <v>1</v>
      </c>
      <c r="C169" s="7" t="s">
        <v>1</v>
      </c>
      <c r="D169" s="7" t="s">
        <v>1</v>
      </c>
      <c r="E169" s="7" t="s">
        <v>1</v>
      </c>
      <c r="F169" s="7" t="s">
        <v>1</v>
      </c>
      <c r="G169" s="48" t="s">
        <v>1</v>
      </c>
      <c r="H169" s="48" t="s">
        <v>1</v>
      </c>
      <c r="I169" s="48" t="s">
        <v>1</v>
      </c>
      <c r="J169" s="48" t="s">
        <v>1</v>
      </c>
      <c r="K169" s="48" t="s">
        <v>1</v>
      </c>
      <c r="L169" s="127" t="s">
        <v>1</v>
      </c>
      <c r="M169" s="48" t="s">
        <v>1</v>
      </c>
      <c r="N169" s="48" t="s">
        <v>1</v>
      </c>
      <c r="O169" s="48" t="s">
        <v>1</v>
      </c>
      <c r="P169" s="48" t="s">
        <v>1</v>
      </c>
      <c r="Q169" s="48" t="s">
        <v>1</v>
      </c>
      <c r="R169" s="48" t="s">
        <v>1</v>
      </c>
      <c r="S169" s="48" t="s">
        <v>1</v>
      </c>
      <c r="T169" s="48" t="s">
        <v>1</v>
      </c>
      <c r="U169" s="48" t="s">
        <v>1</v>
      </c>
      <c r="V169" s="117" t="s">
        <v>1</v>
      </c>
      <c r="W169" s="117" t="s">
        <v>1</v>
      </c>
      <c r="X169" s="117" t="s">
        <v>1</v>
      </c>
      <c r="Y169" s="117" t="s">
        <v>1</v>
      </c>
      <c r="Z169" s="318" t="s">
        <v>1</v>
      </c>
      <c r="AA169" s="318" t="s">
        <v>1</v>
      </c>
      <c r="AB169" s="318" t="s">
        <v>1</v>
      </c>
      <c r="AC169" s="117" t="s">
        <v>1</v>
      </c>
      <c r="AD169" s="117" t="s">
        <v>1</v>
      </c>
      <c r="AE169" s="117" t="s">
        <v>1</v>
      </c>
      <c r="AF169" s="117" t="s">
        <v>1</v>
      </c>
      <c r="AG169" s="117" t="s">
        <v>1</v>
      </c>
      <c r="AH169" s="117" t="s">
        <v>1</v>
      </c>
      <c r="AI169" s="117" t="s">
        <v>1</v>
      </c>
      <c r="AJ169" s="117" t="s">
        <v>1</v>
      </c>
      <c r="AK169" s="117" t="s">
        <v>1</v>
      </c>
      <c r="AL169" s="117" t="s">
        <v>1</v>
      </c>
      <c r="AM169" s="117" t="s">
        <v>1</v>
      </c>
      <c r="AN169" s="117" t="s">
        <v>1</v>
      </c>
      <c r="AO169" s="117" t="s">
        <v>1</v>
      </c>
      <c r="AP169" s="117" t="s">
        <v>1</v>
      </c>
      <c r="AQ169" s="117" t="s">
        <v>1</v>
      </c>
      <c r="AR169" s="117" t="s">
        <v>1</v>
      </c>
      <c r="AS169" s="117" t="s">
        <v>1</v>
      </c>
      <c r="AT169" s="117" t="s">
        <v>1</v>
      </c>
      <c r="AU169" s="117" t="s">
        <v>1</v>
      </c>
      <c r="AV169" s="117" t="s">
        <v>1</v>
      </c>
      <c r="AW169" s="117" t="s">
        <v>1</v>
      </c>
      <c r="AX169" s="117" t="s">
        <v>1</v>
      </c>
      <c r="AY169" s="117" t="s">
        <v>1</v>
      </c>
      <c r="AZ169" s="117" t="s">
        <v>1</v>
      </c>
      <c r="BA169" s="117" t="s">
        <v>1</v>
      </c>
      <c r="BB169" s="117" t="s">
        <v>1</v>
      </c>
      <c r="BC169" s="117" t="s">
        <v>1</v>
      </c>
      <c r="BD169" s="117" t="s">
        <v>1</v>
      </c>
      <c r="BE169" s="117" t="s">
        <v>1</v>
      </c>
      <c r="BF169" s="117" t="s">
        <v>1</v>
      </c>
      <c r="BG169" s="217" t="s">
        <v>1</v>
      </c>
      <c r="BH169" s="217" t="s">
        <v>1</v>
      </c>
      <c r="BI169" s="217" t="s">
        <v>1</v>
      </c>
      <c r="BJ169" s="217" t="s">
        <v>1</v>
      </c>
      <c r="BK169" s="217" t="s">
        <v>1</v>
      </c>
      <c r="BL169" s="217" t="s">
        <v>1</v>
      </c>
      <c r="BM169" s="217" t="s">
        <v>1</v>
      </c>
      <c r="BN169" s="217" t="s">
        <v>1</v>
      </c>
      <c r="BO169" s="217" t="s">
        <v>1</v>
      </c>
      <c r="BP169" s="218" t="s">
        <v>1</v>
      </c>
      <c r="BQ169" s="218" t="s">
        <v>1</v>
      </c>
      <c r="BR169" s="218" t="s">
        <v>1</v>
      </c>
      <c r="BS169" s="218" t="s">
        <v>1</v>
      </c>
      <c r="BT169" s="218" t="s">
        <v>1</v>
      </c>
      <c r="BU169" s="218" t="s">
        <v>1</v>
      </c>
      <c r="BV169" s="218" t="s">
        <v>1</v>
      </c>
      <c r="BW169" s="218" t="s">
        <v>1</v>
      </c>
      <c r="BX169" s="218" t="s">
        <v>1</v>
      </c>
      <c r="BY169" s="218" t="s">
        <v>1</v>
      </c>
      <c r="BZ169" s="218" t="s">
        <v>1</v>
      </c>
      <c r="CA169" s="218" t="s">
        <v>1</v>
      </c>
      <c r="CB169" s="218" t="s">
        <v>1</v>
      </c>
      <c r="CC169" s="218" t="s">
        <v>1</v>
      </c>
      <c r="CD169" s="218" t="s">
        <v>1</v>
      </c>
      <c r="CE169" s="218" t="s">
        <v>1</v>
      </c>
      <c r="CF169" s="117" t="s">
        <v>1</v>
      </c>
    </row>
    <row r="170" ht="25" customHeight="1" spans="1:84">
      <c r="A170" s="29">
        <v>45273</v>
      </c>
      <c r="B170" s="7" t="s">
        <v>1</v>
      </c>
      <c r="C170" s="7" t="s">
        <v>1</v>
      </c>
      <c r="D170" s="7" t="s">
        <v>1</v>
      </c>
      <c r="E170" s="7" t="s">
        <v>1</v>
      </c>
      <c r="F170" s="7" t="s">
        <v>1</v>
      </c>
      <c r="G170" s="48" t="s">
        <v>1</v>
      </c>
      <c r="H170" s="48" t="s">
        <v>1</v>
      </c>
      <c r="I170" s="48" t="s">
        <v>1</v>
      </c>
      <c r="J170" s="48" t="s">
        <v>1</v>
      </c>
      <c r="K170" s="48" t="s">
        <v>1</v>
      </c>
      <c r="L170" s="127" t="s">
        <v>1</v>
      </c>
      <c r="M170" s="48" t="s">
        <v>1</v>
      </c>
      <c r="N170" s="48" t="s">
        <v>1</v>
      </c>
      <c r="O170" s="48" t="s">
        <v>1</v>
      </c>
      <c r="P170" s="48" t="s">
        <v>1</v>
      </c>
      <c r="Q170" s="48" t="s">
        <v>1</v>
      </c>
      <c r="R170" s="48" t="s">
        <v>1</v>
      </c>
      <c r="S170" s="48" t="s">
        <v>1</v>
      </c>
      <c r="T170" s="48" t="s">
        <v>1</v>
      </c>
      <c r="U170" s="48" t="s">
        <v>1</v>
      </c>
      <c r="V170" s="117" t="s">
        <v>1</v>
      </c>
      <c r="W170" s="117" t="s">
        <v>1</v>
      </c>
      <c r="X170" s="117" t="s">
        <v>1</v>
      </c>
      <c r="Y170" s="117" t="s">
        <v>1</v>
      </c>
      <c r="Z170" s="318" t="s">
        <v>1</v>
      </c>
      <c r="AA170" s="318" t="s">
        <v>1</v>
      </c>
      <c r="AB170" s="318" t="s">
        <v>1</v>
      </c>
      <c r="AC170" s="117" t="s">
        <v>1</v>
      </c>
      <c r="AD170" s="117" t="s">
        <v>1</v>
      </c>
      <c r="AE170" s="117" t="s">
        <v>1</v>
      </c>
      <c r="AF170" s="117" t="s">
        <v>1</v>
      </c>
      <c r="AG170" s="117" t="s">
        <v>1</v>
      </c>
      <c r="AH170" s="117" t="s">
        <v>1</v>
      </c>
      <c r="AI170" s="117" t="s">
        <v>1</v>
      </c>
      <c r="AJ170" s="117" t="s">
        <v>1</v>
      </c>
      <c r="AK170" s="117" t="s">
        <v>1</v>
      </c>
      <c r="AL170" s="117" t="s">
        <v>1</v>
      </c>
      <c r="AM170" s="117" t="s">
        <v>1</v>
      </c>
      <c r="AN170" s="117" t="s">
        <v>1</v>
      </c>
      <c r="AO170" s="117" t="s">
        <v>1</v>
      </c>
      <c r="AP170" s="117" t="s">
        <v>1</v>
      </c>
      <c r="AQ170" s="117" t="s">
        <v>1</v>
      </c>
      <c r="AR170" s="117" t="s">
        <v>1</v>
      </c>
      <c r="AS170" s="117" t="s">
        <v>1</v>
      </c>
      <c r="AT170" s="117" t="s">
        <v>1</v>
      </c>
      <c r="AU170" s="117" t="s">
        <v>1</v>
      </c>
      <c r="AV170" s="117" t="s">
        <v>1</v>
      </c>
      <c r="AW170" s="117" t="s">
        <v>1</v>
      </c>
      <c r="AX170" s="117" t="s">
        <v>1</v>
      </c>
      <c r="AY170" s="117" t="s">
        <v>1</v>
      </c>
      <c r="AZ170" s="117" t="s">
        <v>1</v>
      </c>
      <c r="BA170" s="117" t="s">
        <v>1</v>
      </c>
      <c r="BB170" s="117" t="s">
        <v>1</v>
      </c>
      <c r="BC170" s="117" t="s">
        <v>1</v>
      </c>
      <c r="BD170" s="117" t="s">
        <v>1</v>
      </c>
      <c r="BE170" s="117" t="s">
        <v>1</v>
      </c>
      <c r="BF170" s="117" t="s">
        <v>1</v>
      </c>
      <c r="BG170" s="217" t="s">
        <v>1</v>
      </c>
      <c r="BH170" s="217" t="s">
        <v>1</v>
      </c>
      <c r="BI170" s="217" t="s">
        <v>1</v>
      </c>
      <c r="BJ170" s="217" t="s">
        <v>1</v>
      </c>
      <c r="BK170" s="217" t="s">
        <v>1</v>
      </c>
      <c r="BL170" s="217" t="s">
        <v>1</v>
      </c>
      <c r="BM170" s="217" t="s">
        <v>1</v>
      </c>
      <c r="BN170" s="217" t="s">
        <v>1</v>
      </c>
      <c r="BO170" s="217" t="s">
        <v>1</v>
      </c>
      <c r="BP170" s="218" t="s">
        <v>1</v>
      </c>
      <c r="BQ170" s="218" t="s">
        <v>1</v>
      </c>
      <c r="BR170" s="218" t="s">
        <v>1</v>
      </c>
      <c r="BS170" s="218" t="s">
        <v>1</v>
      </c>
      <c r="BT170" s="218" t="s">
        <v>1</v>
      </c>
      <c r="BU170" s="218" t="s">
        <v>1</v>
      </c>
      <c r="BV170" s="218" t="s">
        <v>1</v>
      </c>
      <c r="BW170" s="218" t="s">
        <v>1</v>
      </c>
      <c r="BX170" s="218" t="s">
        <v>1</v>
      </c>
      <c r="BY170" s="218" t="s">
        <v>1</v>
      </c>
      <c r="BZ170" s="218" t="s">
        <v>1</v>
      </c>
      <c r="CA170" s="218" t="s">
        <v>1</v>
      </c>
      <c r="CB170" s="218" t="s">
        <v>1</v>
      </c>
      <c r="CC170" s="218" t="s">
        <v>1</v>
      </c>
      <c r="CD170" s="218" t="s">
        <v>1</v>
      </c>
      <c r="CE170" s="218" t="s">
        <v>1</v>
      </c>
      <c r="CF170" s="117" t="s">
        <v>1</v>
      </c>
    </row>
    <row r="171" ht="25" customHeight="1" spans="1:84">
      <c r="A171" s="29">
        <v>45274</v>
      </c>
      <c r="B171" s="7" t="s">
        <v>1</v>
      </c>
      <c r="C171" s="7" t="s">
        <v>1</v>
      </c>
      <c r="D171" s="7" t="s">
        <v>1</v>
      </c>
      <c r="E171" s="7" t="s">
        <v>1</v>
      </c>
      <c r="F171" s="7" t="s">
        <v>1</v>
      </c>
      <c r="G171" s="48" t="s">
        <v>1</v>
      </c>
      <c r="H171" s="48" t="s">
        <v>1</v>
      </c>
      <c r="I171" s="48" t="s">
        <v>1</v>
      </c>
      <c r="J171" s="48" t="s">
        <v>1</v>
      </c>
      <c r="K171" s="48" t="s">
        <v>1</v>
      </c>
      <c r="L171" s="127" t="s">
        <v>1</v>
      </c>
      <c r="M171" s="48" t="s">
        <v>1</v>
      </c>
      <c r="N171" s="48" t="s">
        <v>1</v>
      </c>
      <c r="O171" s="48" t="s">
        <v>1</v>
      </c>
      <c r="P171" s="48" t="s">
        <v>1</v>
      </c>
      <c r="Q171" s="48" t="s">
        <v>1</v>
      </c>
      <c r="R171" s="48" t="s">
        <v>1</v>
      </c>
      <c r="S171" s="48" t="s">
        <v>1</v>
      </c>
      <c r="T171" s="48" t="s">
        <v>1</v>
      </c>
      <c r="U171" s="48" t="s">
        <v>1</v>
      </c>
      <c r="V171" s="117" t="s">
        <v>1</v>
      </c>
      <c r="W171" s="117" t="s">
        <v>1</v>
      </c>
      <c r="X171" s="117" t="s">
        <v>1</v>
      </c>
      <c r="Y171" s="117" t="s">
        <v>1</v>
      </c>
      <c r="Z171" s="318" t="s">
        <v>1</v>
      </c>
      <c r="AA171" s="318" t="s">
        <v>1</v>
      </c>
      <c r="AB171" s="318" t="s">
        <v>1</v>
      </c>
      <c r="AC171" s="117" t="s">
        <v>1</v>
      </c>
      <c r="AD171" s="117" t="s">
        <v>1</v>
      </c>
      <c r="AE171" s="117" t="s">
        <v>1</v>
      </c>
      <c r="AF171" s="117" t="s">
        <v>1</v>
      </c>
      <c r="AG171" s="117" t="s">
        <v>1</v>
      </c>
      <c r="AH171" s="117" t="s">
        <v>1</v>
      </c>
      <c r="AI171" s="117" t="s">
        <v>1</v>
      </c>
      <c r="AJ171" s="117" t="s">
        <v>1</v>
      </c>
      <c r="AK171" s="117" t="s">
        <v>1</v>
      </c>
      <c r="AL171" s="117" t="s">
        <v>1</v>
      </c>
      <c r="AM171" s="117" t="s">
        <v>1</v>
      </c>
      <c r="AN171" s="117" t="s">
        <v>1</v>
      </c>
      <c r="AO171" s="117" t="s">
        <v>1</v>
      </c>
      <c r="AP171" s="117" t="s">
        <v>1</v>
      </c>
      <c r="AQ171" s="117" t="s">
        <v>1</v>
      </c>
      <c r="AR171" s="117" t="s">
        <v>1</v>
      </c>
      <c r="AS171" s="117" t="s">
        <v>1</v>
      </c>
      <c r="AT171" s="117" t="s">
        <v>1</v>
      </c>
      <c r="AU171" s="117" t="s">
        <v>1</v>
      </c>
      <c r="AV171" s="117" t="s">
        <v>1</v>
      </c>
      <c r="AW171" s="117" t="s">
        <v>1</v>
      </c>
      <c r="AX171" s="117" t="s">
        <v>1</v>
      </c>
      <c r="AY171" s="117" t="s">
        <v>1</v>
      </c>
      <c r="AZ171" s="117" t="s">
        <v>1</v>
      </c>
      <c r="BA171" s="117" t="s">
        <v>1</v>
      </c>
      <c r="BB171" s="117" t="s">
        <v>1</v>
      </c>
      <c r="BC171" s="117" t="s">
        <v>1</v>
      </c>
      <c r="BD171" s="117" t="s">
        <v>1</v>
      </c>
      <c r="BE171" s="117" t="s">
        <v>1</v>
      </c>
      <c r="BF171" s="117" t="s">
        <v>1</v>
      </c>
      <c r="BG171" s="217" t="s">
        <v>1</v>
      </c>
      <c r="BH171" s="217" t="s">
        <v>1</v>
      </c>
      <c r="BI171" s="217" t="s">
        <v>1</v>
      </c>
      <c r="BJ171" s="217" t="s">
        <v>1</v>
      </c>
      <c r="BK171" s="217" t="s">
        <v>1</v>
      </c>
      <c r="BL171" s="217" t="s">
        <v>1</v>
      </c>
      <c r="BM171" s="217" t="s">
        <v>1</v>
      </c>
      <c r="BN171" s="217" t="s">
        <v>1</v>
      </c>
      <c r="BO171" s="217" t="s">
        <v>1</v>
      </c>
      <c r="BP171" s="218" t="s">
        <v>1</v>
      </c>
      <c r="BQ171" s="218" t="s">
        <v>1</v>
      </c>
      <c r="BR171" s="218" t="s">
        <v>1</v>
      </c>
      <c r="BS171" s="218" t="s">
        <v>1</v>
      </c>
      <c r="BT171" s="218" t="s">
        <v>1</v>
      </c>
      <c r="BU171" s="218" t="s">
        <v>1</v>
      </c>
      <c r="BV171" s="218" t="s">
        <v>1</v>
      </c>
      <c r="BW171" s="218" t="s">
        <v>1</v>
      </c>
      <c r="BX171" s="218" t="s">
        <v>1</v>
      </c>
      <c r="BY171" s="218" t="s">
        <v>1</v>
      </c>
      <c r="BZ171" s="218" t="s">
        <v>1</v>
      </c>
      <c r="CA171" s="218" t="s">
        <v>1</v>
      </c>
      <c r="CB171" s="218" t="s">
        <v>1</v>
      </c>
      <c r="CC171" s="218" t="s">
        <v>1</v>
      </c>
      <c r="CD171" s="218" t="s">
        <v>1</v>
      </c>
      <c r="CE171" s="218" t="s">
        <v>1</v>
      </c>
      <c r="CF171" s="117" t="s">
        <v>1</v>
      </c>
    </row>
    <row r="172" ht="25" customHeight="1" spans="1:84">
      <c r="A172" s="29">
        <v>45275</v>
      </c>
      <c r="B172" s="7" t="s">
        <v>1</v>
      </c>
      <c r="C172" s="7" t="s">
        <v>1</v>
      </c>
      <c r="D172" s="7" t="s">
        <v>1</v>
      </c>
      <c r="E172" s="7" t="s">
        <v>1</v>
      </c>
      <c r="F172" s="7" t="s">
        <v>1</v>
      </c>
      <c r="G172" s="48" t="s">
        <v>1</v>
      </c>
      <c r="H172" s="48" t="s">
        <v>1</v>
      </c>
      <c r="I172" s="48" t="s">
        <v>1</v>
      </c>
      <c r="J172" s="48" t="s">
        <v>1</v>
      </c>
      <c r="K172" s="48" t="s">
        <v>1</v>
      </c>
      <c r="L172" s="127" t="s">
        <v>1</v>
      </c>
      <c r="M172" s="48" t="s">
        <v>1</v>
      </c>
      <c r="N172" s="48" t="s">
        <v>1</v>
      </c>
      <c r="O172" s="48" t="s">
        <v>1</v>
      </c>
      <c r="P172" s="48" t="s">
        <v>1</v>
      </c>
      <c r="Q172" s="48" t="s">
        <v>1</v>
      </c>
      <c r="R172" s="48" t="s">
        <v>1</v>
      </c>
      <c r="S172" s="48" t="s">
        <v>1</v>
      </c>
      <c r="T172" s="48" t="s">
        <v>1</v>
      </c>
      <c r="U172" s="48" t="s">
        <v>1</v>
      </c>
      <c r="V172" s="117" t="s">
        <v>1</v>
      </c>
      <c r="W172" s="117" t="s">
        <v>1</v>
      </c>
      <c r="X172" s="117" t="s">
        <v>1</v>
      </c>
      <c r="Y172" s="117" t="s">
        <v>1</v>
      </c>
      <c r="Z172" s="318" t="s">
        <v>1</v>
      </c>
      <c r="AA172" s="318" t="s">
        <v>1</v>
      </c>
      <c r="AB172" s="318" t="s">
        <v>1</v>
      </c>
      <c r="AC172" s="117" t="s">
        <v>1</v>
      </c>
      <c r="AD172" s="117" t="s">
        <v>1</v>
      </c>
      <c r="AE172" s="117" t="s">
        <v>1</v>
      </c>
      <c r="AF172" s="117" t="s">
        <v>1</v>
      </c>
      <c r="AG172" s="117" t="s">
        <v>1</v>
      </c>
      <c r="AH172" s="117" t="s">
        <v>1</v>
      </c>
      <c r="AI172" s="117" t="s">
        <v>1</v>
      </c>
      <c r="AJ172" s="117" t="s">
        <v>1</v>
      </c>
      <c r="AK172" s="117" t="s">
        <v>1</v>
      </c>
      <c r="AL172" s="117" t="s">
        <v>1</v>
      </c>
      <c r="AM172" s="117" t="s">
        <v>1</v>
      </c>
      <c r="AN172" s="117" t="s">
        <v>1</v>
      </c>
      <c r="AO172" s="117" t="s">
        <v>1</v>
      </c>
      <c r="AP172" s="117" t="s">
        <v>1</v>
      </c>
      <c r="AQ172" s="117" t="s">
        <v>1</v>
      </c>
      <c r="AR172" s="117" t="s">
        <v>1</v>
      </c>
      <c r="AS172" s="117" t="s">
        <v>1</v>
      </c>
      <c r="AT172" s="117" t="s">
        <v>1</v>
      </c>
      <c r="AU172" s="117" t="s">
        <v>1</v>
      </c>
      <c r="AV172" s="117" t="s">
        <v>1</v>
      </c>
      <c r="AW172" s="117" t="s">
        <v>1</v>
      </c>
      <c r="AX172" s="117" t="s">
        <v>1</v>
      </c>
      <c r="AY172" s="117" t="s">
        <v>1</v>
      </c>
      <c r="AZ172" s="117" t="s">
        <v>1</v>
      </c>
      <c r="BA172" s="117" t="s">
        <v>1</v>
      </c>
      <c r="BB172" s="117" t="s">
        <v>1</v>
      </c>
      <c r="BC172" s="117" t="s">
        <v>1</v>
      </c>
      <c r="BD172" s="117" t="s">
        <v>1</v>
      </c>
      <c r="BE172" s="117" t="s">
        <v>1</v>
      </c>
      <c r="BF172" s="117" t="s">
        <v>1</v>
      </c>
      <c r="BG172" s="217" t="s">
        <v>1</v>
      </c>
      <c r="BH172" s="217" t="s">
        <v>1</v>
      </c>
      <c r="BI172" s="217" t="s">
        <v>1</v>
      </c>
      <c r="BJ172" s="217" t="s">
        <v>1</v>
      </c>
      <c r="BK172" s="217" t="s">
        <v>1</v>
      </c>
      <c r="BL172" s="217" t="s">
        <v>1</v>
      </c>
      <c r="BM172" s="217" t="s">
        <v>1</v>
      </c>
      <c r="BN172" s="217" t="s">
        <v>1</v>
      </c>
      <c r="BO172" s="217" t="s">
        <v>1</v>
      </c>
      <c r="BP172" s="218" t="s">
        <v>1</v>
      </c>
      <c r="BQ172" s="218" t="s">
        <v>1</v>
      </c>
      <c r="BR172" s="218" t="s">
        <v>1</v>
      </c>
      <c r="BS172" s="218" t="s">
        <v>1</v>
      </c>
      <c r="BT172" s="218" t="s">
        <v>1</v>
      </c>
      <c r="BU172" s="218" t="s">
        <v>1</v>
      </c>
      <c r="BV172" s="218" t="s">
        <v>1</v>
      </c>
      <c r="BW172" s="218" t="s">
        <v>1</v>
      </c>
      <c r="BX172" s="218" t="s">
        <v>1</v>
      </c>
      <c r="BY172" s="218" t="s">
        <v>1</v>
      </c>
      <c r="BZ172" s="218" t="s">
        <v>1</v>
      </c>
      <c r="CA172" s="218" t="s">
        <v>1</v>
      </c>
      <c r="CB172" s="218" t="s">
        <v>1</v>
      </c>
      <c r="CC172" s="218" t="s">
        <v>1</v>
      </c>
      <c r="CD172" s="218" t="s">
        <v>1</v>
      </c>
      <c r="CE172" s="218" t="s">
        <v>1</v>
      </c>
      <c r="CF172" s="117" t="s">
        <v>1</v>
      </c>
    </row>
    <row r="173" ht="25" customHeight="1" spans="1:84">
      <c r="A173" s="29">
        <v>45276</v>
      </c>
      <c r="B173" s="7" t="s">
        <v>1</v>
      </c>
      <c r="C173" s="7" t="s">
        <v>1</v>
      </c>
      <c r="D173" s="7" t="s">
        <v>1</v>
      </c>
      <c r="E173" s="7" t="s">
        <v>1</v>
      </c>
      <c r="F173" s="7" t="s">
        <v>1</v>
      </c>
      <c r="G173" s="48" t="s">
        <v>1</v>
      </c>
      <c r="H173" s="48" t="s">
        <v>1</v>
      </c>
      <c r="I173" s="48" t="s">
        <v>1</v>
      </c>
      <c r="J173" s="48" t="s">
        <v>1</v>
      </c>
      <c r="K173" s="48" t="s">
        <v>1</v>
      </c>
      <c r="L173" s="127" t="s">
        <v>1</v>
      </c>
      <c r="M173" s="48" t="s">
        <v>1</v>
      </c>
      <c r="N173" s="48" t="s">
        <v>1</v>
      </c>
      <c r="O173" s="48" t="s">
        <v>1</v>
      </c>
      <c r="P173" s="48" t="s">
        <v>1</v>
      </c>
      <c r="Q173" s="48" t="s">
        <v>1</v>
      </c>
      <c r="R173" s="48" t="s">
        <v>1</v>
      </c>
      <c r="S173" s="48" t="s">
        <v>1</v>
      </c>
      <c r="T173" s="48" t="s">
        <v>1</v>
      </c>
      <c r="U173" s="48" t="s">
        <v>1</v>
      </c>
      <c r="V173" s="117" t="s">
        <v>1</v>
      </c>
      <c r="W173" s="117" t="s">
        <v>1</v>
      </c>
      <c r="X173" s="117" t="s">
        <v>1</v>
      </c>
      <c r="Y173" s="117" t="s">
        <v>1</v>
      </c>
      <c r="Z173" s="318" t="s">
        <v>1</v>
      </c>
      <c r="AA173" s="318" t="s">
        <v>1</v>
      </c>
      <c r="AB173" s="318" t="s">
        <v>1</v>
      </c>
      <c r="AC173" s="117" t="s">
        <v>1</v>
      </c>
      <c r="AD173" s="117" t="s">
        <v>1</v>
      </c>
      <c r="AE173" s="117" t="s">
        <v>1</v>
      </c>
      <c r="AF173" s="117" t="s">
        <v>1</v>
      </c>
      <c r="AG173" s="117" t="s">
        <v>1</v>
      </c>
      <c r="AH173" s="117" t="s">
        <v>1</v>
      </c>
      <c r="AI173" s="117" t="s">
        <v>1</v>
      </c>
      <c r="AJ173" s="117" t="s">
        <v>1</v>
      </c>
      <c r="AK173" s="117" t="s">
        <v>1</v>
      </c>
      <c r="AL173" s="117" t="s">
        <v>1</v>
      </c>
      <c r="AM173" s="117" t="s">
        <v>1</v>
      </c>
      <c r="AN173" s="117" t="s">
        <v>1</v>
      </c>
      <c r="AO173" s="117" t="s">
        <v>1</v>
      </c>
      <c r="AP173" s="117" t="s">
        <v>1</v>
      </c>
      <c r="AQ173" s="117" t="s">
        <v>1</v>
      </c>
      <c r="AR173" s="117" t="s">
        <v>1</v>
      </c>
      <c r="AS173" s="117" t="s">
        <v>1</v>
      </c>
      <c r="AT173" s="117" t="s">
        <v>1</v>
      </c>
      <c r="AU173" s="117" t="s">
        <v>1</v>
      </c>
      <c r="AV173" s="117" t="s">
        <v>1</v>
      </c>
      <c r="AW173" s="117" t="s">
        <v>1</v>
      </c>
      <c r="AX173" s="117" t="s">
        <v>1</v>
      </c>
      <c r="AY173" s="117" t="s">
        <v>1</v>
      </c>
      <c r="AZ173" s="117" t="s">
        <v>1</v>
      </c>
      <c r="BA173" s="117" t="s">
        <v>1</v>
      </c>
      <c r="BB173" s="117" t="s">
        <v>1</v>
      </c>
      <c r="BC173" s="117" t="s">
        <v>1</v>
      </c>
      <c r="BD173" s="117" t="s">
        <v>1</v>
      </c>
      <c r="BE173" s="117" t="s">
        <v>1</v>
      </c>
      <c r="BF173" s="117" t="s">
        <v>1</v>
      </c>
      <c r="BG173" s="217" t="s">
        <v>1</v>
      </c>
      <c r="BH173" s="217" t="s">
        <v>1</v>
      </c>
      <c r="BI173" s="217" t="s">
        <v>1</v>
      </c>
      <c r="BJ173" s="217" t="s">
        <v>1</v>
      </c>
      <c r="BK173" s="217" t="s">
        <v>1</v>
      </c>
      <c r="BL173" s="217" t="s">
        <v>1</v>
      </c>
      <c r="BM173" s="217" t="s">
        <v>1</v>
      </c>
      <c r="BN173" s="217" t="s">
        <v>1</v>
      </c>
      <c r="BO173" s="217" t="s">
        <v>1</v>
      </c>
      <c r="BP173" s="218" t="s">
        <v>1</v>
      </c>
      <c r="BQ173" s="218" t="s">
        <v>1</v>
      </c>
      <c r="BR173" s="218" t="s">
        <v>1</v>
      </c>
      <c r="BS173" s="218" t="s">
        <v>1</v>
      </c>
      <c r="BT173" s="218" t="s">
        <v>1</v>
      </c>
      <c r="BU173" s="218" t="s">
        <v>1</v>
      </c>
      <c r="BV173" s="218" t="s">
        <v>1</v>
      </c>
      <c r="BW173" s="218" t="s">
        <v>1</v>
      </c>
      <c r="BX173" s="218" t="s">
        <v>1</v>
      </c>
      <c r="BY173" s="218" t="s">
        <v>1</v>
      </c>
      <c r="BZ173" s="218" t="s">
        <v>1</v>
      </c>
      <c r="CA173" s="218" t="s">
        <v>1</v>
      </c>
      <c r="CB173" s="218" t="s">
        <v>1</v>
      </c>
      <c r="CC173" s="218" t="s">
        <v>1</v>
      </c>
      <c r="CD173" s="218" t="s">
        <v>1</v>
      </c>
      <c r="CE173" s="218" t="s">
        <v>1</v>
      </c>
      <c r="CF173" s="117" t="s">
        <v>1</v>
      </c>
    </row>
    <row r="174" ht="25" customHeight="1" spans="1:84">
      <c r="A174" s="29">
        <v>45277</v>
      </c>
      <c r="B174" s="7" t="s">
        <v>1</v>
      </c>
      <c r="C174" s="7" t="s">
        <v>1</v>
      </c>
      <c r="D174" s="7" t="s">
        <v>1</v>
      </c>
      <c r="E174" s="7" t="s">
        <v>1</v>
      </c>
      <c r="F174" s="7" t="s">
        <v>1</v>
      </c>
      <c r="G174" s="48" t="s">
        <v>1</v>
      </c>
      <c r="H174" s="48" t="s">
        <v>1</v>
      </c>
      <c r="I174" s="48" t="s">
        <v>1</v>
      </c>
      <c r="J174" s="48" t="s">
        <v>1</v>
      </c>
      <c r="K174" s="48" t="s">
        <v>1</v>
      </c>
      <c r="L174" s="127" t="s">
        <v>1</v>
      </c>
      <c r="M174" s="48" t="s">
        <v>1</v>
      </c>
      <c r="N174" s="48" t="s">
        <v>1</v>
      </c>
      <c r="O174" s="48" t="s">
        <v>1</v>
      </c>
      <c r="P174" s="48" t="s">
        <v>1</v>
      </c>
      <c r="Q174" s="48" t="s">
        <v>1</v>
      </c>
      <c r="R174" s="48" t="s">
        <v>1</v>
      </c>
      <c r="S174" s="48" t="s">
        <v>1</v>
      </c>
      <c r="T174" s="48" t="s">
        <v>1</v>
      </c>
      <c r="U174" s="48" t="s">
        <v>1</v>
      </c>
      <c r="V174" s="117" t="s">
        <v>1</v>
      </c>
      <c r="W174" s="117" t="s">
        <v>1</v>
      </c>
      <c r="X174" s="117" t="s">
        <v>1</v>
      </c>
      <c r="Y174" s="117" t="s">
        <v>1</v>
      </c>
      <c r="Z174" s="318" t="s">
        <v>1</v>
      </c>
      <c r="AA174" s="318" t="s">
        <v>1</v>
      </c>
      <c r="AB174" s="318" t="s">
        <v>1</v>
      </c>
      <c r="AC174" s="117" t="s">
        <v>1</v>
      </c>
      <c r="AD174" s="117" t="s">
        <v>1</v>
      </c>
      <c r="AE174" s="117" t="s">
        <v>1</v>
      </c>
      <c r="AF174" s="117" t="s">
        <v>1</v>
      </c>
      <c r="AG174" s="117" t="s">
        <v>1</v>
      </c>
      <c r="AH174" s="117" t="s">
        <v>1</v>
      </c>
      <c r="AI174" s="117" t="s">
        <v>1</v>
      </c>
      <c r="AJ174" s="117" t="s">
        <v>1</v>
      </c>
      <c r="AK174" s="117" t="s">
        <v>1</v>
      </c>
      <c r="AL174" s="117" t="s">
        <v>1</v>
      </c>
      <c r="AM174" s="117" t="s">
        <v>1</v>
      </c>
      <c r="AN174" s="117" t="s">
        <v>1</v>
      </c>
      <c r="AO174" s="117" t="s">
        <v>1</v>
      </c>
      <c r="AP174" s="117" t="s">
        <v>1</v>
      </c>
      <c r="AQ174" s="117" t="s">
        <v>1</v>
      </c>
      <c r="AR174" s="117" t="s">
        <v>1</v>
      </c>
      <c r="AS174" s="117" t="s">
        <v>1</v>
      </c>
      <c r="AT174" s="117" t="s">
        <v>1</v>
      </c>
      <c r="AU174" s="117" t="s">
        <v>1</v>
      </c>
      <c r="AV174" s="117" t="s">
        <v>1</v>
      </c>
      <c r="AW174" s="117" t="s">
        <v>1</v>
      </c>
      <c r="AX174" s="117" t="s">
        <v>1</v>
      </c>
      <c r="AY174" s="117" t="s">
        <v>1</v>
      </c>
      <c r="AZ174" s="117" t="s">
        <v>1</v>
      </c>
      <c r="BA174" s="117" t="s">
        <v>1</v>
      </c>
      <c r="BB174" s="117" t="s">
        <v>1</v>
      </c>
      <c r="BC174" s="117" t="s">
        <v>1</v>
      </c>
      <c r="BD174" s="117" t="s">
        <v>1</v>
      </c>
      <c r="BE174" s="117" t="s">
        <v>1</v>
      </c>
      <c r="BF174" s="117" t="s">
        <v>1</v>
      </c>
      <c r="BG174" s="217" t="s">
        <v>1</v>
      </c>
      <c r="BH174" s="217" t="s">
        <v>1</v>
      </c>
      <c r="BI174" s="217" t="s">
        <v>1</v>
      </c>
      <c r="BJ174" s="217" t="s">
        <v>1</v>
      </c>
      <c r="BK174" s="217" t="s">
        <v>1</v>
      </c>
      <c r="BL174" s="217" t="s">
        <v>1</v>
      </c>
      <c r="BM174" s="217" t="s">
        <v>1</v>
      </c>
      <c r="BN174" s="217" t="s">
        <v>1</v>
      </c>
      <c r="BO174" s="217" t="s">
        <v>1</v>
      </c>
      <c r="BP174" s="218" t="s">
        <v>1</v>
      </c>
      <c r="BQ174" s="218" t="s">
        <v>1</v>
      </c>
      <c r="BR174" s="218" t="s">
        <v>1</v>
      </c>
      <c r="BS174" s="218" t="s">
        <v>1</v>
      </c>
      <c r="BT174" s="218" t="s">
        <v>1</v>
      </c>
      <c r="BU174" s="218" t="s">
        <v>1</v>
      </c>
      <c r="BV174" s="218" t="s">
        <v>1</v>
      </c>
      <c r="BW174" s="218" t="s">
        <v>1</v>
      </c>
      <c r="BX174" s="218" t="s">
        <v>1</v>
      </c>
      <c r="BY174" s="218" t="s">
        <v>1</v>
      </c>
      <c r="BZ174" s="218" t="s">
        <v>1</v>
      </c>
      <c r="CA174" s="218" t="s">
        <v>1</v>
      </c>
      <c r="CB174" s="218" t="s">
        <v>1</v>
      </c>
      <c r="CC174" s="218" t="s">
        <v>1</v>
      </c>
      <c r="CD174" s="218" t="s">
        <v>1</v>
      </c>
      <c r="CE174" s="218" t="s">
        <v>1</v>
      </c>
      <c r="CF174" s="117" t="s">
        <v>1</v>
      </c>
    </row>
    <row r="175" ht="25" customHeight="1" spans="1:84">
      <c r="A175" s="29">
        <v>45278</v>
      </c>
      <c r="B175" s="7" t="s">
        <v>1</v>
      </c>
      <c r="C175" s="7" t="s">
        <v>1</v>
      </c>
      <c r="D175" s="7" t="s">
        <v>1</v>
      </c>
      <c r="E175" s="7" t="s">
        <v>1</v>
      </c>
      <c r="F175" s="7" t="s">
        <v>1</v>
      </c>
      <c r="G175" s="48" t="s">
        <v>1</v>
      </c>
      <c r="H175" s="48" t="s">
        <v>1</v>
      </c>
      <c r="I175" s="48" t="s">
        <v>1</v>
      </c>
      <c r="J175" s="48" t="s">
        <v>1</v>
      </c>
      <c r="K175" s="48" t="s">
        <v>1</v>
      </c>
      <c r="L175" s="127" t="s">
        <v>1</v>
      </c>
      <c r="M175" s="48" t="s">
        <v>1</v>
      </c>
      <c r="N175" s="48" t="s">
        <v>1</v>
      </c>
      <c r="O175" s="48" t="s">
        <v>1</v>
      </c>
      <c r="P175" s="48" t="s">
        <v>1</v>
      </c>
      <c r="Q175" s="48" t="s">
        <v>1</v>
      </c>
      <c r="R175" s="48" t="s">
        <v>1</v>
      </c>
      <c r="S175" s="48" t="s">
        <v>1</v>
      </c>
      <c r="T175" s="48" t="s">
        <v>1</v>
      </c>
      <c r="U175" s="48" t="s">
        <v>1</v>
      </c>
      <c r="V175" s="117" t="s">
        <v>1</v>
      </c>
      <c r="W175" s="117" t="s">
        <v>1</v>
      </c>
      <c r="X175" s="117" t="s">
        <v>1</v>
      </c>
      <c r="Y175" s="117" t="s">
        <v>1</v>
      </c>
      <c r="Z175" s="318" t="s">
        <v>1</v>
      </c>
      <c r="AA175" s="318" t="s">
        <v>1</v>
      </c>
      <c r="AB175" s="318" t="s">
        <v>1</v>
      </c>
      <c r="AC175" s="117" t="s">
        <v>1</v>
      </c>
      <c r="AD175" s="117" t="s">
        <v>1</v>
      </c>
      <c r="AE175" s="117" t="s">
        <v>1</v>
      </c>
      <c r="AF175" s="117" t="s">
        <v>1</v>
      </c>
      <c r="AG175" s="117" t="s">
        <v>1</v>
      </c>
      <c r="AH175" s="117" t="s">
        <v>1</v>
      </c>
      <c r="AI175" s="117" t="s">
        <v>1</v>
      </c>
      <c r="AJ175" s="117" t="s">
        <v>1</v>
      </c>
      <c r="AK175" s="117" t="s">
        <v>1</v>
      </c>
      <c r="AL175" s="117" t="s">
        <v>1</v>
      </c>
      <c r="AM175" s="117" t="s">
        <v>1</v>
      </c>
      <c r="AN175" s="117" t="s">
        <v>1</v>
      </c>
      <c r="AO175" s="117" t="s">
        <v>1</v>
      </c>
      <c r="AP175" s="117" t="s">
        <v>1</v>
      </c>
      <c r="AQ175" s="117" t="s">
        <v>1</v>
      </c>
      <c r="AR175" s="117" t="s">
        <v>1</v>
      </c>
      <c r="AS175" s="117" t="s">
        <v>1</v>
      </c>
      <c r="AT175" s="117" t="s">
        <v>1</v>
      </c>
      <c r="AU175" s="117" t="s">
        <v>1</v>
      </c>
      <c r="AV175" s="117" t="s">
        <v>1</v>
      </c>
      <c r="AW175" s="117" t="s">
        <v>1</v>
      </c>
      <c r="AX175" s="117" t="s">
        <v>1</v>
      </c>
      <c r="AY175" s="117" t="s">
        <v>1</v>
      </c>
      <c r="AZ175" s="117" t="s">
        <v>1</v>
      </c>
      <c r="BA175" s="117" t="s">
        <v>1</v>
      </c>
      <c r="BB175" s="117" t="s">
        <v>1</v>
      </c>
      <c r="BC175" s="117" t="s">
        <v>1</v>
      </c>
      <c r="BD175" s="117" t="s">
        <v>1</v>
      </c>
      <c r="BE175" s="117" t="s">
        <v>1</v>
      </c>
      <c r="BF175" s="117" t="s">
        <v>1</v>
      </c>
      <c r="BG175" s="217" t="s">
        <v>1</v>
      </c>
      <c r="BH175" s="217" t="s">
        <v>1</v>
      </c>
      <c r="BI175" s="217" t="s">
        <v>1</v>
      </c>
      <c r="BJ175" s="217" t="s">
        <v>1</v>
      </c>
      <c r="BK175" s="217" t="s">
        <v>1</v>
      </c>
      <c r="BL175" s="217" t="s">
        <v>1</v>
      </c>
      <c r="BM175" s="217" t="s">
        <v>1</v>
      </c>
      <c r="BN175" s="217" t="s">
        <v>1</v>
      </c>
      <c r="BO175" s="217" t="s">
        <v>1</v>
      </c>
      <c r="BP175" s="218" t="s">
        <v>1</v>
      </c>
      <c r="BQ175" s="218" t="s">
        <v>1</v>
      </c>
      <c r="BR175" s="218" t="s">
        <v>1</v>
      </c>
      <c r="BS175" s="218" t="s">
        <v>1</v>
      </c>
      <c r="BT175" s="218" t="s">
        <v>1</v>
      </c>
      <c r="BU175" s="218" t="s">
        <v>1</v>
      </c>
      <c r="BV175" s="218" t="s">
        <v>1</v>
      </c>
      <c r="BW175" s="218" t="s">
        <v>1</v>
      </c>
      <c r="BX175" s="218" t="s">
        <v>1</v>
      </c>
      <c r="BY175" s="218" t="s">
        <v>1</v>
      </c>
      <c r="BZ175" s="218" t="s">
        <v>1</v>
      </c>
      <c r="CA175" s="218" t="s">
        <v>1</v>
      </c>
      <c r="CB175" s="218" t="s">
        <v>1</v>
      </c>
      <c r="CC175" s="218" t="s">
        <v>1</v>
      </c>
      <c r="CD175" s="218" t="s">
        <v>1</v>
      </c>
      <c r="CE175" s="218" t="s">
        <v>1</v>
      </c>
      <c r="CF175" s="117" t="s">
        <v>1</v>
      </c>
    </row>
    <row r="176" ht="25" customHeight="1" spans="1:84">
      <c r="A176" s="29">
        <v>45279</v>
      </c>
      <c r="B176" s="7" t="s">
        <v>1</v>
      </c>
      <c r="C176" s="7" t="s">
        <v>1</v>
      </c>
      <c r="D176" s="7" t="s">
        <v>1</v>
      </c>
      <c r="E176" s="7" t="s">
        <v>1</v>
      </c>
      <c r="F176" s="7" t="s">
        <v>1</v>
      </c>
      <c r="G176" s="48" t="s">
        <v>1</v>
      </c>
      <c r="H176" s="48" t="s">
        <v>1</v>
      </c>
      <c r="I176" s="48" t="s">
        <v>1</v>
      </c>
      <c r="J176" s="48" t="s">
        <v>1</v>
      </c>
      <c r="K176" s="48" t="s">
        <v>1</v>
      </c>
      <c r="L176" s="127" t="s">
        <v>1</v>
      </c>
      <c r="M176" s="48" t="s">
        <v>1</v>
      </c>
      <c r="N176" s="48" t="s">
        <v>1</v>
      </c>
      <c r="O176" s="48" t="s">
        <v>1</v>
      </c>
      <c r="P176" s="48" t="s">
        <v>1</v>
      </c>
      <c r="Q176" s="48" t="s">
        <v>1</v>
      </c>
      <c r="R176" s="48" t="s">
        <v>1</v>
      </c>
      <c r="S176" s="48" t="s">
        <v>1</v>
      </c>
      <c r="T176" s="48" t="s">
        <v>1</v>
      </c>
      <c r="U176" s="48" t="s">
        <v>1</v>
      </c>
      <c r="V176" s="117" t="s">
        <v>1</v>
      </c>
      <c r="W176" s="117" t="s">
        <v>1</v>
      </c>
      <c r="X176" s="117" t="s">
        <v>1</v>
      </c>
      <c r="Y176" s="117" t="s">
        <v>1</v>
      </c>
      <c r="Z176" s="318" t="s">
        <v>1</v>
      </c>
      <c r="AA176" s="318" t="s">
        <v>1</v>
      </c>
      <c r="AB176" s="318" t="s">
        <v>1</v>
      </c>
      <c r="AC176" s="117" t="s">
        <v>1</v>
      </c>
      <c r="AD176" s="117" t="s">
        <v>1</v>
      </c>
      <c r="AE176" s="117" t="s">
        <v>1</v>
      </c>
      <c r="AF176" s="117" t="s">
        <v>1</v>
      </c>
      <c r="AG176" s="117" t="s">
        <v>1</v>
      </c>
      <c r="AH176" s="117" t="s">
        <v>1</v>
      </c>
      <c r="AI176" s="117" t="s">
        <v>1</v>
      </c>
      <c r="AJ176" s="117" t="s">
        <v>1</v>
      </c>
      <c r="AK176" s="117" t="s">
        <v>1</v>
      </c>
      <c r="AL176" s="117" t="s">
        <v>1</v>
      </c>
      <c r="AM176" s="117" t="s">
        <v>1</v>
      </c>
      <c r="AN176" s="117" t="s">
        <v>1</v>
      </c>
      <c r="AO176" s="117" t="s">
        <v>1</v>
      </c>
      <c r="AP176" s="117" t="s">
        <v>1</v>
      </c>
      <c r="AQ176" s="117" t="s">
        <v>1</v>
      </c>
      <c r="AR176" s="117" t="s">
        <v>1</v>
      </c>
      <c r="AS176" s="117" t="s">
        <v>1</v>
      </c>
      <c r="AT176" s="117" t="s">
        <v>1</v>
      </c>
      <c r="AU176" s="117" t="s">
        <v>1</v>
      </c>
      <c r="AV176" s="117" t="s">
        <v>1</v>
      </c>
      <c r="AW176" s="117" t="s">
        <v>1</v>
      </c>
      <c r="AX176" s="117" t="s">
        <v>1</v>
      </c>
      <c r="AY176" s="117" t="s">
        <v>1</v>
      </c>
      <c r="AZ176" s="117" t="s">
        <v>1</v>
      </c>
      <c r="BA176" s="117" t="s">
        <v>1</v>
      </c>
      <c r="BB176" s="117" t="s">
        <v>1</v>
      </c>
      <c r="BC176" s="117" t="s">
        <v>1</v>
      </c>
      <c r="BD176" s="117" t="s">
        <v>1</v>
      </c>
      <c r="BE176" s="117" t="s">
        <v>1</v>
      </c>
      <c r="BF176" s="117" t="s">
        <v>1</v>
      </c>
      <c r="BG176" s="217" t="s">
        <v>1</v>
      </c>
      <c r="BH176" s="217" t="s">
        <v>1</v>
      </c>
      <c r="BI176" s="217" t="s">
        <v>1</v>
      </c>
      <c r="BJ176" s="217" t="s">
        <v>1</v>
      </c>
      <c r="BK176" s="217" t="s">
        <v>1</v>
      </c>
      <c r="BL176" s="217" t="s">
        <v>1</v>
      </c>
      <c r="BM176" s="217" t="s">
        <v>1</v>
      </c>
      <c r="BN176" s="217" t="s">
        <v>1</v>
      </c>
      <c r="BO176" s="217" t="s">
        <v>1</v>
      </c>
      <c r="BP176" s="218" t="s">
        <v>1</v>
      </c>
      <c r="BQ176" s="218" t="s">
        <v>1</v>
      </c>
      <c r="BR176" s="218" t="s">
        <v>1</v>
      </c>
      <c r="BS176" s="218" t="s">
        <v>1</v>
      </c>
      <c r="BT176" s="218" t="s">
        <v>1</v>
      </c>
      <c r="BU176" s="218" t="s">
        <v>1</v>
      </c>
      <c r="BV176" s="218" t="s">
        <v>1</v>
      </c>
      <c r="BW176" s="218" t="s">
        <v>1</v>
      </c>
      <c r="BX176" s="218" t="s">
        <v>1</v>
      </c>
      <c r="BY176" s="218" t="s">
        <v>1</v>
      </c>
      <c r="BZ176" s="218" t="s">
        <v>1</v>
      </c>
      <c r="CA176" s="218" t="s">
        <v>1</v>
      </c>
      <c r="CB176" s="218" t="s">
        <v>1</v>
      </c>
      <c r="CC176" s="218" t="s">
        <v>1</v>
      </c>
      <c r="CD176" s="218" t="s">
        <v>1</v>
      </c>
      <c r="CE176" s="218" t="s">
        <v>1</v>
      </c>
      <c r="CF176" s="117" t="s">
        <v>1</v>
      </c>
    </row>
    <row r="177" ht="25" customHeight="1" spans="1:84">
      <c r="A177" s="29">
        <v>45280</v>
      </c>
      <c r="B177" s="7" t="s">
        <v>1</v>
      </c>
      <c r="C177" s="7" t="s">
        <v>1</v>
      </c>
      <c r="D177" s="7" t="s">
        <v>1</v>
      </c>
      <c r="E177" s="7" t="s">
        <v>1</v>
      </c>
      <c r="F177" s="7" t="s">
        <v>1</v>
      </c>
      <c r="G177" s="48" t="s">
        <v>1</v>
      </c>
      <c r="H177" s="48" t="s">
        <v>1</v>
      </c>
      <c r="I177" s="48" t="s">
        <v>1</v>
      </c>
      <c r="J177" s="48" t="s">
        <v>1</v>
      </c>
      <c r="K177" s="48" t="s">
        <v>1</v>
      </c>
      <c r="L177" s="127" t="s">
        <v>1</v>
      </c>
      <c r="M177" s="48" t="s">
        <v>1</v>
      </c>
      <c r="N177" s="48" t="s">
        <v>1</v>
      </c>
      <c r="O177" s="48" t="s">
        <v>1</v>
      </c>
      <c r="P177" s="48" t="s">
        <v>1</v>
      </c>
      <c r="Q177" s="48" t="s">
        <v>1</v>
      </c>
      <c r="R177" s="48" t="s">
        <v>1</v>
      </c>
      <c r="S177" s="48" t="s">
        <v>1</v>
      </c>
      <c r="T177" s="48" t="s">
        <v>1</v>
      </c>
      <c r="U177" s="48" t="s">
        <v>1</v>
      </c>
      <c r="V177" s="117" t="s">
        <v>1</v>
      </c>
      <c r="W177" s="117" t="s">
        <v>1</v>
      </c>
      <c r="X177" s="117" t="s">
        <v>1</v>
      </c>
      <c r="Y177" s="117" t="s">
        <v>1</v>
      </c>
      <c r="Z177" s="318" t="s">
        <v>1</v>
      </c>
      <c r="AA177" s="318" t="s">
        <v>1</v>
      </c>
      <c r="AB177" s="318" t="s">
        <v>1</v>
      </c>
      <c r="AC177" s="117" t="s">
        <v>1</v>
      </c>
      <c r="AD177" s="117" t="s">
        <v>1</v>
      </c>
      <c r="AE177" s="117" t="s">
        <v>1</v>
      </c>
      <c r="AF177" s="117" t="s">
        <v>1</v>
      </c>
      <c r="AG177" s="117" t="s">
        <v>1</v>
      </c>
      <c r="AH177" s="117" t="s">
        <v>1</v>
      </c>
      <c r="AI177" s="117" t="s">
        <v>1</v>
      </c>
      <c r="AJ177" s="117" t="s">
        <v>1</v>
      </c>
      <c r="AK177" s="117" t="s">
        <v>1</v>
      </c>
      <c r="AL177" s="117" t="s">
        <v>1</v>
      </c>
      <c r="AM177" s="117" t="s">
        <v>1</v>
      </c>
      <c r="AN177" s="117" t="s">
        <v>1</v>
      </c>
      <c r="AO177" s="117" t="s">
        <v>1</v>
      </c>
      <c r="AP177" s="117" t="s">
        <v>1</v>
      </c>
      <c r="AQ177" s="117" t="s">
        <v>1</v>
      </c>
      <c r="AR177" s="117" t="s">
        <v>1</v>
      </c>
      <c r="AS177" s="117" t="s">
        <v>1</v>
      </c>
      <c r="AT177" s="117" t="s">
        <v>1</v>
      </c>
      <c r="AU177" s="117" t="s">
        <v>1</v>
      </c>
      <c r="AV177" s="117" t="s">
        <v>1</v>
      </c>
      <c r="AW177" s="117" t="s">
        <v>1</v>
      </c>
      <c r="AX177" s="117" t="s">
        <v>1</v>
      </c>
      <c r="AY177" s="117" t="s">
        <v>1</v>
      </c>
      <c r="AZ177" s="117" t="s">
        <v>1</v>
      </c>
      <c r="BA177" s="117" t="s">
        <v>1</v>
      </c>
      <c r="BB177" s="117" t="s">
        <v>1</v>
      </c>
      <c r="BC177" s="117" t="s">
        <v>1</v>
      </c>
      <c r="BD177" s="117" t="s">
        <v>1</v>
      </c>
      <c r="BE177" s="117" t="s">
        <v>1</v>
      </c>
      <c r="BF177" s="117" t="s">
        <v>1</v>
      </c>
      <c r="BG177" s="217" t="s">
        <v>1</v>
      </c>
      <c r="BH177" s="217" t="s">
        <v>1</v>
      </c>
      <c r="BI177" s="217" t="s">
        <v>1</v>
      </c>
      <c r="BJ177" s="217" t="s">
        <v>1</v>
      </c>
      <c r="BK177" s="217" t="s">
        <v>1</v>
      </c>
      <c r="BL177" s="217" t="s">
        <v>1</v>
      </c>
      <c r="BM177" s="217" t="s">
        <v>1</v>
      </c>
      <c r="BN177" s="217" t="s">
        <v>1</v>
      </c>
      <c r="BO177" s="217" t="s">
        <v>1</v>
      </c>
      <c r="BP177" s="218" t="s">
        <v>1</v>
      </c>
      <c r="BQ177" s="218" t="s">
        <v>1</v>
      </c>
      <c r="BR177" s="218" t="s">
        <v>1</v>
      </c>
      <c r="BS177" s="218" t="s">
        <v>1</v>
      </c>
      <c r="BT177" s="218" t="s">
        <v>1</v>
      </c>
      <c r="BU177" s="218" t="s">
        <v>1</v>
      </c>
      <c r="BV177" s="218" t="s">
        <v>1</v>
      </c>
      <c r="BW177" s="218" t="s">
        <v>1</v>
      </c>
      <c r="BX177" s="218" t="s">
        <v>1</v>
      </c>
      <c r="BY177" s="218" t="s">
        <v>1</v>
      </c>
      <c r="BZ177" s="218" t="s">
        <v>1</v>
      </c>
      <c r="CA177" s="218" t="s">
        <v>1</v>
      </c>
      <c r="CB177" s="218" t="s">
        <v>1</v>
      </c>
      <c r="CC177" s="218" t="s">
        <v>1</v>
      </c>
      <c r="CD177" s="218" t="s">
        <v>1</v>
      </c>
      <c r="CE177" s="218" t="s">
        <v>1</v>
      </c>
      <c r="CF177" s="117" t="s">
        <v>1</v>
      </c>
    </row>
    <row r="178" ht="25" customHeight="1" spans="1:84">
      <c r="A178" s="29">
        <v>45281</v>
      </c>
      <c r="B178" s="7" t="s">
        <v>1</v>
      </c>
      <c r="C178" s="7" t="s">
        <v>1</v>
      </c>
      <c r="D178" s="7" t="s">
        <v>1</v>
      </c>
      <c r="E178" s="7" t="s">
        <v>1</v>
      </c>
      <c r="F178" s="7" t="s">
        <v>1</v>
      </c>
      <c r="G178" s="48" t="s">
        <v>1</v>
      </c>
      <c r="H178" s="48" t="s">
        <v>1</v>
      </c>
      <c r="I178" s="48" t="s">
        <v>1</v>
      </c>
      <c r="J178" s="48" t="s">
        <v>1</v>
      </c>
      <c r="K178" s="48" t="s">
        <v>1</v>
      </c>
      <c r="L178" s="127" t="s">
        <v>1</v>
      </c>
      <c r="M178" s="48" t="s">
        <v>1</v>
      </c>
      <c r="N178" s="48" t="s">
        <v>1</v>
      </c>
      <c r="O178" s="48" t="s">
        <v>1</v>
      </c>
      <c r="P178" s="48" t="s">
        <v>1</v>
      </c>
      <c r="Q178" s="48" t="s">
        <v>1</v>
      </c>
      <c r="R178" s="48" t="s">
        <v>1</v>
      </c>
      <c r="S178" s="48" t="s">
        <v>1</v>
      </c>
      <c r="T178" s="48" t="s">
        <v>1</v>
      </c>
      <c r="U178" s="48" t="s">
        <v>1</v>
      </c>
      <c r="V178" s="117" t="s">
        <v>1</v>
      </c>
      <c r="W178" s="117" t="s">
        <v>1</v>
      </c>
      <c r="X178" s="117" t="s">
        <v>1</v>
      </c>
      <c r="Y178" s="117" t="s">
        <v>1</v>
      </c>
      <c r="Z178" s="318" t="s">
        <v>1</v>
      </c>
      <c r="AA178" s="318" t="s">
        <v>1</v>
      </c>
      <c r="AB178" s="318" t="s">
        <v>1</v>
      </c>
      <c r="AC178" s="117" t="s">
        <v>1</v>
      </c>
      <c r="AD178" s="117" t="s">
        <v>1</v>
      </c>
      <c r="AE178" s="117" t="s">
        <v>1</v>
      </c>
      <c r="AF178" s="117" t="s">
        <v>1</v>
      </c>
      <c r="AG178" s="117" t="s">
        <v>1</v>
      </c>
      <c r="AH178" s="117" t="s">
        <v>1</v>
      </c>
      <c r="AI178" s="117" t="s">
        <v>1</v>
      </c>
      <c r="AJ178" s="117" t="s">
        <v>1</v>
      </c>
      <c r="AK178" s="117" t="s">
        <v>1</v>
      </c>
      <c r="AL178" s="117" t="s">
        <v>1</v>
      </c>
      <c r="AM178" s="117" t="s">
        <v>1</v>
      </c>
      <c r="AN178" s="117" t="s">
        <v>1</v>
      </c>
      <c r="AO178" s="117" t="s">
        <v>1</v>
      </c>
      <c r="AP178" s="117" t="s">
        <v>1</v>
      </c>
      <c r="AQ178" s="117" t="s">
        <v>1</v>
      </c>
      <c r="AR178" s="117" t="s">
        <v>1</v>
      </c>
      <c r="AS178" s="117" t="s">
        <v>1</v>
      </c>
      <c r="AT178" s="117" t="s">
        <v>1</v>
      </c>
      <c r="AU178" s="117" t="s">
        <v>1</v>
      </c>
      <c r="AV178" s="117" t="s">
        <v>1</v>
      </c>
      <c r="AW178" s="117" t="s">
        <v>1</v>
      </c>
      <c r="AX178" s="117" t="s">
        <v>1</v>
      </c>
      <c r="AY178" s="117" t="s">
        <v>1</v>
      </c>
      <c r="AZ178" s="117" t="s">
        <v>1</v>
      </c>
      <c r="BA178" s="117" t="s">
        <v>1</v>
      </c>
      <c r="BB178" s="117" t="s">
        <v>1</v>
      </c>
      <c r="BC178" s="117" t="s">
        <v>1</v>
      </c>
      <c r="BD178" s="117" t="s">
        <v>1</v>
      </c>
      <c r="BE178" s="117" t="s">
        <v>1</v>
      </c>
      <c r="BF178" s="117" t="s">
        <v>1</v>
      </c>
      <c r="BG178" s="217" t="s">
        <v>1</v>
      </c>
      <c r="BH178" s="217" t="s">
        <v>1</v>
      </c>
      <c r="BI178" s="217" t="s">
        <v>1</v>
      </c>
      <c r="BJ178" s="217" t="s">
        <v>1</v>
      </c>
      <c r="BK178" s="217" t="s">
        <v>1</v>
      </c>
      <c r="BL178" s="217" t="s">
        <v>1</v>
      </c>
      <c r="BM178" s="217" t="s">
        <v>1</v>
      </c>
      <c r="BN178" s="217" t="s">
        <v>1</v>
      </c>
      <c r="BO178" s="217" t="s">
        <v>1</v>
      </c>
      <c r="BP178" s="218" t="s">
        <v>1</v>
      </c>
      <c r="BQ178" s="218" t="s">
        <v>1</v>
      </c>
      <c r="BR178" s="218" t="s">
        <v>1</v>
      </c>
      <c r="BS178" s="218" t="s">
        <v>1</v>
      </c>
      <c r="BT178" s="218" t="s">
        <v>1</v>
      </c>
      <c r="BU178" s="218" t="s">
        <v>1</v>
      </c>
      <c r="BV178" s="218" t="s">
        <v>1</v>
      </c>
      <c r="BW178" s="218" t="s">
        <v>1</v>
      </c>
      <c r="BX178" s="218" t="s">
        <v>1</v>
      </c>
      <c r="BY178" s="218" t="s">
        <v>1</v>
      </c>
      <c r="BZ178" s="218" t="s">
        <v>1</v>
      </c>
      <c r="CA178" s="218" t="s">
        <v>1</v>
      </c>
      <c r="CB178" s="218" t="s">
        <v>1</v>
      </c>
      <c r="CC178" s="218" t="s">
        <v>1</v>
      </c>
      <c r="CD178" s="218" t="s">
        <v>1</v>
      </c>
      <c r="CE178" s="218" t="s">
        <v>1</v>
      </c>
      <c r="CF178" s="117" t="s">
        <v>1</v>
      </c>
    </row>
    <row r="179" ht="25" customHeight="1" spans="1:84">
      <c r="A179" s="29">
        <v>45282</v>
      </c>
      <c r="B179" s="7" t="s">
        <v>1</v>
      </c>
      <c r="C179" s="7" t="s">
        <v>1</v>
      </c>
      <c r="D179" s="7" t="s">
        <v>1</v>
      </c>
      <c r="E179" s="7" t="s">
        <v>1</v>
      </c>
      <c r="F179" s="7" t="s">
        <v>1</v>
      </c>
      <c r="G179" s="48" t="s">
        <v>1</v>
      </c>
      <c r="H179" s="48" t="s">
        <v>1</v>
      </c>
      <c r="I179" s="48" t="s">
        <v>1</v>
      </c>
      <c r="J179" s="48" t="s">
        <v>1</v>
      </c>
      <c r="K179" s="48" t="s">
        <v>1</v>
      </c>
      <c r="L179" s="127" t="s">
        <v>1</v>
      </c>
      <c r="M179" s="48" t="s">
        <v>1</v>
      </c>
      <c r="N179" s="48" t="s">
        <v>1</v>
      </c>
      <c r="O179" s="48" t="s">
        <v>1</v>
      </c>
      <c r="P179" s="48" t="s">
        <v>1</v>
      </c>
      <c r="Q179" s="48" t="s">
        <v>1</v>
      </c>
      <c r="R179" s="48" t="s">
        <v>1</v>
      </c>
      <c r="S179" s="48" t="s">
        <v>1</v>
      </c>
      <c r="T179" s="48" t="s">
        <v>1</v>
      </c>
      <c r="U179" s="48" t="s">
        <v>1</v>
      </c>
      <c r="V179" s="117" t="s">
        <v>1</v>
      </c>
      <c r="W179" s="117" t="s">
        <v>1</v>
      </c>
      <c r="X179" s="117" t="s">
        <v>1</v>
      </c>
      <c r="Y179" s="117" t="s">
        <v>1</v>
      </c>
      <c r="Z179" s="318" t="s">
        <v>1</v>
      </c>
      <c r="AA179" s="318" t="s">
        <v>1</v>
      </c>
      <c r="AB179" s="318" t="s">
        <v>1</v>
      </c>
      <c r="AC179" s="117" t="s">
        <v>1</v>
      </c>
      <c r="AD179" s="117" t="s">
        <v>1</v>
      </c>
      <c r="AE179" s="117" t="s">
        <v>1</v>
      </c>
      <c r="AF179" s="117" t="s">
        <v>1</v>
      </c>
      <c r="AG179" s="117" t="s">
        <v>1</v>
      </c>
      <c r="AH179" s="117" t="s">
        <v>1</v>
      </c>
      <c r="AI179" s="117" t="s">
        <v>1</v>
      </c>
      <c r="AJ179" s="117" t="s">
        <v>1</v>
      </c>
      <c r="AK179" s="117" t="s">
        <v>1</v>
      </c>
      <c r="AL179" s="117" t="s">
        <v>1</v>
      </c>
      <c r="AM179" s="117" t="s">
        <v>1</v>
      </c>
      <c r="AN179" s="117" t="s">
        <v>1</v>
      </c>
      <c r="AO179" s="117" t="s">
        <v>1</v>
      </c>
      <c r="AP179" s="117" t="s">
        <v>1</v>
      </c>
      <c r="AQ179" s="117" t="s">
        <v>1</v>
      </c>
      <c r="AR179" s="117" t="s">
        <v>1</v>
      </c>
      <c r="AS179" s="117" t="s">
        <v>1</v>
      </c>
      <c r="AT179" s="117" t="s">
        <v>1</v>
      </c>
      <c r="AU179" s="117" t="s">
        <v>1</v>
      </c>
      <c r="AV179" s="117" t="s">
        <v>1</v>
      </c>
      <c r="AW179" s="117" t="s">
        <v>1</v>
      </c>
      <c r="AX179" s="117" t="s">
        <v>1</v>
      </c>
      <c r="AY179" s="117" t="s">
        <v>1</v>
      </c>
      <c r="AZ179" s="117" t="s">
        <v>1</v>
      </c>
      <c r="BA179" s="117" t="s">
        <v>1</v>
      </c>
      <c r="BB179" s="117" t="s">
        <v>1</v>
      </c>
      <c r="BC179" s="117" t="s">
        <v>1</v>
      </c>
      <c r="BD179" s="117" t="s">
        <v>1</v>
      </c>
      <c r="BE179" s="117" t="s">
        <v>1</v>
      </c>
      <c r="BF179" s="117" t="s">
        <v>1</v>
      </c>
      <c r="BG179" s="217" t="s">
        <v>1</v>
      </c>
      <c r="BH179" s="217" t="s">
        <v>1</v>
      </c>
      <c r="BI179" s="217" t="s">
        <v>1</v>
      </c>
      <c r="BJ179" s="217" t="s">
        <v>1</v>
      </c>
      <c r="BK179" s="217" t="s">
        <v>1</v>
      </c>
      <c r="BL179" s="217" t="s">
        <v>1</v>
      </c>
      <c r="BM179" s="217" t="s">
        <v>1</v>
      </c>
      <c r="BN179" s="217" t="s">
        <v>1</v>
      </c>
      <c r="BO179" s="217" t="s">
        <v>1</v>
      </c>
      <c r="BP179" s="218" t="s">
        <v>1</v>
      </c>
      <c r="BQ179" s="218" t="s">
        <v>1</v>
      </c>
      <c r="BR179" s="218" t="s">
        <v>1</v>
      </c>
      <c r="BS179" s="218" t="s">
        <v>1</v>
      </c>
      <c r="BT179" s="218" t="s">
        <v>1</v>
      </c>
      <c r="BU179" s="218" t="s">
        <v>1</v>
      </c>
      <c r="BV179" s="218" t="s">
        <v>1</v>
      </c>
      <c r="BW179" s="218" t="s">
        <v>1</v>
      </c>
      <c r="BX179" s="218" t="s">
        <v>1</v>
      </c>
      <c r="BY179" s="218" t="s">
        <v>1</v>
      </c>
      <c r="BZ179" s="218" t="s">
        <v>1</v>
      </c>
      <c r="CA179" s="218" t="s">
        <v>1</v>
      </c>
      <c r="CB179" s="218" t="s">
        <v>1</v>
      </c>
      <c r="CC179" s="218" t="s">
        <v>1</v>
      </c>
      <c r="CD179" s="218" t="s">
        <v>1</v>
      </c>
      <c r="CE179" s="218" t="s">
        <v>1</v>
      </c>
      <c r="CF179" s="117" t="s">
        <v>1</v>
      </c>
    </row>
    <row r="180" ht="25" customHeight="1" spans="1:84">
      <c r="A180" s="29">
        <v>45283</v>
      </c>
      <c r="B180" s="7" t="s">
        <v>1</v>
      </c>
      <c r="C180" s="7" t="s">
        <v>1</v>
      </c>
      <c r="D180" s="7" t="s">
        <v>1</v>
      </c>
      <c r="E180" s="7" t="s">
        <v>1</v>
      </c>
      <c r="F180" s="7" t="s">
        <v>1</v>
      </c>
      <c r="G180" s="48" t="s">
        <v>1</v>
      </c>
      <c r="H180" s="48" t="s">
        <v>1</v>
      </c>
      <c r="I180" s="48" t="s">
        <v>1</v>
      </c>
      <c r="J180" s="48" t="s">
        <v>1</v>
      </c>
      <c r="K180" s="48" t="s">
        <v>1</v>
      </c>
      <c r="L180" s="127" t="s">
        <v>1</v>
      </c>
      <c r="M180" s="48" t="s">
        <v>1</v>
      </c>
      <c r="N180" s="48" t="s">
        <v>1</v>
      </c>
      <c r="O180" s="48" t="s">
        <v>1</v>
      </c>
      <c r="P180" s="48" t="s">
        <v>1</v>
      </c>
      <c r="Q180" s="48" t="s">
        <v>1</v>
      </c>
      <c r="R180" s="48" t="s">
        <v>1</v>
      </c>
      <c r="S180" s="48" t="s">
        <v>1</v>
      </c>
      <c r="T180" s="48" t="s">
        <v>1</v>
      </c>
      <c r="U180" s="48" t="s">
        <v>1</v>
      </c>
      <c r="V180" s="117" t="s">
        <v>1</v>
      </c>
      <c r="W180" s="117" t="s">
        <v>1</v>
      </c>
      <c r="X180" s="117" t="s">
        <v>1</v>
      </c>
      <c r="Y180" s="117" t="s">
        <v>1</v>
      </c>
      <c r="Z180" s="318" t="s">
        <v>1</v>
      </c>
      <c r="AA180" s="318" t="s">
        <v>1</v>
      </c>
      <c r="AB180" s="318" t="s">
        <v>1</v>
      </c>
      <c r="AC180" s="117" t="s">
        <v>1</v>
      </c>
      <c r="AD180" s="117" t="s">
        <v>1</v>
      </c>
      <c r="AE180" s="117" t="s">
        <v>1</v>
      </c>
      <c r="AF180" s="117" t="s">
        <v>1</v>
      </c>
      <c r="AG180" s="117" t="s">
        <v>1</v>
      </c>
      <c r="AH180" s="117" t="s">
        <v>1</v>
      </c>
      <c r="AI180" s="117" t="s">
        <v>1</v>
      </c>
      <c r="AJ180" s="117" t="s">
        <v>1</v>
      </c>
      <c r="AK180" s="117" t="s">
        <v>1</v>
      </c>
      <c r="AL180" s="117" t="s">
        <v>1</v>
      </c>
      <c r="AM180" s="117" t="s">
        <v>1</v>
      </c>
      <c r="AN180" s="117" t="s">
        <v>1</v>
      </c>
      <c r="AO180" s="117" t="s">
        <v>1</v>
      </c>
      <c r="AP180" s="117" t="s">
        <v>1</v>
      </c>
      <c r="AQ180" s="117" t="s">
        <v>1</v>
      </c>
      <c r="AR180" s="117" t="s">
        <v>1</v>
      </c>
      <c r="AS180" s="117" t="s">
        <v>1</v>
      </c>
      <c r="AT180" s="117" t="s">
        <v>1</v>
      </c>
      <c r="AU180" s="117" t="s">
        <v>1</v>
      </c>
      <c r="AV180" s="117" t="s">
        <v>1</v>
      </c>
      <c r="AW180" s="117" t="s">
        <v>1</v>
      </c>
      <c r="AX180" s="117" t="s">
        <v>1</v>
      </c>
      <c r="AY180" s="117" t="s">
        <v>1</v>
      </c>
      <c r="AZ180" s="117" t="s">
        <v>1</v>
      </c>
      <c r="BA180" s="117" t="s">
        <v>1</v>
      </c>
      <c r="BB180" s="117" t="s">
        <v>1</v>
      </c>
      <c r="BC180" s="117" t="s">
        <v>1</v>
      </c>
      <c r="BD180" s="117" t="s">
        <v>1</v>
      </c>
      <c r="BE180" s="117" t="s">
        <v>1</v>
      </c>
      <c r="BF180" s="117" t="s">
        <v>1</v>
      </c>
      <c r="BG180" s="217" t="s">
        <v>1</v>
      </c>
      <c r="BH180" s="217" t="s">
        <v>1</v>
      </c>
      <c r="BI180" s="217" t="s">
        <v>1</v>
      </c>
      <c r="BJ180" s="217" t="s">
        <v>1</v>
      </c>
      <c r="BK180" s="217" t="s">
        <v>1</v>
      </c>
      <c r="BL180" s="217" t="s">
        <v>1</v>
      </c>
      <c r="BM180" s="217" t="s">
        <v>1</v>
      </c>
      <c r="BN180" s="217" t="s">
        <v>1</v>
      </c>
      <c r="BO180" s="217" t="s">
        <v>1</v>
      </c>
      <c r="BP180" s="218" t="s">
        <v>1</v>
      </c>
      <c r="BQ180" s="218" t="s">
        <v>1</v>
      </c>
      <c r="BR180" s="218" t="s">
        <v>1</v>
      </c>
      <c r="BS180" s="218" t="s">
        <v>1</v>
      </c>
      <c r="BT180" s="218" t="s">
        <v>1</v>
      </c>
      <c r="BU180" s="218" t="s">
        <v>1</v>
      </c>
      <c r="BV180" s="218" t="s">
        <v>1</v>
      </c>
      <c r="BW180" s="218" t="s">
        <v>1</v>
      </c>
      <c r="BX180" s="218" t="s">
        <v>1</v>
      </c>
      <c r="BY180" s="218" t="s">
        <v>1</v>
      </c>
      <c r="BZ180" s="218" t="s">
        <v>1</v>
      </c>
      <c r="CA180" s="218" t="s">
        <v>1</v>
      </c>
      <c r="CB180" s="218" t="s">
        <v>1</v>
      </c>
      <c r="CC180" s="218" t="s">
        <v>1</v>
      </c>
      <c r="CD180" s="218" t="s">
        <v>1</v>
      </c>
      <c r="CE180" s="218" t="s">
        <v>1</v>
      </c>
      <c r="CF180" s="117" t="s">
        <v>1</v>
      </c>
    </row>
    <row r="181" ht="25" customHeight="1" spans="1:84">
      <c r="A181" s="29">
        <v>45284</v>
      </c>
      <c r="B181" s="7" t="s">
        <v>1</v>
      </c>
      <c r="C181" s="7" t="s">
        <v>1</v>
      </c>
      <c r="D181" s="7" t="s">
        <v>1</v>
      </c>
      <c r="E181" s="7" t="s">
        <v>1</v>
      </c>
      <c r="F181" s="7" t="s">
        <v>1</v>
      </c>
      <c r="G181" s="48" t="s">
        <v>1</v>
      </c>
      <c r="H181" s="48" t="s">
        <v>1</v>
      </c>
      <c r="I181" s="48" t="s">
        <v>1</v>
      </c>
      <c r="J181" s="48" t="s">
        <v>1</v>
      </c>
      <c r="K181" s="48" t="s">
        <v>1</v>
      </c>
      <c r="L181" s="127" t="s">
        <v>1</v>
      </c>
      <c r="M181" s="48" t="s">
        <v>1</v>
      </c>
      <c r="N181" s="48" t="s">
        <v>1</v>
      </c>
      <c r="O181" s="48" t="s">
        <v>1</v>
      </c>
      <c r="P181" s="48" t="s">
        <v>1</v>
      </c>
      <c r="Q181" s="48" t="s">
        <v>1</v>
      </c>
      <c r="R181" s="48" t="s">
        <v>1</v>
      </c>
      <c r="S181" s="48" t="s">
        <v>1</v>
      </c>
      <c r="T181" s="48" t="s">
        <v>1</v>
      </c>
      <c r="U181" s="48" t="s">
        <v>1</v>
      </c>
      <c r="V181" s="117" t="s">
        <v>1</v>
      </c>
      <c r="W181" s="117" t="s">
        <v>1</v>
      </c>
      <c r="X181" s="117" t="s">
        <v>1</v>
      </c>
      <c r="Y181" s="117" t="s">
        <v>1</v>
      </c>
      <c r="Z181" s="318" t="s">
        <v>1</v>
      </c>
      <c r="AA181" s="318" t="s">
        <v>1</v>
      </c>
      <c r="AB181" s="318" t="s">
        <v>1</v>
      </c>
      <c r="AC181" s="117" t="s">
        <v>1</v>
      </c>
      <c r="AD181" s="117" t="s">
        <v>1</v>
      </c>
      <c r="AE181" s="117" t="s">
        <v>1</v>
      </c>
      <c r="AF181" s="117" t="s">
        <v>1</v>
      </c>
      <c r="AG181" s="117" t="s">
        <v>1</v>
      </c>
      <c r="AH181" s="117" t="s">
        <v>1</v>
      </c>
      <c r="AI181" s="117" t="s">
        <v>1</v>
      </c>
      <c r="AJ181" s="117" t="s">
        <v>1</v>
      </c>
      <c r="AK181" s="117" t="s">
        <v>1</v>
      </c>
      <c r="AL181" s="117" t="s">
        <v>1</v>
      </c>
      <c r="AM181" s="117" t="s">
        <v>1</v>
      </c>
      <c r="AN181" s="117" t="s">
        <v>1</v>
      </c>
      <c r="AO181" s="117" t="s">
        <v>1</v>
      </c>
      <c r="AP181" s="117" t="s">
        <v>1</v>
      </c>
      <c r="AQ181" s="117" t="s">
        <v>1</v>
      </c>
      <c r="AR181" s="117" t="s">
        <v>1</v>
      </c>
      <c r="AS181" s="117" t="s">
        <v>1</v>
      </c>
      <c r="AT181" s="117" t="s">
        <v>1</v>
      </c>
      <c r="AU181" s="117" t="s">
        <v>1</v>
      </c>
      <c r="AV181" s="117" t="s">
        <v>1</v>
      </c>
      <c r="AW181" s="117" t="s">
        <v>1</v>
      </c>
      <c r="AX181" s="117" t="s">
        <v>1</v>
      </c>
      <c r="AY181" s="117" t="s">
        <v>1</v>
      </c>
      <c r="AZ181" s="117" t="s">
        <v>1</v>
      </c>
      <c r="BA181" s="117" t="s">
        <v>1</v>
      </c>
      <c r="BB181" s="117" t="s">
        <v>1</v>
      </c>
      <c r="BC181" s="117" t="s">
        <v>1</v>
      </c>
      <c r="BD181" s="117" t="s">
        <v>1</v>
      </c>
      <c r="BE181" s="117" t="s">
        <v>1</v>
      </c>
      <c r="BF181" s="117" t="s">
        <v>1</v>
      </c>
      <c r="BG181" s="217" t="s">
        <v>1</v>
      </c>
      <c r="BH181" s="217" t="s">
        <v>1</v>
      </c>
      <c r="BI181" s="217" t="s">
        <v>1</v>
      </c>
      <c r="BJ181" s="217" t="s">
        <v>1</v>
      </c>
      <c r="BK181" s="217" t="s">
        <v>1</v>
      </c>
      <c r="BL181" s="217" t="s">
        <v>1</v>
      </c>
      <c r="BM181" s="217" t="s">
        <v>1</v>
      </c>
      <c r="BN181" s="217" t="s">
        <v>1</v>
      </c>
      <c r="BO181" s="217" t="s">
        <v>1</v>
      </c>
      <c r="BP181" s="218" t="s">
        <v>1</v>
      </c>
      <c r="BQ181" s="218" t="s">
        <v>1</v>
      </c>
      <c r="BR181" s="218" t="s">
        <v>1</v>
      </c>
      <c r="BS181" s="218" t="s">
        <v>1</v>
      </c>
      <c r="BT181" s="218" t="s">
        <v>1</v>
      </c>
      <c r="BU181" s="218" t="s">
        <v>1</v>
      </c>
      <c r="BV181" s="218" t="s">
        <v>1</v>
      </c>
      <c r="BW181" s="218" t="s">
        <v>1</v>
      </c>
      <c r="BX181" s="218" t="s">
        <v>1</v>
      </c>
      <c r="BY181" s="218" t="s">
        <v>1</v>
      </c>
      <c r="BZ181" s="218" t="s">
        <v>1</v>
      </c>
      <c r="CA181" s="218" t="s">
        <v>1</v>
      </c>
      <c r="CB181" s="218" t="s">
        <v>1</v>
      </c>
      <c r="CC181" s="218" t="s">
        <v>1</v>
      </c>
      <c r="CD181" s="218" t="s">
        <v>1</v>
      </c>
      <c r="CE181" s="218" t="s">
        <v>1</v>
      </c>
      <c r="CF181" s="117" t="s">
        <v>1</v>
      </c>
    </row>
    <row r="182" ht="25" customHeight="1" spans="1:84">
      <c r="A182" s="29">
        <v>45285</v>
      </c>
      <c r="B182" s="7" t="s">
        <v>1</v>
      </c>
      <c r="C182" s="7" t="s">
        <v>1</v>
      </c>
      <c r="D182" s="7" t="s">
        <v>1</v>
      </c>
      <c r="E182" s="7" t="s">
        <v>1</v>
      </c>
      <c r="F182" s="7" t="s">
        <v>1</v>
      </c>
      <c r="G182" s="48" t="s">
        <v>1</v>
      </c>
      <c r="H182" s="48" t="s">
        <v>1</v>
      </c>
      <c r="I182" s="48" t="s">
        <v>1</v>
      </c>
      <c r="J182" s="48" t="s">
        <v>1</v>
      </c>
      <c r="K182" s="48" t="s">
        <v>1</v>
      </c>
      <c r="L182" s="127" t="s">
        <v>1</v>
      </c>
      <c r="M182" s="48" t="s">
        <v>1</v>
      </c>
      <c r="N182" s="48" t="s">
        <v>1</v>
      </c>
      <c r="O182" s="48" t="s">
        <v>1</v>
      </c>
      <c r="P182" s="48" t="s">
        <v>1</v>
      </c>
      <c r="Q182" s="48" t="s">
        <v>1</v>
      </c>
      <c r="R182" s="48" t="s">
        <v>1</v>
      </c>
      <c r="S182" s="48" t="s">
        <v>1</v>
      </c>
      <c r="T182" s="48" t="s">
        <v>1</v>
      </c>
      <c r="U182" s="48" t="s">
        <v>1</v>
      </c>
      <c r="V182" s="117" t="s">
        <v>1</v>
      </c>
      <c r="W182" s="117" t="s">
        <v>1</v>
      </c>
      <c r="X182" s="117" t="s">
        <v>1</v>
      </c>
      <c r="Y182" s="117" t="s">
        <v>1</v>
      </c>
      <c r="Z182" s="318" t="s">
        <v>1</v>
      </c>
      <c r="AA182" s="318" t="s">
        <v>1</v>
      </c>
      <c r="AB182" s="318" t="s">
        <v>1</v>
      </c>
      <c r="AC182" s="117" t="s">
        <v>1</v>
      </c>
      <c r="AD182" s="117" t="s">
        <v>1</v>
      </c>
      <c r="AE182" s="117" t="s">
        <v>1</v>
      </c>
      <c r="AF182" s="117" t="s">
        <v>1</v>
      </c>
      <c r="AG182" s="117" t="s">
        <v>1</v>
      </c>
      <c r="AH182" s="117" t="s">
        <v>1</v>
      </c>
      <c r="AI182" s="117" t="s">
        <v>1</v>
      </c>
      <c r="AJ182" s="117" t="s">
        <v>1</v>
      </c>
      <c r="AK182" s="117" t="s">
        <v>1</v>
      </c>
      <c r="AL182" s="117" t="s">
        <v>1</v>
      </c>
      <c r="AM182" s="117" t="s">
        <v>1</v>
      </c>
      <c r="AN182" s="117" t="s">
        <v>1</v>
      </c>
      <c r="AO182" s="117" t="s">
        <v>1</v>
      </c>
      <c r="AP182" s="117" t="s">
        <v>1</v>
      </c>
      <c r="AQ182" s="117" t="s">
        <v>1</v>
      </c>
      <c r="AR182" s="117" t="s">
        <v>1</v>
      </c>
      <c r="AS182" s="117" t="s">
        <v>1</v>
      </c>
      <c r="AT182" s="117" t="s">
        <v>1</v>
      </c>
      <c r="AU182" s="117" t="s">
        <v>1</v>
      </c>
      <c r="AV182" s="117" t="s">
        <v>1</v>
      </c>
      <c r="AW182" s="117" t="s">
        <v>1</v>
      </c>
      <c r="AX182" s="117" t="s">
        <v>1</v>
      </c>
      <c r="AY182" s="117" t="s">
        <v>1</v>
      </c>
      <c r="AZ182" s="117" t="s">
        <v>1</v>
      </c>
      <c r="BA182" s="117" t="s">
        <v>1</v>
      </c>
      <c r="BB182" s="117" t="s">
        <v>1</v>
      </c>
      <c r="BC182" s="117" t="s">
        <v>1</v>
      </c>
      <c r="BD182" s="117" t="s">
        <v>1</v>
      </c>
      <c r="BE182" s="117" t="s">
        <v>1</v>
      </c>
      <c r="BF182" s="117" t="s">
        <v>1</v>
      </c>
      <c r="BG182" s="217" t="s">
        <v>1</v>
      </c>
      <c r="BH182" s="217" t="s">
        <v>1</v>
      </c>
      <c r="BI182" s="217" t="s">
        <v>1</v>
      </c>
      <c r="BJ182" s="217" t="s">
        <v>1</v>
      </c>
      <c r="BK182" s="217" t="s">
        <v>1</v>
      </c>
      <c r="BL182" s="217" t="s">
        <v>1</v>
      </c>
      <c r="BM182" s="217" t="s">
        <v>1</v>
      </c>
      <c r="BN182" s="217" t="s">
        <v>1</v>
      </c>
      <c r="BO182" s="217" t="s">
        <v>1</v>
      </c>
      <c r="BP182" s="218" t="s">
        <v>1</v>
      </c>
      <c r="BQ182" s="218" t="s">
        <v>1</v>
      </c>
      <c r="BR182" s="218" t="s">
        <v>1</v>
      </c>
      <c r="BS182" s="218" t="s">
        <v>1</v>
      </c>
      <c r="BT182" s="218" t="s">
        <v>1</v>
      </c>
      <c r="BU182" s="218" t="s">
        <v>1</v>
      </c>
      <c r="BV182" s="218" t="s">
        <v>1</v>
      </c>
      <c r="BW182" s="218" t="s">
        <v>1</v>
      </c>
      <c r="BX182" s="218" t="s">
        <v>1</v>
      </c>
      <c r="BY182" s="218" t="s">
        <v>1</v>
      </c>
      <c r="BZ182" s="218" t="s">
        <v>1</v>
      </c>
      <c r="CA182" s="218" t="s">
        <v>1</v>
      </c>
      <c r="CB182" s="218" t="s">
        <v>1</v>
      </c>
      <c r="CC182" s="218" t="s">
        <v>1</v>
      </c>
      <c r="CD182" s="218" t="s">
        <v>1</v>
      </c>
      <c r="CE182" s="218" t="s">
        <v>1</v>
      </c>
      <c r="CF182" s="117" t="s">
        <v>1</v>
      </c>
    </row>
    <row r="183" ht="25" customHeight="1" spans="1:84">
      <c r="A183" s="29">
        <v>45286</v>
      </c>
      <c r="B183" s="7" t="s">
        <v>1</v>
      </c>
      <c r="C183" s="7" t="s">
        <v>1</v>
      </c>
      <c r="D183" s="7" t="s">
        <v>1</v>
      </c>
      <c r="E183" s="7" t="s">
        <v>1</v>
      </c>
      <c r="F183" s="7" t="s">
        <v>1</v>
      </c>
      <c r="G183" s="48" t="s">
        <v>1</v>
      </c>
      <c r="H183" s="48" t="s">
        <v>1</v>
      </c>
      <c r="I183" s="48" t="s">
        <v>1</v>
      </c>
      <c r="J183" s="48" t="s">
        <v>1</v>
      </c>
      <c r="K183" s="48" t="s">
        <v>1</v>
      </c>
      <c r="L183" s="127" t="s">
        <v>1</v>
      </c>
      <c r="M183" s="48" t="s">
        <v>1</v>
      </c>
      <c r="N183" s="48" t="s">
        <v>1</v>
      </c>
      <c r="O183" s="48" t="s">
        <v>1</v>
      </c>
      <c r="P183" s="48" t="s">
        <v>1</v>
      </c>
      <c r="Q183" s="48" t="s">
        <v>1</v>
      </c>
      <c r="R183" s="48" t="s">
        <v>1</v>
      </c>
      <c r="S183" s="48" t="s">
        <v>1</v>
      </c>
      <c r="T183" s="48" t="s">
        <v>1</v>
      </c>
      <c r="U183" s="48" t="s">
        <v>1</v>
      </c>
      <c r="V183" s="117" t="s">
        <v>1</v>
      </c>
      <c r="W183" s="117" t="s">
        <v>1</v>
      </c>
      <c r="X183" s="117" t="s">
        <v>1</v>
      </c>
      <c r="Y183" s="117" t="s">
        <v>1</v>
      </c>
      <c r="Z183" s="318" t="s">
        <v>1</v>
      </c>
      <c r="AA183" s="318" t="s">
        <v>1</v>
      </c>
      <c r="AB183" s="318" t="s">
        <v>1</v>
      </c>
      <c r="AC183" s="117" t="s">
        <v>1</v>
      </c>
      <c r="AD183" s="117" t="s">
        <v>1</v>
      </c>
      <c r="AE183" s="117" t="s">
        <v>1</v>
      </c>
      <c r="AF183" s="117" t="s">
        <v>1</v>
      </c>
      <c r="AG183" s="117" t="s">
        <v>1</v>
      </c>
      <c r="AH183" s="117" t="s">
        <v>1</v>
      </c>
      <c r="AI183" s="117" t="s">
        <v>1</v>
      </c>
      <c r="AJ183" s="117" t="s">
        <v>1</v>
      </c>
      <c r="AK183" s="117" t="s">
        <v>1</v>
      </c>
      <c r="AL183" s="117" t="s">
        <v>1</v>
      </c>
      <c r="AM183" s="117" t="s">
        <v>1</v>
      </c>
      <c r="AN183" s="117" t="s">
        <v>1</v>
      </c>
      <c r="AO183" s="117" t="s">
        <v>1</v>
      </c>
      <c r="AP183" s="117" t="s">
        <v>1</v>
      </c>
      <c r="AQ183" s="117" t="s">
        <v>1</v>
      </c>
      <c r="AR183" s="117" t="s">
        <v>1</v>
      </c>
      <c r="AS183" s="117" t="s">
        <v>1</v>
      </c>
      <c r="AT183" s="117" t="s">
        <v>1</v>
      </c>
      <c r="AU183" s="117" t="s">
        <v>1</v>
      </c>
      <c r="AV183" s="117" t="s">
        <v>1</v>
      </c>
      <c r="AW183" s="117" t="s">
        <v>1</v>
      </c>
      <c r="AX183" s="117" t="s">
        <v>1</v>
      </c>
      <c r="AY183" s="117" t="s">
        <v>1</v>
      </c>
      <c r="AZ183" s="117" t="s">
        <v>1</v>
      </c>
      <c r="BA183" s="117" t="s">
        <v>1</v>
      </c>
      <c r="BB183" s="117" t="s">
        <v>1</v>
      </c>
      <c r="BC183" s="117" t="s">
        <v>1</v>
      </c>
      <c r="BD183" s="117" t="s">
        <v>1</v>
      </c>
      <c r="BE183" s="117" t="s">
        <v>1</v>
      </c>
      <c r="BF183" s="117" t="s">
        <v>1</v>
      </c>
      <c r="BG183" s="217" t="s">
        <v>1</v>
      </c>
      <c r="BH183" s="217" t="s">
        <v>1</v>
      </c>
      <c r="BI183" s="217" t="s">
        <v>1</v>
      </c>
      <c r="BJ183" s="217" t="s">
        <v>1</v>
      </c>
      <c r="BK183" s="217" t="s">
        <v>1</v>
      </c>
      <c r="BL183" s="217" t="s">
        <v>1</v>
      </c>
      <c r="BM183" s="217" t="s">
        <v>1</v>
      </c>
      <c r="BN183" s="217" t="s">
        <v>1</v>
      </c>
      <c r="BO183" s="217" t="s">
        <v>1</v>
      </c>
      <c r="BP183" s="218" t="s">
        <v>1</v>
      </c>
      <c r="BQ183" s="218" t="s">
        <v>1</v>
      </c>
      <c r="BR183" s="218" t="s">
        <v>1</v>
      </c>
      <c r="BS183" s="218" t="s">
        <v>1</v>
      </c>
      <c r="BT183" s="218" t="s">
        <v>1</v>
      </c>
      <c r="BU183" s="218" t="s">
        <v>1</v>
      </c>
      <c r="BV183" s="218" t="s">
        <v>1</v>
      </c>
      <c r="BW183" s="218" t="s">
        <v>1</v>
      </c>
      <c r="BX183" s="218" t="s">
        <v>1</v>
      </c>
      <c r="BY183" s="218" t="s">
        <v>1</v>
      </c>
      <c r="BZ183" s="218" t="s">
        <v>1</v>
      </c>
      <c r="CA183" s="218" t="s">
        <v>1</v>
      </c>
      <c r="CB183" s="218" t="s">
        <v>1</v>
      </c>
      <c r="CC183" s="218" t="s">
        <v>1</v>
      </c>
      <c r="CD183" s="218" t="s">
        <v>1</v>
      </c>
      <c r="CE183" s="218" t="s">
        <v>1</v>
      </c>
      <c r="CF183" s="117" t="s">
        <v>1</v>
      </c>
    </row>
    <row r="184" ht="25" customHeight="1" spans="1:84">
      <c r="A184" s="29">
        <v>45287</v>
      </c>
      <c r="B184" s="7" t="s">
        <v>1</v>
      </c>
      <c r="C184" s="7" t="s">
        <v>1</v>
      </c>
      <c r="D184" s="7" t="s">
        <v>1</v>
      </c>
      <c r="E184" s="7" t="s">
        <v>1</v>
      </c>
      <c r="F184" s="7" t="s">
        <v>1</v>
      </c>
      <c r="G184" s="48" t="s">
        <v>1</v>
      </c>
      <c r="H184" s="48" t="s">
        <v>1</v>
      </c>
      <c r="I184" s="48" t="s">
        <v>1</v>
      </c>
      <c r="J184" s="48" t="s">
        <v>1</v>
      </c>
      <c r="K184" s="48" t="s">
        <v>1</v>
      </c>
      <c r="L184" s="127" t="s">
        <v>1</v>
      </c>
      <c r="M184" s="48" t="s">
        <v>1</v>
      </c>
      <c r="N184" s="48" t="s">
        <v>1</v>
      </c>
      <c r="O184" s="48" t="s">
        <v>1</v>
      </c>
      <c r="P184" s="48" t="s">
        <v>1</v>
      </c>
      <c r="Q184" s="48" t="s">
        <v>1</v>
      </c>
      <c r="R184" s="48" t="s">
        <v>1</v>
      </c>
      <c r="S184" s="48" t="s">
        <v>1</v>
      </c>
      <c r="T184" s="48" t="s">
        <v>1</v>
      </c>
      <c r="U184" s="48" t="s">
        <v>1</v>
      </c>
      <c r="V184" s="117" t="s">
        <v>1</v>
      </c>
      <c r="W184" s="117" t="s">
        <v>1</v>
      </c>
      <c r="X184" s="117" t="s">
        <v>1</v>
      </c>
      <c r="Y184" s="117" t="s">
        <v>1</v>
      </c>
      <c r="Z184" s="318" t="s">
        <v>1</v>
      </c>
      <c r="AA184" s="318" t="s">
        <v>1</v>
      </c>
      <c r="AB184" s="318" t="s">
        <v>1</v>
      </c>
      <c r="AC184" s="117" t="s">
        <v>1</v>
      </c>
      <c r="AD184" s="117" t="s">
        <v>1</v>
      </c>
      <c r="AE184" s="117" t="s">
        <v>1</v>
      </c>
      <c r="AF184" s="117" t="s">
        <v>1</v>
      </c>
      <c r="AG184" s="117" t="s">
        <v>1</v>
      </c>
      <c r="AH184" s="117" t="s">
        <v>1</v>
      </c>
      <c r="AI184" s="117" t="s">
        <v>1</v>
      </c>
      <c r="AJ184" s="117" t="s">
        <v>1</v>
      </c>
      <c r="AK184" s="117" t="s">
        <v>1</v>
      </c>
      <c r="AL184" s="117" t="s">
        <v>1</v>
      </c>
      <c r="AM184" s="117" t="s">
        <v>1</v>
      </c>
      <c r="AN184" s="117" t="s">
        <v>1</v>
      </c>
      <c r="AO184" s="117" t="s">
        <v>1</v>
      </c>
      <c r="AP184" s="117" t="s">
        <v>1</v>
      </c>
      <c r="AQ184" s="117" t="s">
        <v>1</v>
      </c>
      <c r="AR184" s="117" t="s">
        <v>1</v>
      </c>
      <c r="AS184" s="117" t="s">
        <v>1</v>
      </c>
      <c r="AT184" s="117" t="s">
        <v>1</v>
      </c>
      <c r="AU184" s="117" t="s">
        <v>1</v>
      </c>
      <c r="AV184" s="117" t="s">
        <v>1</v>
      </c>
      <c r="AW184" s="117" t="s">
        <v>1</v>
      </c>
      <c r="AX184" s="117" t="s">
        <v>1</v>
      </c>
      <c r="AY184" s="117" t="s">
        <v>1</v>
      </c>
      <c r="AZ184" s="117" t="s">
        <v>1</v>
      </c>
      <c r="BA184" s="117" t="s">
        <v>1</v>
      </c>
      <c r="BB184" s="117" t="s">
        <v>1</v>
      </c>
      <c r="BC184" s="117" t="s">
        <v>1</v>
      </c>
      <c r="BD184" s="117" t="s">
        <v>1</v>
      </c>
      <c r="BE184" s="117" t="s">
        <v>1</v>
      </c>
      <c r="BF184" s="117" t="s">
        <v>1</v>
      </c>
      <c r="BG184" s="217" t="s">
        <v>1</v>
      </c>
      <c r="BH184" s="217" t="s">
        <v>1</v>
      </c>
      <c r="BI184" s="217" t="s">
        <v>1</v>
      </c>
      <c r="BJ184" s="217" t="s">
        <v>1</v>
      </c>
      <c r="BK184" s="217" t="s">
        <v>1</v>
      </c>
      <c r="BL184" s="217" t="s">
        <v>1</v>
      </c>
      <c r="BM184" s="217" t="s">
        <v>1</v>
      </c>
      <c r="BN184" s="217" t="s">
        <v>1</v>
      </c>
      <c r="BO184" s="217" t="s">
        <v>1</v>
      </c>
      <c r="BP184" s="218" t="s">
        <v>1</v>
      </c>
      <c r="BQ184" s="218" t="s">
        <v>1</v>
      </c>
      <c r="BR184" s="218" t="s">
        <v>1</v>
      </c>
      <c r="BS184" s="218" t="s">
        <v>1</v>
      </c>
      <c r="BT184" s="218" t="s">
        <v>1</v>
      </c>
      <c r="BU184" s="218" t="s">
        <v>1</v>
      </c>
      <c r="BV184" s="218" t="s">
        <v>1</v>
      </c>
      <c r="BW184" s="218" t="s">
        <v>1</v>
      </c>
      <c r="BX184" s="218" t="s">
        <v>1</v>
      </c>
      <c r="BY184" s="218" t="s">
        <v>1</v>
      </c>
      <c r="BZ184" s="218" t="s">
        <v>1</v>
      </c>
      <c r="CA184" s="218" t="s">
        <v>1</v>
      </c>
      <c r="CB184" s="218" t="s">
        <v>1</v>
      </c>
      <c r="CC184" s="218" t="s">
        <v>1</v>
      </c>
      <c r="CD184" s="218" t="s">
        <v>1</v>
      </c>
      <c r="CE184" s="218" t="s">
        <v>1</v>
      </c>
      <c r="CF184" s="117" t="s">
        <v>1</v>
      </c>
    </row>
    <row r="185" ht="25" customHeight="1" spans="1:84">
      <c r="A185" s="29">
        <v>45288</v>
      </c>
      <c r="B185" s="7" t="s">
        <v>1</v>
      </c>
      <c r="C185" s="7" t="s">
        <v>1</v>
      </c>
      <c r="D185" s="7" t="s">
        <v>1</v>
      </c>
      <c r="E185" s="7" t="s">
        <v>1</v>
      </c>
      <c r="F185" s="7" t="s">
        <v>1</v>
      </c>
      <c r="G185" s="48" t="s">
        <v>1</v>
      </c>
      <c r="H185" s="48" t="s">
        <v>1</v>
      </c>
      <c r="I185" s="48" t="s">
        <v>1</v>
      </c>
      <c r="J185" s="48" t="s">
        <v>1</v>
      </c>
      <c r="K185" s="48" t="s">
        <v>1</v>
      </c>
      <c r="L185" s="127" t="s">
        <v>1</v>
      </c>
      <c r="M185" s="48" t="s">
        <v>1</v>
      </c>
      <c r="N185" s="48" t="s">
        <v>1</v>
      </c>
      <c r="O185" s="48" t="s">
        <v>1</v>
      </c>
      <c r="P185" s="48" t="s">
        <v>1</v>
      </c>
      <c r="Q185" s="48" t="s">
        <v>1</v>
      </c>
      <c r="R185" s="48" t="s">
        <v>1</v>
      </c>
      <c r="S185" s="48" t="s">
        <v>1</v>
      </c>
      <c r="T185" s="48" t="s">
        <v>1</v>
      </c>
      <c r="U185" s="48" t="s">
        <v>1</v>
      </c>
      <c r="V185" s="117" t="s">
        <v>1</v>
      </c>
      <c r="W185" s="117" t="s">
        <v>1</v>
      </c>
      <c r="X185" s="117" t="s">
        <v>1</v>
      </c>
      <c r="Y185" s="117" t="s">
        <v>1</v>
      </c>
      <c r="Z185" s="318" t="s">
        <v>1</v>
      </c>
      <c r="AA185" s="318" t="s">
        <v>1</v>
      </c>
      <c r="AB185" s="318" t="s">
        <v>1</v>
      </c>
      <c r="AC185" s="117" t="s">
        <v>1</v>
      </c>
      <c r="AD185" s="117" t="s">
        <v>1</v>
      </c>
      <c r="AE185" s="117" t="s">
        <v>1</v>
      </c>
      <c r="AF185" s="117" t="s">
        <v>1</v>
      </c>
      <c r="AG185" s="117" t="s">
        <v>1</v>
      </c>
      <c r="AH185" s="117" t="s">
        <v>1</v>
      </c>
      <c r="AI185" s="117" t="s">
        <v>1</v>
      </c>
      <c r="AJ185" s="117" t="s">
        <v>1</v>
      </c>
      <c r="AK185" s="117" t="s">
        <v>1</v>
      </c>
      <c r="AL185" s="117" t="s">
        <v>1</v>
      </c>
      <c r="AM185" s="117" t="s">
        <v>1</v>
      </c>
      <c r="AN185" s="117" t="s">
        <v>1</v>
      </c>
      <c r="AO185" s="117" t="s">
        <v>1</v>
      </c>
      <c r="AP185" s="117" t="s">
        <v>1</v>
      </c>
      <c r="AQ185" s="117" t="s">
        <v>1</v>
      </c>
      <c r="AR185" s="117" t="s">
        <v>1</v>
      </c>
      <c r="AS185" s="117" t="s">
        <v>1</v>
      </c>
      <c r="AT185" s="117" t="s">
        <v>1</v>
      </c>
      <c r="AU185" s="117" t="s">
        <v>1</v>
      </c>
      <c r="AV185" s="117" t="s">
        <v>1</v>
      </c>
      <c r="AW185" s="117" t="s">
        <v>1</v>
      </c>
      <c r="AX185" s="117" t="s">
        <v>1</v>
      </c>
      <c r="AY185" s="117" t="s">
        <v>1</v>
      </c>
      <c r="AZ185" s="117" t="s">
        <v>1</v>
      </c>
      <c r="BA185" s="117" t="s">
        <v>1</v>
      </c>
      <c r="BB185" s="117" t="s">
        <v>1</v>
      </c>
      <c r="BC185" s="117" t="s">
        <v>1</v>
      </c>
      <c r="BD185" s="117" t="s">
        <v>1</v>
      </c>
      <c r="BE185" s="117" t="s">
        <v>1</v>
      </c>
      <c r="BF185" s="117" t="s">
        <v>1</v>
      </c>
      <c r="BG185" s="217" t="s">
        <v>1</v>
      </c>
      <c r="BH185" s="217" t="s">
        <v>1</v>
      </c>
      <c r="BI185" s="217" t="s">
        <v>1</v>
      </c>
      <c r="BJ185" s="217" t="s">
        <v>1</v>
      </c>
      <c r="BK185" s="217" t="s">
        <v>1</v>
      </c>
      <c r="BL185" s="217" t="s">
        <v>1</v>
      </c>
      <c r="BM185" s="217" t="s">
        <v>1</v>
      </c>
      <c r="BN185" s="217" t="s">
        <v>1</v>
      </c>
      <c r="BO185" s="217" t="s">
        <v>1</v>
      </c>
      <c r="BP185" s="218" t="s">
        <v>1</v>
      </c>
      <c r="BQ185" s="218" t="s">
        <v>1</v>
      </c>
      <c r="BR185" s="218" t="s">
        <v>1</v>
      </c>
      <c r="BS185" s="218" t="s">
        <v>1</v>
      </c>
      <c r="BT185" s="218" t="s">
        <v>1</v>
      </c>
      <c r="BU185" s="218" t="s">
        <v>1</v>
      </c>
      <c r="BV185" s="218" t="s">
        <v>1</v>
      </c>
      <c r="BW185" s="218" t="s">
        <v>1</v>
      </c>
      <c r="BX185" s="218" t="s">
        <v>1</v>
      </c>
      <c r="BY185" s="218" t="s">
        <v>1</v>
      </c>
      <c r="BZ185" s="218" t="s">
        <v>1</v>
      </c>
      <c r="CA185" s="218" t="s">
        <v>1</v>
      </c>
      <c r="CB185" s="218" t="s">
        <v>1</v>
      </c>
      <c r="CC185" s="218" t="s">
        <v>1</v>
      </c>
      <c r="CD185" s="218" t="s">
        <v>1</v>
      </c>
      <c r="CE185" s="218" t="s">
        <v>1</v>
      </c>
      <c r="CF185" s="117" t="s">
        <v>1</v>
      </c>
    </row>
    <row r="186" ht="25" customHeight="1" spans="1:84">
      <c r="A186" s="29">
        <v>45289</v>
      </c>
      <c r="B186" s="7" t="s">
        <v>1</v>
      </c>
      <c r="C186" s="7" t="s">
        <v>1</v>
      </c>
      <c r="D186" s="7" t="s">
        <v>1</v>
      </c>
      <c r="E186" s="7" t="s">
        <v>1</v>
      </c>
      <c r="F186" s="7" t="s">
        <v>1</v>
      </c>
      <c r="G186" s="48" t="s">
        <v>1</v>
      </c>
      <c r="H186" s="48" t="s">
        <v>1</v>
      </c>
      <c r="I186" s="48" t="s">
        <v>1</v>
      </c>
      <c r="J186" s="48" t="s">
        <v>1</v>
      </c>
      <c r="K186" s="48" t="s">
        <v>1</v>
      </c>
      <c r="L186" s="127" t="s">
        <v>1</v>
      </c>
      <c r="M186" s="48" t="s">
        <v>1</v>
      </c>
      <c r="N186" s="48" t="s">
        <v>1</v>
      </c>
      <c r="O186" s="48" t="s">
        <v>1</v>
      </c>
      <c r="P186" s="48" t="s">
        <v>1</v>
      </c>
      <c r="Q186" s="48" t="s">
        <v>1</v>
      </c>
      <c r="R186" s="48" t="s">
        <v>1</v>
      </c>
      <c r="S186" s="48" t="s">
        <v>1</v>
      </c>
      <c r="T186" s="48" t="s">
        <v>1</v>
      </c>
      <c r="U186" s="48" t="s">
        <v>1</v>
      </c>
      <c r="V186" s="117" t="s">
        <v>1</v>
      </c>
      <c r="W186" s="117" t="s">
        <v>1</v>
      </c>
      <c r="X186" s="117" t="s">
        <v>1</v>
      </c>
      <c r="Y186" s="117" t="s">
        <v>1</v>
      </c>
      <c r="Z186" s="318" t="s">
        <v>1</v>
      </c>
      <c r="AA186" s="318" t="s">
        <v>1</v>
      </c>
      <c r="AB186" s="318" t="s">
        <v>1</v>
      </c>
      <c r="AC186" s="117" t="s">
        <v>1</v>
      </c>
      <c r="AD186" s="117" t="s">
        <v>1</v>
      </c>
      <c r="AE186" s="117" t="s">
        <v>1</v>
      </c>
      <c r="AF186" s="117" t="s">
        <v>1</v>
      </c>
      <c r="AG186" s="117" t="s">
        <v>1</v>
      </c>
      <c r="AH186" s="117" t="s">
        <v>1</v>
      </c>
      <c r="AI186" s="117" t="s">
        <v>1</v>
      </c>
      <c r="AJ186" s="117" t="s">
        <v>1</v>
      </c>
      <c r="AK186" s="117" t="s">
        <v>1</v>
      </c>
      <c r="AL186" s="117" t="s">
        <v>1</v>
      </c>
      <c r="AM186" s="117" t="s">
        <v>1</v>
      </c>
      <c r="AN186" s="117" t="s">
        <v>1</v>
      </c>
      <c r="AO186" s="117" t="s">
        <v>1</v>
      </c>
      <c r="AP186" s="117" t="s">
        <v>1</v>
      </c>
      <c r="AQ186" s="117" t="s">
        <v>1</v>
      </c>
      <c r="AR186" s="117" t="s">
        <v>1</v>
      </c>
      <c r="AS186" s="117" t="s">
        <v>1</v>
      </c>
      <c r="AT186" s="117" t="s">
        <v>1</v>
      </c>
      <c r="AU186" s="117" t="s">
        <v>1</v>
      </c>
      <c r="AV186" s="117" t="s">
        <v>1</v>
      </c>
      <c r="AW186" s="117" t="s">
        <v>1</v>
      </c>
      <c r="AX186" s="117" t="s">
        <v>1</v>
      </c>
      <c r="AY186" s="117" t="s">
        <v>1</v>
      </c>
      <c r="AZ186" s="117" t="s">
        <v>1</v>
      </c>
      <c r="BA186" s="117" t="s">
        <v>1</v>
      </c>
      <c r="BB186" s="117" t="s">
        <v>1</v>
      </c>
      <c r="BC186" s="117" t="s">
        <v>1</v>
      </c>
      <c r="BD186" s="117" t="s">
        <v>1</v>
      </c>
      <c r="BE186" s="117" t="s">
        <v>1</v>
      </c>
      <c r="BF186" s="117" t="s">
        <v>1</v>
      </c>
      <c r="BG186" s="217" t="s">
        <v>1</v>
      </c>
      <c r="BH186" s="217" t="s">
        <v>1</v>
      </c>
      <c r="BI186" s="217" t="s">
        <v>1</v>
      </c>
      <c r="BJ186" s="217" t="s">
        <v>1</v>
      </c>
      <c r="BK186" s="217" t="s">
        <v>1</v>
      </c>
      <c r="BL186" s="217" t="s">
        <v>1</v>
      </c>
      <c r="BM186" s="217" t="s">
        <v>1</v>
      </c>
      <c r="BN186" s="217" t="s">
        <v>1</v>
      </c>
      <c r="BO186" s="217" t="s">
        <v>1</v>
      </c>
      <c r="BP186" s="218" t="s">
        <v>1</v>
      </c>
      <c r="BQ186" s="218" t="s">
        <v>1</v>
      </c>
      <c r="BR186" s="218" t="s">
        <v>1</v>
      </c>
      <c r="BS186" s="218" t="s">
        <v>1</v>
      </c>
      <c r="BT186" s="218" t="s">
        <v>1</v>
      </c>
      <c r="BU186" s="218" t="s">
        <v>1</v>
      </c>
      <c r="BV186" s="218" t="s">
        <v>1</v>
      </c>
      <c r="BW186" s="218" t="s">
        <v>1</v>
      </c>
      <c r="BX186" s="218" t="s">
        <v>1</v>
      </c>
      <c r="BY186" s="218" t="s">
        <v>1</v>
      </c>
      <c r="BZ186" s="218" t="s">
        <v>1</v>
      </c>
      <c r="CA186" s="218" t="s">
        <v>1</v>
      </c>
      <c r="CB186" s="218" t="s">
        <v>1</v>
      </c>
      <c r="CC186" s="218" t="s">
        <v>1</v>
      </c>
      <c r="CD186" s="218" t="s">
        <v>1</v>
      </c>
      <c r="CE186" s="218" t="s">
        <v>1</v>
      </c>
      <c r="CF186" s="117" t="s">
        <v>1</v>
      </c>
    </row>
    <row r="187" ht="25" customHeight="1" spans="1:84">
      <c r="A187" s="29">
        <v>45290</v>
      </c>
      <c r="B187" s="7" t="s">
        <v>1</v>
      </c>
      <c r="C187" s="7" t="s">
        <v>1</v>
      </c>
      <c r="D187" s="7" t="s">
        <v>1</v>
      </c>
      <c r="E187" s="7" t="s">
        <v>1</v>
      </c>
      <c r="F187" s="7" t="s">
        <v>1</v>
      </c>
      <c r="G187" s="48" t="s">
        <v>1</v>
      </c>
      <c r="H187" s="48" t="s">
        <v>1</v>
      </c>
      <c r="I187" s="48" t="s">
        <v>1</v>
      </c>
      <c r="J187" s="48" t="s">
        <v>1</v>
      </c>
      <c r="K187" s="48" t="s">
        <v>1</v>
      </c>
      <c r="L187" s="127" t="s">
        <v>1</v>
      </c>
      <c r="M187" s="48" t="s">
        <v>1</v>
      </c>
      <c r="N187" s="48" t="s">
        <v>1</v>
      </c>
      <c r="O187" s="48" t="s">
        <v>1</v>
      </c>
      <c r="P187" s="48" t="s">
        <v>1</v>
      </c>
      <c r="Q187" s="48" t="s">
        <v>1</v>
      </c>
      <c r="R187" s="48" t="s">
        <v>1</v>
      </c>
      <c r="S187" s="48" t="s">
        <v>1</v>
      </c>
      <c r="T187" s="48" t="s">
        <v>1</v>
      </c>
      <c r="U187" s="48" t="s">
        <v>1</v>
      </c>
      <c r="V187" s="117" t="s">
        <v>1</v>
      </c>
      <c r="W187" s="117" t="s">
        <v>1</v>
      </c>
      <c r="X187" s="117" t="s">
        <v>1</v>
      </c>
      <c r="Y187" s="117" t="s">
        <v>1</v>
      </c>
      <c r="Z187" s="318" t="s">
        <v>1</v>
      </c>
      <c r="AA187" s="318" t="s">
        <v>1</v>
      </c>
      <c r="AB187" s="318" t="s">
        <v>1</v>
      </c>
      <c r="AC187" s="117" t="s">
        <v>1</v>
      </c>
      <c r="AD187" s="117" t="s">
        <v>1</v>
      </c>
      <c r="AE187" s="117" t="s">
        <v>1</v>
      </c>
      <c r="AF187" s="117" t="s">
        <v>1</v>
      </c>
      <c r="AG187" s="117" t="s">
        <v>1</v>
      </c>
      <c r="AH187" s="117" t="s">
        <v>1</v>
      </c>
      <c r="AI187" s="117" t="s">
        <v>1</v>
      </c>
      <c r="AJ187" s="117" t="s">
        <v>1</v>
      </c>
      <c r="AK187" s="117" t="s">
        <v>1</v>
      </c>
      <c r="AL187" s="117" t="s">
        <v>1</v>
      </c>
      <c r="AM187" s="117" t="s">
        <v>1</v>
      </c>
      <c r="AN187" s="117" t="s">
        <v>1</v>
      </c>
      <c r="AO187" s="117" t="s">
        <v>1</v>
      </c>
      <c r="AP187" s="117" t="s">
        <v>1</v>
      </c>
      <c r="AQ187" s="117" t="s">
        <v>1</v>
      </c>
      <c r="AR187" s="117" t="s">
        <v>1</v>
      </c>
      <c r="AS187" s="117" t="s">
        <v>1</v>
      </c>
      <c r="AT187" s="117" t="s">
        <v>1</v>
      </c>
      <c r="AU187" s="117" t="s">
        <v>1</v>
      </c>
      <c r="AV187" s="117" t="s">
        <v>1</v>
      </c>
      <c r="AW187" s="117" t="s">
        <v>1</v>
      </c>
      <c r="AX187" s="117" t="s">
        <v>1</v>
      </c>
      <c r="AY187" s="117" t="s">
        <v>1</v>
      </c>
      <c r="AZ187" s="117" t="s">
        <v>1</v>
      </c>
      <c r="BA187" s="117" t="s">
        <v>1</v>
      </c>
      <c r="BB187" s="117" t="s">
        <v>1</v>
      </c>
      <c r="BC187" s="117" t="s">
        <v>1</v>
      </c>
      <c r="BD187" s="117" t="s">
        <v>1</v>
      </c>
      <c r="BE187" s="117" t="s">
        <v>1</v>
      </c>
      <c r="BF187" s="117" t="s">
        <v>1</v>
      </c>
      <c r="BG187" s="217" t="s">
        <v>1</v>
      </c>
      <c r="BH187" s="217" t="s">
        <v>1</v>
      </c>
      <c r="BI187" s="217" t="s">
        <v>1</v>
      </c>
      <c r="BJ187" s="217" t="s">
        <v>1</v>
      </c>
      <c r="BK187" s="217" t="s">
        <v>1</v>
      </c>
      <c r="BL187" s="217" t="s">
        <v>1</v>
      </c>
      <c r="BM187" s="217" t="s">
        <v>1</v>
      </c>
      <c r="BN187" s="217" t="s">
        <v>1</v>
      </c>
      <c r="BO187" s="217" t="s">
        <v>1</v>
      </c>
      <c r="BP187" s="218" t="s">
        <v>1</v>
      </c>
      <c r="BQ187" s="218" t="s">
        <v>1</v>
      </c>
      <c r="BR187" s="218" t="s">
        <v>1</v>
      </c>
      <c r="BS187" s="218" t="s">
        <v>1</v>
      </c>
      <c r="BT187" s="218" t="s">
        <v>1</v>
      </c>
      <c r="BU187" s="218" t="s">
        <v>1</v>
      </c>
      <c r="BV187" s="218" t="s">
        <v>1</v>
      </c>
      <c r="BW187" s="218" t="s">
        <v>1</v>
      </c>
      <c r="BX187" s="218" t="s">
        <v>1</v>
      </c>
      <c r="BY187" s="218" t="s">
        <v>1</v>
      </c>
      <c r="BZ187" s="218" t="s">
        <v>1</v>
      </c>
      <c r="CA187" s="218" t="s">
        <v>1</v>
      </c>
      <c r="CB187" s="218" t="s">
        <v>1</v>
      </c>
      <c r="CC187" s="218" t="s">
        <v>1</v>
      </c>
      <c r="CD187" s="218" t="s">
        <v>1</v>
      </c>
      <c r="CE187" s="218" t="s">
        <v>1</v>
      </c>
      <c r="CF187" s="117" t="s">
        <v>1</v>
      </c>
    </row>
    <row r="188" ht="25" customHeight="1" spans="1:84">
      <c r="A188" s="29">
        <v>45291</v>
      </c>
      <c r="B188" s="7" t="s">
        <v>1</v>
      </c>
      <c r="C188" s="7" t="s">
        <v>1</v>
      </c>
      <c r="D188" s="7" t="s">
        <v>1</v>
      </c>
      <c r="E188" s="7" t="s">
        <v>1</v>
      </c>
      <c r="F188" s="7" t="s">
        <v>1</v>
      </c>
      <c r="G188" s="48" t="s">
        <v>1</v>
      </c>
      <c r="H188" s="48" t="s">
        <v>1</v>
      </c>
      <c r="I188" s="48" t="s">
        <v>1</v>
      </c>
      <c r="J188" s="48" t="s">
        <v>1</v>
      </c>
      <c r="K188" s="48" t="s">
        <v>1</v>
      </c>
      <c r="L188" s="127" t="s">
        <v>1</v>
      </c>
      <c r="M188" s="48" t="s">
        <v>1</v>
      </c>
      <c r="N188" s="48" t="s">
        <v>1</v>
      </c>
      <c r="O188" s="48" t="s">
        <v>1</v>
      </c>
      <c r="P188" s="48" t="s">
        <v>1</v>
      </c>
      <c r="Q188" s="48" t="s">
        <v>1</v>
      </c>
      <c r="R188" s="48" t="s">
        <v>1</v>
      </c>
      <c r="S188" s="48" t="s">
        <v>1</v>
      </c>
      <c r="T188" s="48" t="s">
        <v>1</v>
      </c>
      <c r="U188" s="48" t="s">
        <v>1</v>
      </c>
      <c r="V188" s="117" t="s">
        <v>1</v>
      </c>
      <c r="W188" s="117" t="s">
        <v>1</v>
      </c>
      <c r="X188" s="117" t="s">
        <v>1</v>
      </c>
      <c r="Y188" s="117" t="s">
        <v>1</v>
      </c>
      <c r="Z188" s="318" t="s">
        <v>1</v>
      </c>
      <c r="AA188" s="318" t="s">
        <v>1</v>
      </c>
      <c r="AB188" s="318" t="s">
        <v>1</v>
      </c>
      <c r="AC188" s="117" t="s">
        <v>1</v>
      </c>
      <c r="AD188" s="117" t="s">
        <v>1</v>
      </c>
      <c r="AE188" s="117" t="s">
        <v>1</v>
      </c>
      <c r="AF188" s="117" t="s">
        <v>1</v>
      </c>
      <c r="AG188" s="117" t="s">
        <v>1</v>
      </c>
      <c r="AH188" s="117" t="s">
        <v>1</v>
      </c>
      <c r="AI188" s="117" t="s">
        <v>1</v>
      </c>
      <c r="AJ188" s="117" t="s">
        <v>1</v>
      </c>
      <c r="AK188" s="117" t="s">
        <v>1</v>
      </c>
      <c r="AL188" s="117" t="s">
        <v>1</v>
      </c>
      <c r="AM188" s="117" t="s">
        <v>1</v>
      </c>
      <c r="AN188" s="117" t="s">
        <v>1</v>
      </c>
      <c r="AO188" s="117" t="s">
        <v>1</v>
      </c>
      <c r="AP188" s="117" t="s">
        <v>1</v>
      </c>
      <c r="AQ188" s="117" t="s">
        <v>1</v>
      </c>
      <c r="AR188" s="117" t="s">
        <v>1</v>
      </c>
      <c r="AS188" s="117" t="s">
        <v>1</v>
      </c>
      <c r="AT188" s="117" t="s">
        <v>1</v>
      </c>
      <c r="AU188" s="117" t="s">
        <v>1</v>
      </c>
      <c r="AV188" s="117" t="s">
        <v>1</v>
      </c>
      <c r="AW188" s="117" t="s">
        <v>1</v>
      </c>
      <c r="AX188" s="117" t="s">
        <v>1</v>
      </c>
      <c r="AY188" s="117" t="s">
        <v>1</v>
      </c>
      <c r="AZ188" s="117" t="s">
        <v>1</v>
      </c>
      <c r="BA188" s="117" t="s">
        <v>1</v>
      </c>
      <c r="BB188" s="117" t="s">
        <v>1</v>
      </c>
      <c r="BC188" s="117" t="s">
        <v>1</v>
      </c>
      <c r="BD188" s="117" t="s">
        <v>1</v>
      </c>
      <c r="BE188" s="117" t="s">
        <v>1</v>
      </c>
      <c r="BF188" s="117" t="s">
        <v>1</v>
      </c>
      <c r="BG188" s="217" t="s">
        <v>1</v>
      </c>
      <c r="BH188" s="217" t="s">
        <v>1</v>
      </c>
      <c r="BI188" s="217" t="s">
        <v>1</v>
      </c>
      <c r="BJ188" s="217" t="s">
        <v>1</v>
      </c>
      <c r="BK188" s="217" t="s">
        <v>1</v>
      </c>
      <c r="BL188" s="217" t="s">
        <v>1</v>
      </c>
      <c r="BM188" s="217" t="s">
        <v>1</v>
      </c>
      <c r="BN188" s="217" t="s">
        <v>1</v>
      </c>
      <c r="BO188" s="217" t="s">
        <v>1</v>
      </c>
      <c r="BP188" s="218" t="s">
        <v>1</v>
      </c>
      <c r="BQ188" s="218" t="s">
        <v>1</v>
      </c>
      <c r="BR188" s="218" t="s">
        <v>1</v>
      </c>
      <c r="BS188" s="218" t="s">
        <v>1</v>
      </c>
      <c r="BT188" s="218" t="s">
        <v>1</v>
      </c>
      <c r="BU188" s="218" t="s">
        <v>1</v>
      </c>
      <c r="BV188" s="218" t="s">
        <v>1</v>
      </c>
      <c r="BW188" s="218" t="s">
        <v>1</v>
      </c>
      <c r="BX188" s="218" t="s">
        <v>1</v>
      </c>
      <c r="BY188" s="218" t="s">
        <v>1</v>
      </c>
      <c r="BZ188" s="218" t="s">
        <v>1</v>
      </c>
      <c r="CA188" s="218" t="s">
        <v>1</v>
      </c>
      <c r="CB188" s="218" t="s">
        <v>1</v>
      </c>
      <c r="CC188" s="218" t="s">
        <v>1</v>
      </c>
      <c r="CD188" s="218" t="s">
        <v>1</v>
      </c>
      <c r="CE188" s="218" t="s">
        <v>1</v>
      </c>
      <c r="CF188" s="117" t="s">
        <v>1</v>
      </c>
    </row>
    <row r="189" ht="25" customHeight="1" spans="1:84">
      <c r="A189" s="1" t="s">
        <v>1</v>
      </c>
      <c r="B189" s="1" t="s">
        <v>1</v>
      </c>
      <c r="C189" s="1" t="s">
        <v>1</v>
      </c>
      <c r="D189" s="1" t="s">
        <v>1</v>
      </c>
      <c r="E189" s="1" t="s">
        <v>1</v>
      </c>
      <c r="F189" s="1" t="s">
        <v>1</v>
      </c>
      <c r="G189" s="130" t="s">
        <v>1</v>
      </c>
      <c r="H189" s="130" t="s">
        <v>1</v>
      </c>
      <c r="I189" s="130" t="s">
        <v>1</v>
      </c>
      <c r="J189" s="130" t="s">
        <v>1</v>
      </c>
      <c r="K189" s="130" t="s">
        <v>1</v>
      </c>
      <c r="L189" s="319" t="s">
        <v>1</v>
      </c>
      <c r="M189" s="130" t="s">
        <v>1</v>
      </c>
      <c r="N189" s="130" t="s">
        <v>1</v>
      </c>
      <c r="O189" s="130" t="s">
        <v>1</v>
      </c>
      <c r="P189" s="130" t="s">
        <v>1</v>
      </c>
      <c r="Q189" s="130" t="s">
        <v>1</v>
      </c>
      <c r="R189" s="130" t="s">
        <v>1</v>
      </c>
      <c r="S189" s="130" t="s">
        <v>1</v>
      </c>
      <c r="T189" s="130" t="s">
        <v>1</v>
      </c>
      <c r="U189" s="130" t="s">
        <v>1</v>
      </c>
      <c r="V189" s="126" t="s">
        <v>1</v>
      </c>
      <c r="W189" s="126" t="s">
        <v>1</v>
      </c>
      <c r="X189" s="126" t="s">
        <v>1</v>
      </c>
      <c r="Y189" s="126" t="s">
        <v>1</v>
      </c>
      <c r="Z189" s="126" t="s">
        <v>1</v>
      </c>
      <c r="AA189" s="126" t="s">
        <v>1</v>
      </c>
      <c r="AB189" s="126" t="s">
        <v>1</v>
      </c>
      <c r="AC189" s="126" t="s">
        <v>1</v>
      </c>
      <c r="AD189" s="126" t="s">
        <v>1</v>
      </c>
      <c r="AE189" s="126" t="s">
        <v>1</v>
      </c>
      <c r="AF189" s="126" t="s">
        <v>1</v>
      </c>
      <c r="AG189" s="126" t="s">
        <v>1</v>
      </c>
      <c r="AH189" s="126" t="s">
        <v>1</v>
      </c>
      <c r="AI189" s="126" t="s">
        <v>1</v>
      </c>
      <c r="AJ189" s="126" t="s">
        <v>1</v>
      </c>
      <c r="AK189" s="126" t="s">
        <v>1</v>
      </c>
      <c r="AL189" s="126" t="s">
        <v>1</v>
      </c>
      <c r="AM189" s="126" t="s">
        <v>1</v>
      </c>
      <c r="AN189" s="126" t="s">
        <v>1</v>
      </c>
      <c r="AO189" s="126" t="s">
        <v>1</v>
      </c>
      <c r="AP189" s="126" t="s">
        <v>1</v>
      </c>
      <c r="AQ189" s="126" t="s">
        <v>1</v>
      </c>
      <c r="AR189" s="126" t="s">
        <v>1</v>
      </c>
      <c r="AS189" s="126" t="s">
        <v>1</v>
      </c>
      <c r="AT189" s="126" t="s">
        <v>1</v>
      </c>
      <c r="AU189" s="126" t="s">
        <v>1</v>
      </c>
      <c r="AV189" s="126" t="s">
        <v>1</v>
      </c>
      <c r="AW189" s="126" t="s">
        <v>1</v>
      </c>
      <c r="AX189" s="126" t="s">
        <v>1</v>
      </c>
      <c r="AY189" s="126" t="s">
        <v>1</v>
      </c>
      <c r="AZ189" s="126" t="s">
        <v>1</v>
      </c>
      <c r="BA189" s="126" t="s">
        <v>1</v>
      </c>
      <c r="BB189" s="126" t="s">
        <v>1</v>
      </c>
      <c r="BC189" s="126" t="s">
        <v>1</v>
      </c>
      <c r="BD189" s="126" t="s">
        <v>1</v>
      </c>
      <c r="BE189" s="126" t="s">
        <v>1</v>
      </c>
      <c r="BF189" s="126" t="s">
        <v>1</v>
      </c>
      <c r="BG189" s="137" t="s">
        <v>1</v>
      </c>
      <c r="BH189" s="137" t="s">
        <v>1</v>
      </c>
      <c r="BI189" s="137" t="s">
        <v>1</v>
      </c>
      <c r="BJ189" s="137" t="s">
        <v>1</v>
      </c>
      <c r="BK189" s="137" t="s">
        <v>1</v>
      </c>
      <c r="BL189" s="137" t="s">
        <v>1</v>
      </c>
      <c r="BM189" s="137" t="s">
        <v>1</v>
      </c>
      <c r="BN189" s="137" t="s">
        <v>1</v>
      </c>
      <c r="BO189" s="137" t="s">
        <v>1</v>
      </c>
      <c r="BP189" s="138" t="s">
        <v>1</v>
      </c>
      <c r="BQ189" s="138" t="s">
        <v>1</v>
      </c>
      <c r="BR189" s="138" t="s">
        <v>1</v>
      </c>
      <c r="BS189" s="138" t="s">
        <v>1</v>
      </c>
      <c r="BT189" s="138" t="s">
        <v>1</v>
      </c>
      <c r="BU189" s="138" t="s">
        <v>1</v>
      </c>
      <c r="BV189" s="138" t="s">
        <v>1</v>
      </c>
      <c r="BW189" s="138" t="s">
        <v>1</v>
      </c>
      <c r="BX189" s="138" t="s">
        <v>1</v>
      </c>
      <c r="BY189" s="138" t="s">
        <v>1</v>
      </c>
      <c r="BZ189" s="138" t="s">
        <v>1</v>
      </c>
      <c r="CA189" s="138" t="s">
        <v>1</v>
      </c>
      <c r="CB189" s="138" t="s">
        <v>1</v>
      </c>
      <c r="CC189" s="138" t="s">
        <v>1</v>
      </c>
      <c r="CD189" s="138" t="s">
        <v>1</v>
      </c>
      <c r="CE189" s="138" t="s">
        <v>1</v>
      </c>
      <c r="CF189" s="126" t="s">
        <v>1</v>
      </c>
    </row>
    <row r="190" ht="25" customHeight="1" spans="1:84">
      <c r="A190" s="108" t="s">
        <v>135</v>
      </c>
      <c r="B190" s="124" t="s">
        <v>1</v>
      </c>
      <c r="C190" s="124" t="s">
        <v>1</v>
      </c>
      <c r="D190" s="124">
        <f>SUM(D5:D11)</f>
        <v>0</v>
      </c>
      <c r="E190" s="109">
        <f>SUM(E5:E11)</f>
        <v>0</v>
      </c>
      <c r="F190" s="109">
        <f>SUM(F5:F11)</f>
        <v>39.1168</v>
      </c>
      <c r="G190" s="124">
        <f>SUM(G5:G11)</f>
        <v>0</v>
      </c>
      <c r="H190" s="141" t="e">
        <f>E190/G190-1</f>
        <v>#DIV/0!</v>
      </c>
      <c r="I190" s="109">
        <f>SUM(I5:I11)</f>
        <v>38.1791</v>
      </c>
      <c r="J190" s="109">
        <f>SUM(J5:J11)</f>
        <v>0</v>
      </c>
      <c r="K190" s="141" t="e">
        <f>J190/D190</f>
        <v>#DIV/0!</v>
      </c>
      <c r="L190" s="320">
        <f t="shared" ref="L190:R190" si="6">SUM(L5:L11)</f>
        <v>181699</v>
      </c>
      <c r="M190" s="124">
        <f t="shared" si="6"/>
        <v>0</v>
      </c>
      <c r="N190" s="124">
        <f t="shared" si="6"/>
        <v>0</v>
      </c>
      <c r="O190" s="124">
        <f t="shared" si="6"/>
        <v>0</v>
      </c>
      <c r="P190" s="124">
        <f t="shared" si="6"/>
        <v>0</v>
      </c>
      <c r="Q190" s="124">
        <f t="shared" si="6"/>
        <v>0</v>
      </c>
      <c r="R190" s="124">
        <f t="shared" si="6"/>
        <v>2899</v>
      </c>
      <c r="S190" s="124" t="s">
        <v>1</v>
      </c>
      <c r="T190" s="124">
        <f>SUM(T5:T11)</f>
        <v>0</v>
      </c>
      <c r="U190" s="124">
        <f>SUM(U5:U11)</f>
        <v>0</v>
      </c>
      <c r="V190" s="124">
        <f>SUM(V5:V11)</f>
        <v>0</v>
      </c>
      <c r="W190" s="124" t="s">
        <v>1</v>
      </c>
      <c r="X190" s="124">
        <f>SUM(X5:X11)</f>
        <v>0</v>
      </c>
      <c r="Y190" s="124">
        <f>SUM(Y5:Y11)</f>
        <v>0</v>
      </c>
      <c r="Z190" s="124">
        <f>SUM(Z5:Z11)</f>
        <v>0</v>
      </c>
      <c r="AA190" s="124">
        <f>SUM(AA5:AA11)</f>
        <v>0</v>
      </c>
      <c r="AB190" s="142">
        <f>SUM(AB5:AB11)/7</f>
        <v>0</v>
      </c>
      <c r="AC190" s="142">
        <f>SUM(AC5:AC11)/7</f>
        <v>0</v>
      </c>
      <c r="AD190" s="143">
        <f>SUM(AD5:AD11)/7</f>
        <v>22.1428571428571</v>
      </c>
      <c r="AE190" s="143">
        <f>SUM(AE5:AE11)/7</f>
        <v>0</v>
      </c>
      <c r="AF190" s="124">
        <f t="shared" ref="AF190:AO190" si="7">SUM(AF5:AF11)</f>
        <v>0</v>
      </c>
      <c r="AG190" s="143">
        <f t="shared" si="7"/>
        <v>0</v>
      </c>
      <c r="AH190" s="143">
        <f t="shared" si="7"/>
        <v>8883</v>
      </c>
      <c r="AI190" s="143">
        <f t="shared" si="7"/>
        <v>0</v>
      </c>
      <c r="AJ190" s="143">
        <f t="shared" si="7"/>
        <v>2571</v>
      </c>
      <c r="AK190" s="143">
        <f t="shared" si="7"/>
        <v>0</v>
      </c>
      <c r="AL190" s="143">
        <f t="shared" si="7"/>
        <v>248</v>
      </c>
      <c r="AM190" s="143">
        <f t="shared" si="7"/>
        <v>0</v>
      </c>
      <c r="AN190" s="143">
        <f t="shared" si="7"/>
        <v>97</v>
      </c>
      <c r="AO190" s="143">
        <f t="shared" si="7"/>
        <v>0</v>
      </c>
      <c r="AP190" s="141">
        <f>AN190/(AF190+AH190+AJ190+AL190)</f>
        <v>0.00828918133652367</v>
      </c>
      <c r="AQ190" s="124">
        <f>SUM(AQ5:AQ11)</f>
        <v>0</v>
      </c>
      <c r="AR190" s="124">
        <f>SUM(AR5:AR11)</f>
        <v>962</v>
      </c>
      <c r="AS190" s="144">
        <f>SUM(AS5:AS11)/7</f>
        <v>0</v>
      </c>
      <c r="AT190" s="144">
        <f>SUM(AT5:AT11)/7</f>
        <v>0.0118</v>
      </c>
      <c r="AU190" s="124">
        <f>SUM(AU5:AU11)</f>
        <v>0</v>
      </c>
      <c r="AV190" s="124">
        <f>SUM(AV5:AV11)</f>
        <v>0</v>
      </c>
      <c r="AW190" s="124">
        <f>SUM(AW5:AW11)</f>
        <v>0</v>
      </c>
      <c r="AX190" s="124">
        <f>SUM(AX5:AX11)</f>
        <v>0</v>
      </c>
      <c r="AY190" s="144">
        <f>SUM(AY5:AY11)/7</f>
        <v>0</v>
      </c>
      <c r="AZ190" s="144">
        <f>SUM(AZ5:AZ11)/7</f>
        <v>0</v>
      </c>
      <c r="BA190" s="124">
        <f>SUM(BA5:BA11)</f>
        <v>0</v>
      </c>
      <c r="BB190" s="124">
        <f>SUM(BB5:BB11)</f>
        <v>0</v>
      </c>
      <c r="BC190" s="144">
        <f>SUM(BC5:BC11)/7</f>
        <v>0</v>
      </c>
      <c r="BD190" s="144">
        <f>SUM(BD5:BD11)/7</f>
        <v>0</v>
      </c>
      <c r="BE190" s="124">
        <f>SUM(BE5:BE11)</f>
        <v>0</v>
      </c>
      <c r="BF190" s="124">
        <f>SUM(BF5:BF11)</f>
        <v>0</v>
      </c>
      <c r="BG190" s="145">
        <f>SUM(BG5:BG11)/7</f>
        <v>0</v>
      </c>
      <c r="BH190" s="145">
        <f>SUM(BH5:BH11)/7</f>
        <v>0.978571428571429</v>
      </c>
      <c r="BI190" s="124">
        <f t="shared" ref="BI190:BP190" si="8">SUM(BI5:BI11)</f>
        <v>0</v>
      </c>
      <c r="BJ190" s="124">
        <f t="shared" si="8"/>
        <v>615</v>
      </c>
      <c r="BK190" s="124">
        <f t="shared" si="8"/>
        <v>5723</v>
      </c>
      <c r="BL190" s="124">
        <f t="shared" si="8"/>
        <v>0</v>
      </c>
      <c r="BM190" s="124">
        <f t="shared" si="8"/>
        <v>0</v>
      </c>
      <c r="BN190" s="124">
        <f t="shared" si="8"/>
        <v>2946</v>
      </c>
      <c r="BO190" s="124">
        <f t="shared" si="8"/>
        <v>1972</v>
      </c>
      <c r="BP190" s="124">
        <f t="shared" si="8"/>
        <v>0</v>
      </c>
      <c r="BQ190" s="297" t="s">
        <v>1</v>
      </c>
      <c r="BR190" s="297" t="s">
        <v>1</v>
      </c>
      <c r="BS190" s="297" t="s">
        <v>1</v>
      </c>
      <c r="BT190" s="297" t="s">
        <v>1</v>
      </c>
      <c r="BU190" s="297" t="s">
        <v>1</v>
      </c>
      <c r="BV190" s="297" t="s">
        <v>1</v>
      </c>
      <c r="BW190" s="297" t="s">
        <v>1</v>
      </c>
      <c r="BX190" s="297" t="s">
        <v>1</v>
      </c>
      <c r="BY190" s="297" t="s">
        <v>1</v>
      </c>
      <c r="BZ190" s="297" t="s">
        <v>1</v>
      </c>
      <c r="CA190" s="297" t="s">
        <v>1</v>
      </c>
      <c r="CB190" s="297" t="s">
        <v>1</v>
      </c>
      <c r="CC190" s="297" t="s">
        <v>1</v>
      </c>
      <c r="CD190" s="297" t="s">
        <v>1</v>
      </c>
      <c r="CE190" s="297" t="s">
        <v>1</v>
      </c>
      <c r="CF190" s="227" t="s">
        <v>1</v>
      </c>
    </row>
    <row r="191" ht="25" customHeight="1" spans="1:84">
      <c r="A191" s="108" t="s">
        <v>136</v>
      </c>
      <c r="B191" s="124" t="s">
        <v>1</v>
      </c>
      <c r="C191" s="124" t="s">
        <v>1</v>
      </c>
      <c r="D191" s="124">
        <f t="shared" ref="D191:J191" si="9">SUM(D12:D18)</f>
        <v>0</v>
      </c>
      <c r="E191" s="109">
        <f t="shared" si="9"/>
        <v>0</v>
      </c>
      <c r="F191" s="109">
        <f t="shared" si="9"/>
        <v>27.5205</v>
      </c>
      <c r="G191" s="124">
        <f t="shared" si="9"/>
        <v>0</v>
      </c>
      <c r="H191" s="124">
        <f t="shared" si="9"/>
        <v>0</v>
      </c>
      <c r="I191" s="109">
        <f t="shared" si="9"/>
        <v>42.4953</v>
      </c>
      <c r="J191" s="109">
        <f t="shared" si="9"/>
        <v>0</v>
      </c>
      <c r="K191" s="141" t="e">
        <f>J191/D191</f>
        <v>#DIV/0!</v>
      </c>
      <c r="L191" s="320">
        <f t="shared" ref="L191:R191" si="10">SUM(L12:L18)</f>
        <v>267952</v>
      </c>
      <c r="M191" s="124">
        <f t="shared" si="10"/>
        <v>0</v>
      </c>
      <c r="N191" s="124">
        <f t="shared" si="10"/>
        <v>0</v>
      </c>
      <c r="O191" s="124">
        <f t="shared" si="10"/>
        <v>0</v>
      </c>
      <c r="P191" s="124">
        <f t="shared" si="10"/>
        <v>0</v>
      </c>
      <c r="Q191" s="124">
        <f t="shared" si="10"/>
        <v>0</v>
      </c>
      <c r="R191" s="124">
        <f t="shared" si="10"/>
        <v>17493</v>
      </c>
      <c r="S191" s="124" t="s">
        <v>1</v>
      </c>
      <c r="T191" s="124">
        <f>SUM(T12:T18)</f>
        <v>0</v>
      </c>
      <c r="U191" s="124">
        <f>SUM(U12:U18)</f>
        <v>0</v>
      </c>
      <c r="V191" s="124">
        <f>SUM(V12:V18)</f>
        <v>0</v>
      </c>
      <c r="W191" s="124" t="s">
        <v>1</v>
      </c>
      <c r="X191" s="124">
        <f>SUM(X12:X18)</f>
        <v>0</v>
      </c>
      <c r="Y191" s="124">
        <f>SUM(Y12:Y18)</f>
        <v>0</v>
      </c>
      <c r="Z191" s="124">
        <f>SUM(Z12:Z18)</f>
        <v>0</v>
      </c>
      <c r="AA191" s="124">
        <f>SUM(AA12:AA18)</f>
        <v>0</v>
      </c>
      <c r="AB191" s="142">
        <f>SUM(AB6:AB12)/7</f>
        <v>0</v>
      </c>
      <c r="AC191" s="142">
        <f>SUM(AC6:AC12)/7</f>
        <v>0</v>
      </c>
      <c r="AD191" s="143">
        <f>SUM(AD6:AD12)/7</f>
        <v>23</v>
      </c>
      <c r="AE191" s="143">
        <f>SUM(AE6:AE12)/7</f>
        <v>0</v>
      </c>
      <c r="AF191" s="124">
        <f t="shared" ref="AF191:AO191" si="11">SUM(AF12:AF18)</f>
        <v>0</v>
      </c>
      <c r="AG191" s="143">
        <f t="shared" si="11"/>
        <v>0</v>
      </c>
      <c r="AH191" s="143">
        <f t="shared" si="11"/>
        <v>8883</v>
      </c>
      <c r="AI191" s="143">
        <f t="shared" si="11"/>
        <v>0</v>
      </c>
      <c r="AJ191" s="143">
        <f t="shared" si="11"/>
        <v>3299</v>
      </c>
      <c r="AK191" s="143">
        <f t="shared" si="11"/>
        <v>0</v>
      </c>
      <c r="AL191" s="143">
        <f t="shared" si="11"/>
        <v>306</v>
      </c>
      <c r="AM191" s="143">
        <f t="shared" si="11"/>
        <v>0</v>
      </c>
      <c r="AN191" s="143">
        <f t="shared" si="11"/>
        <v>105</v>
      </c>
      <c r="AO191" s="143">
        <f t="shared" si="11"/>
        <v>0</v>
      </c>
      <c r="AP191" s="141">
        <f>AN191/(AF191+AH191+AJ191+AL191)</f>
        <v>0.00840807174887892</v>
      </c>
      <c r="AQ191" s="124">
        <f>SUM(AQ12:AQ18)</f>
        <v>0</v>
      </c>
      <c r="AR191" s="124">
        <f>SUM(AR12:AR18)</f>
        <v>878</v>
      </c>
      <c r="AS191" s="144">
        <f>SUM(AS6:AS12)/7</f>
        <v>0</v>
      </c>
      <c r="AT191" s="144">
        <f>SUM(AT6:AT12)/7</f>
        <v>0.0116428571428571</v>
      </c>
      <c r="AU191" s="124">
        <f>SUM(AU12:AU18)</f>
        <v>0</v>
      </c>
      <c r="AV191" s="124">
        <f>SUM(AV12:AV18)</f>
        <v>0</v>
      </c>
      <c r="AW191" s="124">
        <f>SUM(AW12:AW18)</f>
        <v>0</v>
      </c>
      <c r="AX191" s="124">
        <f>SUM(AX12:AX18)</f>
        <v>0</v>
      </c>
      <c r="AY191" s="144">
        <f>SUM(AY6:AY12)/7</f>
        <v>0</v>
      </c>
      <c r="AZ191" s="144">
        <f>SUM(AZ6:AZ12)/7</f>
        <v>0</v>
      </c>
      <c r="BA191" s="124">
        <f>SUM(BA12:BA18)</f>
        <v>0</v>
      </c>
      <c r="BB191" s="124">
        <f>SUM(BB12:BB18)</f>
        <v>0</v>
      </c>
      <c r="BC191" s="144">
        <f>SUM(BC6:BC12)/7</f>
        <v>0</v>
      </c>
      <c r="BD191" s="144">
        <f>SUM(BD6:BD12)/7</f>
        <v>0</v>
      </c>
      <c r="BE191" s="124">
        <f>SUM(BE12:BE18)</f>
        <v>0</v>
      </c>
      <c r="BF191" s="124">
        <f>SUM(BF12:BF18)</f>
        <v>0</v>
      </c>
      <c r="BG191" s="145">
        <f>SUM(BG6:BG12)/7</f>
        <v>0</v>
      </c>
      <c r="BH191" s="145">
        <f>SUM(BH6:BH12)/7</f>
        <v>0.968571428571429</v>
      </c>
      <c r="BI191" s="124">
        <f t="shared" ref="BI191:BP191" si="12">SUM(BI12:BI18)</f>
        <v>0</v>
      </c>
      <c r="BJ191" s="124">
        <f t="shared" si="12"/>
        <v>655</v>
      </c>
      <c r="BK191" s="124">
        <f t="shared" si="12"/>
        <v>5530</v>
      </c>
      <c r="BL191" s="124">
        <f t="shared" si="12"/>
        <v>0</v>
      </c>
      <c r="BM191" s="124">
        <f t="shared" si="12"/>
        <v>0</v>
      </c>
      <c r="BN191" s="124">
        <f t="shared" si="12"/>
        <v>3323</v>
      </c>
      <c r="BO191" s="124">
        <f t="shared" si="12"/>
        <v>1847</v>
      </c>
      <c r="BP191" s="124">
        <f t="shared" si="12"/>
        <v>0</v>
      </c>
      <c r="BQ191" s="297" t="s">
        <v>1</v>
      </c>
      <c r="BR191" s="297" t="s">
        <v>1</v>
      </c>
      <c r="BS191" s="297" t="s">
        <v>1</v>
      </c>
      <c r="BT191" s="297" t="s">
        <v>1</v>
      </c>
      <c r="BU191" s="297" t="s">
        <v>1</v>
      </c>
      <c r="BV191" s="297" t="s">
        <v>1</v>
      </c>
      <c r="BW191" s="297" t="s">
        <v>1</v>
      </c>
      <c r="BX191" s="297" t="s">
        <v>1</v>
      </c>
      <c r="BY191" s="297" t="s">
        <v>1</v>
      </c>
      <c r="BZ191" s="297" t="s">
        <v>1</v>
      </c>
      <c r="CA191" s="297" t="s">
        <v>1</v>
      </c>
      <c r="CB191" s="297" t="s">
        <v>1</v>
      </c>
      <c r="CC191" s="297" t="s">
        <v>1</v>
      </c>
      <c r="CD191" s="297" t="s">
        <v>1</v>
      </c>
      <c r="CE191" s="297" t="s">
        <v>1</v>
      </c>
      <c r="CF191" s="227" t="s">
        <v>1</v>
      </c>
    </row>
    <row r="192" ht="25" customHeight="1" spans="1:84">
      <c r="A192" s="108" t="s">
        <v>137</v>
      </c>
      <c r="B192" s="124" t="s">
        <v>1</v>
      </c>
      <c r="C192" s="124" t="s">
        <v>1</v>
      </c>
      <c r="D192" s="124">
        <f t="shared" ref="D192:J192" si="13">SUM(D19:D25)</f>
        <v>0</v>
      </c>
      <c r="E192" s="109">
        <f t="shared" si="13"/>
        <v>0</v>
      </c>
      <c r="F192" s="109">
        <f t="shared" si="13"/>
        <v>52.9036</v>
      </c>
      <c r="G192" s="124">
        <f t="shared" si="13"/>
        <v>0</v>
      </c>
      <c r="H192" s="124">
        <f t="shared" si="13"/>
        <v>0</v>
      </c>
      <c r="I192" s="109">
        <f t="shared" si="13"/>
        <v>110.5</v>
      </c>
      <c r="J192" s="109">
        <f t="shared" si="13"/>
        <v>0</v>
      </c>
      <c r="K192" s="141" t="e">
        <f>J192/D192</f>
        <v>#DIV/0!</v>
      </c>
      <c r="L192" s="320">
        <f t="shared" ref="L192:R192" si="14">SUM(L19:L25)</f>
        <v>1284481</v>
      </c>
      <c r="M192" s="124">
        <f t="shared" si="14"/>
        <v>0</v>
      </c>
      <c r="N192" s="124">
        <f t="shared" si="14"/>
        <v>0</v>
      </c>
      <c r="O192" s="124">
        <f t="shared" si="14"/>
        <v>0</v>
      </c>
      <c r="P192" s="124">
        <f t="shared" si="14"/>
        <v>0</v>
      </c>
      <c r="Q192" s="124">
        <f t="shared" si="14"/>
        <v>0</v>
      </c>
      <c r="R192" s="124">
        <f t="shared" si="14"/>
        <v>11456</v>
      </c>
      <c r="S192" s="124" t="s">
        <v>1</v>
      </c>
      <c r="T192" s="124">
        <f>SUM(T19:T25)</f>
        <v>0</v>
      </c>
      <c r="U192" s="124">
        <f>SUM(U19:U25)</f>
        <v>0</v>
      </c>
      <c r="V192" s="124">
        <f>SUM(V19:V25)</f>
        <v>0</v>
      </c>
      <c r="W192" s="124" t="s">
        <v>1</v>
      </c>
      <c r="X192" s="124">
        <f>SUM(X19:X25)</f>
        <v>0</v>
      </c>
      <c r="Y192" s="124">
        <f>SUM(Y19:Y25)</f>
        <v>0</v>
      </c>
      <c r="Z192" s="124">
        <f>SUM(Z19:Z25)</f>
        <v>0</v>
      </c>
      <c r="AA192" s="124">
        <f>SUM(AA19:AA25)</f>
        <v>0</v>
      </c>
      <c r="AB192" s="142">
        <f>SUM(AB7:AB13)/7</f>
        <v>0</v>
      </c>
      <c r="AC192" s="142">
        <f>SUM(AC7:AC13)/7</f>
        <v>0</v>
      </c>
      <c r="AD192" s="143">
        <f>SUM(AD7:AD13)/7</f>
        <v>25.8571428571429</v>
      </c>
      <c r="AE192" s="143">
        <f>SUM(AE7:AE13)/7</f>
        <v>0</v>
      </c>
      <c r="AF192" s="124">
        <f t="shared" ref="AF192:AO192" si="15">SUM(AF19:AF25)</f>
        <v>0</v>
      </c>
      <c r="AG192" s="143">
        <f t="shared" si="15"/>
        <v>0</v>
      </c>
      <c r="AH192" s="143">
        <f t="shared" si="15"/>
        <v>8378</v>
      </c>
      <c r="AI192" s="143">
        <f t="shared" si="15"/>
        <v>0</v>
      </c>
      <c r="AJ192" s="143">
        <f t="shared" si="15"/>
        <v>3632</v>
      </c>
      <c r="AK192" s="143">
        <f t="shared" si="15"/>
        <v>0</v>
      </c>
      <c r="AL192" s="143">
        <f t="shared" si="15"/>
        <v>319</v>
      </c>
      <c r="AM192" s="143">
        <f t="shared" si="15"/>
        <v>0</v>
      </c>
      <c r="AN192" s="143">
        <f t="shared" si="15"/>
        <v>1014</v>
      </c>
      <c r="AO192" s="143">
        <f t="shared" si="15"/>
        <v>0</v>
      </c>
      <c r="AP192" s="141">
        <f>AN192/(AF192+AH192+AJ192+AL192)</f>
        <v>0.0822451131478628</v>
      </c>
      <c r="AQ192" s="124">
        <f>SUM(AQ19:AQ25)</f>
        <v>0</v>
      </c>
      <c r="AR192" s="124">
        <f>SUM(AR19:AR25)</f>
        <v>495</v>
      </c>
      <c r="AS192" s="144">
        <f>SUM(AS7:AS13)/7</f>
        <v>0</v>
      </c>
      <c r="AT192" s="144">
        <f>SUM(AT7:AT13)/7</f>
        <v>0.0103</v>
      </c>
      <c r="AU192" s="124">
        <f>SUM(AU19:AU25)</f>
        <v>0</v>
      </c>
      <c r="AV192" s="124">
        <f>SUM(AV19:AV25)</f>
        <v>0</v>
      </c>
      <c r="AW192" s="124">
        <f>SUM(AW19:AW25)</f>
        <v>0</v>
      </c>
      <c r="AX192" s="124">
        <f>SUM(AX19:AX25)</f>
        <v>0</v>
      </c>
      <c r="AY192" s="144">
        <f>SUM(AY7:AY13)/7</f>
        <v>0</v>
      </c>
      <c r="AZ192" s="144">
        <f>SUM(AZ7:AZ13)/7</f>
        <v>0</v>
      </c>
      <c r="BA192" s="124">
        <f>SUM(BA19:BA25)</f>
        <v>0</v>
      </c>
      <c r="BB192" s="124">
        <f>SUM(BB19:BB25)</f>
        <v>0</v>
      </c>
      <c r="BC192" s="144">
        <f>SUM(BC7:BC13)/7</f>
        <v>0</v>
      </c>
      <c r="BD192" s="144">
        <f>SUM(BD7:BD13)/7</f>
        <v>0</v>
      </c>
      <c r="BE192" s="124">
        <f>SUM(BE19:BE25)</f>
        <v>0</v>
      </c>
      <c r="BF192" s="124">
        <f>SUM(BF19:BF25)</f>
        <v>0</v>
      </c>
      <c r="BG192" s="145">
        <f>SUM(BG7:BG13)/7</f>
        <v>0</v>
      </c>
      <c r="BH192" s="145">
        <f>SUM(BH7:BH13)/7</f>
        <v>0.825714285714286</v>
      </c>
      <c r="BI192" s="124">
        <f t="shared" ref="BI192:BP192" si="16">SUM(BI19:BI25)</f>
        <v>0</v>
      </c>
      <c r="BJ192" s="124">
        <f t="shared" si="16"/>
        <v>891</v>
      </c>
      <c r="BK192" s="124">
        <f t="shared" si="16"/>
        <v>4119</v>
      </c>
      <c r="BL192" s="124">
        <f t="shared" si="16"/>
        <v>0</v>
      </c>
      <c r="BM192" s="124">
        <f t="shared" si="16"/>
        <v>0</v>
      </c>
      <c r="BN192" s="124">
        <f t="shared" si="16"/>
        <v>5520</v>
      </c>
      <c r="BO192" s="124">
        <f t="shared" si="16"/>
        <v>1425</v>
      </c>
      <c r="BP192" s="124">
        <f t="shared" si="16"/>
        <v>0</v>
      </c>
      <c r="BQ192" s="297" t="s">
        <v>1</v>
      </c>
      <c r="BR192" s="297" t="s">
        <v>1</v>
      </c>
      <c r="BS192" s="297" t="s">
        <v>1</v>
      </c>
      <c r="BT192" s="297" t="s">
        <v>1</v>
      </c>
      <c r="BU192" s="297" t="s">
        <v>1</v>
      </c>
      <c r="BV192" s="297" t="s">
        <v>1</v>
      </c>
      <c r="BW192" s="297" t="s">
        <v>1</v>
      </c>
      <c r="BX192" s="297" t="s">
        <v>1</v>
      </c>
      <c r="BY192" s="297" t="s">
        <v>1</v>
      </c>
      <c r="BZ192" s="297" t="s">
        <v>1</v>
      </c>
      <c r="CA192" s="297" t="s">
        <v>1</v>
      </c>
      <c r="CB192" s="297" t="s">
        <v>1</v>
      </c>
      <c r="CC192" s="297" t="s">
        <v>1</v>
      </c>
      <c r="CD192" s="297" t="s">
        <v>1</v>
      </c>
      <c r="CE192" s="297" t="s">
        <v>1</v>
      </c>
      <c r="CF192" s="227" t="s">
        <v>1</v>
      </c>
    </row>
    <row r="193" ht="25" customHeight="1" spans="1:84">
      <c r="A193" s="108" t="s">
        <v>138</v>
      </c>
      <c r="B193" s="124" t="s">
        <v>1</v>
      </c>
      <c r="C193" s="124" t="s">
        <v>1</v>
      </c>
      <c r="D193" s="124">
        <f t="shared" ref="D193:J193" si="17">SUM(D26:D32)</f>
        <v>0</v>
      </c>
      <c r="E193" s="109">
        <f t="shared" si="17"/>
        <v>0</v>
      </c>
      <c r="F193" s="109">
        <f t="shared" si="17"/>
        <v>105.1903</v>
      </c>
      <c r="G193" s="124">
        <f t="shared" si="17"/>
        <v>0</v>
      </c>
      <c r="H193" s="124">
        <f t="shared" si="17"/>
        <v>0</v>
      </c>
      <c r="I193" s="109">
        <f t="shared" si="17"/>
        <v>89.7</v>
      </c>
      <c r="J193" s="109">
        <f t="shared" si="17"/>
        <v>0</v>
      </c>
      <c r="K193" s="141" t="e">
        <f>J193/D193</f>
        <v>#DIV/0!</v>
      </c>
      <c r="L193" s="320">
        <f t="shared" ref="L193:R193" si="18">SUM(L26:L32)</f>
        <v>654125</v>
      </c>
      <c r="M193" s="124">
        <f t="shared" si="18"/>
        <v>0</v>
      </c>
      <c r="N193" s="124">
        <f t="shared" si="18"/>
        <v>0</v>
      </c>
      <c r="O193" s="124">
        <f t="shared" si="18"/>
        <v>0</v>
      </c>
      <c r="P193" s="124">
        <f t="shared" si="18"/>
        <v>0</v>
      </c>
      <c r="Q193" s="124">
        <f t="shared" si="18"/>
        <v>0</v>
      </c>
      <c r="R193" s="124">
        <f t="shared" si="18"/>
        <v>65777</v>
      </c>
      <c r="S193" s="124" t="s">
        <v>1</v>
      </c>
      <c r="T193" s="124">
        <f>SUM(T26:T32)</f>
        <v>0</v>
      </c>
      <c r="U193" s="124">
        <f>SUM(U26:U32)</f>
        <v>0</v>
      </c>
      <c r="V193" s="124">
        <f>SUM(V26:V32)</f>
        <v>0</v>
      </c>
      <c r="W193" s="124" t="s">
        <v>1</v>
      </c>
      <c r="X193" s="124">
        <f>SUM(X26:X32)</f>
        <v>0</v>
      </c>
      <c r="Y193" s="124">
        <f>SUM(Y26:Y32)</f>
        <v>0</v>
      </c>
      <c r="Z193" s="124">
        <f>SUM(Z26:Z32)</f>
        <v>0</v>
      </c>
      <c r="AA193" s="124">
        <f>SUM(AA26:AA32)</f>
        <v>0</v>
      </c>
      <c r="AB193" s="142">
        <f>SUM(AB8:AB14)/7</f>
        <v>0</v>
      </c>
      <c r="AC193" s="142">
        <f>SUM(AC8:AC14)/7</f>
        <v>0</v>
      </c>
      <c r="AD193" s="143">
        <f>SUM(AD8:AD14)/7</f>
        <v>27</v>
      </c>
      <c r="AE193" s="143">
        <f>SUM(AE8:AE14)/7</f>
        <v>0</v>
      </c>
      <c r="AF193" s="124">
        <f t="shared" ref="AF193:AO193" si="19">SUM(AF26:AF32)</f>
        <v>0</v>
      </c>
      <c r="AG193" s="143">
        <f t="shared" si="19"/>
        <v>0</v>
      </c>
      <c r="AH193" s="143">
        <f t="shared" si="19"/>
        <v>12607</v>
      </c>
      <c r="AI193" s="143">
        <f t="shared" si="19"/>
        <v>0</v>
      </c>
      <c r="AJ193" s="143">
        <f t="shared" si="19"/>
        <v>4203</v>
      </c>
      <c r="AK193" s="143">
        <f t="shared" si="19"/>
        <v>0</v>
      </c>
      <c r="AL193" s="143">
        <f t="shared" si="19"/>
        <v>437</v>
      </c>
      <c r="AM193" s="143">
        <f t="shared" si="19"/>
        <v>0</v>
      </c>
      <c r="AN193" s="143">
        <f t="shared" si="19"/>
        <v>9738</v>
      </c>
      <c r="AO193" s="143">
        <f t="shared" si="19"/>
        <v>0</v>
      </c>
      <c r="AP193" s="141">
        <f>AN193/(AF193+AH193+AJ193+AL193)</f>
        <v>0.564619933901548</v>
      </c>
      <c r="AQ193" s="124">
        <f>SUM(AQ26:AQ32)</f>
        <v>0</v>
      </c>
      <c r="AR193" s="124">
        <f>SUM(AR26:AR32)</f>
        <v>831</v>
      </c>
      <c r="AS193" s="144">
        <f>SUM(AS8:AS14)/7</f>
        <v>0</v>
      </c>
      <c r="AT193" s="144">
        <f>SUM(AT8:AT14)/7</f>
        <v>0.0103</v>
      </c>
      <c r="AU193" s="124">
        <f>SUM(AU26:AU32)</f>
        <v>0</v>
      </c>
      <c r="AV193" s="124">
        <f>SUM(AV26:AV32)</f>
        <v>0</v>
      </c>
      <c r="AW193" s="124">
        <f>SUM(AW26:AW32)</f>
        <v>0</v>
      </c>
      <c r="AX193" s="124">
        <f>SUM(AX26:AX32)</f>
        <v>0</v>
      </c>
      <c r="AY193" s="144">
        <f>SUM(AY8:AY14)/7</f>
        <v>0</v>
      </c>
      <c r="AZ193" s="144">
        <f>SUM(AZ8:AZ14)/7</f>
        <v>0</v>
      </c>
      <c r="BA193" s="124">
        <f>SUM(BA26:BA32)</f>
        <v>0</v>
      </c>
      <c r="BB193" s="124">
        <f>SUM(BB26:BB32)</f>
        <v>0</v>
      </c>
      <c r="BC193" s="144">
        <f>SUM(BC8:BC14)/7</f>
        <v>0</v>
      </c>
      <c r="BD193" s="144">
        <f>SUM(BD8:BD14)/7</f>
        <v>0</v>
      </c>
      <c r="BE193" s="124">
        <f>SUM(BE26:BE32)</f>
        <v>0</v>
      </c>
      <c r="BF193" s="124">
        <f>SUM(BF26:BF32)</f>
        <v>0</v>
      </c>
      <c r="BG193" s="145">
        <f>SUM(BG8:BG14)/7</f>
        <v>0</v>
      </c>
      <c r="BH193" s="145">
        <f>SUM(BH8:BH14)/7</f>
        <v>0.818571428571429</v>
      </c>
      <c r="BI193" s="124">
        <f t="shared" ref="BI193:BP193" si="20">SUM(BI26:BI32)</f>
        <v>0</v>
      </c>
      <c r="BJ193" s="124">
        <f t="shared" si="20"/>
        <v>352</v>
      </c>
      <c r="BK193" s="124">
        <f t="shared" si="20"/>
        <v>9156</v>
      </c>
      <c r="BL193" s="124">
        <f t="shared" si="20"/>
        <v>0</v>
      </c>
      <c r="BM193" s="124">
        <f t="shared" si="20"/>
        <v>0</v>
      </c>
      <c r="BN193" s="124">
        <f t="shared" si="20"/>
        <v>1926</v>
      </c>
      <c r="BO193" s="124">
        <f t="shared" si="20"/>
        <v>3142</v>
      </c>
      <c r="BP193" s="124">
        <f t="shared" si="20"/>
        <v>0</v>
      </c>
      <c r="BQ193" s="297" t="s">
        <v>1</v>
      </c>
      <c r="BR193" s="297" t="s">
        <v>1</v>
      </c>
      <c r="BS193" s="297" t="s">
        <v>1</v>
      </c>
      <c r="BT193" s="297" t="s">
        <v>1</v>
      </c>
      <c r="BU193" s="297" t="s">
        <v>1</v>
      </c>
      <c r="BV193" s="297" t="s">
        <v>1</v>
      </c>
      <c r="BW193" s="297" t="s">
        <v>1</v>
      </c>
      <c r="BX193" s="297" t="s">
        <v>1</v>
      </c>
      <c r="BY193" s="297" t="s">
        <v>1</v>
      </c>
      <c r="BZ193" s="297" t="s">
        <v>1</v>
      </c>
      <c r="CA193" s="297" t="s">
        <v>1</v>
      </c>
      <c r="CB193" s="297" t="s">
        <v>1</v>
      </c>
      <c r="CC193" s="297" t="s">
        <v>1</v>
      </c>
      <c r="CD193" s="297" t="s">
        <v>1</v>
      </c>
      <c r="CE193" s="297" t="s">
        <v>1</v>
      </c>
      <c r="CF193" s="228" t="s">
        <v>1</v>
      </c>
    </row>
    <row r="194" ht="25" customHeight="1" spans="1:84">
      <c r="A194" s="108" t="s">
        <v>139</v>
      </c>
      <c r="B194" s="124" t="s">
        <v>1</v>
      </c>
      <c r="C194" s="124" t="s">
        <v>1</v>
      </c>
      <c r="D194" s="124">
        <f t="shared" ref="D194:J194" si="21">SUM(D33:D35)</f>
        <v>0</v>
      </c>
      <c r="E194" s="109">
        <f t="shared" si="21"/>
        <v>0</v>
      </c>
      <c r="F194" s="109">
        <f t="shared" si="21"/>
        <v>47.9843</v>
      </c>
      <c r="G194" s="124">
        <f t="shared" si="21"/>
        <v>0</v>
      </c>
      <c r="H194" s="124">
        <f t="shared" si="21"/>
        <v>0</v>
      </c>
      <c r="I194" s="109">
        <f t="shared" si="21"/>
        <v>33</v>
      </c>
      <c r="J194" s="109">
        <f t="shared" si="21"/>
        <v>0</v>
      </c>
      <c r="K194" s="141" t="e">
        <f>J194/D194</f>
        <v>#DIV/0!</v>
      </c>
      <c r="L194" s="320">
        <f t="shared" ref="L194:R194" si="22">SUM(L33:L35)</f>
        <v>299794</v>
      </c>
      <c r="M194" s="124">
        <f t="shared" si="22"/>
        <v>0</v>
      </c>
      <c r="N194" s="124">
        <f t="shared" si="22"/>
        <v>0</v>
      </c>
      <c r="O194" s="124">
        <f t="shared" si="22"/>
        <v>25.8011</v>
      </c>
      <c r="P194" s="124">
        <f t="shared" si="22"/>
        <v>0</v>
      </c>
      <c r="Q194" s="124">
        <f t="shared" si="22"/>
        <v>0.2352</v>
      </c>
      <c r="R194" s="124">
        <f t="shared" si="22"/>
        <v>25811</v>
      </c>
      <c r="S194" s="124" t="s">
        <v>1</v>
      </c>
      <c r="T194" s="124">
        <f>SUM(T33:T35)</f>
        <v>0</v>
      </c>
      <c r="U194" s="124">
        <f>SUM(U33:U35)</f>
        <v>0</v>
      </c>
      <c r="V194" s="124">
        <f>SUM(V33:V35)</f>
        <v>0</v>
      </c>
      <c r="W194" s="124" t="s">
        <v>1</v>
      </c>
      <c r="X194" s="124">
        <f>SUM(X33:X35)</f>
        <v>0</v>
      </c>
      <c r="Y194" s="124">
        <f>SUM(Y33:Y35)</f>
        <v>0</v>
      </c>
      <c r="Z194" s="124">
        <f>SUM(Z33:Z35)</f>
        <v>0</v>
      </c>
      <c r="AA194" s="124">
        <f>SUM(AA33:AA35)</f>
        <v>0</v>
      </c>
      <c r="AB194" s="142">
        <f>SUM(AB33:AB35)/2</f>
        <v>0</v>
      </c>
      <c r="AC194" s="142">
        <f>SUM(AC33:AC35)/2</f>
        <v>0</v>
      </c>
      <c r="AD194" s="143">
        <f>SUM(AD33:AD35)/2</f>
        <v>39.5</v>
      </c>
      <c r="AE194" s="143">
        <f>SUM(AE33:AE35)/2</f>
        <v>0</v>
      </c>
      <c r="AF194" s="124">
        <f t="shared" ref="AF194:AO194" si="23">SUM(AF33:AF35)</f>
        <v>0</v>
      </c>
      <c r="AG194" s="143">
        <f t="shared" si="23"/>
        <v>0</v>
      </c>
      <c r="AH194" s="143">
        <f t="shared" si="23"/>
        <v>7134</v>
      </c>
      <c r="AI194" s="143">
        <f t="shared" si="23"/>
        <v>0</v>
      </c>
      <c r="AJ194" s="143">
        <f t="shared" si="23"/>
        <v>2292</v>
      </c>
      <c r="AK194" s="143">
        <f t="shared" si="23"/>
        <v>0</v>
      </c>
      <c r="AL194" s="143">
        <f t="shared" si="23"/>
        <v>223</v>
      </c>
      <c r="AM194" s="143">
        <f t="shared" si="23"/>
        <v>0</v>
      </c>
      <c r="AN194" s="143">
        <f t="shared" si="23"/>
        <v>2574</v>
      </c>
      <c r="AO194" s="143">
        <f t="shared" si="23"/>
        <v>0</v>
      </c>
      <c r="AP194" s="141">
        <f>AN194/(AF194+AH194+AJ194+AL194)</f>
        <v>0.266763395170484</v>
      </c>
      <c r="AQ194" s="124">
        <f>SUM(AQ33:AQ35)</f>
        <v>0</v>
      </c>
      <c r="AR194" s="124">
        <f>SUM(AR33:AR35)</f>
        <v>964</v>
      </c>
      <c r="AS194" s="144">
        <f>SUM(AS33:AS35)/2</f>
        <v>0</v>
      </c>
      <c r="AT194" s="144">
        <f>SUM(AT33:AT35)/2</f>
        <v>0.01805</v>
      </c>
      <c r="AU194" s="124">
        <f>SUM(AU33:AU35)</f>
        <v>0</v>
      </c>
      <c r="AV194" s="124">
        <f>SUM(AV33:AV35)</f>
        <v>490</v>
      </c>
      <c r="AW194" s="124">
        <f>SUM(AW33:AW35)</f>
        <v>0</v>
      </c>
      <c r="AX194" s="124">
        <f>SUM(AX33:AX35)</f>
        <v>0</v>
      </c>
      <c r="AY194" s="144">
        <f>SUM(AY33:AY35)/2</f>
        <v>0</v>
      </c>
      <c r="AZ194" s="144">
        <f>SUM(AZ33:AZ35)/2</f>
        <v>49</v>
      </c>
      <c r="BA194" s="124">
        <f>SUM(BA33:BA35)</f>
        <v>0</v>
      </c>
      <c r="BB194" s="124">
        <f>SUM(BB33:BB35)</f>
        <v>0.2</v>
      </c>
      <c r="BC194" s="144">
        <f>SUM(BC33:BC35)/2</f>
        <v>0</v>
      </c>
      <c r="BD194" s="144">
        <f>SUM(BD33:BD35)/2</f>
        <v>0</v>
      </c>
      <c r="BE194" s="124">
        <f>SUM(BE33:BE35)</f>
        <v>0</v>
      </c>
      <c r="BF194" s="124">
        <f>SUM(BF33:BF35)</f>
        <v>0</v>
      </c>
      <c r="BG194" s="145">
        <f>SUM(BG33:BG35)/2</f>
        <v>0</v>
      </c>
      <c r="BH194" s="145">
        <f>SUM(BH33:BH35)/2</f>
        <v>0.9</v>
      </c>
      <c r="BI194" s="124">
        <f t="shared" ref="BI194:BP194" si="24">SUM(BI33:BI35)</f>
        <v>0</v>
      </c>
      <c r="BJ194" s="124">
        <f t="shared" si="24"/>
        <v>108</v>
      </c>
      <c r="BK194" s="124">
        <f t="shared" si="24"/>
        <v>6184</v>
      </c>
      <c r="BL194" s="124">
        <f t="shared" si="24"/>
        <v>0</v>
      </c>
      <c r="BM194" s="124">
        <f t="shared" si="24"/>
        <v>0</v>
      </c>
      <c r="BN194" s="124">
        <f t="shared" si="24"/>
        <v>568</v>
      </c>
      <c r="BO194" s="124">
        <f t="shared" si="24"/>
        <v>2002</v>
      </c>
      <c r="BP194" s="124">
        <f t="shared" si="24"/>
        <v>0</v>
      </c>
      <c r="BQ194" s="108" t="s">
        <v>1</v>
      </c>
      <c r="BR194" s="108" t="s">
        <v>1</v>
      </c>
      <c r="BS194" s="108" t="s">
        <v>1</v>
      </c>
      <c r="BT194" s="108" t="s">
        <v>1</v>
      </c>
      <c r="BU194" s="108" t="s">
        <v>1</v>
      </c>
      <c r="BV194" s="108" t="s">
        <v>1</v>
      </c>
      <c r="BW194" s="108" t="s">
        <v>1</v>
      </c>
      <c r="BX194" s="108" t="s">
        <v>1</v>
      </c>
      <c r="BY194" s="108" t="s">
        <v>1</v>
      </c>
      <c r="BZ194" s="108" t="s">
        <v>1</v>
      </c>
      <c r="CA194" s="108" t="s">
        <v>1</v>
      </c>
      <c r="CB194" s="108" t="s">
        <v>1</v>
      </c>
      <c r="CC194" s="108" t="s">
        <v>1</v>
      </c>
      <c r="CD194" s="108" t="s">
        <v>1</v>
      </c>
      <c r="CE194" s="108" t="s">
        <v>1</v>
      </c>
      <c r="CF194" s="227" t="s">
        <v>1</v>
      </c>
    </row>
  </sheetData>
  <mergeCells count="148">
    <mergeCell ref="A1:C1"/>
    <mergeCell ref="D1:U1"/>
    <mergeCell ref="V1:AS1"/>
    <mergeCell ref="AT1:BG1"/>
    <mergeCell ref="BI1:BP1"/>
    <mergeCell ref="BQ1:CE1"/>
    <mergeCell ref="B2:C2"/>
    <mergeCell ref="D2:K2"/>
    <mergeCell ref="L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I2:BL2"/>
    <mergeCell ref="BM2:BP2"/>
    <mergeCell ref="BQ2:BU2"/>
    <mergeCell ref="BV2:CE2"/>
    <mergeCell ref="A2:A3"/>
    <mergeCell ref="B66:B67"/>
    <mergeCell ref="B73:B75"/>
    <mergeCell ref="B80:B81"/>
    <mergeCell ref="BH1:BH3"/>
    <mergeCell ref="BV7:BV13"/>
    <mergeCell ref="BV15:BV21"/>
    <mergeCell ref="BV22:BV28"/>
    <mergeCell ref="BV29:BV35"/>
    <mergeCell ref="BV36:BV42"/>
    <mergeCell ref="BV43:BV49"/>
    <mergeCell ref="BV50:BV56"/>
    <mergeCell ref="BV57:BV63"/>
    <mergeCell ref="BV64:BV70"/>
    <mergeCell ref="BV71:BV77"/>
    <mergeCell ref="BV78:BV84"/>
    <mergeCell ref="BW7:BW13"/>
    <mergeCell ref="BW15:BW21"/>
    <mergeCell ref="BW22:BW28"/>
    <mergeCell ref="BW29:BW35"/>
    <mergeCell ref="BW36:BW42"/>
    <mergeCell ref="BW43:BW49"/>
    <mergeCell ref="BW50:BW56"/>
    <mergeCell ref="BW57:BW63"/>
    <mergeCell ref="BW64:BW70"/>
    <mergeCell ref="BW71:BW77"/>
    <mergeCell ref="BW78:BW84"/>
    <mergeCell ref="BX7:BX13"/>
    <mergeCell ref="BX15:BX21"/>
    <mergeCell ref="BX22:BX28"/>
    <mergeCell ref="BX29:BX35"/>
    <mergeCell ref="BX36:BX42"/>
    <mergeCell ref="BX43:BX49"/>
    <mergeCell ref="BX50:BX56"/>
    <mergeCell ref="BX57:BX63"/>
    <mergeCell ref="BX64:BX70"/>
    <mergeCell ref="BX71:BX77"/>
    <mergeCell ref="BX78:BX84"/>
    <mergeCell ref="BY7:BY13"/>
    <mergeCell ref="BY15:BY21"/>
    <mergeCell ref="BY22:BY28"/>
    <mergeCell ref="BY29:BY35"/>
    <mergeCell ref="BY36:BY42"/>
    <mergeCell ref="BY43:BY49"/>
    <mergeCell ref="BY50:BY56"/>
    <mergeCell ref="BY57:BY63"/>
    <mergeCell ref="BY64:BY70"/>
    <mergeCell ref="BY71:BY77"/>
    <mergeCell ref="BY78:BY84"/>
    <mergeCell ref="BZ7:BZ13"/>
    <mergeCell ref="BZ15:BZ21"/>
    <mergeCell ref="BZ22:BZ28"/>
    <mergeCell ref="BZ29:BZ35"/>
    <mergeCell ref="BZ36:BZ42"/>
    <mergeCell ref="BZ43:BZ49"/>
    <mergeCell ref="BZ50:BZ56"/>
    <mergeCell ref="BZ57:BZ63"/>
    <mergeCell ref="BZ64:BZ70"/>
    <mergeCell ref="BZ71:BZ77"/>
    <mergeCell ref="BZ78:BZ84"/>
    <mergeCell ref="CA7:CA13"/>
    <mergeCell ref="CA15:CA21"/>
    <mergeCell ref="CA22:CA28"/>
    <mergeCell ref="CA29:CA35"/>
    <mergeCell ref="CA36:CA42"/>
    <mergeCell ref="CA43:CA49"/>
    <mergeCell ref="CA50:CA56"/>
    <mergeCell ref="CA57:CA63"/>
    <mergeCell ref="CA64:CA70"/>
    <mergeCell ref="CA71:CA77"/>
    <mergeCell ref="CA78:CA84"/>
    <mergeCell ref="CB7:CB13"/>
    <mergeCell ref="CB15:CB21"/>
    <mergeCell ref="CB22:CB28"/>
    <mergeCell ref="CB29:CB35"/>
    <mergeCell ref="CB36:CB42"/>
    <mergeCell ref="CB43:CB49"/>
    <mergeCell ref="CB50:CB56"/>
    <mergeCell ref="CB57:CB63"/>
    <mergeCell ref="CB64:CB70"/>
    <mergeCell ref="CB71:CB77"/>
    <mergeCell ref="CB78:CB84"/>
    <mergeCell ref="CC7:CC13"/>
    <mergeCell ref="CC15:CC21"/>
    <mergeCell ref="CC22:CC28"/>
    <mergeCell ref="CC29:CC35"/>
    <mergeCell ref="CC36:CC42"/>
    <mergeCell ref="CC43:CC49"/>
    <mergeCell ref="CC50:CC56"/>
    <mergeCell ref="CC57:CC63"/>
    <mergeCell ref="CC64:CC70"/>
    <mergeCell ref="CC71:CC77"/>
    <mergeCell ref="CC78:CC84"/>
    <mergeCell ref="CD7:CD13"/>
    <mergeCell ref="CD15:CD21"/>
    <mergeCell ref="CD22:CD28"/>
    <mergeCell ref="CD29:CD35"/>
    <mergeCell ref="CD36:CD42"/>
    <mergeCell ref="CD43:CD49"/>
    <mergeCell ref="CD50:CD56"/>
    <mergeCell ref="CD57:CD63"/>
    <mergeCell ref="CD64:CD70"/>
    <mergeCell ref="CD71:CD77"/>
    <mergeCell ref="CD78:CD84"/>
    <mergeCell ref="CE7:CE13"/>
    <mergeCell ref="CE15:CE21"/>
    <mergeCell ref="CE22:CE28"/>
    <mergeCell ref="CE29:CE35"/>
    <mergeCell ref="CE36:CE42"/>
    <mergeCell ref="CE43:CE49"/>
    <mergeCell ref="CE50:CE56"/>
    <mergeCell ref="CE57:CE63"/>
    <mergeCell ref="CE64:CE70"/>
    <mergeCell ref="CE71:CE77"/>
    <mergeCell ref="CE78:CE84"/>
    <mergeCell ref="CF1:CF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F169"/>
  <sheetViews>
    <sheetView workbookViewId="0">
      <pane xSplit="3" ySplit="5" topLeftCell="D6" activePane="bottomRight" state="frozen"/>
      <selection/>
      <selection pane="topRight"/>
      <selection pane="bottomLeft"/>
      <selection pane="bottomRight" activeCell="A1" sqref="A1:C1"/>
    </sheetView>
  </sheetViews>
  <sheetFormatPr defaultColWidth="14" defaultRowHeight="12.75"/>
  <cols>
    <col min="1" max="2" width="11" customWidth="1"/>
    <col min="3" max="3" width="7" customWidth="1"/>
    <col min="4" max="6" width="11" customWidth="1"/>
    <col min="7" max="7" width="10" customWidth="1"/>
    <col min="8" max="8" width="7" customWidth="1"/>
    <col min="9" max="9" width="10" customWidth="1"/>
    <col min="10" max="10" width="13" customWidth="1"/>
    <col min="11" max="11" width="10" customWidth="1"/>
    <col min="12" max="12" width="14" customWidth="1"/>
    <col min="13" max="13" width="13" customWidth="1"/>
    <col min="14" max="14" width="7" customWidth="1"/>
    <col min="15" max="15" width="14" customWidth="1"/>
    <col min="16" max="16" width="7" customWidth="1"/>
    <col min="17" max="17" width="10" customWidth="1"/>
    <col min="18" max="18" width="14" customWidth="1"/>
    <col min="19" max="21" width="7" customWidth="1"/>
    <col min="22" max="22" width="9" customWidth="1"/>
    <col min="23" max="23" width="8" customWidth="1"/>
    <col min="24" max="24" width="9" customWidth="1"/>
    <col min="25" max="25" width="8" customWidth="1"/>
    <col min="26" max="26" width="11" customWidth="1"/>
    <col min="27" max="27" width="7" customWidth="1"/>
    <col min="28" max="28" width="13" customWidth="1"/>
    <col min="29" max="29" width="10" customWidth="1"/>
    <col min="30" max="31" width="17" hidden="1" customWidth="1"/>
    <col min="32" max="32" width="13" customWidth="1"/>
    <col min="33" max="33" width="9" customWidth="1"/>
    <col min="34" max="34" width="16" customWidth="1"/>
    <col min="35" max="35" width="14" customWidth="1"/>
    <col min="36" max="36" width="16" customWidth="1"/>
    <col min="37" max="39" width="13" customWidth="1"/>
    <col min="40" max="40" width="12" customWidth="1"/>
    <col min="41" max="41" width="13" customWidth="1"/>
    <col min="42" max="42" width="15" customWidth="1"/>
    <col min="43" max="43" width="13" customWidth="1"/>
    <col min="44" max="44" width="14" customWidth="1"/>
    <col min="45" max="45" width="13" customWidth="1"/>
    <col min="46" max="46" width="10" customWidth="1"/>
    <col min="47" max="47" width="7" customWidth="1"/>
    <col min="48" max="48" width="8" customWidth="1"/>
    <col min="49" max="49" width="7" customWidth="1"/>
    <col min="50" max="50" width="9" customWidth="1"/>
    <col min="51" max="51" width="8" customWidth="1"/>
    <col min="52" max="52" width="10" customWidth="1"/>
    <col min="53" max="53" width="7" customWidth="1"/>
    <col min="54" max="54" width="10" customWidth="1"/>
    <col min="55" max="56" width="8" customWidth="1"/>
    <col min="57" max="58" width="7" customWidth="1"/>
    <col min="59" max="59" width="9" customWidth="1"/>
    <col min="60" max="60" width="12" customWidth="1"/>
    <col min="61" max="63" width="10" customWidth="1"/>
    <col min="64" max="64" width="14" customWidth="1"/>
    <col min="65" max="67" width="10" customWidth="1"/>
    <col min="68" max="68" width="14" customWidth="1"/>
    <col min="69" max="73" width="8" customWidth="1"/>
    <col min="74" max="74" width="13" customWidth="1"/>
    <col min="75" max="75" width="15" customWidth="1"/>
    <col min="76" max="76" width="17" customWidth="1"/>
    <col min="77" max="78" width="15" customWidth="1"/>
    <col min="79" max="79" width="18" customWidth="1"/>
    <col min="80" max="80" width="17" customWidth="1"/>
    <col min="81" max="81" width="15" customWidth="1"/>
    <col min="82" max="83" width="20" customWidth="1"/>
    <col min="84" max="84" width="17" customWidth="1"/>
  </cols>
  <sheetData>
    <row r="1" ht="48" customHeight="1" spans="1:84">
      <c r="A1" s="247" t="s">
        <v>140</v>
      </c>
      <c r="B1" s="248" t="s">
        <v>1</v>
      </c>
      <c r="C1" s="248" t="s">
        <v>1</v>
      </c>
      <c r="D1" s="249" t="s">
        <v>2</v>
      </c>
      <c r="E1" s="249" t="s">
        <v>1</v>
      </c>
      <c r="F1" s="249" t="s">
        <v>1</v>
      </c>
      <c r="G1" s="249" t="s">
        <v>1</v>
      </c>
      <c r="H1" s="249" t="s">
        <v>1</v>
      </c>
      <c r="I1" s="249" t="s">
        <v>1</v>
      </c>
      <c r="J1" s="249" t="s">
        <v>1</v>
      </c>
      <c r="K1" s="250" t="s">
        <v>1</v>
      </c>
      <c r="L1" s="251" t="s">
        <v>1</v>
      </c>
      <c r="M1" s="252" t="s">
        <v>1</v>
      </c>
      <c r="N1" s="249" t="s">
        <v>1</v>
      </c>
      <c r="O1" s="249" t="s">
        <v>1</v>
      </c>
      <c r="P1" s="249" t="s">
        <v>1</v>
      </c>
      <c r="Q1" s="249" t="s">
        <v>1</v>
      </c>
      <c r="R1" s="249" t="s">
        <v>1</v>
      </c>
      <c r="S1" s="249" t="s">
        <v>1</v>
      </c>
      <c r="T1" s="249" t="s">
        <v>1</v>
      </c>
      <c r="U1" s="249" t="s">
        <v>1</v>
      </c>
      <c r="V1" s="253" t="s">
        <v>3</v>
      </c>
      <c r="W1" s="254" t="s">
        <v>1</v>
      </c>
      <c r="X1" s="254" t="s">
        <v>1</v>
      </c>
      <c r="Y1" s="254" t="s">
        <v>1</v>
      </c>
      <c r="Z1" s="254" t="s">
        <v>1</v>
      </c>
      <c r="AA1" s="254" t="s">
        <v>1</v>
      </c>
      <c r="AB1" s="254" t="s">
        <v>1</v>
      </c>
      <c r="AC1" s="254" t="s">
        <v>1</v>
      </c>
      <c r="AD1" s="254" t="s">
        <v>1</v>
      </c>
      <c r="AE1" s="254" t="s">
        <v>1</v>
      </c>
      <c r="AF1" s="254" t="s">
        <v>1</v>
      </c>
      <c r="AG1" s="254" t="s">
        <v>1</v>
      </c>
      <c r="AH1" s="254" t="s">
        <v>1</v>
      </c>
      <c r="AI1" s="254" t="s">
        <v>1</v>
      </c>
      <c r="AJ1" s="254" t="s">
        <v>1</v>
      </c>
      <c r="AK1" s="254" t="s">
        <v>1</v>
      </c>
      <c r="AL1" s="254" t="s">
        <v>1</v>
      </c>
      <c r="AM1" s="254" t="s">
        <v>1</v>
      </c>
      <c r="AN1" s="254" t="s">
        <v>1</v>
      </c>
      <c r="AO1" s="254" t="s">
        <v>1</v>
      </c>
      <c r="AP1" s="254" t="s">
        <v>1</v>
      </c>
      <c r="AQ1" s="254" t="s">
        <v>1</v>
      </c>
      <c r="AR1" s="254" t="s">
        <v>1</v>
      </c>
      <c r="AS1" s="254" t="s">
        <v>1</v>
      </c>
      <c r="AT1" s="255" t="s">
        <v>4</v>
      </c>
      <c r="AU1" s="255" t="s">
        <v>1</v>
      </c>
      <c r="AV1" s="255" t="s">
        <v>1</v>
      </c>
      <c r="AW1" s="255" t="s">
        <v>1</v>
      </c>
      <c r="AX1" s="255" t="s">
        <v>1</v>
      </c>
      <c r="AY1" s="255" t="s">
        <v>1</v>
      </c>
      <c r="AZ1" s="255" t="s">
        <v>1</v>
      </c>
      <c r="BA1" s="255" t="s">
        <v>1</v>
      </c>
      <c r="BB1" s="255" t="s">
        <v>1</v>
      </c>
      <c r="BC1" s="255" t="s">
        <v>1</v>
      </c>
      <c r="BD1" s="255" t="s">
        <v>1</v>
      </c>
      <c r="BE1" s="255" t="s">
        <v>1</v>
      </c>
      <c r="BF1" s="255" t="s">
        <v>1</v>
      </c>
      <c r="BG1" s="255" t="s">
        <v>1</v>
      </c>
      <c r="BH1" s="69" t="s">
        <v>5</v>
      </c>
      <c r="BI1" s="256" t="s">
        <v>6</v>
      </c>
      <c r="BJ1" s="256" t="s">
        <v>1</v>
      </c>
      <c r="BK1" s="256" t="s">
        <v>1</v>
      </c>
      <c r="BL1" s="256" t="s">
        <v>1</v>
      </c>
      <c r="BM1" s="256" t="s">
        <v>1</v>
      </c>
      <c r="BN1" s="256" t="s">
        <v>1</v>
      </c>
      <c r="BO1" s="256" t="s">
        <v>1</v>
      </c>
      <c r="BP1" s="257" t="s">
        <v>1</v>
      </c>
      <c r="BQ1" s="258" t="s">
        <v>7</v>
      </c>
      <c r="BR1" s="258" t="s">
        <v>1</v>
      </c>
      <c r="BS1" s="258" t="s">
        <v>1</v>
      </c>
      <c r="BT1" s="258" t="s">
        <v>1</v>
      </c>
      <c r="BU1" s="258" t="s">
        <v>1</v>
      </c>
      <c r="BV1" s="258" t="s">
        <v>1</v>
      </c>
      <c r="BW1" s="258" t="s">
        <v>1</v>
      </c>
      <c r="BX1" s="258" t="s">
        <v>1</v>
      </c>
      <c r="BY1" s="258" t="s">
        <v>1</v>
      </c>
      <c r="BZ1" s="258" t="s">
        <v>1</v>
      </c>
      <c r="CA1" s="258" t="s">
        <v>1</v>
      </c>
      <c r="CB1" s="258" t="s">
        <v>1</v>
      </c>
      <c r="CC1" s="258" t="s">
        <v>1</v>
      </c>
      <c r="CD1" s="258" t="s">
        <v>1</v>
      </c>
      <c r="CE1" s="259" t="s">
        <v>1</v>
      </c>
      <c r="CF1" s="72" t="s">
        <v>8</v>
      </c>
    </row>
    <row r="2" ht="25" customHeight="1" spans="1:84">
      <c r="A2" s="38" t="s">
        <v>9</v>
      </c>
      <c r="B2" s="124" t="s">
        <v>10</v>
      </c>
      <c r="C2" s="155" t="s">
        <v>1</v>
      </c>
      <c r="D2" s="260" t="s">
        <v>11</v>
      </c>
      <c r="E2" s="261" t="s">
        <v>1</v>
      </c>
      <c r="F2" s="261" t="s">
        <v>1</v>
      </c>
      <c r="G2" s="261" t="s">
        <v>1</v>
      </c>
      <c r="H2" s="261" t="s">
        <v>1</v>
      </c>
      <c r="I2" s="261" t="s">
        <v>1</v>
      </c>
      <c r="J2" s="261" t="s">
        <v>1</v>
      </c>
      <c r="K2" s="261" t="s">
        <v>1</v>
      </c>
      <c r="L2" s="251" t="s">
        <v>12</v>
      </c>
      <c r="M2" s="261" t="s">
        <v>1</v>
      </c>
      <c r="N2" s="261" t="s">
        <v>1</v>
      </c>
      <c r="O2" s="261" t="s">
        <v>1</v>
      </c>
      <c r="P2" s="261" t="s">
        <v>1</v>
      </c>
      <c r="Q2" s="261" t="s">
        <v>1</v>
      </c>
      <c r="R2" s="261" t="s">
        <v>1</v>
      </c>
      <c r="S2" s="261" t="s">
        <v>1</v>
      </c>
      <c r="T2" s="261" t="s">
        <v>1</v>
      </c>
      <c r="U2" s="262" t="s">
        <v>1</v>
      </c>
      <c r="V2" s="263" t="s">
        <v>13</v>
      </c>
      <c r="W2" s="264" t="s">
        <v>1</v>
      </c>
      <c r="X2" s="265" t="s">
        <v>14</v>
      </c>
      <c r="Y2" s="266" t="s">
        <v>1</v>
      </c>
      <c r="Z2" s="265" t="s">
        <v>15</v>
      </c>
      <c r="AA2" s="266" t="s">
        <v>1</v>
      </c>
      <c r="AB2" s="265" t="s">
        <v>16</v>
      </c>
      <c r="AC2" s="266" t="s">
        <v>1</v>
      </c>
      <c r="AD2" s="265" t="s">
        <v>17</v>
      </c>
      <c r="AE2" s="266" t="s">
        <v>1</v>
      </c>
      <c r="AF2" s="265" t="s">
        <v>18</v>
      </c>
      <c r="AG2" s="266" t="s">
        <v>1</v>
      </c>
      <c r="AH2" s="267" t="s">
        <v>19</v>
      </c>
      <c r="AI2" s="268" t="s">
        <v>1</v>
      </c>
      <c r="AJ2" s="267" t="s">
        <v>20</v>
      </c>
      <c r="AK2" s="268" t="s">
        <v>1</v>
      </c>
      <c r="AL2" s="267" t="s">
        <v>21</v>
      </c>
      <c r="AM2" s="268" t="s">
        <v>1</v>
      </c>
      <c r="AN2" s="267" t="s">
        <v>22</v>
      </c>
      <c r="AO2" s="268" t="s">
        <v>1</v>
      </c>
      <c r="AP2" s="269" t="s">
        <v>23</v>
      </c>
      <c r="AQ2" s="270" t="s">
        <v>1</v>
      </c>
      <c r="AR2" s="269" t="s">
        <v>24</v>
      </c>
      <c r="AS2" s="270" t="s">
        <v>1</v>
      </c>
      <c r="AT2" s="255" t="s">
        <v>25</v>
      </c>
      <c r="AU2" s="255" t="s">
        <v>1</v>
      </c>
      <c r="AV2" s="271" t="s">
        <v>26</v>
      </c>
      <c r="AW2" s="271" t="s">
        <v>1</v>
      </c>
      <c r="AX2" s="271" t="s">
        <v>27</v>
      </c>
      <c r="AY2" s="271" t="s">
        <v>1</v>
      </c>
      <c r="AZ2" s="272" t="s">
        <v>28</v>
      </c>
      <c r="BA2" s="272" t="s">
        <v>1</v>
      </c>
      <c r="BB2" s="271" t="s">
        <v>29</v>
      </c>
      <c r="BC2" s="271" t="s">
        <v>1</v>
      </c>
      <c r="BD2" s="273" t="s">
        <v>30</v>
      </c>
      <c r="BE2" s="273" t="s">
        <v>1</v>
      </c>
      <c r="BF2" s="273" t="s">
        <v>31</v>
      </c>
      <c r="BG2" s="273" t="s">
        <v>1</v>
      </c>
      <c r="BH2" s="69" t="s">
        <v>1</v>
      </c>
      <c r="BI2" s="256" t="s">
        <v>32</v>
      </c>
      <c r="BJ2" s="256" t="s">
        <v>1</v>
      </c>
      <c r="BK2" s="256" t="s">
        <v>1</v>
      </c>
      <c r="BL2" s="256" t="s">
        <v>1</v>
      </c>
      <c r="BM2" s="274" t="s">
        <v>33</v>
      </c>
      <c r="BN2" s="256" t="s">
        <v>1</v>
      </c>
      <c r="BO2" s="256" t="s">
        <v>1</v>
      </c>
      <c r="BP2" s="257" t="s">
        <v>1</v>
      </c>
      <c r="BQ2" s="258" t="s">
        <v>34</v>
      </c>
      <c r="BR2" s="258" t="s">
        <v>1</v>
      </c>
      <c r="BS2" s="258" t="s">
        <v>1</v>
      </c>
      <c r="BT2" s="258" t="s">
        <v>1</v>
      </c>
      <c r="BU2" s="259" t="s">
        <v>1</v>
      </c>
      <c r="BV2" s="258" t="s">
        <v>35</v>
      </c>
      <c r="BW2" s="258" t="s">
        <v>1</v>
      </c>
      <c r="BX2" s="258" t="s">
        <v>1</v>
      </c>
      <c r="BY2" s="258" t="s">
        <v>1</v>
      </c>
      <c r="BZ2" s="258" t="s">
        <v>1</v>
      </c>
      <c r="CA2" s="258" t="s">
        <v>1</v>
      </c>
      <c r="CB2" s="258" t="s">
        <v>1</v>
      </c>
      <c r="CC2" s="258" t="s">
        <v>1</v>
      </c>
      <c r="CD2" s="258" t="s">
        <v>1</v>
      </c>
      <c r="CE2" s="259" t="s">
        <v>1</v>
      </c>
      <c r="CF2" s="72" t="s">
        <v>1</v>
      </c>
    </row>
    <row r="3" ht="53" customHeight="1" spans="1:84">
      <c r="A3" s="162" t="s">
        <v>1</v>
      </c>
      <c r="B3" s="108" t="s">
        <v>36</v>
      </c>
      <c r="C3" s="108" t="s">
        <v>37</v>
      </c>
      <c r="D3" s="275" t="s">
        <v>38</v>
      </c>
      <c r="E3" s="275" t="s">
        <v>39</v>
      </c>
      <c r="F3" s="275" t="s">
        <v>40</v>
      </c>
      <c r="G3" s="249" t="s">
        <v>41</v>
      </c>
      <c r="H3" s="249" t="s">
        <v>42</v>
      </c>
      <c r="I3" s="249" t="s">
        <v>43</v>
      </c>
      <c r="J3" s="249" t="s">
        <v>44</v>
      </c>
      <c r="K3" s="250" t="s">
        <v>45</v>
      </c>
      <c r="L3" s="251" t="s">
        <v>46</v>
      </c>
      <c r="M3" s="252" t="s">
        <v>42</v>
      </c>
      <c r="N3" s="249" t="s">
        <v>47</v>
      </c>
      <c r="O3" s="249" t="s">
        <v>48</v>
      </c>
      <c r="P3" s="249" t="s">
        <v>42</v>
      </c>
      <c r="Q3" s="249" t="s">
        <v>47</v>
      </c>
      <c r="R3" s="249" t="s">
        <v>36</v>
      </c>
      <c r="S3" s="249" t="s">
        <v>37</v>
      </c>
      <c r="T3" s="249" t="s">
        <v>42</v>
      </c>
      <c r="U3" s="249" t="s">
        <v>47</v>
      </c>
      <c r="V3" s="276" t="s">
        <v>36</v>
      </c>
      <c r="W3" s="276" t="s">
        <v>37</v>
      </c>
      <c r="X3" s="277" t="s">
        <v>36</v>
      </c>
      <c r="Y3" s="277" t="s">
        <v>37</v>
      </c>
      <c r="Z3" s="277" t="s">
        <v>36</v>
      </c>
      <c r="AA3" s="277" t="s">
        <v>37</v>
      </c>
      <c r="AB3" s="277" t="s">
        <v>36</v>
      </c>
      <c r="AC3" s="277" t="s">
        <v>37</v>
      </c>
      <c r="AD3" s="277" t="s">
        <v>36</v>
      </c>
      <c r="AE3" s="277" t="s">
        <v>37</v>
      </c>
      <c r="AF3" s="277" t="s">
        <v>36</v>
      </c>
      <c r="AG3" s="277" t="s">
        <v>37</v>
      </c>
      <c r="AH3" s="278" t="s">
        <v>36</v>
      </c>
      <c r="AI3" s="278" t="s">
        <v>37</v>
      </c>
      <c r="AJ3" s="278" t="s">
        <v>36</v>
      </c>
      <c r="AK3" s="278" t="s">
        <v>37</v>
      </c>
      <c r="AL3" s="278" t="s">
        <v>36</v>
      </c>
      <c r="AM3" s="278" t="s">
        <v>37</v>
      </c>
      <c r="AN3" s="278" t="s">
        <v>36</v>
      </c>
      <c r="AO3" s="278" t="s">
        <v>37</v>
      </c>
      <c r="AP3" s="279" t="s">
        <v>36</v>
      </c>
      <c r="AQ3" s="279" t="s">
        <v>37</v>
      </c>
      <c r="AR3" s="279" t="s">
        <v>36</v>
      </c>
      <c r="AS3" s="279" t="s">
        <v>37</v>
      </c>
      <c r="AT3" s="255" t="s">
        <v>36</v>
      </c>
      <c r="AU3" s="255" t="s">
        <v>37</v>
      </c>
      <c r="AV3" s="280" t="s">
        <v>36</v>
      </c>
      <c r="AW3" s="280" t="s">
        <v>37</v>
      </c>
      <c r="AX3" s="280" t="s">
        <v>36</v>
      </c>
      <c r="AY3" s="280" t="s">
        <v>37</v>
      </c>
      <c r="AZ3" s="255" t="s">
        <v>36</v>
      </c>
      <c r="BA3" s="255" t="s">
        <v>37</v>
      </c>
      <c r="BB3" s="280" t="s">
        <v>36</v>
      </c>
      <c r="BC3" s="280" t="s">
        <v>37</v>
      </c>
      <c r="BD3" s="281" t="s">
        <v>36</v>
      </c>
      <c r="BE3" s="281" t="s">
        <v>37</v>
      </c>
      <c r="BF3" s="281" t="s">
        <v>36</v>
      </c>
      <c r="BG3" s="281" t="s">
        <v>37</v>
      </c>
      <c r="BH3" s="69" t="s">
        <v>1</v>
      </c>
      <c r="BI3" s="282" t="s">
        <v>49</v>
      </c>
      <c r="BJ3" s="283" t="s">
        <v>50</v>
      </c>
      <c r="BK3" s="283" t="s">
        <v>51</v>
      </c>
      <c r="BL3" s="257" t="s">
        <v>52</v>
      </c>
      <c r="BM3" s="283" t="s">
        <v>49</v>
      </c>
      <c r="BN3" s="283" t="s">
        <v>50</v>
      </c>
      <c r="BO3" s="283" t="s">
        <v>51</v>
      </c>
      <c r="BP3" s="257" t="s">
        <v>52</v>
      </c>
      <c r="BQ3" s="259" t="s">
        <v>53</v>
      </c>
      <c r="BR3" s="259" t="s">
        <v>54</v>
      </c>
      <c r="BS3" s="259" t="s">
        <v>55</v>
      </c>
      <c r="BT3" s="259" t="s">
        <v>56</v>
      </c>
      <c r="BU3" s="259" t="s">
        <v>57</v>
      </c>
      <c r="BV3" s="259" t="s">
        <v>53</v>
      </c>
      <c r="BW3" s="259" t="s">
        <v>54</v>
      </c>
      <c r="BX3" s="259" t="s">
        <v>55</v>
      </c>
      <c r="BY3" s="259" t="s">
        <v>56</v>
      </c>
      <c r="BZ3" s="259" t="s">
        <v>57</v>
      </c>
      <c r="CA3" s="259" t="s">
        <v>58</v>
      </c>
      <c r="CB3" s="259" t="s">
        <v>59</v>
      </c>
      <c r="CC3" s="259" t="s">
        <v>60</v>
      </c>
      <c r="CD3" s="259" t="s">
        <v>61</v>
      </c>
      <c r="CE3" s="259" t="s">
        <v>62</v>
      </c>
      <c r="CF3" s="72" t="s">
        <v>1</v>
      </c>
    </row>
    <row r="4" ht="36" customHeight="1" spans="1:84">
      <c r="A4" s="284" t="s">
        <v>63</v>
      </c>
      <c r="B4" s="105" t="s">
        <v>64</v>
      </c>
      <c r="C4" s="105" t="s">
        <v>64</v>
      </c>
      <c r="D4" s="285" t="s">
        <v>65</v>
      </c>
      <c r="E4" s="285" t="s">
        <v>65</v>
      </c>
      <c r="F4" s="105" t="s">
        <v>64</v>
      </c>
      <c r="G4" s="285" t="s">
        <v>65</v>
      </c>
      <c r="H4" s="285" t="s">
        <v>65</v>
      </c>
      <c r="I4" s="285" t="s">
        <v>65</v>
      </c>
      <c r="J4" s="285" t="s">
        <v>65</v>
      </c>
      <c r="K4" s="286" t="s">
        <v>65</v>
      </c>
      <c r="L4" s="287" t="s">
        <v>66</v>
      </c>
      <c r="M4" s="288" t="s">
        <v>66</v>
      </c>
      <c r="N4" s="289" t="s">
        <v>66</v>
      </c>
      <c r="O4" s="289" t="s">
        <v>67</v>
      </c>
      <c r="P4" s="289" t="s">
        <v>67</v>
      </c>
      <c r="Q4" s="289" t="s">
        <v>67</v>
      </c>
      <c r="R4" s="289" t="s">
        <v>68</v>
      </c>
      <c r="S4" s="289" t="s">
        <v>68</v>
      </c>
      <c r="T4" s="289" t="s">
        <v>68</v>
      </c>
      <c r="U4" s="289" t="s">
        <v>68</v>
      </c>
      <c r="V4" s="105" t="s">
        <v>64</v>
      </c>
      <c r="W4" s="105" t="s">
        <v>64</v>
      </c>
      <c r="X4" s="105" t="s">
        <v>64</v>
      </c>
      <c r="Y4" s="105" t="s">
        <v>64</v>
      </c>
      <c r="Z4" s="105" t="s">
        <v>64</v>
      </c>
      <c r="AA4" s="105" t="s">
        <v>64</v>
      </c>
      <c r="AB4" s="105" t="s">
        <v>64</v>
      </c>
      <c r="AC4" s="105" t="s">
        <v>64</v>
      </c>
      <c r="AD4" s="105" t="s">
        <v>64</v>
      </c>
      <c r="AE4" s="105" t="s">
        <v>64</v>
      </c>
      <c r="AF4" s="105" t="s">
        <v>64</v>
      </c>
      <c r="AG4" s="105" t="s">
        <v>64</v>
      </c>
      <c r="AH4" s="105" t="s">
        <v>64</v>
      </c>
      <c r="AI4" s="105" t="s">
        <v>64</v>
      </c>
      <c r="AJ4" s="105" t="s">
        <v>64</v>
      </c>
      <c r="AK4" s="105" t="s">
        <v>64</v>
      </c>
      <c r="AL4" s="105" t="s">
        <v>64</v>
      </c>
      <c r="AM4" s="105" t="s">
        <v>64</v>
      </c>
      <c r="AN4" s="105" t="s">
        <v>64</v>
      </c>
      <c r="AO4" s="105" t="s">
        <v>64</v>
      </c>
      <c r="AP4" s="105" t="s">
        <v>64</v>
      </c>
      <c r="AQ4" s="105" t="s">
        <v>64</v>
      </c>
      <c r="AR4" s="105" t="s">
        <v>64</v>
      </c>
      <c r="AS4" s="105" t="s">
        <v>64</v>
      </c>
      <c r="AT4" s="69" t="s">
        <v>67</v>
      </c>
      <c r="AU4" s="69" t="s">
        <v>67</v>
      </c>
      <c r="AV4" s="69" t="s">
        <v>67</v>
      </c>
      <c r="AW4" s="69" t="s">
        <v>67</v>
      </c>
      <c r="AX4" s="69" t="s">
        <v>67</v>
      </c>
      <c r="AY4" s="69" t="s">
        <v>67</v>
      </c>
      <c r="AZ4" s="69" t="s">
        <v>67</v>
      </c>
      <c r="BA4" s="69" t="s">
        <v>67</v>
      </c>
      <c r="BB4" s="69" t="s">
        <v>67</v>
      </c>
      <c r="BC4" s="69" t="s">
        <v>67</v>
      </c>
      <c r="BD4" s="69" t="s">
        <v>67</v>
      </c>
      <c r="BE4" s="69" t="s">
        <v>67</v>
      </c>
      <c r="BF4" s="69" t="s">
        <v>67</v>
      </c>
      <c r="BG4" s="69" t="s">
        <v>67</v>
      </c>
      <c r="BH4" s="69" t="s">
        <v>69</v>
      </c>
      <c r="BI4" s="69" t="s">
        <v>64</v>
      </c>
      <c r="BJ4" s="69" t="s">
        <v>64</v>
      </c>
      <c r="BK4" s="69" t="s">
        <v>64</v>
      </c>
      <c r="BL4" s="69" t="s">
        <v>64</v>
      </c>
      <c r="BM4" s="69" t="s">
        <v>64</v>
      </c>
      <c r="BN4" s="69" t="s">
        <v>64</v>
      </c>
      <c r="BO4" s="69" t="s">
        <v>64</v>
      </c>
      <c r="BP4" s="69" t="s">
        <v>64</v>
      </c>
      <c r="BQ4" s="69" t="s">
        <v>64</v>
      </c>
      <c r="BR4" s="69" t="s">
        <v>64</v>
      </c>
      <c r="BS4" s="69" t="s">
        <v>64</v>
      </c>
      <c r="BT4" s="69" t="s">
        <v>64</v>
      </c>
      <c r="BU4" s="69" t="s">
        <v>64</v>
      </c>
      <c r="BV4" s="69" t="s">
        <v>64</v>
      </c>
      <c r="BW4" s="69" t="s">
        <v>64</v>
      </c>
      <c r="BX4" s="69" t="s">
        <v>64</v>
      </c>
      <c r="BY4" s="69" t="s">
        <v>64</v>
      </c>
      <c r="BZ4" s="69" t="s">
        <v>64</v>
      </c>
      <c r="CA4" s="69" t="s">
        <v>64</v>
      </c>
      <c r="CB4" s="69" t="s">
        <v>64</v>
      </c>
      <c r="CC4" s="69" t="s">
        <v>64</v>
      </c>
      <c r="CD4" s="69" t="s">
        <v>64</v>
      </c>
      <c r="CE4" s="69" t="s">
        <v>64</v>
      </c>
      <c r="CF4" s="69" t="s">
        <v>64</v>
      </c>
    </row>
    <row r="5" ht="21" customHeight="1" spans="1:84">
      <c r="A5" s="107">
        <v>45108</v>
      </c>
      <c r="B5" s="108" t="s">
        <v>70</v>
      </c>
      <c r="C5" s="92" t="s">
        <v>71</v>
      </c>
      <c r="D5" s="30" t="s">
        <v>1</v>
      </c>
      <c r="E5" s="30" t="s">
        <v>1</v>
      </c>
      <c r="F5" s="30">
        <v>5.5983</v>
      </c>
      <c r="G5" s="108" t="s">
        <v>1</v>
      </c>
      <c r="H5" s="108" t="str">
        <f t="shared" ref="H5:H35" si="0">IFERROR(E5/G5-1,"")</f>
        <v/>
      </c>
      <c r="I5" s="30">
        <v>5.2784</v>
      </c>
      <c r="J5" s="141" t="str">
        <f t="shared" ref="J5:J68" si="1">IFERROR(E5/I5,"")</f>
        <v/>
      </c>
      <c r="K5" s="211" t="str">
        <f>IFERROR(E5/#REF!,"")</f>
        <v/>
      </c>
      <c r="L5" s="30">
        <v>44368</v>
      </c>
      <c r="M5" s="155" t="s">
        <v>72</v>
      </c>
      <c r="N5" s="108" t="s">
        <v>1</v>
      </c>
      <c r="O5" s="108" t="s">
        <v>1</v>
      </c>
      <c r="P5" s="108" t="s">
        <v>1</v>
      </c>
      <c r="Q5" s="108" t="s">
        <v>1</v>
      </c>
      <c r="R5" s="108">
        <v>6598</v>
      </c>
      <c r="S5" s="108">
        <v>0</v>
      </c>
      <c r="T5" s="108" t="s">
        <v>1</v>
      </c>
      <c r="U5" s="108" t="s">
        <v>1</v>
      </c>
      <c r="V5" s="92" t="s">
        <v>1</v>
      </c>
      <c r="W5" s="92" t="s">
        <v>72</v>
      </c>
      <c r="X5" s="92" t="s">
        <v>1</v>
      </c>
      <c r="Y5" s="92" t="s">
        <v>72</v>
      </c>
      <c r="Z5" s="92" t="s">
        <v>1</v>
      </c>
      <c r="AA5" s="236" t="s">
        <v>72</v>
      </c>
      <c r="AB5" s="92" t="s">
        <v>1</v>
      </c>
      <c r="AC5" s="92" t="s">
        <v>72</v>
      </c>
      <c r="AD5" s="92">
        <v>8</v>
      </c>
      <c r="AE5" s="92" t="s">
        <v>72</v>
      </c>
      <c r="AF5" s="92" t="s">
        <v>1</v>
      </c>
      <c r="AG5" s="92" t="s">
        <v>72</v>
      </c>
      <c r="AH5" s="92">
        <v>1344</v>
      </c>
      <c r="AI5" s="92" t="s">
        <v>72</v>
      </c>
      <c r="AJ5" s="92">
        <v>528</v>
      </c>
      <c r="AK5" s="92" t="s">
        <v>72</v>
      </c>
      <c r="AL5" s="92">
        <v>44</v>
      </c>
      <c r="AM5" s="92" t="s">
        <v>72</v>
      </c>
      <c r="AN5" s="92">
        <v>32</v>
      </c>
      <c r="AO5" s="92" t="s">
        <v>72</v>
      </c>
      <c r="AP5" s="92">
        <v>644</v>
      </c>
      <c r="AQ5" s="92" t="s">
        <v>72</v>
      </c>
      <c r="AR5" s="92">
        <v>85</v>
      </c>
      <c r="AS5" s="92" t="s">
        <v>72</v>
      </c>
      <c r="AT5" s="187">
        <v>0.0086</v>
      </c>
      <c r="AU5" s="92" t="s">
        <v>72</v>
      </c>
      <c r="AV5" s="108" t="s">
        <v>1</v>
      </c>
      <c r="AW5" s="108" t="s">
        <v>1</v>
      </c>
      <c r="AX5" s="108" t="s">
        <v>1</v>
      </c>
      <c r="AY5" s="108" t="s">
        <v>1</v>
      </c>
      <c r="AZ5" s="108" t="s">
        <v>1</v>
      </c>
      <c r="BA5" s="108" t="s">
        <v>1</v>
      </c>
      <c r="BB5" s="108" t="s">
        <v>1</v>
      </c>
      <c r="BC5" s="108" t="s">
        <v>1</v>
      </c>
      <c r="BD5" s="108" t="s">
        <v>1</v>
      </c>
      <c r="BE5" s="108" t="s">
        <v>1</v>
      </c>
      <c r="BF5" s="108" t="s">
        <v>1</v>
      </c>
      <c r="BG5" s="108" t="s">
        <v>1</v>
      </c>
      <c r="BH5" s="110">
        <v>1</v>
      </c>
      <c r="BI5" s="92" t="s">
        <v>73</v>
      </c>
      <c r="BJ5" s="92">
        <v>100</v>
      </c>
      <c r="BK5" s="92">
        <v>735</v>
      </c>
      <c r="BL5" s="92" t="s">
        <v>72</v>
      </c>
      <c r="BM5" s="92" t="s">
        <v>74</v>
      </c>
      <c r="BN5" s="92">
        <v>451</v>
      </c>
      <c r="BO5" s="92">
        <v>281</v>
      </c>
      <c r="BP5" s="92" t="s">
        <v>72</v>
      </c>
      <c r="BQ5" s="108" t="s">
        <v>1</v>
      </c>
      <c r="BR5" s="108" t="s">
        <v>1</v>
      </c>
      <c r="BS5" s="108" t="s">
        <v>1</v>
      </c>
      <c r="BT5" s="108" t="s">
        <v>1</v>
      </c>
      <c r="BU5" s="108" t="s">
        <v>1</v>
      </c>
      <c r="BV5" s="92" t="s">
        <v>1</v>
      </c>
      <c r="BW5" s="92" t="s">
        <v>1</v>
      </c>
      <c r="BX5" s="92" t="s">
        <v>1</v>
      </c>
      <c r="BY5" s="92" t="s">
        <v>1</v>
      </c>
      <c r="BZ5" s="92" t="s">
        <v>1</v>
      </c>
      <c r="CA5" s="92" t="s">
        <v>1</v>
      </c>
      <c r="CB5" s="92" t="s">
        <v>1</v>
      </c>
      <c r="CC5" s="92" t="s">
        <v>1</v>
      </c>
      <c r="CD5" s="92" t="s">
        <v>1</v>
      </c>
      <c r="CE5" s="92" t="s">
        <v>1</v>
      </c>
      <c r="CF5" s="108" t="s">
        <v>1</v>
      </c>
    </row>
    <row r="6" ht="21" customHeight="1" spans="1:84">
      <c r="A6" s="107">
        <v>45109</v>
      </c>
      <c r="B6" s="108" t="s">
        <v>70</v>
      </c>
      <c r="C6" s="92" t="s">
        <v>71</v>
      </c>
      <c r="D6" s="30" t="s">
        <v>1</v>
      </c>
      <c r="E6" s="30" t="s">
        <v>1</v>
      </c>
      <c r="F6" s="30">
        <v>5.9285</v>
      </c>
      <c r="G6" s="108" t="s">
        <v>1</v>
      </c>
      <c r="H6" s="108" t="str">
        <f t="shared" si="0"/>
        <v/>
      </c>
      <c r="I6" s="30">
        <v>5.6086</v>
      </c>
      <c r="J6" s="141" t="str">
        <f t="shared" si="1"/>
        <v/>
      </c>
      <c r="K6" s="211" t="str">
        <f>IFERROR(E6/#REF!,"")</f>
        <v/>
      </c>
      <c r="L6" s="30">
        <v>28923</v>
      </c>
      <c r="M6" s="155" t="s">
        <v>72</v>
      </c>
      <c r="N6" s="108" t="s">
        <v>1</v>
      </c>
      <c r="O6" s="108" t="s">
        <v>1</v>
      </c>
      <c r="P6" s="108" t="s">
        <v>1</v>
      </c>
      <c r="Q6" s="108" t="s">
        <v>1</v>
      </c>
      <c r="R6" s="108">
        <v>3299</v>
      </c>
      <c r="S6" s="108">
        <v>0</v>
      </c>
      <c r="T6" s="108" t="s">
        <v>1</v>
      </c>
      <c r="U6" s="108" t="s">
        <v>1</v>
      </c>
      <c r="V6" s="92" t="s">
        <v>1</v>
      </c>
      <c r="W6" s="92" t="s">
        <v>72</v>
      </c>
      <c r="X6" s="92" t="s">
        <v>1</v>
      </c>
      <c r="Y6" s="92" t="s">
        <v>72</v>
      </c>
      <c r="Z6" s="92" t="s">
        <v>1</v>
      </c>
      <c r="AA6" s="236" t="s">
        <v>72</v>
      </c>
      <c r="AB6" s="92" t="s">
        <v>1</v>
      </c>
      <c r="AC6" s="92" t="s">
        <v>72</v>
      </c>
      <c r="AD6" s="92">
        <v>13</v>
      </c>
      <c r="AE6" s="92" t="s">
        <v>72</v>
      </c>
      <c r="AF6" s="92" t="s">
        <v>1</v>
      </c>
      <c r="AG6" s="92" t="s">
        <v>72</v>
      </c>
      <c r="AH6" s="92">
        <v>1424</v>
      </c>
      <c r="AI6" s="92" t="s">
        <v>72</v>
      </c>
      <c r="AJ6" s="92">
        <v>749</v>
      </c>
      <c r="AK6" s="92" t="s">
        <v>72</v>
      </c>
      <c r="AL6" s="92">
        <v>39</v>
      </c>
      <c r="AM6" s="92" t="s">
        <v>72</v>
      </c>
      <c r="AN6" s="92">
        <v>42</v>
      </c>
      <c r="AO6" s="92" t="s">
        <v>72</v>
      </c>
      <c r="AP6" s="92">
        <v>679</v>
      </c>
      <c r="AQ6" s="92" t="s">
        <v>72</v>
      </c>
      <c r="AR6" s="92">
        <v>103</v>
      </c>
      <c r="AS6" s="92" t="s">
        <v>72</v>
      </c>
      <c r="AT6" s="187">
        <v>0.0086</v>
      </c>
      <c r="AU6" s="92" t="s">
        <v>72</v>
      </c>
      <c r="AV6" s="108" t="s">
        <v>1</v>
      </c>
      <c r="AW6" s="108" t="s">
        <v>1</v>
      </c>
      <c r="AX6" s="108" t="s">
        <v>1</v>
      </c>
      <c r="AY6" s="108" t="s">
        <v>1</v>
      </c>
      <c r="AZ6" s="108" t="s">
        <v>1</v>
      </c>
      <c r="BA6" s="108" t="s">
        <v>1</v>
      </c>
      <c r="BB6" s="108" t="s">
        <v>1</v>
      </c>
      <c r="BC6" s="108" t="s">
        <v>1</v>
      </c>
      <c r="BD6" s="108" t="s">
        <v>1</v>
      </c>
      <c r="BE6" s="108" t="s">
        <v>1</v>
      </c>
      <c r="BF6" s="108" t="s">
        <v>1</v>
      </c>
      <c r="BG6" s="108" t="s">
        <v>1</v>
      </c>
      <c r="BH6" s="110">
        <v>1</v>
      </c>
      <c r="BI6" s="92" t="s">
        <v>73</v>
      </c>
      <c r="BJ6" s="92">
        <v>82</v>
      </c>
      <c r="BK6" s="92">
        <v>1020</v>
      </c>
      <c r="BL6" s="92" t="s">
        <v>72</v>
      </c>
      <c r="BM6" s="92" t="s">
        <v>74</v>
      </c>
      <c r="BN6" s="92">
        <v>525</v>
      </c>
      <c r="BO6" s="92">
        <v>229</v>
      </c>
      <c r="BP6" s="92" t="s">
        <v>72</v>
      </c>
      <c r="BQ6" s="108" t="s">
        <v>1</v>
      </c>
      <c r="BR6" s="108" t="s">
        <v>1</v>
      </c>
      <c r="BS6" s="108" t="s">
        <v>1</v>
      </c>
      <c r="BT6" s="108" t="s">
        <v>1</v>
      </c>
      <c r="BU6" s="108" t="s">
        <v>1</v>
      </c>
      <c r="BV6" s="92" t="s">
        <v>1</v>
      </c>
      <c r="BW6" s="92" t="s">
        <v>1</v>
      </c>
      <c r="BX6" s="92" t="s">
        <v>1</v>
      </c>
      <c r="BY6" s="92" t="s">
        <v>1</v>
      </c>
      <c r="BZ6" s="92" t="s">
        <v>1</v>
      </c>
      <c r="CA6" s="92" t="s">
        <v>1</v>
      </c>
      <c r="CB6" s="92" t="s">
        <v>1</v>
      </c>
      <c r="CC6" s="92" t="s">
        <v>1</v>
      </c>
      <c r="CD6" s="92" t="s">
        <v>1</v>
      </c>
      <c r="CE6" s="92" t="s">
        <v>1</v>
      </c>
      <c r="CF6" s="108" t="s">
        <v>1</v>
      </c>
    </row>
    <row r="7" ht="21" customHeight="1" spans="1:84">
      <c r="A7" s="107">
        <v>45110</v>
      </c>
      <c r="B7" s="188" t="s">
        <v>75</v>
      </c>
      <c r="C7" s="92" t="s">
        <v>71</v>
      </c>
      <c r="D7" s="30" t="s">
        <v>1</v>
      </c>
      <c r="E7" s="30" t="s">
        <v>1</v>
      </c>
      <c r="F7" s="30">
        <v>0.9597</v>
      </c>
      <c r="G7" s="108" t="s">
        <v>1</v>
      </c>
      <c r="H7" s="108" t="str">
        <f t="shared" si="0"/>
        <v/>
      </c>
      <c r="I7" s="30">
        <v>0</v>
      </c>
      <c r="J7" s="141" t="str">
        <f t="shared" si="1"/>
        <v/>
      </c>
      <c r="K7" s="211" t="str">
        <f>IFERROR(E7/#REF!,"")</f>
        <v/>
      </c>
      <c r="L7" s="30">
        <v>22490</v>
      </c>
      <c r="M7" s="155" t="s">
        <v>72</v>
      </c>
      <c r="N7" s="108" t="s">
        <v>1</v>
      </c>
      <c r="O7" s="108" t="s">
        <v>1</v>
      </c>
      <c r="P7" s="108" t="s">
        <v>1</v>
      </c>
      <c r="Q7" s="108" t="s">
        <v>1</v>
      </c>
      <c r="R7" s="108">
        <v>0</v>
      </c>
      <c r="S7" s="108">
        <v>0</v>
      </c>
      <c r="T7" s="108" t="s">
        <v>1</v>
      </c>
      <c r="U7" s="108" t="s">
        <v>1</v>
      </c>
      <c r="V7" s="92" t="s">
        <v>1</v>
      </c>
      <c r="W7" s="92" t="s">
        <v>72</v>
      </c>
      <c r="X7" s="92" t="s">
        <v>1</v>
      </c>
      <c r="Y7" s="92" t="s">
        <v>72</v>
      </c>
      <c r="Z7" s="92" t="s">
        <v>1</v>
      </c>
      <c r="AA7" s="236" t="s">
        <v>72</v>
      </c>
      <c r="AB7" s="92" t="s">
        <v>1</v>
      </c>
      <c r="AC7" s="92" t="s">
        <v>72</v>
      </c>
      <c r="AD7" s="92">
        <v>16</v>
      </c>
      <c r="AE7" s="92" t="s">
        <v>72</v>
      </c>
      <c r="AF7" s="92" t="s">
        <v>1</v>
      </c>
      <c r="AG7" s="92" t="s">
        <v>72</v>
      </c>
      <c r="AH7" s="92">
        <v>1525</v>
      </c>
      <c r="AI7" s="92" t="s">
        <v>72</v>
      </c>
      <c r="AJ7" s="92">
        <v>785</v>
      </c>
      <c r="AK7" s="92" t="s">
        <v>72</v>
      </c>
      <c r="AL7" s="92">
        <v>59</v>
      </c>
      <c r="AM7" s="92" t="s">
        <v>72</v>
      </c>
      <c r="AN7" s="92">
        <v>36</v>
      </c>
      <c r="AO7" s="92" t="s">
        <v>72</v>
      </c>
      <c r="AP7" s="92">
        <v>635</v>
      </c>
      <c r="AQ7" s="92" t="s">
        <v>72</v>
      </c>
      <c r="AR7" s="92">
        <v>135</v>
      </c>
      <c r="AS7" s="92" t="s">
        <v>72</v>
      </c>
      <c r="AT7" s="187">
        <v>0</v>
      </c>
      <c r="AU7" s="92" t="s">
        <v>72</v>
      </c>
      <c r="AV7" s="108" t="s">
        <v>1</v>
      </c>
      <c r="AW7" s="108" t="s">
        <v>1</v>
      </c>
      <c r="AX7" s="108" t="s">
        <v>1</v>
      </c>
      <c r="AY7" s="108" t="s">
        <v>1</v>
      </c>
      <c r="AZ7" s="108" t="s">
        <v>1</v>
      </c>
      <c r="BA7" s="108" t="s">
        <v>1</v>
      </c>
      <c r="BB7" s="108" t="s">
        <v>1</v>
      </c>
      <c r="BC7" s="108" t="s">
        <v>1</v>
      </c>
      <c r="BD7" s="108" t="s">
        <v>1</v>
      </c>
      <c r="BE7" s="108" t="s">
        <v>1</v>
      </c>
      <c r="BF7" s="108" t="s">
        <v>1</v>
      </c>
      <c r="BG7" s="108" t="s">
        <v>1</v>
      </c>
      <c r="BH7" s="110">
        <v>1</v>
      </c>
      <c r="BI7" s="92" t="s">
        <v>73</v>
      </c>
      <c r="BJ7" s="92">
        <v>90</v>
      </c>
      <c r="BK7" s="92">
        <v>776</v>
      </c>
      <c r="BL7" s="92" t="s">
        <v>72</v>
      </c>
      <c r="BM7" s="92" t="s">
        <v>74</v>
      </c>
      <c r="BN7" s="92">
        <v>567</v>
      </c>
      <c r="BO7" s="92">
        <v>191</v>
      </c>
      <c r="BP7" s="92" t="s">
        <v>72</v>
      </c>
      <c r="BQ7" s="108" t="s">
        <v>1</v>
      </c>
      <c r="BR7" s="108" t="s">
        <v>1</v>
      </c>
      <c r="BS7" s="108" t="s">
        <v>1</v>
      </c>
      <c r="BT7" s="108" t="s">
        <v>1</v>
      </c>
      <c r="BU7" s="108" t="s">
        <v>1</v>
      </c>
      <c r="BV7" s="189" t="s">
        <v>83</v>
      </c>
      <c r="BW7" s="189" t="s">
        <v>93</v>
      </c>
      <c r="BX7" s="190" t="s">
        <v>92</v>
      </c>
      <c r="BY7" s="188" t="s">
        <v>141</v>
      </c>
      <c r="BZ7" s="189" t="s">
        <v>84</v>
      </c>
      <c r="CA7" s="189" t="s">
        <v>86</v>
      </c>
      <c r="CB7" s="189" t="s">
        <v>87</v>
      </c>
      <c r="CC7" s="188" t="s">
        <v>142</v>
      </c>
      <c r="CD7" s="189" t="s">
        <v>143</v>
      </c>
      <c r="CE7" s="191" t="s">
        <v>144</v>
      </c>
      <c r="CF7" s="108" t="s">
        <v>1</v>
      </c>
    </row>
    <row r="8" ht="21" customHeight="1" spans="1:84">
      <c r="A8" s="107">
        <v>45111</v>
      </c>
      <c r="B8" s="108" t="s">
        <v>70</v>
      </c>
      <c r="C8" s="92" t="s">
        <v>71</v>
      </c>
      <c r="D8" s="30" t="s">
        <v>1</v>
      </c>
      <c r="E8" s="30" t="s">
        <v>1</v>
      </c>
      <c r="F8" s="30">
        <v>6.9279</v>
      </c>
      <c r="G8" s="108" t="s">
        <v>1</v>
      </c>
      <c r="H8" s="108" t="str">
        <f t="shared" si="0"/>
        <v/>
      </c>
      <c r="I8" s="30">
        <v>6.9279</v>
      </c>
      <c r="J8" s="141" t="str">
        <f t="shared" si="1"/>
        <v/>
      </c>
      <c r="K8" s="211" t="str">
        <f>IFERROR(E8/#REF!,"")</f>
        <v/>
      </c>
      <c r="L8" s="30">
        <v>65680</v>
      </c>
      <c r="M8" s="155" t="s">
        <v>72</v>
      </c>
      <c r="N8" s="108" t="s">
        <v>1</v>
      </c>
      <c r="O8" s="108" t="s">
        <v>1</v>
      </c>
      <c r="P8" s="108" t="s">
        <v>1</v>
      </c>
      <c r="Q8" s="108" t="s">
        <v>1</v>
      </c>
      <c r="R8" s="108">
        <v>9897</v>
      </c>
      <c r="S8" s="108">
        <v>0</v>
      </c>
      <c r="T8" s="108" t="s">
        <v>1</v>
      </c>
      <c r="U8" s="108" t="s">
        <v>1</v>
      </c>
      <c r="V8" s="92" t="s">
        <v>1</v>
      </c>
      <c r="W8" s="92" t="s">
        <v>72</v>
      </c>
      <c r="X8" s="92" t="s">
        <v>1</v>
      </c>
      <c r="Y8" s="92" t="s">
        <v>72</v>
      </c>
      <c r="Z8" s="92" t="s">
        <v>1</v>
      </c>
      <c r="AA8" s="236" t="s">
        <v>72</v>
      </c>
      <c r="AB8" s="92" t="s">
        <v>1</v>
      </c>
      <c r="AC8" s="92" t="s">
        <v>72</v>
      </c>
      <c r="AD8" s="92">
        <v>21</v>
      </c>
      <c r="AE8" s="92" t="s">
        <v>72</v>
      </c>
      <c r="AF8" s="92" t="s">
        <v>1</v>
      </c>
      <c r="AG8" s="92" t="s">
        <v>72</v>
      </c>
      <c r="AH8" s="92">
        <v>1595</v>
      </c>
      <c r="AI8" s="92" t="s">
        <v>72</v>
      </c>
      <c r="AJ8" s="92">
        <v>815</v>
      </c>
      <c r="AK8" s="92" t="s">
        <v>72</v>
      </c>
      <c r="AL8" s="92">
        <v>45</v>
      </c>
      <c r="AM8" s="92" t="s">
        <v>72</v>
      </c>
      <c r="AN8" s="92">
        <v>36</v>
      </c>
      <c r="AO8" s="92" t="s">
        <v>72</v>
      </c>
      <c r="AP8" s="92">
        <v>614</v>
      </c>
      <c r="AQ8" s="92" t="s">
        <v>72</v>
      </c>
      <c r="AR8" s="92">
        <v>151</v>
      </c>
      <c r="AS8" s="92" t="s">
        <v>72</v>
      </c>
      <c r="AT8" s="187">
        <v>0.0096</v>
      </c>
      <c r="AU8" s="92" t="s">
        <v>72</v>
      </c>
      <c r="AV8" s="108" t="s">
        <v>1</v>
      </c>
      <c r="AW8" s="108" t="s">
        <v>1</v>
      </c>
      <c r="AX8" s="108" t="s">
        <v>1</v>
      </c>
      <c r="AY8" s="108" t="s">
        <v>1</v>
      </c>
      <c r="AZ8" s="108" t="s">
        <v>1</v>
      </c>
      <c r="BA8" s="108" t="s">
        <v>1</v>
      </c>
      <c r="BB8" s="108" t="s">
        <v>1</v>
      </c>
      <c r="BC8" s="108" t="s">
        <v>1</v>
      </c>
      <c r="BD8" s="108" t="s">
        <v>1</v>
      </c>
      <c r="BE8" s="108" t="s">
        <v>1</v>
      </c>
      <c r="BF8" s="108" t="s">
        <v>1</v>
      </c>
      <c r="BG8" s="108" t="s">
        <v>1</v>
      </c>
      <c r="BH8" s="110">
        <v>1</v>
      </c>
      <c r="BI8" s="92" t="s">
        <v>73</v>
      </c>
      <c r="BJ8" s="92">
        <v>90</v>
      </c>
      <c r="BK8" s="92">
        <v>767</v>
      </c>
      <c r="BL8" s="92" t="s">
        <v>72</v>
      </c>
      <c r="BM8" s="92" t="s">
        <v>74</v>
      </c>
      <c r="BN8" s="92">
        <v>519</v>
      </c>
      <c r="BO8" s="92">
        <v>207</v>
      </c>
      <c r="BP8" s="92" t="s">
        <v>72</v>
      </c>
      <c r="BQ8" s="108" t="s">
        <v>1</v>
      </c>
      <c r="BR8" s="108" t="s">
        <v>1</v>
      </c>
      <c r="BS8" s="108" t="s">
        <v>1</v>
      </c>
      <c r="BT8" s="108" t="s">
        <v>1</v>
      </c>
      <c r="BU8" s="108" t="s">
        <v>1</v>
      </c>
      <c r="BV8" s="189" t="s">
        <v>1</v>
      </c>
      <c r="BW8" s="189" t="s">
        <v>1</v>
      </c>
      <c r="BX8" s="190" t="s">
        <v>1</v>
      </c>
      <c r="BY8" s="188" t="s">
        <v>1</v>
      </c>
      <c r="BZ8" s="189" t="s">
        <v>1</v>
      </c>
      <c r="CA8" s="189" t="s">
        <v>1</v>
      </c>
      <c r="CB8" s="189" t="s">
        <v>1</v>
      </c>
      <c r="CC8" s="188" t="s">
        <v>1</v>
      </c>
      <c r="CD8" s="189" t="s">
        <v>1</v>
      </c>
      <c r="CE8" s="191" t="s">
        <v>1</v>
      </c>
      <c r="CF8" s="108" t="s">
        <v>1</v>
      </c>
    </row>
    <row r="9" ht="21" customHeight="1" spans="1:84">
      <c r="A9" s="107">
        <v>45112</v>
      </c>
      <c r="B9" s="108" t="s">
        <v>70</v>
      </c>
      <c r="C9" s="92" t="s">
        <v>71</v>
      </c>
      <c r="D9" s="30" t="s">
        <v>1</v>
      </c>
      <c r="E9" s="30" t="s">
        <v>1</v>
      </c>
      <c r="F9" s="30">
        <v>11.1969</v>
      </c>
      <c r="G9" s="108" t="s">
        <v>1</v>
      </c>
      <c r="H9" s="108" t="str">
        <f t="shared" si="0"/>
        <v/>
      </c>
      <c r="I9" s="30">
        <v>10.5571</v>
      </c>
      <c r="J9" s="141" t="str">
        <f t="shared" si="1"/>
        <v/>
      </c>
      <c r="K9" s="211" t="str">
        <f>IFERROR(E9/#REF!,"")</f>
        <v/>
      </c>
      <c r="L9" s="30">
        <v>59987</v>
      </c>
      <c r="M9" s="155" t="s">
        <v>72</v>
      </c>
      <c r="N9" s="108" t="s">
        <v>1</v>
      </c>
      <c r="O9" s="108" t="s">
        <v>1</v>
      </c>
      <c r="P9" s="108" t="s">
        <v>1</v>
      </c>
      <c r="Q9" s="108" t="s">
        <v>1</v>
      </c>
      <c r="R9" s="108">
        <v>3299</v>
      </c>
      <c r="S9" s="108">
        <v>0</v>
      </c>
      <c r="T9" s="108" t="s">
        <v>1</v>
      </c>
      <c r="U9" s="108" t="s">
        <v>1</v>
      </c>
      <c r="V9" s="92" t="s">
        <v>1</v>
      </c>
      <c r="W9" s="92" t="s">
        <v>72</v>
      </c>
      <c r="X9" s="92" t="s">
        <v>1</v>
      </c>
      <c r="Y9" s="92" t="s">
        <v>72</v>
      </c>
      <c r="Z9" s="92" t="s">
        <v>1</v>
      </c>
      <c r="AA9" s="236" t="s">
        <v>72</v>
      </c>
      <c r="AB9" s="92" t="s">
        <v>1</v>
      </c>
      <c r="AC9" s="92" t="s">
        <v>72</v>
      </c>
      <c r="AD9" s="92">
        <v>7</v>
      </c>
      <c r="AE9" s="92" t="s">
        <v>72</v>
      </c>
      <c r="AF9" s="92" t="s">
        <v>1</v>
      </c>
      <c r="AG9" s="92" t="s">
        <v>72</v>
      </c>
      <c r="AH9" s="92">
        <v>1735</v>
      </c>
      <c r="AI9" s="92" t="s">
        <v>72</v>
      </c>
      <c r="AJ9" s="92">
        <v>498</v>
      </c>
      <c r="AK9" s="92" t="s">
        <v>72</v>
      </c>
      <c r="AL9" s="92">
        <v>53</v>
      </c>
      <c r="AM9" s="92" t="s">
        <v>72</v>
      </c>
      <c r="AN9" s="92">
        <v>29</v>
      </c>
      <c r="AO9" s="92" t="s">
        <v>72</v>
      </c>
      <c r="AP9" s="92">
        <v>769</v>
      </c>
      <c r="AQ9" s="92" t="s">
        <v>72</v>
      </c>
      <c r="AR9" s="92">
        <v>151</v>
      </c>
      <c r="AS9" s="92" t="s">
        <v>72</v>
      </c>
      <c r="AT9" s="187">
        <v>0.0147</v>
      </c>
      <c r="AU9" s="92" t="s">
        <v>72</v>
      </c>
      <c r="AV9" s="108" t="s">
        <v>1</v>
      </c>
      <c r="AW9" s="108" t="s">
        <v>1</v>
      </c>
      <c r="AX9" s="108" t="s">
        <v>1</v>
      </c>
      <c r="AY9" s="108" t="s">
        <v>1</v>
      </c>
      <c r="AZ9" s="108" t="s">
        <v>1</v>
      </c>
      <c r="BA9" s="108" t="s">
        <v>1</v>
      </c>
      <c r="BB9" s="108" t="s">
        <v>1</v>
      </c>
      <c r="BC9" s="108" t="s">
        <v>1</v>
      </c>
      <c r="BD9" s="108" t="s">
        <v>1</v>
      </c>
      <c r="BE9" s="108" t="s">
        <v>1</v>
      </c>
      <c r="BF9" s="108" t="s">
        <v>1</v>
      </c>
      <c r="BG9" s="108" t="s">
        <v>1</v>
      </c>
      <c r="BH9" s="110">
        <v>1</v>
      </c>
      <c r="BI9" s="92" t="s">
        <v>73</v>
      </c>
      <c r="BJ9" s="92">
        <v>64</v>
      </c>
      <c r="BK9" s="92">
        <v>1031</v>
      </c>
      <c r="BL9" s="92" t="s">
        <v>72</v>
      </c>
      <c r="BM9" s="92" t="s">
        <v>74</v>
      </c>
      <c r="BN9" s="92">
        <v>335</v>
      </c>
      <c r="BO9" s="92">
        <v>340</v>
      </c>
      <c r="BP9" s="92" t="s">
        <v>72</v>
      </c>
      <c r="BQ9" s="108" t="s">
        <v>1</v>
      </c>
      <c r="BR9" s="108" t="s">
        <v>1</v>
      </c>
      <c r="BS9" s="108" t="s">
        <v>1</v>
      </c>
      <c r="BT9" s="108" t="s">
        <v>1</v>
      </c>
      <c r="BU9" s="108" t="s">
        <v>1</v>
      </c>
      <c r="BV9" s="189" t="s">
        <v>1</v>
      </c>
      <c r="BW9" s="189" t="s">
        <v>1</v>
      </c>
      <c r="BX9" s="190" t="s">
        <v>1</v>
      </c>
      <c r="BY9" s="188" t="s">
        <v>1</v>
      </c>
      <c r="BZ9" s="189" t="s">
        <v>1</v>
      </c>
      <c r="CA9" s="189" t="s">
        <v>1</v>
      </c>
      <c r="CB9" s="189" t="s">
        <v>1</v>
      </c>
      <c r="CC9" s="188" t="s">
        <v>1</v>
      </c>
      <c r="CD9" s="189" t="s">
        <v>1</v>
      </c>
      <c r="CE9" s="191" t="s">
        <v>1</v>
      </c>
      <c r="CF9" s="108" t="s">
        <v>1</v>
      </c>
    </row>
    <row r="10" ht="21" customHeight="1" spans="1:84">
      <c r="A10" s="107">
        <v>45113</v>
      </c>
      <c r="B10" s="188" t="s">
        <v>75</v>
      </c>
      <c r="C10" s="92" t="s">
        <v>71</v>
      </c>
      <c r="D10" s="30" t="s">
        <v>1</v>
      </c>
      <c r="E10" s="30" t="s">
        <v>1</v>
      </c>
      <c r="F10" s="30">
        <v>1.2197</v>
      </c>
      <c r="G10" s="108" t="s">
        <v>1</v>
      </c>
      <c r="H10" s="108" t="str">
        <f t="shared" si="0"/>
        <v/>
      </c>
      <c r="I10" s="30">
        <v>0.8998</v>
      </c>
      <c r="J10" s="141" t="str">
        <f t="shared" si="1"/>
        <v/>
      </c>
      <c r="K10" s="211" t="str">
        <f>IFERROR(E10/#REF!,"")</f>
        <v/>
      </c>
      <c r="L10" s="30">
        <v>6158</v>
      </c>
      <c r="M10" s="155" t="s">
        <v>72</v>
      </c>
      <c r="N10" s="108" t="s">
        <v>1</v>
      </c>
      <c r="O10" s="108" t="s">
        <v>1</v>
      </c>
      <c r="P10" s="108" t="s">
        <v>1</v>
      </c>
      <c r="Q10" s="108" t="s">
        <v>1</v>
      </c>
      <c r="R10" s="108">
        <v>0</v>
      </c>
      <c r="S10" s="108">
        <v>0</v>
      </c>
      <c r="T10" s="108" t="s">
        <v>1</v>
      </c>
      <c r="U10" s="108" t="s">
        <v>1</v>
      </c>
      <c r="V10" s="92" t="s">
        <v>1</v>
      </c>
      <c r="W10" s="92" t="s">
        <v>72</v>
      </c>
      <c r="X10" s="92" t="s">
        <v>1</v>
      </c>
      <c r="Y10" s="92" t="s">
        <v>72</v>
      </c>
      <c r="Z10" s="92" t="s">
        <v>1</v>
      </c>
      <c r="AA10" s="236" t="s">
        <v>72</v>
      </c>
      <c r="AB10" s="92" t="s">
        <v>1</v>
      </c>
      <c r="AC10" s="92" t="s">
        <v>72</v>
      </c>
      <c r="AD10" s="92">
        <v>7</v>
      </c>
      <c r="AE10" s="92" t="s">
        <v>72</v>
      </c>
      <c r="AF10" s="92" t="s">
        <v>1</v>
      </c>
      <c r="AG10" s="92" t="s">
        <v>72</v>
      </c>
      <c r="AH10" s="92">
        <v>1310</v>
      </c>
      <c r="AI10" s="92" t="s">
        <v>72</v>
      </c>
      <c r="AJ10" s="92">
        <v>649</v>
      </c>
      <c r="AK10" s="92" t="s">
        <v>72</v>
      </c>
      <c r="AL10" s="92">
        <v>72</v>
      </c>
      <c r="AM10" s="92" t="s">
        <v>72</v>
      </c>
      <c r="AN10" s="92">
        <v>39</v>
      </c>
      <c r="AO10" s="92" t="s">
        <v>72</v>
      </c>
      <c r="AP10" s="92">
        <v>468</v>
      </c>
      <c r="AQ10" s="92" t="s">
        <v>72</v>
      </c>
      <c r="AR10" s="92">
        <v>103</v>
      </c>
      <c r="AS10" s="92" t="s">
        <v>72</v>
      </c>
      <c r="AT10" s="187">
        <v>0.0011</v>
      </c>
      <c r="AU10" s="92" t="s">
        <v>72</v>
      </c>
      <c r="AV10" s="108" t="s">
        <v>1</v>
      </c>
      <c r="AW10" s="108" t="s">
        <v>1</v>
      </c>
      <c r="AX10" s="108" t="s">
        <v>1</v>
      </c>
      <c r="AY10" s="108" t="s">
        <v>1</v>
      </c>
      <c r="AZ10" s="108" t="s">
        <v>1</v>
      </c>
      <c r="BA10" s="108" t="s">
        <v>1</v>
      </c>
      <c r="BB10" s="108" t="s">
        <v>1</v>
      </c>
      <c r="BC10" s="108" t="s">
        <v>1</v>
      </c>
      <c r="BD10" s="108" t="s">
        <v>1</v>
      </c>
      <c r="BE10" s="108" t="s">
        <v>1</v>
      </c>
      <c r="BF10" s="108" t="s">
        <v>1</v>
      </c>
      <c r="BG10" s="108" t="s">
        <v>1</v>
      </c>
      <c r="BH10" s="110">
        <v>1</v>
      </c>
      <c r="BI10" s="92" t="s">
        <v>73</v>
      </c>
      <c r="BJ10" s="92">
        <v>94</v>
      </c>
      <c r="BK10" s="92">
        <v>632</v>
      </c>
      <c r="BL10" s="92" t="s">
        <v>72</v>
      </c>
      <c r="BM10" s="92" t="s">
        <v>74</v>
      </c>
      <c r="BN10" s="92">
        <v>328</v>
      </c>
      <c r="BO10" s="92">
        <v>362</v>
      </c>
      <c r="BP10" s="92" t="s">
        <v>72</v>
      </c>
      <c r="BQ10" s="108" t="s">
        <v>1</v>
      </c>
      <c r="BR10" s="108" t="s">
        <v>1</v>
      </c>
      <c r="BS10" s="108" t="s">
        <v>1</v>
      </c>
      <c r="BT10" s="108" t="s">
        <v>1</v>
      </c>
      <c r="BU10" s="108" t="s">
        <v>1</v>
      </c>
      <c r="BV10" s="189" t="s">
        <v>1</v>
      </c>
      <c r="BW10" s="189" t="s">
        <v>1</v>
      </c>
      <c r="BX10" s="190" t="s">
        <v>1</v>
      </c>
      <c r="BY10" s="188" t="s">
        <v>1</v>
      </c>
      <c r="BZ10" s="189" t="s">
        <v>1</v>
      </c>
      <c r="CA10" s="189" t="s">
        <v>1</v>
      </c>
      <c r="CB10" s="189" t="s">
        <v>1</v>
      </c>
      <c r="CC10" s="188" t="s">
        <v>1</v>
      </c>
      <c r="CD10" s="189" t="s">
        <v>1</v>
      </c>
      <c r="CE10" s="191" t="s">
        <v>1</v>
      </c>
      <c r="CF10" s="108" t="s">
        <v>1</v>
      </c>
    </row>
    <row r="11" ht="21" customHeight="1" spans="1:84">
      <c r="A11" s="107">
        <v>45114</v>
      </c>
      <c r="B11" s="108" t="s">
        <v>70</v>
      </c>
      <c r="C11" s="92" t="s">
        <v>71</v>
      </c>
      <c r="D11" s="30" t="s">
        <v>1</v>
      </c>
      <c r="E11" s="30" t="s">
        <v>1</v>
      </c>
      <c r="F11" s="30">
        <v>9.2272</v>
      </c>
      <c r="G11" s="108" t="s">
        <v>1</v>
      </c>
      <c r="H11" s="108" t="str">
        <f t="shared" si="0"/>
        <v/>
      </c>
      <c r="I11" s="30">
        <v>8.9073</v>
      </c>
      <c r="J11" s="141" t="str">
        <f t="shared" si="1"/>
        <v/>
      </c>
      <c r="K11" s="211" t="str">
        <f>IFERROR(E11/#REF!,"")</f>
        <v/>
      </c>
      <c r="L11" s="30">
        <v>15695</v>
      </c>
      <c r="M11" s="155" t="s">
        <v>72</v>
      </c>
      <c r="N11" s="108" t="s">
        <v>1</v>
      </c>
      <c r="O11" s="108" t="s">
        <v>1</v>
      </c>
      <c r="P11" s="108" t="s">
        <v>1</v>
      </c>
      <c r="Q11" s="108" t="s">
        <v>1</v>
      </c>
      <c r="R11" s="108">
        <v>3299</v>
      </c>
      <c r="S11" s="108">
        <v>0</v>
      </c>
      <c r="T11" s="108" t="s">
        <v>1</v>
      </c>
      <c r="U11" s="108" t="s">
        <v>1</v>
      </c>
      <c r="V11" s="92" t="s">
        <v>1</v>
      </c>
      <c r="W11" s="92" t="s">
        <v>72</v>
      </c>
      <c r="X11" s="92" t="s">
        <v>1</v>
      </c>
      <c r="Y11" s="92" t="s">
        <v>72</v>
      </c>
      <c r="Z11" s="92" t="s">
        <v>1</v>
      </c>
      <c r="AA11" s="236" t="s">
        <v>72</v>
      </c>
      <c r="AB11" s="92" t="s">
        <v>1</v>
      </c>
      <c r="AC11" s="92" t="s">
        <v>72</v>
      </c>
      <c r="AD11" s="92">
        <v>14</v>
      </c>
      <c r="AE11" s="92" t="s">
        <v>72</v>
      </c>
      <c r="AF11" s="92" t="s">
        <v>1</v>
      </c>
      <c r="AG11" s="92" t="s">
        <v>72</v>
      </c>
      <c r="AH11" s="92">
        <v>1575</v>
      </c>
      <c r="AI11" s="92" t="s">
        <v>72</v>
      </c>
      <c r="AJ11" s="92">
        <v>711</v>
      </c>
      <c r="AK11" s="92" t="s">
        <v>72</v>
      </c>
      <c r="AL11" s="92">
        <v>64</v>
      </c>
      <c r="AM11" s="92" t="s">
        <v>72</v>
      </c>
      <c r="AN11" s="92">
        <v>32</v>
      </c>
      <c r="AO11" s="92" t="s">
        <v>72</v>
      </c>
      <c r="AP11" s="92">
        <v>708</v>
      </c>
      <c r="AQ11" s="92" t="s">
        <v>72</v>
      </c>
      <c r="AR11" s="92">
        <v>105</v>
      </c>
      <c r="AS11" s="92" t="s">
        <v>72</v>
      </c>
      <c r="AT11" s="187">
        <v>0.0129</v>
      </c>
      <c r="AU11" s="92" t="s">
        <v>72</v>
      </c>
      <c r="AV11" s="108" t="s">
        <v>1</v>
      </c>
      <c r="AW11" s="108" t="s">
        <v>1</v>
      </c>
      <c r="AX11" s="108" t="s">
        <v>1</v>
      </c>
      <c r="AY11" s="108" t="s">
        <v>1</v>
      </c>
      <c r="AZ11" s="108" t="s">
        <v>1</v>
      </c>
      <c r="BA11" s="108" t="s">
        <v>1</v>
      </c>
      <c r="BB11" s="108" t="s">
        <v>1</v>
      </c>
      <c r="BC11" s="108" t="s">
        <v>1</v>
      </c>
      <c r="BD11" s="108" t="s">
        <v>1</v>
      </c>
      <c r="BE11" s="108" t="s">
        <v>1</v>
      </c>
      <c r="BF11" s="108" t="s">
        <v>1</v>
      </c>
      <c r="BG11" s="108" t="s">
        <v>1</v>
      </c>
      <c r="BH11" s="110">
        <v>1</v>
      </c>
      <c r="BI11" s="92" t="s">
        <v>73</v>
      </c>
      <c r="BJ11" s="92">
        <v>77</v>
      </c>
      <c r="BK11" s="92">
        <v>882</v>
      </c>
      <c r="BL11" s="92" t="s">
        <v>72</v>
      </c>
      <c r="BM11" s="92" t="s">
        <v>74</v>
      </c>
      <c r="BN11" s="92">
        <v>418</v>
      </c>
      <c r="BO11" s="92">
        <v>240</v>
      </c>
      <c r="BP11" s="92" t="s">
        <v>72</v>
      </c>
      <c r="BQ11" s="108" t="s">
        <v>1</v>
      </c>
      <c r="BR11" s="108" t="s">
        <v>1</v>
      </c>
      <c r="BS11" s="108" t="s">
        <v>1</v>
      </c>
      <c r="BT11" s="108" t="s">
        <v>1</v>
      </c>
      <c r="BU11" s="108" t="s">
        <v>1</v>
      </c>
      <c r="BV11" s="189" t="s">
        <v>1</v>
      </c>
      <c r="BW11" s="189" t="s">
        <v>1</v>
      </c>
      <c r="BX11" s="190" t="s">
        <v>1</v>
      </c>
      <c r="BY11" s="188" t="s">
        <v>1</v>
      </c>
      <c r="BZ11" s="189" t="s">
        <v>1</v>
      </c>
      <c r="CA11" s="189" t="s">
        <v>1</v>
      </c>
      <c r="CB11" s="189" t="s">
        <v>1</v>
      </c>
      <c r="CC11" s="188" t="s">
        <v>1</v>
      </c>
      <c r="CD11" s="189" t="s">
        <v>1</v>
      </c>
      <c r="CE11" s="191" t="s">
        <v>1</v>
      </c>
      <c r="CF11" s="108" t="s">
        <v>1</v>
      </c>
    </row>
    <row r="12" ht="21" customHeight="1" spans="1:84">
      <c r="A12" s="107">
        <v>45115</v>
      </c>
      <c r="B12" s="108" t="s">
        <v>70</v>
      </c>
      <c r="C12" s="92" t="s">
        <v>71</v>
      </c>
      <c r="D12" s="30" t="s">
        <v>1</v>
      </c>
      <c r="E12" s="30" t="s">
        <v>1</v>
      </c>
      <c r="F12" s="30">
        <v>6.5783</v>
      </c>
      <c r="G12" s="108" t="s">
        <v>1</v>
      </c>
      <c r="H12" s="108" t="str">
        <f t="shared" si="0"/>
        <v/>
      </c>
      <c r="I12" s="30">
        <v>5.9385</v>
      </c>
      <c r="J12" s="141" t="str">
        <f t="shared" si="1"/>
        <v/>
      </c>
      <c r="K12" s="211" t="str">
        <f>IFERROR(E12/#REF!,"")</f>
        <v/>
      </c>
      <c r="L12" s="30">
        <v>16295</v>
      </c>
      <c r="M12" s="155" t="s">
        <v>72</v>
      </c>
      <c r="N12" s="108" t="s">
        <v>1</v>
      </c>
      <c r="O12" s="108" t="s">
        <v>1</v>
      </c>
      <c r="P12" s="108" t="s">
        <v>1</v>
      </c>
      <c r="Q12" s="108" t="s">
        <v>1</v>
      </c>
      <c r="R12" s="108">
        <v>0</v>
      </c>
      <c r="S12" s="108">
        <v>0</v>
      </c>
      <c r="T12" s="108" t="s">
        <v>1</v>
      </c>
      <c r="U12" s="108" t="s">
        <v>1</v>
      </c>
      <c r="V12" s="92" t="s">
        <v>1</v>
      </c>
      <c r="W12" s="92" t="s">
        <v>72</v>
      </c>
      <c r="X12" s="92" t="s">
        <v>1</v>
      </c>
      <c r="Y12" s="92" t="s">
        <v>72</v>
      </c>
      <c r="Z12" s="92" t="s">
        <v>1</v>
      </c>
      <c r="AA12" s="236" t="s">
        <v>72</v>
      </c>
      <c r="AB12" s="92" t="s">
        <v>1</v>
      </c>
      <c r="AC12" s="92" t="s">
        <v>72</v>
      </c>
      <c r="AD12" s="92">
        <v>11</v>
      </c>
      <c r="AE12" s="92" t="s">
        <v>72</v>
      </c>
      <c r="AF12" s="92" t="s">
        <v>1</v>
      </c>
      <c r="AG12" s="92" t="s">
        <v>72</v>
      </c>
      <c r="AH12" s="92">
        <v>1701</v>
      </c>
      <c r="AI12" s="92" t="s">
        <v>72</v>
      </c>
      <c r="AJ12" s="92">
        <v>295</v>
      </c>
      <c r="AK12" s="92" t="s">
        <v>72</v>
      </c>
      <c r="AL12" s="92">
        <v>57</v>
      </c>
      <c r="AM12" s="92" t="s">
        <v>72</v>
      </c>
      <c r="AN12" s="92">
        <v>47</v>
      </c>
      <c r="AO12" s="92" t="s">
        <v>72</v>
      </c>
      <c r="AP12" s="92">
        <v>764</v>
      </c>
      <c r="AQ12" s="92" t="s">
        <v>72</v>
      </c>
      <c r="AR12" s="92">
        <v>109</v>
      </c>
      <c r="AS12" s="92" t="s">
        <v>72</v>
      </c>
      <c r="AT12" s="187">
        <v>0.0093</v>
      </c>
      <c r="AU12" s="92" t="s">
        <v>72</v>
      </c>
      <c r="AV12" s="108" t="s">
        <v>1</v>
      </c>
      <c r="AW12" s="108" t="s">
        <v>1</v>
      </c>
      <c r="AX12" s="108" t="s">
        <v>1</v>
      </c>
      <c r="AY12" s="108" t="s">
        <v>1</v>
      </c>
      <c r="AZ12" s="108" t="s">
        <v>1</v>
      </c>
      <c r="BA12" s="108" t="s">
        <v>1</v>
      </c>
      <c r="BB12" s="108" t="s">
        <v>1</v>
      </c>
      <c r="BC12" s="108" t="s">
        <v>1</v>
      </c>
      <c r="BD12" s="108" t="s">
        <v>1</v>
      </c>
      <c r="BE12" s="108" t="s">
        <v>1</v>
      </c>
      <c r="BF12" s="108" t="s">
        <v>1</v>
      </c>
      <c r="BG12" s="108" t="s">
        <v>1</v>
      </c>
      <c r="BH12" s="110">
        <v>1</v>
      </c>
      <c r="BI12" s="92" t="s">
        <v>73</v>
      </c>
      <c r="BJ12" s="92">
        <v>69</v>
      </c>
      <c r="BK12" s="92">
        <v>1040</v>
      </c>
      <c r="BL12" s="92" t="s">
        <v>72</v>
      </c>
      <c r="BM12" s="92" t="s">
        <v>74</v>
      </c>
      <c r="BN12" s="92">
        <v>331</v>
      </c>
      <c r="BO12" s="92">
        <v>352</v>
      </c>
      <c r="BP12" s="92" t="s">
        <v>72</v>
      </c>
      <c r="BQ12" s="108" t="s">
        <v>1</v>
      </c>
      <c r="BR12" s="108" t="s">
        <v>1</v>
      </c>
      <c r="BS12" s="108" t="s">
        <v>1</v>
      </c>
      <c r="BT12" s="108" t="s">
        <v>1</v>
      </c>
      <c r="BU12" s="108" t="s">
        <v>1</v>
      </c>
      <c r="BV12" s="189" t="s">
        <v>1</v>
      </c>
      <c r="BW12" s="189" t="s">
        <v>1</v>
      </c>
      <c r="BX12" s="190" t="s">
        <v>1</v>
      </c>
      <c r="BY12" s="188" t="s">
        <v>1</v>
      </c>
      <c r="BZ12" s="189" t="s">
        <v>1</v>
      </c>
      <c r="CA12" s="189" t="s">
        <v>1</v>
      </c>
      <c r="CB12" s="189" t="s">
        <v>1</v>
      </c>
      <c r="CC12" s="188" t="s">
        <v>1</v>
      </c>
      <c r="CD12" s="189" t="s">
        <v>1</v>
      </c>
      <c r="CE12" s="191" t="s">
        <v>1</v>
      </c>
      <c r="CF12" s="108" t="s">
        <v>1</v>
      </c>
    </row>
    <row r="13" ht="21" customHeight="1" spans="1:84">
      <c r="A13" s="107">
        <v>45116</v>
      </c>
      <c r="B13" s="188" t="s">
        <v>75</v>
      </c>
      <c r="C13" s="92" t="s">
        <v>71</v>
      </c>
      <c r="D13" s="30" t="s">
        <v>1</v>
      </c>
      <c r="E13" s="30" t="s">
        <v>1</v>
      </c>
      <c r="F13" s="30">
        <v>0.3199</v>
      </c>
      <c r="G13" s="108" t="s">
        <v>1</v>
      </c>
      <c r="H13" s="108" t="str">
        <f t="shared" si="0"/>
        <v/>
      </c>
      <c r="I13" s="30">
        <v>0</v>
      </c>
      <c r="J13" s="141" t="str">
        <f t="shared" si="1"/>
        <v/>
      </c>
      <c r="K13" s="211" t="str">
        <f>IFERROR(E13/#REF!,"")</f>
        <v/>
      </c>
      <c r="L13" s="30">
        <v>5467</v>
      </c>
      <c r="M13" s="155" t="s">
        <v>72</v>
      </c>
      <c r="N13" s="108" t="s">
        <v>1</v>
      </c>
      <c r="O13" s="108" t="s">
        <v>1</v>
      </c>
      <c r="P13" s="108" t="s">
        <v>1</v>
      </c>
      <c r="Q13" s="108" t="s">
        <v>1</v>
      </c>
      <c r="R13" s="108">
        <v>0</v>
      </c>
      <c r="S13" s="108">
        <v>0</v>
      </c>
      <c r="T13" s="108" t="s">
        <v>1</v>
      </c>
      <c r="U13" s="108" t="s">
        <v>1</v>
      </c>
      <c r="V13" s="92" t="s">
        <v>1</v>
      </c>
      <c r="W13" s="92" t="s">
        <v>72</v>
      </c>
      <c r="X13" s="92" t="s">
        <v>1</v>
      </c>
      <c r="Y13" s="92" t="s">
        <v>72</v>
      </c>
      <c r="Z13" s="92" t="s">
        <v>1</v>
      </c>
      <c r="AA13" s="236" t="s">
        <v>72</v>
      </c>
      <c r="AB13" s="92" t="s">
        <v>1</v>
      </c>
      <c r="AC13" s="92" t="s">
        <v>72</v>
      </c>
      <c r="AD13" s="92">
        <v>24</v>
      </c>
      <c r="AE13" s="92" t="s">
        <v>72</v>
      </c>
      <c r="AF13" s="92" t="s">
        <v>1</v>
      </c>
      <c r="AG13" s="92" t="s">
        <v>72</v>
      </c>
      <c r="AH13" s="92">
        <v>1694</v>
      </c>
      <c r="AI13" s="92" t="s">
        <v>72</v>
      </c>
      <c r="AJ13" s="92">
        <v>701</v>
      </c>
      <c r="AK13" s="92" t="s">
        <v>72</v>
      </c>
      <c r="AL13" s="92">
        <v>76</v>
      </c>
      <c r="AM13" s="92" t="s">
        <v>72</v>
      </c>
      <c r="AN13" s="92">
        <v>49</v>
      </c>
      <c r="AO13" s="92" t="s">
        <v>72</v>
      </c>
      <c r="AP13" s="92">
        <v>721</v>
      </c>
      <c r="AQ13" s="92" t="s">
        <v>72</v>
      </c>
      <c r="AR13" s="92">
        <v>134</v>
      </c>
      <c r="AS13" s="92" t="s">
        <v>72</v>
      </c>
      <c r="AT13" s="187">
        <v>0</v>
      </c>
      <c r="AU13" s="92" t="s">
        <v>72</v>
      </c>
      <c r="AV13" s="108" t="s">
        <v>1</v>
      </c>
      <c r="AW13" s="108" t="s">
        <v>1</v>
      </c>
      <c r="AX13" s="108" t="s">
        <v>1</v>
      </c>
      <c r="AY13" s="108" t="s">
        <v>1</v>
      </c>
      <c r="AZ13" s="108" t="s">
        <v>1</v>
      </c>
      <c r="BA13" s="108" t="s">
        <v>1</v>
      </c>
      <c r="BB13" s="108" t="s">
        <v>1</v>
      </c>
      <c r="BC13" s="108" t="s">
        <v>1</v>
      </c>
      <c r="BD13" s="108" t="s">
        <v>1</v>
      </c>
      <c r="BE13" s="108" t="s">
        <v>1</v>
      </c>
      <c r="BF13" s="108" t="s">
        <v>1</v>
      </c>
      <c r="BG13" s="108" t="s">
        <v>1</v>
      </c>
      <c r="BH13" s="110">
        <v>1</v>
      </c>
      <c r="BI13" s="92" t="s">
        <v>73</v>
      </c>
      <c r="BJ13" s="92">
        <v>97</v>
      </c>
      <c r="BK13" s="92">
        <v>755</v>
      </c>
      <c r="BL13" s="92" t="s">
        <v>72</v>
      </c>
      <c r="BM13" s="92" t="s">
        <v>74</v>
      </c>
      <c r="BN13" s="92">
        <v>594</v>
      </c>
      <c r="BO13" s="92">
        <v>185</v>
      </c>
      <c r="BP13" s="92" t="s">
        <v>72</v>
      </c>
      <c r="BQ13" s="108" t="s">
        <v>1</v>
      </c>
      <c r="BR13" s="108" t="s">
        <v>1</v>
      </c>
      <c r="BS13" s="108" t="s">
        <v>1</v>
      </c>
      <c r="BT13" s="108" t="s">
        <v>1</v>
      </c>
      <c r="BU13" s="108" t="s">
        <v>1</v>
      </c>
      <c r="BV13" s="189" t="s">
        <v>1</v>
      </c>
      <c r="BW13" s="189" t="s">
        <v>1</v>
      </c>
      <c r="BX13" s="190" t="s">
        <v>1</v>
      </c>
      <c r="BY13" s="188" t="s">
        <v>1</v>
      </c>
      <c r="BZ13" s="189" t="s">
        <v>1</v>
      </c>
      <c r="CA13" s="189" t="s">
        <v>1</v>
      </c>
      <c r="CB13" s="189" t="s">
        <v>1</v>
      </c>
      <c r="CC13" s="188" t="s">
        <v>1</v>
      </c>
      <c r="CD13" s="189" t="s">
        <v>1</v>
      </c>
      <c r="CE13" s="191" t="s">
        <v>1</v>
      </c>
      <c r="CF13" s="108" t="s">
        <v>1</v>
      </c>
    </row>
    <row r="14" ht="21" customHeight="1" spans="1:84">
      <c r="A14" s="107">
        <v>45117</v>
      </c>
      <c r="B14" s="188" t="s">
        <v>75</v>
      </c>
      <c r="C14" s="92" t="s">
        <v>71</v>
      </c>
      <c r="D14" s="30" t="s">
        <v>1</v>
      </c>
      <c r="E14" s="30" t="s">
        <v>1</v>
      </c>
      <c r="F14" s="30">
        <v>0</v>
      </c>
      <c r="G14" s="108" t="s">
        <v>1</v>
      </c>
      <c r="H14" s="108" t="str">
        <f t="shared" si="0"/>
        <v/>
      </c>
      <c r="I14" s="30">
        <v>0</v>
      </c>
      <c r="J14" s="141" t="str">
        <f t="shared" si="1"/>
        <v/>
      </c>
      <c r="K14" s="211" t="str">
        <f>IFERROR(E14/#REF!,"")</f>
        <v/>
      </c>
      <c r="L14" s="30">
        <v>13519</v>
      </c>
      <c r="M14" s="155" t="s">
        <v>72</v>
      </c>
      <c r="N14" s="108" t="s">
        <v>1</v>
      </c>
      <c r="O14" s="108" t="s">
        <v>1</v>
      </c>
      <c r="P14" s="108" t="s">
        <v>1</v>
      </c>
      <c r="Q14" s="108" t="s">
        <v>1</v>
      </c>
      <c r="R14" s="108">
        <v>0</v>
      </c>
      <c r="S14" s="108">
        <v>0</v>
      </c>
      <c r="T14" s="108" t="s">
        <v>1</v>
      </c>
      <c r="U14" s="108" t="s">
        <v>1</v>
      </c>
      <c r="V14" s="92" t="s">
        <v>1</v>
      </c>
      <c r="W14" s="92" t="s">
        <v>72</v>
      </c>
      <c r="X14" s="92" t="s">
        <v>1</v>
      </c>
      <c r="Y14" s="92" t="s">
        <v>72</v>
      </c>
      <c r="Z14" s="92" t="s">
        <v>1</v>
      </c>
      <c r="AA14" s="236" t="s">
        <v>72</v>
      </c>
      <c r="AB14" s="92" t="s">
        <v>1</v>
      </c>
      <c r="AC14" s="92" t="s">
        <v>72</v>
      </c>
      <c r="AD14" s="92">
        <v>23</v>
      </c>
      <c r="AE14" s="92" t="s">
        <v>72</v>
      </c>
      <c r="AF14" s="92" t="s">
        <v>1</v>
      </c>
      <c r="AG14" s="92" t="s">
        <v>72</v>
      </c>
      <c r="AH14" s="92">
        <v>1536</v>
      </c>
      <c r="AI14" s="92" t="s">
        <v>72</v>
      </c>
      <c r="AJ14" s="92">
        <v>787</v>
      </c>
      <c r="AK14" s="92" t="s">
        <v>72</v>
      </c>
      <c r="AL14" s="92">
        <v>49</v>
      </c>
      <c r="AM14" s="92" t="s">
        <v>72</v>
      </c>
      <c r="AN14" s="92">
        <v>44</v>
      </c>
      <c r="AO14" s="92" t="s">
        <v>72</v>
      </c>
      <c r="AP14" s="92">
        <v>530</v>
      </c>
      <c r="AQ14" s="92" t="s">
        <v>72</v>
      </c>
      <c r="AR14" s="92">
        <v>127</v>
      </c>
      <c r="AS14" s="92" t="s">
        <v>72</v>
      </c>
      <c r="AT14" s="187">
        <v>0</v>
      </c>
      <c r="AU14" s="92" t="s">
        <v>72</v>
      </c>
      <c r="AV14" s="108" t="s">
        <v>1</v>
      </c>
      <c r="AW14" s="108" t="s">
        <v>1</v>
      </c>
      <c r="AX14" s="108" t="s">
        <v>1</v>
      </c>
      <c r="AY14" s="108" t="s">
        <v>1</v>
      </c>
      <c r="AZ14" s="108" t="s">
        <v>1</v>
      </c>
      <c r="BA14" s="108" t="s">
        <v>1</v>
      </c>
      <c r="BB14" s="108" t="s">
        <v>1</v>
      </c>
      <c r="BC14" s="108" t="s">
        <v>1</v>
      </c>
      <c r="BD14" s="108" t="s">
        <v>1</v>
      </c>
      <c r="BE14" s="108" t="s">
        <v>1</v>
      </c>
      <c r="BF14" s="108" t="s">
        <v>1</v>
      </c>
      <c r="BG14" s="108" t="s">
        <v>1</v>
      </c>
      <c r="BH14" s="110">
        <v>1</v>
      </c>
      <c r="BI14" s="92" t="s">
        <v>74</v>
      </c>
      <c r="BJ14" s="92">
        <v>117</v>
      </c>
      <c r="BK14" s="92">
        <v>538</v>
      </c>
      <c r="BL14" s="92" t="s">
        <v>72</v>
      </c>
      <c r="BM14" s="92" t="s">
        <v>74</v>
      </c>
      <c r="BN14" s="92">
        <v>747</v>
      </c>
      <c r="BO14" s="92">
        <v>128</v>
      </c>
      <c r="BP14" s="92" t="s">
        <v>72</v>
      </c>
      <c r="BQ14" s="108" t="s">
        <v>1</v>
      </c>
      <c r="BR14" s="108" t="s">
        <v>1</v>
      </c>
      <c r="BS14" s="108" t="s">
        <v>1</v>
      </c>
      <c r="BT14" s="108" t="s">
        <v>1</v>
      </c>
      <c r="BU14" s="108" t="s">
        <v>1</v>
      </c>
      <c r="BV14" s="92" t="s">
        <v>1</v>
      </c>
      <c r="BW14" s="92" t="s">
        <v>1</v>
      </c>
      <c r="BX14" s="92" t="s">
        <v>1</v>
      </c>
      <c r="BY14" s="92" t="s">
        <v>1</v>
      </c>
      <c r="BZ14" s="92" t="s">
        <v>1</v>
      </c>
      <c r="CA14" s="92" t="s">
        <v>1</v>
      </c>
      <c r="CB14" s="92" t="s">
        <v>1</v>
      </c>
      <c r="CC14" s="92" t="s">
        <v>1</v>
      </c>
      <c r="CD14" s="92" t="s">
        <v>1</v>
      </c>
      <c r="CE14" s="92" t="s">
        <v>1</v>
      </c>
      <c r="CF14" s="108" t="s">
        <v>1</v>
      </c>
    </row>
    <row r="15" ht="21" customHeight="1" spans="1:84">
      <c r="A15" s="107">
        <v>45118</v>
      </c>
      <c r="B15" s="108" t="s">
        <v>70</v>
      </c>
      <c r="C15" s="92" t="s">
        <v>71</v>
      </c>
      <c r="D15" s="30" t="s">
        <v>1</v>
      </c>
      <c r="E15" s="30" t="s">
        <v>1</v>
      </c>
      <c r="F15" s="30">
        <v>10.5568</v>
      </c>
      <c r="G15" s="108" t="s">
        <v>1</v>
      </c>
      <c r="H15" s="108" t="str">
        <f t="shared" si="0"/>
        <v/>
      </c>
      <c r="I15" s="30">
        <v>10.5568</v>
      </c>
      <c r="J15" s="141" t="str">
        <f t="shared" si="1"/>
        <v/>
      </c>
      <c r="K15" s="211" t="str">
        <f>IFERROR(E15/#REF!,"")</f>
        <v/>
      </c>
      <c r="L15" s="30">
        <v>78675</v>
      </c>
      <c r="M15" s="155" t="s">
        <v>72</v>
      </c>
      <c r="N15" s="108" t="s">
        <v>1</v>
      </c>
      <c r="O15" s="108" t="s">
        <v>1</v>
      </c>
      <c r="P15" s="108" t="s">
        <v>1</v>
      </c>
      <c r="Q15" s="108" t="s">
        <v>1</v>
      </c>
      <c r="R15" s="108">
        <v>16495</v>
      </c>
      <c r="S15" s="108">
        <v>0</v>
      </c>
      <c r="T15" s="108" t="s">
        <v>1</v>
      </c>
      <c r="U15" s="108" t="s">
        <v>1</v>
      </c>
      <c r="V15" s="92" t="s">
        <v>1</v>
      </c>
      <c r="W15" s="92" t="s">
        <v>72</v>
      </c>
      <c r="X15" s="92" t="s">
        <v>1</v>
      </c>
      <c r="Y15" s="92" t="s">
        <v>72</v>
      </c>
      <c r="Z15" s="92" t="s">
        <v>1</v>
      </c>
      <c r="AA15" s="236" t="s">
        <v>72</v>
      </c>
      <c r="AB15" s="92" t="s">
        <v>1</v>
      </c>
      <c r="AC15" s="92" t="s">
        <v>72</v>
      </c>
      <c r="AD15" s="92">
        <v>22</v>
      </c>
      <c r="AE15" s="92" t="s">
        <v>72</v>
      </c>
      <c r="AF15" s="92" t="s">
        <v>1</v>
      </c>
      <c r="AG15" s="92" t="s">
        <v>72</v>
      </c>
      <c r="AH15" s="92">
        <v>1897</v>
      </c>
      <c r="AI15" s="92" t="s">
        <v>72</v>
      </c>
      <c r="AJ15" s="92">
        <v>759</v>
      </c>
      <c r="AK15" s="92" t="s">
        <v>72</v>
      </c>
      <c r="AL15" s="92">
        <v>56</v>
      </c>
      <c r="AM15" s="92" t="s">
        <v>72</v>
      </c>
      <c r="AN15" s="92">
        <v>58</v>
      </c>
      <c r="AO15" s="92" t="s">
        <v>72</v>
      </c>
      <c r="AP15" s="92">
        <v>690</v>
      </c>
      <c r="AQ15" s="92" t="s">
        <v>72</v>
      </c>
      <c r="AR15" s="92">
        <v>158</v>
      </c>
      <c r="AS15" s="92" t="s">
        <v>72</v>
      </c>
      <c r="AT15" s="187">
        <v>0.013</v>
      </c>
      <c r="AU15" s="92" t="s">
        <v>72</v>
      </c>
      <c r="AV15" s="108" t="s">
        <v>1</v>
      </c>
      <c r="AW15" s="108" t="s">
        <v>1</v>
      </c>
      <c r="AX15" s="108" t="s">
        <v>1</v>
      </c>
      <c r="AY15" s="108" t="s">
        <v>1</v>
      </c>
      <c r="AZ15" s="108" t="s">
        <v>1</v>
      </c>
      <c r="BA15" s="108" t="s">
        <v>1</v>
      </c>
      <c r="BB15" s="108" t="s">
        <v>1</v>
      </c>
      <c r="BC15" s="108" t="s">
        <v>1</v>
      </c>
      <c r="BD15" s="108" t="s">
        <v>1</v>
      </c>
      <c r="BE15" s="108" t="s">
        <v>1</v>
      </c>
      <c r="BF15" s="108" t="s">
        <v>1</v>
      </c>
      <c r="BG15" s="108" t="s">
        <v>1</v>
      </c>
      <c r="BH15" s="110">
        <v>1</v>
      </c>
      <c r="BI15" s="92" t="s">
        <v>73</v>
      </c>
      <c r="BJ15" s="92">
        <v>83</v>
      </c>
      <c r="BK15" s="92">
        <v>764</v>
      </c>
      <c r="BL15" s="92" t="s">
        <v>72</v>
      </c>
      <c r="BM15" s="92" t="s">
        <v>74</v>
      </c>
      <c r="BN15" s="92">
        <v>443</v>
      </c>
      <c r="BO15" s="92">
        <v>246</v>
      </c>
      <c r="BP15" s="92" t="s">
        <v>72</v>
      </c>
      <c r="BQ15" s="108" t="s">
        <v>1</v>
      </c>
      <c r="BR15" s="108" t="s">
        <v>1</v>
      </c>
      <c r="BS15" s="108" t="s">
        <v>1</v>
      </c>
      <c r="BT15" s="108" t="s">
        <v>1</v>
      </c>
      <c r="BU15" s="108" t="s">
        <v>1</v>
      </c>
      <c r="BV15" s="189" t="s">
        <v>83</v>
      </c>
      <c r="BW15" s="189" t="s">
        <v>87</v>
      </c>
      <c r="BX15" s="189" t="s">
        <v>93</v>
      </c>
      <c r="BY15" s="189" t="s">
        <v>86</v>
      </c>
      <c r="BZ15" s="189" t="s">
        <v>84</v>
      </c>
      <c r="CA15" s="190" t="s">
        <v>92</v>
      </c>
      <c r="CB15" s="189" t="s">
        <v>93</v>
      </c>
      <c r="CC15" s="189" t="s">
        <v>76</v>
      </c>
      <c r="CD15" s="190" t="s">
        <v>145</v>
      </c>
      <c r="CE15" s="189" t="s">
        <v>79</v>
      </c>
      <c r="CF15" s="108" t="s">
        <v>1</v>
      </c>
    </row>
    <row r="16" ht="21" customHeight="1" spans="1:84">
      <c r="A16" s="107">
        <v>45119</v>
      </c>
      <c r="B16" s="108" t="s">
        <v>70</v>
      </c>
      <c r="C16" s="92" t="s">
        <v>71</v>
      </c>
      <c r="D16" s="30" t="s">
        <v>1</v>
      </c>
      <c r="E16" s="30" t="s">
        <v>1</v>
      </c>
      <c r="F16" s="30">
        <v>7.9179</v>
      </c>
      <c r="G16" s="108" t="s">
        <v>1</v>
      </c>
      <c r="H16" s="108" t="str">
        <f t="shared" si="0"/>
        <v/>
      </c>
      <c r="I16" s="30">
        <v>14.3</v>
      </c>
      <c r="J16" s="141" t="str">
        <f t="shared" si="1"/>
        <v/>
      </c>
      <c r="K16" s="211" t="str">
        <f>IFERROR(E16/#REF!,"")</f>
        <v/>
      </c>
      <c r="L16" s="30">
        <v>36089</v>
      </c>
      <c r="M16" s="155" t="s">
        <v>72</v>
      </c>
      <c r="N16" s="108" t="s">
        <v>1</v>
      </c>
      <c r="O16" s="108" t="s">
        <v>1</v>
      </c>
      <c r="P16" s="108" t="s">
        <v>1</v>
      </c>
      <c r="Q16" s="108" t="s">
        <v>1</v>
      </c>
      <c r="R16" s="108">
        <v>0</v>
      </c>
      <c r="S16" s="108">
        <v>0</v>
      </c>
      <c r="T16" s="108" t="s">
        <v>1</v>
      </c>
      <c r="U16" s="108" t="s">
        <v>1</v>
      </c>
      <c r="V16" s="92" t="s">
        <v>1</v>
      </c>
      <c r="W16" s="92" t="s">
        <v>72</v>
      </c>
      <c r="X16" s="92" t="s">
        <v>1</v>
      </c>
      <c r="Y16" s="92" t="s">
        <v>72</v>
      </c>
      <c r="Z16" s="92" t="s">
        <v>1</v>
      </c>
      <c r="AA16" s="236" t="s">
        <v>72</v>
      </c>
      <c r="AB16" s="92" t="s">
        <v>1</v>
      </c>
      <c r="AC16" s="92" t="s">
        <v>72</v>
      </c>
      <c r="AD16" s="92">
        <v>20</v>
      </c>
      <c r="AE16" s="92" t="s">
        <v>72</v>
      </c>
      <c r="AF16" s="92" t="s">
        <v>1</v>
      </c>
      <c r="AG16" s="92" t="s">
        <v>72</v>
      </c>
      <c r="AH16" s="92">
        <v>1753</v>
      </c>
      <c r="AI16" s="92" t="s">
        <v>72</v>
      </c>
      <c r="AJ16" s="92">
        <v>791</v>
      </c>
      <c r="AK16" s="92" t="s">
        <v>72</v>
      </c>
      <c r="AL16" s="92">
        <v>94</v>
      </c>
      <c r="AM16" s="92" t="s">
        <v>72</v>
      </c>
      <c r="AN16" s="92">
        <v>30</v>
      </c>
      <c r="AO16" s="92" t="s">
        <v>72</v>
      </c>
      <c r="AP16" s="92">
        <v>804</v>
      </c>
      <c r="AQ16" s="92" t="s">
        <v>72</v>
      </c>
      <c r="AR16" s="92">
        <v>113</v>
      </c>
      <c r="AS16" s="92" t="s">
        <v>72</v>
      </c>
      <c r="AT16" s="187">
        <v>0.0102</v>
      </c>
      <c r="AU16" s="92" t="s">
        <v>72</v>
      </c>
      <c r="AV16" s="108" t="s">
        <v>1</v>
      </c>
      <c r="AW16" s="108" t="s">
        <v>1</v>
      </c>
      <c r="AX16" s="108" t="s">
        <v>1</v>
      </c>
      <c r="AY16" s="108" t="s">
        <v>1</v>
      </c>
      <c r="AZ16" s="108" t="s">
        <v>1</v>
      </c>
      <c r="BA16" s="108" t="s">
        <v>1</v>
      </c>
      <c r="BB16" s="108" t="s">
        <v>1</v>
      </c>
      <c r="BC16" s="108" t="s">
        <v>1</v>
      </c>
      <c r="BD16" s="108" t="s">
        <v>1</v>
      </c>
      <c r="BE16" s="108" t="s">
        <v>1</v>
      </c>
      <c r="BF16" s="108" t="s">
        <v>1</v>
      </c>
      <c r="BG16" s="108" t="s">
        <v>1</v>
      </c>
      <c r="BH16" s="110">
        <v>1</v>
      </c>
      <c r="BI16" s="92" t="s">
        <v>73</v>
      </c>
      <c r="BJ16" s="92">
        <v>64</v>
      </c>
      <c r="BK16" s="92">
        <v>1054</v>
      </c>
      <c r="BL16" s="92" t="s">
        <v>72</v>
      </c>
      <c r="BM16" s="92" t="s">
        <v>74</v>
      </c>
      <c r="BN16" s="92">
        <v>402</v>
      </c>
      <c r="BO16" s="92">
        <v>282</v>
      </c>
      <c r="BP16" s="92" t="s">
        <v>72</v>
      </c>
      <c r="BQ16" s="108" t="s">
        <v>1</v>
      </c>
      <c r="BR16" s="108" t="s">
        <v>1</v>
      </c>
      <c r="BS16" s="108" t="s">
        <v>1</v>
      </c>
      <c r="BT16" s="108" t="s">
        <v>1</v>
      </c>
      <c r="BU16" s="108" t="s">
        <v>1</v>
      </c>
      <c r="BV16" s="189" t="s">
        <v>1</v>
      </c>
      <c r="BW16" s="189" t="s">
        <v>1</v>
      </c>
      <c r="BX16" s="189" t="s">
        <v>1</v>
      </c>
      <c r="BY16" s="189" t="s">
        <v>1</v>
      </c>
      <c r="BZ16" s="189" t="s">
        <v>1</v>
      </c>
      <c r="CA16" s="190" t="s">
        <v>1</v>
      </c>
      <c r="CB16" s="189" t="s">
        <v>1</v>
      </c>
      <c r="CC16" s="189" t="s">
        <v>1</v>
      </c>
      <c r="CD16" s="190" t="s">
        <v>1</v>
      </c>
      <c r="CE16" s="189" t="s">
        <v>1</v>
      </c>
      <c r="CF16" s="108" t="s">
        <v>1</v>
      </c>
    </row>
    <row r="17" ht="21" customHeight="1" spans="1:84">
      <c r="A17" s="107">
        <v>45120</v>
      </c>
      <c r="B17" s="108" t="s">
        <v>70</v>
      </c>
      <c r="C17" s="92" t="s">
        <v>71</v>
      </c>
      <c r="D17" s="30" t="s">
        <v>1</v>
      </c>
      <c r="E17" s="30" t="s">
        <v>1</v>
      </c>
      <c r="F17" s="30">
        <v>8.5777</v>
      </c>
      <c r="G17" s="108" t="s">
        <v>1</v>
      </c>
      <c r="H17" s="108" t="str">
        <f t="shared" si="0"/>
        <v/>
      </c>
      <c r="I17" s="30">
        <v>11.7</v>
      </c>
      <c r="J17" s="141" t="str">
        <f t="shared" si="1"/>
        <v/>
      </c>
      <c r="K17" s="211" t="str">
        <f>IFERROR(E17/#REF!,"")</f>
        <v/>
      </c>
      <c r="L17" s="30">
        <v>29447</v>
      </c>
      <c r="M17" s="155" t="s">
        <v>72</v>
      </c>
      <c r="N17" s="108" t="s">
        <v>1</v>
      </c>
      <c r="O17" s="108" t="s">
        <v>1</v>
      </c>
      <c r="P17" s="108" t="s">
        <v>1</v>
      </c>
      <c r="Q17" s="108" t="s">
        <v>1</v>
      </c>
      <c r="R17" s="108">
        <v>6601</v>
      </c>
      <c r="S17" s="108">
        <v>0</v>
      </c>
      <c r="T17" s="108" t="s">
        <v>1</v>
      </c>
      <c r="U17" s="108" t="s">
        <v>1</v>
      </c>
      <c r="V17" s="92" t="s">
        <v>1</v>
      </c>
      <c r="W17" s="92" t="s">
        <v>72</v>
      </c>
      <c r="X17" s="92" t="s">
        <v>1</v>
      </c>
      <c r="Y17" s="92" t="s">
        <v>72</v>
      </c>
      <c r="Z17" s="92" t="s">
        <v>1</v>
      </c>
      <c r="AA17" s="236" t="s">
        <v>72</v>
      </c>
      <c r="AB17" s="92" t="s">
        <v>1</v>
      </c>
      <c r="AC17" s="92" t="s">
        <v>72</v>
      </c>
      <c r="AD17" s="92">
        <v>15</v>
      </c>
      <c r="AE17" s="92" t="s">
        <v>72</v>
      </c>
      <c r="AF17" s="92" t="s">
        <v>1</v>
      </c>
      <c r="AG17" s="92" t="s">
        <v>72</v>
      </c>
      <c r="AH17" s="92">
        <v>1879</v>
      </c>
      <c r="AI17" s="92" t="s">
        <v>72</v>
      </c>
      <c r="AJ17" s="92">
        <v>640</v>
      </c>
      <c r="AK17" s="92" t="s">
        <v>72</v>
      </c>
      <c r="AL17" s="92">
        <v>75</v>
      </c>
      <c r="AM17" s="92" t="s">
        <v>72</v>
      </c>
      <c r="AN17" s="92">
        <v>48</v>
      </c>
      <c r="AO17" s="92" t="s">
        <v>72</v>
      </c>
      <c r="AP17" s="92">
        <v>932</v>
      </c>
      <c r="AQ17" s="92" t="s">
        <v>72</v>
      </c>
      <c r="AR17" s="92">
        <v>123</v>
      </c>
      <c r="AS17" s="92" t="s">
        <v>72</v>
      </c>
      <c r="AT17" s="187">
        <v>0.0111</v>
      </c>
      <c r="AU17" s="92" t="s">
        <v>72</v>
      </c>
      <c r="AV17" s="108" t="s">
        <v>1</v>
      </c>
      <c r="AW17" s="108" t="s">
        <v>1</v>
      </c>
      <c r="AX17" s="108" t="s">
        <v>1</v>
      </c>
      <c r="AY17" s="108" t="s">
        <v>1</v>
      </c>
      <c r="AZ17" s="108" t="s">
        <v>1</v>
      </c>
      <c r="BA17" s="108" t="s">
        <v>1</v>
      </c>
      <c r="BB17" s="108" t="s">
        <v>1</v>
      </c>
      <c r="BC17" s="108" t="s">
        <v>1</v>
      </c>
      <c r="BD17" s="108" t="s">
        <v>1</v>
      </c>
      <c r="BE17" s="108" t="s">
        <v>1</v>
      </c>
      <c r="BF17" s="108" t="s">
        <v>1</v>
      </c>
      <c r="BG17" s="108" t="s">
        <v>1</v>
      </c>
      <c r="BH17" s="110">
        <v>1</v>
      </c>
      <c r="BI17" s="92" t="s">
        <v>73</v>
      </c>
      <c r="BJ17" s="92">
        <v>55</v>
      </c>
      <c r="BK17" s="92">
        <v>1178</v>
      </c>
      <c r="BL17" s="92" t="s">
        <v>72</v>
      </c>
      <c r="BM17" s="92" t="s">
        <v>74</v>
      </c>
      <c r="BN17" s="92">
        <v>381</v>
      </c>
      <c r="BO17" s="92">
        <v>296</v>
      </c>
      <c r="BP17" s="92" t="s">
        <v>72</v>
      </c>
      <c r="BQ17" s="108" t="s">
        <v>1</v>
      </c>
      <c r="BR17" s="108" t="s">
        <v>1</v>
      </c>
      <c r="BS17" s="108" t="s">
        <v>1</v>
      </c>
      <c r="BT17" s="108" t="s">
        <v>1</v>
      </c>
      <c r="BU17" s="108" t="s">
        <v>1</v>
      </c>
      <c r="BV17" s="189" t="s">
        <v>1</v>
      </c>
      <c r="BW17" s="189" t="s">
        <v>1</v>
      </c>
      <c r="BX17" s="189" t="s">
        <v>1</v>
      </c>
      <c r="BY17" s="189" t="s">
        <v>1</v>
      </c>
      <c r="BZ17" s="189" t="s">
        <v>1</v>
      </c>
      <c r="CA17" s="190" t="s">
        <v>1</v>
      </c>
      <c r="CB17" s="189" t="s">
        <v>1</v>
      </c>
      <c r="CC17" s="189" t="s">
        <v>1</v>
      </c>
      <c r="CD17" s="190" t="s">
        <v>1</v>
      </c>
      <c r="CE17" s="189" t="s">
        <v>1</v>
      </c>
      <c r="CF17" s="108" t="s">
        <v>1</v>
      </c>
    </row>
    <row r="18" ht="21" customHeight="1" spans="1:84">
      <c r="A18" s="107">
        <v>45121</v>
      </c>
      <c r="B18" s="194" t="s">
        <v>89</v>
      </c>
      <c r="C18" s="92" t="s">
        <v>71</v>
      </c>
      <c r="D18" s="30" t="s">
        <v>1</v>
      </c>
      <c r="E18" s="30" t="s">
        <v>1</v>
      </c>
      <c r="F18" s="30">
        <v>0.3199</v>
      </c>
      <c r="G18" s="108" t="s">
        <v>1</v>
      </c>
      <c r="H18" s="108" t="str">
        <f t="shared" si="0"/>
        <v/>
      </c>
      <c r="I18" s="30">
        <v>0</v>
      </c>
      <c r="J18" s="141" t="str">
        <f t="shared" si="1"/>
        <v/>
      </c>
      <c r="K18" s="211" t="str">
        <f>IFERROR(E18/#REF!,"")</f>
        <v/>
      </c>
      <c r="L18" s="30">
        <v>40655</v>
      </c>
      <c r="M18" s="155" t="s">
        <v>72</v>
      </c>
      <c r="N18" s="108" t="s">
        <v>1</v>
      </c>
      <c r="O18" s="108" t="s">
        <v>1</v>
      </c>
      <c r="P18" s="108" t="s">
        <v>1</v>
      </c>
      <c r="Q18" s="108" t="s">
        <v>1</v>
      </c>
      <c r="R18" s="108" t="s">
        <v>90</v>
      </c>
      <c r="S18" s="108">
        <v>0</v>
      </c>
      <c r="T18" s="108" t="s">
        <v>1</v>
      </c>
      <c r="U18" s="108" t="s">
        <v>1</v>
      </c>
      <c r="V18" s="92" t="s">
        <v>1</v>
      </c>
      <c r="W18" s="92" t="s">
        <v>72</v>
      </c>
      <c r="X18" s="92" t="s">
        <v>1</v>
      </c>
      <c r="Y18" s="92" t="s">
        <v>72</v>
      </c>
      <c r="Z18" s="92" t="s">
        <v>1</v>
      </c>
      <c r="AA18" s="236" t="s">
        <v>72</v>
      </c>
      <c r="AB18" s="92" t="s">
        <v>1</v>
      </c>
      <c r="AC18" s="92" t="s">
        <v>72</v>
      </c>
      <c r="AD18" s="92">
        <v>22</v>
      </c>
      <c r="AE18" s="92" t="s">
        <v>72</v>
      </c>
      <c r="AF18" s="92" t="s">
        <v>1</v>
      </c>
      <c r="AG18" s="92" t="s">
        <v>72</v>
      </c>
      <c r="AH18" s="92">
        <v>2194</v>
      </c>
      <c r="AI18" s="92" t="s">
        <v>72</v>
      </c>
      <c r="AJ18" s="92">
        <v>783</v>
      </c>
      <c r="AK18" s="92" t="s">
        <v>72</v>
      </c>
      <c r="AL18" s="92">
        <v>73</v>
      </c>
      <c r="AM18" s="92" t="s">
        <v>72</v>
      </c>
      <c r="AN18" s="92">
        <v>45</v>
      </c>
      <c r="AO18" s="92" t="s">
        <v>72</v>
      </c>
      <c r="AP18" s="92">
        <v>1184</v>
      </c>
      <c r="AQ18" s="92" t="s">
        <v>72</v>
      </c>
      <c r="AR18" s="92">
        <v>168</v>
      </c>
      <c r="AS18" s="92" t="s">
        <v>72</v>
      </c>
      <c r="AT18" s="187">
        <v>0</v>
      </c>
      <c r="AU18" s="92" t="s">
        <v>72</v>
      </c>
      <c r="AV18" s="108" t="s">
        <v>1</v>
      </c>
      <c r="AW18" s="108" t="s">
        <v>1</v>
      </c>
      <c r="AX18" s="108" t="s">
        <v>1</v>
      </c>
      <c r="AY18" s="108" t="s">
        <v>1</v>
      </c>
      <c r="AZ18" s="108" t="s">
        <v>1</v>
      </c>
      <c r="BA18" s="108" t="s">
        <v>1</v>
      </c>
      <c r="BB18" s="108" t="s">
        <v>1</v>
      </c>
      <c r="BC18" s="108" t="s">
        <v>1</v>
      </c>
      <c r="BD18" s="108" t="s">
        <v>1</v>
      </c>
      <c r="BE18" s="108" t="s">
        <v>1</v>
      </c>
      <c r="BF18" s="108" t="s">
        <v>1</v>
      </c>
      <c r="BG18" s="108" t="s">
        <v>1</v>
      </c>
      <c r="BH18" s="110">
        <v>1</v>
      </c>
      <c r="BI18" s="92" t="s">
        <v>94</v>
      </c>
      <c r="BJ18" s="92">
        <v>49</v>
      </c>
      <c r="BK18" s="92">
        <v>1328</v>
      </c>
      <c r="BL18" s="92" t="s">
        <v>72</v>
      </c>
      <c r="BM18" s="92" t="s">
        <v>74</v>
      </c>
      <c r="BN18" s="92">
        <v>273</v>
      </c>
      <c r="BO18" s="92">
        <v>431</v>
      </c>
      <c r="BP18" s="92" t="s">
        <v>72</v>
      </c>
      <c r="BQ18" s="108" t="s">
        <v>1</v>
      </c>
      <c r="BR18" s="108" t="s">
        <v>1</v>
      </c>
      <c r="BS18" s="108" t="s">
        <v>1</v>
      </c>
      <c r="BT18" s="108" t="s">
        <v>1</v>
      </c>
      <c r="BU18" s="108" t="s">
        <v>1</v>
      </c>
      <c r="BV18" s="189" t="s">
        <v>1</v>
      </c>
      <c r="BW18" s="189" t="s">
        <v>1</v>
      </c>
      <c r="BX18" s="189" t="s">
        <v>1</v>
      </c>
      <c r="BY18" s="189" t="s">
        <v>1</v>
      </c>
      <c r="BZ18" s="189" t="s">
        <v>1</v>
      </c>
      <c r="CA18" s="190" t="s">
        <v>1</v>
      </c>
      <c r="CB18" s="189" t="s">
        <v>1</v>
      </c>
      <c r="CC18" s="189" t="s">
        <v>1</v>
      </c>
      <c r="CD18" s="190" t="s">
        <v>1</v>
      </c>
      <c r="CE18" s="189" t="s">
        <v>1</v>
      </c>
      <c r="CF18" s="108" t="s">
        <v>1</v>
      </c>
    </row>
    <row r="19" ht="21" customHeight="1" spans="1:84">
      <c r="A19" s="107">
        <v>45122</v>
      </c>
      <c r="B19" s="194" t="s">
        <v>89</v>
      </c>
      <c r="C19" s="92" t="s">
        <v>71</v>
      </c>
      <c r="D19" s="30" t="s">
        <v>1</v>
      </c>
      <c r="E19" s="30" t="s">
        <v>1</v>
      </c>
      <c r="F19" s="30">
        <v>0.3199</v>
      </c>
      <c r="G19" s="108" t="s">
        <v>1</v>
      </c>
      <c r="H19" s="108" t="str">
        <f t="shared" si="0"/>
        <v/>
      </c>
      <c r="I19" s="30">
        <v>0</v>
      </c>
      <c r="J19" s="141" t="str">
        <f t="shared" si="1"/>
        <v/>
      </c>
      <c r="K19" s="211" t="str">
        <f>IFERROR(E19/#REF!,"")</f>
        <v/>
      </c>
      <c r="L19" s="30">
        <v>31900</v>
      </c>
      <c r="M19" s="155" t="s">
        <v>72</v>
      </c>
      <c r="N19" s="108" t="s">
        <v>1</v>
      </c>
      <c r="O19" s="108" t="s">
        <v>1</v>
      </c>
      <c r="P19" s="108" t="s">
        <v>1</v>
      </c>
      <c r="Q19" s="108" t="s">
        <v>1</v>
      </c>
      <c r="R19" s="108">
        <v>0</v>
      </c>
      <c r="S19" s="108">
        <v>0</v>
      </c>
      <c r="T19" s="108" t="s">
        <v>1</v>
      </c>
      <c r="U19" s="108" t="s">
        <v>1</v>
      </c>
      <c r="V19" s="92" t="s">
        <v>1</v>
      </c>
      <c r="W19" s="92" t="s">
        <v>72</v>
      </c>
      <c r="X19" s="92" t="s">
        <v>1</v>
      </c>
      <c r="Y19" s="92" t="s">
        <v>72</v>
      </c>
      <c r="Z19" s="92" t="s">
        <v>1</v>
      </c>
      <c r="AA19" s="236" t="s">
        <v>72</v>
      </c>
      <c r="AB19" s="92" t="s">
        <v>1</v>
      </c>
      <c r="AC19" s="92" t="s">
        <v>72</v>
      </c>
      <c r="AD19" s="92">
        <v>21</v>
      </c>
      <c r="AE19" s="92" t="s">
        <v>72</v>
      </c>
      <c r="AF19" s="92" t="s">
        <v>1</v>
      </c>
      <c r="AG19" s="92" t="s">
        <v>72</v>
      </c>
      <c r="AH19" s="92">
        <v>2138</v>
      </c>
      <c r="AI19" s="92" t="s">
        <v>72</v>
      </c>
      <c r="AJ19" s="92">
        <v>774</v>
      </c>
      <c r="AK19" s="92" t="s">
        <v>72</v>
      </c>
      <c r="AL19" s="92">
        <v>65</v>
      </c>
      <c r="AM19" s="92" t="s">
        <v>72</v>
      </c>
      <c r="AN19" s="92">
        <v>39</v>
      </c>
      <c r="AO19" s="92" t="s">
        <v>72</v>
      </c>
      <c r="AP19" s="92">
        <v>1215</v>
      </c>
      <c r="AQ19" s="92" t="s">
        <v>72</v>
      </c>
      <c r="AR19" s="92">
        <v>152</v>
      </c>
      <c r="AS19" s="92" t="s">
        <v>72</v>
      </c>
      <c r="AT19" s="187">
        <v>0</v>
      </c>
      <c r="AU19" s="92" t="s">
        <v>72</v>
      </c>
      <c r="AV19" s="108" t="s">
        <v>1</v>
      </c>
      <c r="AW19" s="108" t="s">
        <v>1</v>
      </c>
      <c r="AX19" s="108" t="s">
        <v>1</v>
      </c>
      <c r="AY19" s="108" t="s">
        <v>1</v>
      </c>
      <c r="AZ19" s="108" t="s">
        <v>1</v>
      </c>
      <c r="BA19" s="108" t="s">
        <v>1</v>
      </c>
      <c r="BB19" s="108" t="s">
        <v>1</v>
      </c>
      <c r="BC19" s="108" t="s">
        <v>1</v>
      </c>
      <c r="BD19" s="108" t="s">
        <v>1</v>
      </c>
      <c r="BE19" s="108" t="s">
        <v>1</v>
      </c>
      <c r="BF19" s="108" t="s">
        <v>1</v>
      </c>
      <c r="BG19" s="108" t="s">
        <v>1</v>
      </c>
      <c r="BH19" s="110">
        <v>1</v>
      </c>
      <c r="BI19" s="92" t="s">
        <v>94</v>
      </c>
      <c r="BJ19" s="92">
        <v>49</v>
      </c>
      <c r="BK19" s="92">
        <v>1428</v>
      </c>
      <c r="BL19" s="92" t="s">
        <v>72</v>
      </c>
      <c r="BM19" s="92" t="s">
        <v>74</v>
      </c>
      <c r="BN19" s="92">
        <v>307</v>
      </c>
      <c r="BO19" s="92">
        <v>406</v>
      </c>
      <c r="BP19" s="92" t="s">
        <v>72</v>
      </c>
      <c r="BQ19" s="108" t="s">
        <v>1</v>
      </c>
      <c r="BR19" s="108" t="s">
        <v>1</v>
      </c>
      <c r="BS19" s="108" t="s">
        <v>1</v>
      </c>
      <c r="BT19" s="108" t="s">
        <v>1</v>
      </c>
      <c r="BU19" s="108" t="s">
        <v>1</v>
      </c>
      <c r="BV19" s="189" t="s">
        <v>1</v>
      </c>
      <c r="BW19" s="189" t="s">
        <v>1</v>
      </c>
      <c r="BX19" s="189" t="s">
        <v>1</v>
      </c>
      <c r="BY19" s="189" t="s">
        <v>1</v>
      </c>
      <c r="BZ19" s="189" t="s">
        <v>1</v>
      </c>
      <c r="CA19" s="190" t="s">
        <v>1</v>
      </c>
      <c r="CB19" s="189" t="s">
        <v>1</v>
      </c>
      <c r="CC19" s="189" t="s">
        <v>1</v>
      </c>
      <c r="CD19" s="190" t="s">
        <v>1</v>
      </c>
      <c r="CE19" s="189" t="s">
        <v>1</v>
      </c>
      <c r="CF19" s="108" t="s">
        <v>1</v>
      </c>
    </row>
    <row r="20" ht="21" customHeight="1" spans="1:84">
      <c r="A20" s="107">
        <v>45123</v>
      </c>
      <c r="B20" s="105" t="s">
        <v>91</v>
      </c>
      <c r="C20" s="92" t="s">
        <v>71</v>
      </c>
      <c r="D20" s="30" t="s">
        <v>1</v>
      </c>
      <c r="E20" s="30" t="s">
        <v>1</v>
      </c>
      <c r="F20" s="30">
        <v>30.5408</v>
      </c>
      <c r="G20" s="108" t="s">
        <v>1</v>
      </c>
      <c r="H20" s="108" t="str">
        <f t="shared" si="0"/>
        <v/>
      </c>
      <c r="I20" s="30">
        <v>36.4</v>
      </c>
      <c r="J20" s="141" t="str">
        <f t="shared" si="1"/>
        <v/>
      </c>
      <c r="K20" s="211" t="str">
        <f>IFERROR(E20/#REF!,"")</f>
        <v/>
      </c>
      <c r="L20" s="30">
        <v>102488</v>
      </c>
      <c r="M20" s="155" t="s">
        <v>72</v>
      </c>
      <c r="N20" s="108" t="s">
        <v>1</v>
      </c>
      <c r="O20" s="108" t="s">
        <v>1</v>
      </c>
      <c r="P20" s="108" t="s">
        <v>1</v>
      </c>
      <c r="Q20" s="108" t="s">
        <v>1</v>
      </c>
      <c r="R20" s="108">
        <v>19794</v>
      </c>
      <c r="S20" s="108">
        <v>0</v>
      </c>
      <c r="T20" s="108" t="s">
        <v>1</v>
      </c>
      <c r="U20" s="108" t="s">
        <v>1</v>
      </c>
      <c r="V20" s="92" t="s">
        <v>1</v>
      </c>
      <c r="W20" s="92" t="s">
        <v>72</v>
      </c>
      <c r="X20" s="92" t="s">
        <v>1</v>
      </c>
      <c r="Y20" s="92" t="s">
        <v>72</v>
      </c>
      <c r="Z20" s="92" t="s">
        <v>1</v>
      </c>
      <c r="AA20" s="236" t="s">
        <v>72</v>
      </c>
      <c r="AB20" s="92" t="s">
        <v>1</v>
      </c>
      <c r="AC20" s="92" t="s">
        <v>72</v>
      </c>
      <c r="AD20" s="92">
        <v>26</v>
      </c>
      <c r="AE20" s="92" t="s">
        <v>72</v>
      </c>
      <c r="AF20" s="92" t="s">
        <v>1</v>
      </c>
      <c r="AG20" s="92" t="s">
        <v>72</v>
      </c>
      <c r="AH20" s="92">
        <v>2614</v>
      </c>
      <c r="AI20" s="92" t="s">
        <v>72</v>
      </c>
      <c r="AJ20" s="92">
        <v>795</v>
      </c>
      <c r="AK20" s="92" t="s">
        <v>72</v>
      </c>
      <c r="AL20" s="92">
        <v>75</v>
      </c>
      <c r="AM20" s="92" t="s">
        <v>72</v>
      </c>
      <c r="AN20" s="92">
        <v>46</v>
      </c>
      <c r="AO20" s="92" t="s">
        <v>72</v>
      </c>
      <c r="AP20" s="92">
        <v>1420</v>
      </c>
      <c r="AQ20" s="92" t="s">
        <v>72</v>
      </c>
      <c r="AR20" s="92">
        <v>187</v>
      </c>
      <c r="AS20" s="92" t="s">
        <v>72</v>
      </c>
      <c r="AT20" s="187">
        <v>0.029</v>
      </c>
      <c r="AU20" s="92" t="s">
        <v>72</v>
      </c>
      <c r="AV20" s="108" t="s">
        <v>1</v>
      </c>
      <c r="AW20" s="108" t="s">
        <v>1</v>
      </c>
      <c r="AX20" s="108" t="s">
        <v>1</v>
      </c>
      <c r="AY20" s="108" t="s">
        <v>1</v>
      </c>
      <c r="AZ20" s="108" t="s">
        <v>1</v>
      </c>
      <c r="BA20" s="108" t="s">
        <v>1</v>
      </c>
      <c r="BB20" s="108" t="s">
        <v>1</v>
      </c>
      <c r="BC20" s="108" t="s">
        <v>1</v>
      </c>
      <c r="BD20" s="108" t="s">
        <v>1</v>
      </c>
      <c r="BE20" s="108" t="s">
        <v>1</v>
      </c>
      <c r="BF20" s="108" t="s">
        <v>1</v>
      </c>
      <c r="BG20" s="108" t="s">
        <v>1</v>
      </c>
      <c r="BH20" s="110">
        <v>1</v>
      </c>
      <c r="BI20" s="92" t="s">
        <v>94</v>
      </c>
      <c r="BJ20" s="92">
        <v>49</v>
      </c>
      <c r="BK20" s="92">
        <v>1577</v>
      </c>
      <c r="BL20" s="92" t="s">
        <v>72</v>
      </c>
      <c r="BM20" s="92" t="s">
        <v>74</v>
      </c>
      <c r="BN20" s="92">
        <v>327</v>
      </c>
      <c r="BO20" s="92">
        <v>433</v>
      </c>
      <c r="BP20" s="92" t="s">
        <v>72</v>
      </c>
      <c r="BQ20" s="108" t="s">
        <v>1</v>
      </c>
      <c r="BR20" s="108" t="s">
        <v>1</v>
      </c>
      <c r="BS20" s="108" t="s">
        <v>1</v>
      </c>
      <c r="BT20" s="108" t="s">
        <v>1</v>
      </c>
      <c r="BU20" s="108" t="s">
        <v>1</v>
      </c>
      <c r="BV20" s="189" t="s">
        <v>1</v>
      </c>
      <c r="BW20" s="189" t="s">
        <v>1</v>
      </c>
      <c r="BX20" s="189" t="s">
        <v>1</v>
      </c>
      <c r="BY20" s="189" t="s">
        <v>1</v>
      </c>
      <c r="BZ20" s="189" t="s">
        <v>1</v>
      </c>
      <c r="CA20" s="190" t="s">
        <v>1</v>
      </c>
      <c r="CB20" s="189" t="s">
        <v>1</v>
      </c>
      <c r="CC20" s="189" t="s">
        <v>1</v>
      </c>
      <c r="CD20" s="190" t="s">
        <v>1</v>
      </c>
      <c r="CE20" s="189" t="s">
        <v>1</v>
      </c>
      <c r="CF20" s="108" t="s">
        <v>1</v>
      </c>
    </row>
    <row r="21" ht="21" customHeight="1" spans="1:84">
      <c r="A21" s="107">
        <v>45124</v>
      </c>
      <c r="B21" s="105" t="s">
        <v>91</v>
      </c>
      <c r="C21" s="92" t="s">
        <v>71</v>
      </c>
      <c r="D21" s="30" t="s">
        <v>1</v>
      </c>
      <c r="E21" s="30" t="s">
        <v>1</v>
      </c>
      <c r="F21" s="30">
        <v>13.8558</v>
      </c>
      <c r="G21" s="108" t="s">
        <v>1</v>
      </c>
      <c r="H21" s="108" t="str">
        <f t="shared" si="0"/>
        <v/>
      </c>
      <c r="I21" s="30">
        <v>23.4</v>
      </c>
      <c r="J21" s="141" t="str">
        <f t="shared" si="1"/>
        <v/>
      </c>
      <c r="K21" s="211" t="str">
        <f>IFERROR(E21/#REF!,"")</f>
        <v/>
      </c>
      <c r="L21" s="30">
        <v>63421</v>
      </c>
      <c r="M21" s="155" t="s">
        <v>72</v>
      </c>
      <c r="N21" s="108" t="s">
        <v>1</v>
      </c>
      <c r="O21" s="108" t="s">
        <v>1</v>
      </c>
      <c r="P21" s="108" t="s">
        <v>1</v>
      </c>
      <c r="Q21" s="108" t="s">
        <v>1</v>
      </c>
      <c r="R21" s="108">
        <v>13196</v>
      </c>
      <c r="S21" s="108">
        <v>0</v>
      </c>
      <c r="T21" s="108" t="s">
        <v>1</v>
      </c>
      <c r="U21" s="108" t="s">
        <v>1</v>
      </c>
      <c r="V21" s="92" t="s">
        <v>1</v>
      </c>
      <c r="W21" s="92" t="s">
        <v>72</v>
      </c>
      <c r="X21" s="92" t="s">
        <v>1</v>
      </c>
      <c r="Y21" s="92" t="s">
        <v>72</v>
      </c>
      <c r="Z21" s="92" t="s">
        <v>1</v>
      </c>
      <c r="AA21" s="236" t="s">
        <v>72</v>
      </c>
      <c r="AB21" s="92" t="s">
        <v>1</v>
      </c>
      <c r="AC21" s="92" t="s">
        <v>72</v>
      </c>
      <c r="AD21" s="92">
        <v>14</v>
      </c>
      <c r="AE21" s="92" t="s">
        <v>72</v>
      </c>
      <c r="AF21" s="92" t="s">
        <v>1</v>
      </c>
      <c r="AG21" s="92" t="s">
        <v>72</v>
      </c>
      <c r="AH21" s="92">
        <v>2371</v>
      </c>
      <c r="AI21" s="92" t="s">
        <v>72</v>
      </c>
      <c r="AJ21" s="92">
        <v>839</v>
      </c>
      <c r="AK21" s="92" t="s">
        <v>72</v>
      </c>
      <c r="AL21" s="92">
        <v>86</v>
      </c>
      <c r="AM21" s="92" t="s">
        <v>72</v>
      </c>
      <c r="AN21" s="92">
        <v>70</v>
      </c>
      <c r="AO21" s="92" t="s">
        <v>72</v>
      </c>
      <c r="AP21" s="92">
        <v>1267</v>
      </c>
      <c r="AQ21" s="92" t="s">
        <v>72</v>
      </c>
      <c r="AR21" s="92">
        <v>149</v>
      </c>
      <c r="AS21" s="92" t="s">
        <v>72</v>
      </c>
      <c r="AT21" s="187">
        <v>0.0138</v>
      </c>
      <c r="AU21" s="92" t="s">
        <v>72</v>
      </c>
      <c r="AV21" s="108" t="s">
        <v>1</v>
      </c>
      <c r="AW21" s="108" t="s">
        <v>1</v>
      </c>
      <c r="AX21" s="108" t="s">
        <v>1</v>
      </c>
      <c r="AY21" s="108" t="s">
        <v>1</v>
      </c>
      <c r="AZ21" s="108" t="s">
        <v>1</v>
      </c>
      <c r="BA21" s="108" t="s">
        <v>1</v>
      </c>
      <c r="BB21" s="108" t="s">
        <v>1</v>
      </c>
      <c r="BC21" s="108" t="s">
        <v>1</v>
      </c>
      <c r="BD21" s="108" t="s">
        <v>1</v>
      </c>
      <c r="BE21" s="108" t="s">
        <v>1</v>
      </c>
      <c r="BF21" s="108" t="s">
        <v>1</v>
      </c>
      <c r="BG21" s="108" t="s">
        <v>1</v>
      </c>
      <c r="BH21" s="110">
        <v>1</v>
      </c>
      <c r="BI21" s="92" t="s">
        <v>94</v>
      </c>
      <c r="BJ21" s="92">
        <v>40</v>
      </c>
      <c r="BK21" s="92">
        <v>1256</v>
      </c>
      <c r="BL21" s="92" t="s">
        <v>72</v>
      </c>
      <c r="BM21" s="92" t="s">
        <v>74</v>
      </c>
      <c r="BN21" s="92">
        <v>320</v>
      </c>
      <c r="BO21" s="92">
        <v>418</v>
      </c>
      <c r="BP21" s="92" t="s">
        <v>72</v>
      </c>
      <c r="BQ21" s="108" t="s">
        <v>1</v>
      </c>
      <c r="BR21" s="108" t="s">
        <v>1</v>
      </c>
      <c r="BS21" s="108" t="s">
        <v>1</v>
      </c>
      <c r="BT21" s="108" t="s">
        <v>1</v>
      </c>
      <c r="BU21" s="108" t="s">
        <v>1</v>
      </c>
      <c r="BV21" s="189" t="s">
        <v>1</v>
      </c>
      <c r="BW21" s="189" t="s">
        <v>1</v>
      </c>
      <c r="BX21" s="189" t="s">
        <v>1</v>
      </c>
      <c r="BY21" s="189" t="s">
        <v>1</v>
      </c>
      <c r="BZ21" s="189" t="s">
        <v>1</v>
      </c>
      <c r="CA21" s="190" t="s">
        <v>1</v>
      </c>
      <c r="CB21" s="189" t="s">
        <v>1</v>
      </c>
      <c r="CC21" s="189" t="s">
        <v>1</v>
      </c>
      <c r="CD21" s="190" t="s">
        <v>1</v>
      </c>
      <c r="CE21" s="189" t="s">
        <v>1</v>
      </c>
      <c r="CF21" s="108" t="s">
        <v>1</v>
      </c>
    </row>
    <row r="22" ht="21" customHeight="1" spans="1:84">
      <c r="A22" s="107">
        <v>45125</v>
      </c>
      <c r="B22" s="108" t="s">
        <v>70</v>
      </c>
      <c r="C22" s="92" t="s">
        <v>71</v>
      </c>
      <c r="D22" s="30" t="s">
        <v>1</v>
      </c>
      <c r="E22" s="30" t="s">
        <v>1</v>
      </c>
      <c r="F22" s="30">
        <v>11.5825</v>
      </c>
      <c r="G22" s="108" t="s">
        <v>1</v>
      </c>
      <c r="H22" s="108" t="str">
        <f t="shared" si="0"/>
        <v/>
      </c>
      <c r="I22" s="30">
        <v>11.7</v>
      </c>
      <c r="J22" s="141" t="str">
        <f t="shared" si="1"/>
        <v/>
      </c>
      <c r="K22" s="211" t="str">
        <f>IFERROR(E22/#REF!,"")</f>
        <v/>
      </c>
      <c r="L22" s="30">
        <v>217755</v>
      </c>
      <c r="M22" s="155" t="s">
        <v>72</v>
      </c>
      <c r="N22" s="108" t="s">
        <v>1</v>
      </c>
      <c r="O22" s="108" t="s">
        <v>1</v>
      </c>
      <c r="P22" s="108" t="s">
        <v>1</v>
      </c>
      <c r="Q22" s="108" t="s">
        <v>1</v>
      </c>
      <c r="R22" s="108">
        <v>0</v>
      </c>
      <c r="S22" s="108">
        <v>0</v>
      </c>
      <c r="T22" s="108" t="s">
        <v>1</v>
      </c>
      <c r="U22" s="108" t="s">
        <v>1</v>
      </c>
      <c r="V22" s="92" t="s">
        <v>1</v>
      </c>
      <c r="W22" s="92" t="s">
        <v>72</v>
      </c>
      <c r="X22" s="92" t="s">
        <v>1</v>
      </c>
      <c r="Y22" s="92" t="s">
        <v>72</v>
      </c>
      <c r="Z22" s="92" t="s">
        <v>1</v>
      </c>
      <c r="AA22" s="236" t="s">
        <v>72</v>
      </c>
      <c r="AB22" s="92" t="s">
        <v>1</v>
      </c>
      <c r="AC22" s="92" t="s">
        <v>72</v>
      </c>
      <c r="AD22" s="92">
        <v>18</v>
      </c>
      <c r="AE22" s="92" t="s">
        <v>72</v>
      </c>
      <c r="AF22" s="92" t="s">
        <v>1</v>
      </c>
      <c r="AG22" s="92" t="s">
        <v>72</v>
      </c>
      <c r="AH22" s="92">
        <v>2106</v>
      </c>
      <c r="AI22" s="92" t="s">
        <v>72</v>
      </c>
      <c r="AJ22" s="92">
        <v>205</v>
      </c>
      <c r="AK22" s="92" t="s">
        <v>72</v>
      </c>
      <c r="AL22" s="92">
        <v>77</v>
      </c>
      <c r="AM22" s="92" t="s">
        <v>72</v>
      </c>
      <c r="AN22" s="92">
        <v>59</v>
      </c>
      <c r="AO22" s="92" t="s">
        <v>72</v>
      </c>
      <c r="AP22" s="92">
        <v>1127</v>
      </c>
      <c r="AQ22" s="92" t="s">
        <v>72</v>
      </c>
      <c r="AR22" s="92">
        <v>144</v>
      </c>
      <c r="AS22" s="92" t="s">
        <v>72</v>
      </c>
      <c r="AT22" s="187">
        <v>0.0144</v>
      </c>
      <c r="AU22" s="92" t="s">
        <v>72</v>
      </c>
      <c r="AV22" s="108" t="s">
        <v>1</v>
      </c>
      <c r="AW22" s="108" t="s">
        <v>1</v>
      </c>
      <c r="AX22" s="108" t="s">
        <v>1</v>
      </c>
      <c r="AY22" s="108" t="s">
        <v>1</v>
      </c>
      <c r="AZ22" s="108" t="s">
        <v>1</v>
      </c>
      <c r="BA22" s="108" t="s">
        <v>1</v>
      </c>
      <c r="BB22" s="108" t="s">
        <v>1</v>
      </c>
      <c r="BC22" s="108" t="s">
        <v>1</v>
      </c>
      <c r="BD22" s="108" t="s">
        <v>1</v>
      </c>
      <c r="BE22" s="108" t="s">
        <v>1</v>
      </c>
      <c r="BF22" s="108" t="s">
        <v>1</v>
      </c>
      <c r="BG22" s="108" t="s">
        <v>1</v>
      </c>
      <c r="BH22" s="110">
        <v>1</v>
      </c>
      <c r="BI22" s="92" t="s">
        <v>94</v>
      </c>
      <c r="BJ22" s="92">
        <v>50</v>
      </c>
      <c r="BK22" s="92">
        <v>1279</v>
      </c>
      <c r="BL22" s="92" t="s">
        <v>72</v>
      </c>
      <c r="BM22" s="92" t="s">
        <v>74</v>
      </c>
      <c r="BN22" s="92">
        <v>371</v>
      </c>
      <c r="BO22" s="92">
        <v>334</v>
      </c>
      <c r="BP22" s="92" t="s">
        <v>72</v>
      </c>
      <c r="BQ22" s="108" t="s">
        <v>1</v>
      </c>
      <c r="BR22" s="108" t="s">
        <v>1</v>
      </c>
      <c r="BS22" s="108" t="s">
        <v>1</v>
      </c>
      <c r="BT22" s="108" t="s">
        <v>1</v>
      </c>
      <c r="BU22" s="108" t="s">
        <v>1</v>
      </c>
      <c r="BV22" s="189" t="s">
        <v>146</v>
      </c>
      <c r="BW22" s="189" t="s">
        <v>83</v>
      </c>
      <c r="BX22" s="189" t="s">
        <v>93</v>
      </c>
      <c r="BY22" s="189" t="s">
        <v>87</v>
      </c>
      <c r="BZ22" s="190" t="s">
        <v>92</v>
      </c>
      <c r="CA22" s="189" t="s">
        <v>86</v>
      </c>
      <c r="CB22" s="189" t="s">
        <v>84</v>
      </c>
      <c r="CC22" s="189" t="s">
        <v>147</v>
      </c>
      <c r="CD22" s="189" t="s">
        <v>146</v>
      </c>
      <c r="CE22" s="189" t="s">
        <v>79</v>
      </c>
      <c r="CF22" s="108" t="s">
        <v>1</v>
      </c>
    </row>
    <row r="23" ht="21" customHeight="1" spans="1:84">
      <c r="A23" s="107">
        <v>45126</v>
      </c>
      <c r="B23" s="108" t="s">
        <v>70</v>
      </c>
      <c r="C23" s="92" t="s">
        <v>71</v>
      </c>
      <c r="D23" s="30" t="s">
        <v>1</v>
      </c>
      <c r="E23" s="30" t="s">
        <v>1</v>
      </c>
      <c r="F23" s="30">
        <v>10.1789</v>
      </c>
      <c r="G23" s="108" t="s">
        <v>1</v>
      </c>
      <c r="H23" s="108" t="str">
        <f t="shared" si="0"/>
        <v/>
      </c>
      <c r="I23" s="30">
        <v>0</v>
      </c>
      <c r="J23" s="141" t="str">
        <f t="shared" si="1"/>
        <v/>
      </c>
      <c r="K23" s="211" t="str">
        <f>IFERROR(E23/#REF!,"")</f>
        <v/>
      </c>
      <c r="L23" s="30">
        <v>107294</v>
      </c>
      <c r="M23" s="155" t="s">
        <v>72</v>
      </c>
      <c r="N23" s="108" t="s">
        <v>1</v>
      </c>
      <c r="O23" s="108" t="s">
        <v>1</v>
      </c>
      <c r="P23" s="108" t="s">
        <v>1</v>
      </c>
      <c r="Q23" s="108" t="s">
        <v>1</v>
      </c>
      <c r="R23" s="108">
        <v>6438</v>
      </c>
      <c r="S23" s="108">
        <v>0</v>
      </c>
      <c r="T23" s="108" t="s">
        <v>1</v>
      </c>
      <c r="U23" s="108" t="s">
        <v>1</v>
      </c>
      <c r="V23" s="92" t="s">
        <v>1</v>
      </c>
      <c r="W23" s="92" t="s">
        <v>72</v>
      </c>
      <c r="X23" s="92" t="s">
        <v>1</v>
      </c>
      <c r="Y23" s="92" t="s">
        <v>72</v>
      </c>
      <c r="Z23" s="92" t="s">
        <v>1</v>
      </c>
      <c r="AA23" s="236" t="s">
        <v>72</v>
      </c>
      <c r="AB23" s="92" t="s">
        <v>1</v>
      </c>
      <c r="AC23" s="92" t="s">
        <v>72</v>
      </c>
      <c r="AD23" s="92">
        <v>23</v>
      </c>
      <c r="AE23" s="92" t="s">
        <v>72</v>
      </c>
      <c r="AF23" s="92" t="s">
        <v>1</v>
      </c>
      <c r="AG23" s="92" t="s">
        <v>72</v>
      </c>
      <c r="AH23" s="92">
        <v>2272</v>
      </c>
      <c r="AI23" s="92" t="s">
        <v>72</v>
      </c>
      <c r="AJ23" s="92">
        <v>996</v>
      </c>
      <c r="AK23" s="92" t="s">
        <v>72</v>
      </c>
      <c r="AL23" s="92">
        <v>83</v>
      </c>
      <c r="AM23" s="92" t="s">
        <v>72</v>
      </c>
      <c r="AN23" s="92">
        <v>60</v>
      </c>
      <c r="AO23" s="92" t="s">
        <v>72</v>
      </c>
      <c r="AP23" s="92">
        <v>1203</v>
      </c>
      <c r="AQ23" s="92" t="s">
        <v>72</v>
      </c>
      <c r="AR23" s="92">
        <v>144</v>
      </c>
      <c r="AS23" s="92" t="s">
        <v>72</v>
      </c>
      <c r="AT23" s="187">
        <v>0.0104</v>
      </c>
      <c r="AU23" s="92" t="s">
        <v>72</v>
      </c>
      <c r="AV23" s="108" t="s">
        <v>1</v>
      </c>
      <c r="AW23" s="108" t="s">
        <v>1</v>
      </c>
      <c r="AX23" s="108" t="s">
        <v>1</v>
      </c>
      <c r="AY23" s="108" t="s">
        <v>1</v>
      </c>
      <c r="AZ23" s="108" t="s">
        <v>1</v>
      </c>
      <c r="BA23" s="108" t="s">
        <v>1</v>
      </c>
      <c r="BB23" s="108" t="s">
        <v>1</v>
      </c>
      <c r="BC23" s="108" t="s">
        <v>1</v>
      </c>
      <c r="BD23" s="108" t="s">
        <v>1</v>
      </c>
      <c r="BE23" s="108" t="s">
        <v>1</v>
      </c>
      <c r="BF23" s="108" t="s">
        <v>1</v>
      </c>
      <c r="BG23" s="108" t="s">
        <v>1</v>
      </c>
      <c r="BH23" s="110">
        <v>1</v>
      </c>
      <c r="BI23" s="92" t="s">
        <v>73</v>
      </c>
      <c r="BJ23" s="92">
        <v>54</v>
      </c>
      <c r="BK23" s="92">
        <v>1289</v>
      </c>
      <c r="BL23" s="92" t="s">
        <v>72</v>
      </c>
      <c r="BM23" s="92" t="s">
        <v>74</v>
      </c>
      <c r="BN23" s="92">
        <v>331</v>
      </c>
      <c r="BO23" s="92">
        <v>357</v>
      </c>
      <c r="BP23" s="92" t="s">
        <v>72</v>
      </c>
      <c r="BQ23" s="108" t="s">
        <v>1</v>
      </c>
      <c r="BR23" s="108" t="s">
        <v>1</v>
      </c>
      <c r="BS23" s="108" t="s">
        <v>1</v>
      </c>
      <c r="BT23" s="108" t="s">
        <v>1</v>
      </c>
      <c r="BU23" s="108" t="s">
        <v>1</v>
      </c>
      <c r="BV23" s="189" t="s">
        <v>1</v>
      </c>
      <c r="BW23" s="189" t="s">
        <v>1</v>
      </c>
      <c r="BX23" s="189" t="s">
        <v>1</v>
      </c>
      <c r="BY23" s="189" t="s">
        <v>1</v>
      </c>
      <c r="BZ23" s="190" t="s">
        <v>1</v>
      </c>
      <c r="CA23" s="189" t="s">
        <v>1</v>
      </c>
      <c r="CB23" s="189" t="s">
        <v>1</v>
      </c>
      <c r="CC23" s="189" t="s">
        <v>1</v>
      </c>
      <c r="CD23" s="189" t="s">
        <v>1</v>
      </c>
      <c r="CE23" s="189" t="s">
        <v>1</v>
      </c>
      <c r="CF23" s="108" t="s">
        <v>1</v>
      </c>
    </row>
    <row r="24" ht="21" customHeight="1" spans="1:84">
      <c r="A24" s="107">
        <v>45127</v>
      </c>
      <c r="B24" s="108" t="s">
        <v>70</v>
      </c>
      <c r="C24" s="92" t="s">
        <v>71</v>
      </c>
      <c r="D24" s="30" t="s">
        <v>1</v>
      </c>
      <c r="E24" s="30" t="s">
        <v>1</v>
      </c>
      <c r="F24" s="30">
        <v>14.6096</v>
      </c>
      <c r="G24" s="108" t="s">
        <v>1</v>
      </c>
      <c r="H24" s="108" t="str">
        <f t="shared" si="0"/>
        <v/>
      </c>
      <c r="I24" s="30">
        <v>22.1</v>
      </c>
      <c r="J24" s="141" t="str">
        <f t="shared" si="1"/>
        <v/>
      </c>
      <c r="K24" s="211" t="str">
        <f>IFERROR(E24/#REF!,"")</f>
        <v/>
      </c>
      <c r="L24" s="30">
        <v>1342791</v>
      </c>
      <c r="M24" s="155" t="s">
        <v>72</v>
      </c>
      <c r="N24" s="108" t="s">
        <v>1</v>
      </c>
      <c r="O24" s="108" t="s">
        <v>1</v>
      </c>
      <c r="P24" s="108" t="s">
        <v>1</v>
      </c>
      <c r="Q24" s="108" t="s">
        <v>1</v>
      </c>
      <c r="R24" s="108">
        <v>9897</v>
      </c>
      <c r="S24" s="108">
        <v>0</v>
      </c>
      <c r="T24" s="108" t="s">
        <v>1</v>
      </c>
      <c r="U24" s="108" t="s">
        <v>1</v>
      </c>
      <c r="V24" s="92" t="s">
        <v>1</v>
      </c>
      <c r="W24" s="92" t="s">
        <v>72</v>
      </c>
      <c r="X24" s="92" t="s">
        <v>1</v>
      </c>
      <c r="Y24" s="92" t="s">
        <v>72</v>
      </c>
      <c r="Z24" s="92" t="s">
        <v>1</v>
      </c>
      <c r="AA24" s="236" t="s">
        <v>72</v>
      </c>
      <c r="AB24" s="92" t="s">
        <v>1</v>
      </c>
      <c r="AC24" s="92" t="s">
        <v>72</v>
      </c>
      <c r="AD24" s="92">
        <v>22</v>
      </c>
      <c r="AE24" s="92" t="s">
        <v>72</v>
      </c>
      <c r="AF24" s="92" t="s">
        <v>1</v>
      </c>
      <c r="AG24" s="92" t="s">
        <v>72</v>
      </c>
      <c r="AH24" s="92">
        <v>2427</v>
      </c>
      <c r="AI24" s="92" t="s">
        <v>72</v>
      </c>
      <c r="AJ24" s="92">
        <v>1040</v>
      </c>
      <c r="AK24" s="92" t="s">
        <v>72</v>
      </c>
      <c r="AL24" s="92">
        <v>78</v>
      </c>
      <c r="AM24" s="92" t="s">
        <v>72</v>
      </c>
      <c r="AN24" s="92">
        <v>70</v>
      </c>
      <c r="AO24" s="92" t="s">
        <v>72</v>
      </c>
      <c r="AP24" s="92">
        <v>1322</v>
      </c>
      <c r="AQ24" s="92" t="s">
        <v>72</v>
      </c>
      <c r="AR24" s="92">
        <v>153</v>
      </c>
      <c r="AS24" s="92" t="s">
        <v>72</v>
      </c>
      <c r="AT24" s="187">
        <v>0.0136</v>
      </c>
      <c r="AU24" s="92" t="s">
        <v>72</v>
      </c>
      <c r="AV24" s="108" t="s">
        <v>1</v>
      </c>
      <c r="AW24" s="108" t="s">
        <v>1</v>
      </c>
      <c r="AX24" s="108" t="s">
        <v>1</v>
      </c>
      <c r="AY24" s="108" t="s">
        <v>1</v>
      </c>
      <c r="AZ24" s="108" t="s">
        <v>1</v>
      </c>
      <c r="BA24" s="108" t="s">
        <v>1</v>
      </c>
      <c r="BB24" s="108" t="s">
        <v>1</v>
      </c>
      <c r="BC24" s="108" t="s">
        <v>1</v>
      </c>
      <c r="BD24" s="108" t="s">
        <v>1</v>
      </c>
      <c r="BE24" s="108" t="s">
        <v>1</v>
      </c>
      <c r="BF24" s="108" t="s">
        <v>1</v>
      </c>
      <c r="BG24" s="108" t="s">
        <v>1</v>
      </c>
      <c r="BH24" s="110">
        <v>1</v>
      </c>
      <c r="BI24" s="92" t="s">
        <v>94</v>
      </c>
      <c r="BJ24" s="92">
        <v>41</v>
      </c>
      <c r="BK24" s="92">
        <v>1558</v>
      </c>
      <c r="BL24" s="92" t="s">
        <v>72</v>
      </c>
      <c r="BM24" s="92" t="s">
        <v>74</v>
      </c>
      <c r="BN24" s="92">
        <v>252</v>
      </c>
      <c r="BO24" s="92">
        <v>478</v>
      </c>
      <c r="BP24" s="92" t="s">
        <v>72</v>
      </c>
      <c r="BQ24" s="108" t="s">
        <v>1</v>
      </c>
      <c r="BR24" s="108" t="s">
        <v>1</v>
      </c>
      <c r="BS24" s="108" t="s">
        <v>1</v>
      </c>
      <c r="BT24" s="108" t="s">
        <v>1</v>
      </c>
      <c r="BU24" s="108" t="s">
        <v>1</v>
      </c>
      <c r="BV24" s="189" t="s">
        <v>1</v>
      </c>
      <c r="BW24" s="189" t="s">
        <v>1</v>
      </c>
      <c r="BX24" s="189" t="s">
        <v>1</v>
      </c>
      <c r="BY24" s="189" t="s">
        <v>1</v>
      </c>
      <c r="BZ24" s="190" t="s">
        <v>1</v>
      </c>
      <c r="CA24" s="189" t="s">
        <v>1</v>
      </c>
      <c r="CB24" s="189" t="s">
        <v>1</v>
      </c>
      <c r="CC24" s="189" t="s">
        <v>1</v>
      </c>
      <c r="CD24" s="189" t="s">
        <v>1</v>
      </c>
      <c r="CE24" s="189" t="s">
        <v>1</v>
      </c>
      <c r="CF24" s="108" t="s">
        <v>1</v>
      </c>
    </row>
    <row r="25" ht="21" customHeight="1" spans="1:84">
      <c r="A25" s="107">
        <v>45128</v>
      </c>
      <c r="B25" s="108" t="s">
        <v>70</v>
      </c>
      <c r="C25" s="92" t="s">
        <v>71</v>
      </c>
      <c r="D25" s="30" t="s">
        <v>1</v>
      </c>
      <c r="E25" s="30" t="s">
        <v>1</v>
      </c>
      <c r="F25" s="30">
        <v>9.5191</v>
      </c>
      <c r="G25" s="108" t="s">
        <v>1</v>
      </c>
      <c r="H25" s="108" t="str">
        <f t="shared" si="0"/>
        <v/>
      </c>
      <c r="I25" s="30">
        <v>16.9</v>
      </c>
      <c r="J25" s="141" t="str">
        <f t="shared" si="1"/>
        <v/>
      </c>
      <c r="K25" s="211" t="str">
        <f>IFERROR(E25/#REF!,"")</f>
        <v/>
      </c>
      <c r="L25" s="30">
        <v>65063</v>
      </c>
      <c r="M25" s="155" t="s">
        <v>72</v>
      </c>
      <c r="N25" s="108" t="s">
        <v>1</v>
      </c>
      <c r="O25" s="108" t="s">
        <v>1</v>
      </c>
      <c r="P25" s="108" t="s">
        <v>1</v>
      </c>
      <c r="Q25" s="108" t="s">
        <v>1</v>
      </c>
      <c r="R25" s="108">
        <v>3299</v>
      </c>
      <c r="S25" s="108">
        <v>0</v>
      </c>
      <c r="T25" s="108" t="s">
        <v>1</v>
      </c>
      <c r="U25" s="108" t="s">
        <v>1</v>
      </c>
      <c r="V25" s="92" t="s">
        <v>1</v>
      </c>
      <c r="W25" s="92" t="s">
        <v>72</v>
      </c>
      <c r="X25" s="92" t="s">
        <v>1</v>
      </c>
      <c r="Y25" s="92" t="s">
        <v>72</v>
      </c>
      <c r="Z25" s="92" t="s">
        <v>1</v>
      </c>
      <c r="AA25" s="236" t="s">
        <v>72</v>
      </c>
      <c r="AB25" s="92" t="s">
        <v>1</v>
      </c>
      <c r="AC25" s="92" t="s">
        <v>72</v>
      </c>
      <c r="AD25" s="92">
        <v>24</v>
      </c>
      <c r="AE25" s="92" t="s">
        <v>72</v>
      </c>
      <c r="AF25" s="92" t="s">
        <v>1</v>
      </c>
      <c r="AG25" s="92" t="s">
        <v>72</v>
      </c>
      <c r="AH25" s="92">
        <v>2069</v>
      </c>
      <c r="AI25" s="92" t="s">
        <v>72</v>
      </c>
      <c r="AJ25" s="92">
        <v>746</v>
      </c>
      <c r="AK25" s="92" t="s">
        <v>72</v>
      </c>
      <c r="AL25" s="92">
        <v>82</v>
      </c>
      <c r="AM25" s="92" t="s">
        <v>72</v>
      </c>
      <c r="AN25" s="92">
        <v>963</v>
      </c>
      <c r="AO25" s="92" t="s">
        <v>72</v>
      </c>
      <c r="AP25" s="92">
        <v>1081</v>
      </c>
      <c r="AQ25" s="92" t="s">
        <v>72</v>
      </c>
      <c r="AR25" s="92">
        <v>119</v>
      </c>
      <c r="AS25" s="92" t="s">
        <v>72</v>
      </c>
      <c r="AT25" s="187">
        <v>0.008</v>
      </c>
      <c r="AU25" s="92" t="s">
        <v>72</v>
      </c>
      <c r="AV25" s="108" t="s">
        <v>1</v>
      </c>
      <c r="AW25" s="108" t="s">
        <v>1</v>
      </c>
      <c r="AX25" s="108" t="s">
        <v>1</v>
      </c>
      <c r="AY25" s="108" t="s">
        <v>1</v>
      </c>
      <c r="AZ25" s="108" t="s">
        <v>1</v>
      </c>
      <c r="BA25" s="108" t="s">
        <v>1</v>
      </c>
      <c r="BB25" s="108" t="s">
        <v>1</v>
      </c>
      <c r="BC25" s="108" t="s">
        <v>1</v>
      </c>
      <c r="BD25" s="108" t="s">
        <v>1</v>
      </c>
      <c r="BE25" s="108" t="s">
        <v>1</v>
      </c>
      <c r="BF25" s="108" t="s">
        <v>1</v>
      </c>
      <c r="BG25" s="108" t="s">
        <v>1</v>
      </c>
      <c r="BH25" s="110">
        <v>1</v>
      </c>
      <c r="BI25" s="92" t="s">
        <v>73</v>
      </c>
      <c r="BJ25" s="92">
        <v>54</v>
      </c>
      <c r="BK25" s="92">
        <v>1214</v>
      </c>
      <c r="BL25" s="92" t="s">
        <v>72</v>
      </c>
      <c r="BM25" s="92" t="s">
        <v>74</v>
      </c>
      <c r="BN25" s="92">
        <v>272</v>
      </c>
      <c r="BO25" s="92">
        <v>437</v>
      </c>
      <c r="BP25" s="92" t="s">
        <v>72</v>
      </c>
      <c r="BQ25" s="108" t="s">
        <v>1</v>
      </c>
      <c r="BR25" s="108" t="s">
        <v>1</v>
      </c>
      <c r="BS25" s="108" t="s">
        <v>1</v>
      </c>
      <c r="BT25" s="108" t="s">
        <v>1</v>
      </c>
      <c r="BU25" s="108" t="s">
        <v>1</v>
      </c>
      <c r="BV25" s="189" t="s">
        <v>1</v>
      </c>
      <c r="BW25" s="189" t="s">
        <v>1</v>
      </c>
      <c r="BX25" s="189" t="s">
        <v>1</v>
      </c>
      <c r="BY25" s="189" t="s">
        <v>1</v>
      </c>
      <c r="BZ25" s="190" t="s">
        <v>1</v>
      </c>
      <c r="CA25" s="189" t="s">
        <v>1</v>
      </c>
      <c r="CB25" s="189" t="s">
        <v>1</v>
      </c>
      <c r="CC25" s="189" t="s">
        <v>1</v>
      </c>
      <c r="CD25" s="189" t="s">
        <v>1</v>
      </c>
      <c r="CE25" s="189" t="s">
        <v>1</v>
      </c>
      <c r="CF25" s="108" t="s">
        <v>1</v>
      </c>
    </row>
    <row r="26" ht="21" customHeight="1" spans="1:84">
      <c r="A26" s="107">
        <v>45129</v>
      </c>
      <c r="B26" s="194" t="s">
        <v>89</v>
      </c>
      <c r="C26" s="92" t="s">
        <v>71</v>
      </c>
      <c r="D26" s="30" t="s">
        <v>1</v>
      </c>
      <c r="E26" s="30" t="s">
        <v>1</v>
      </c>
      <c r="F26" s="30">
        <v>0.9797</v>
      </c>
      <c r="G26" s="108" t="s">
        <v>1</v>
      </c>
      <c r="H26" s="108" t="str">
        <f t="shared" si="0"/>
        <v/>
      </c>
      <c r="I26" s="30">
        <v>11.7</v>
      </c>
      <c r="J26" s="141" t="str">
        <f t="shared" si="1"/>
        <v/>
      </c>
      <c r="K26" s="211" t="str">
        <f>IFERROR(E26/#REF!,"")</f>
        <v/>
      </c>
      <c r="L26" s="30">
        <v>26992</v>
      </c>
      <c r="M26" s="155" t="s">
        <v>72</v>
      </c>
      <c r="N26" s="108" t="s">
        <v>1</v>
      </c>
      <c r="O26" s="108" t="s">
        <v>1</v>
      </c>
      <c r="P26" s="108" t="s">
        <v>1</v>
      </c>
      <c r="Q26" s="108" t="s">
        <v>1</v>
      </c>
      <c r="R26" s="108">
        <v>0</v>
      </c>
      <c r="S26" s="108">
        <v>0</v>
      </c>
      <c r="T26" s="108" t="s">
        <v>1</v>
      </c>
      <c r="U26" s="108" t="s">
        <v>1</v>
      </c>
      <c r="V26" s="92" t="s">
        <v>1</v>
      </c>
      <c r="W26" s="92" t="s">
        <v>72</v>
      </c>
      <c r="X26" s="92" t="s">
        <v>1</v>
      </c>
      <c r="Y26" s="92" t="s">
        <v>72</v>
      </c>
      <c r="Z26" s="92" t="s">
        <v>1</v>
      </c>
      <c r="AA26" s="236" t="s">
        <v>72</v>
      </c>
      <c r="AB26" s="92" t="s">
        <v>1</v>
      </c>
      <c r="AC26" s="92" t="s">
        <v>72</v>
      </c>
      <c r="AD26" s="92">
        <v>28</v>
      </c>
      <c r="AE26" s="92" t="s">
        <v>72</v>
      </c>
      <c r="AF26" s="92" t="s">
        <v>1</v>
      </c>
      <c r="AG26" s="92" t="s">
        <v>72</v>
      </c>
      <c r="AH26" s="92">
        <v>2570</v>
      </c>
      <c r="AI26" s="92" t="s">
        <v>72</v>
      </c>
      <c r="AJ26" s="92">
        <v>926</v>
      </c>
      <c r="AK26" s="92" t="s">
        <v>72</v>
      </c>
      <c r="AL26" s="92">
        <v>71</v>
      </c>
      <c r="AM26" s="92" t="s">
        <v>72</v>
      </c>
      <c r="AN26" s="92">
        <v>2884</v>
      </c>
      <c r="AO26" s="92" t="s">
        <v>72</v>
      </c>
      <c r="AP26" s="92">
        <v>1350</v>
      </c>
      <c r="AQ26" s="92" t="s">
        <v>72</v>
      </c>
      <c r="AR26" s="92">
        <v>198</v>
      </c>
      <c r="AS26" s="92" t="s">
        <v>72</v>
      </c>
      <c r="AT26" s="187">
        <v>0.0003</v>
      </c>
      <c r="AU26" s="92" t="s">
        <v>72</v>
      </c>
      <c r="AV26" s="108" t="s">
        <v>1</v>
      </c>
      <c r="AW26" s="108" t="s">
        <v>1</v>
      </c>
      <c r="AX26" s="108" t="s">
        <v>1</v>
      </c>
      <c r="AY26" s="108" t="s">
        <v>1</v>
      </c>
      <c r="AZ26" s="108" t="s">
        <v>1</v>
      </c>
      <c r="BA26" s="108" t="s">
        <v>1</v>
      </c>
      <c r="BB26" s="108" t="s">
        <v>1</v>
      </c>
      <c r="BC26" s="108" t="s">
        <v>1</v>
      </c>
      <c r="BD26" s="108" t="s">
        <v>1</v>
      </c>
      <c r="BE26" s="108" t="s">
        <v>1</v>
      </c>
      <c r="BF26" s="108" t="s">
        <v>1</v>
      </c>
      <c r="BG26" s="108" t="s">
        <v>1</v>
      </c>
      <c r="BH26" s="110">
        <v>1</v>
      </c>
      <c r="BI26" s="92" t="s">
        <v>94</v>
      </c>
      <c r="BJ26" s="92">
        <v>48</v>
      </c>
      <c r="BK26" s="92">
        <v>1389</v>
      </c>
      <c r="BL26" s="92" t="s">
        <v>72</v>
      </c>
      <c r="BM26" s="92" t="s">
        <v>74</v>
      </c>
      <c r="BN26" s="92">
        <v>295</v>
      </c>
      <c r="BO26" s="92">
        <v>443</v>
      </c>
      <c r="BP26" s="92" t="s">
        <v>72</v>
      </c>
      <c r="BQ26" s="108" t="s">
        <v>1</v>
      </c>
      <c r="BR26" s="108" t="s">
        <v>1</v>
      </c>
      <c r="BS26" s="108" t="s">
        <v>1</v>
      </c>
      <c r="BT26" s="108" t="s">
        <v>1</v>
      </c>
      <c r="BU26" s="108" t="s">
        <v>1</v>
      </c>
      <c r="BV26" s="189" t="s">
        <v>1</v>
      </c>
      <c r="BW26" s="189" t="s">
        <v>1</v>
      </c>
      <c r="BX26" s="189" t="s">
        <v>1</v>
      </c>
      <c r="BY26" s="189" t="s">
        <v>1</v>
      </c>
      <c r="BZ26" s="190" t="s">
        <v>1</v>
      </c>
      <c r="CA26" s="189" t="s">
        <v>1</v>
      </c>
      <c r="CB26" s="189" t="s">
        <v>1</v>
      </c>
      <c r="CC26" s="189" t="s">
        <v>1</v>
      </c>
      <c r="CD26" s="189" t="s">
        <v>1</v>
      </c>
      <c r="CE26" s="189" t="s">
        <v>1</v>
      </c>
      <c r="CF26" s="108" t="s">
        <v>1</v>
      </c>
    </row>
    <row r="27" ht="21" customHeight="1" spans="1:84">
      <c r="A27" s="107">
        <v>45130</v>
      </c>
      <c r="B27" s="194" t="s">
        <v>89</v>
      </c>
      <c r="C27" s="92" t="s">
        <v>71</v>
      </c>
      <c r="D27" s="30" t="s">
        <v>1</v>
      </c>
      <c r="E27" s="30" t="s">
        <v>1</v>
      </c>
      <c r="F27" s="30">
        <v>0</v>
      </c>
      <c r="G27" s="108" t="s">
        <v>1</v>
      </c>
      <c r="H27" s="108" t="str">
        <f t="shared" si="0"/>
        <v/>
      </c>
      <c r="I27" s="30">
        <v>0</v>
      </c>
      <c r="J27" s="141" t="str">
        <f t="shared" si="1"/>
        <v/>
      </c>
      <c r="K27" s="211" t="str">
        <f>IFERROR(E27/#REF!,"")</f>
        <v/>
      </c>
      <c r="L27" s="30">
        <v>16696</v>
      </c>
      <c r="M27" s="155" t="s">
        <v>72</v>
      </c>
      <c r="N27" s="108" t="s">
        <v>1</v>
      </c>
      <c r="O27" s="108" t="s">
        <v>1</v>
      </c>
      <c r="P27" s="108" t="s">
        <v>1</v>
      </c>
      <c r="Q27" s="108" t="s">
        <v>1</v>
      </c>
      <c r="R27" s="108">
        <v>0</v>
      </c>
      <c r="S27" s="108">
        <v>0</v>
      </c>
      <c r="T27" s="108" t="s">
        <v>1</v>
      </c>
      <c r="U27" s="108" t="s">
        <v>1</v>
      </c>
      <c r="V27" s="92" t="s">
        <v>1</v>
      </c>
      <c r="W27" s="92" t="s">
        <v>72</v>
      </c>
      <c r="X27" s="92" t="s">
        <v>1</v>
      </c>
      <c r="Y27" s="92" t="s">
        <v>72</v>
      </c>
      <c r="Z27" s="92" t="s">
        <v>1</v>
      </c>
      <c r="AA27" s="236" t="s">
        <v>72</v>
      </c>
      <c r="AB27" s="92" t="s">
        <v>1</v>
      </c>
      <c r="AC27" s="92" t="s">
        <v>72</v>
      </c>
      <c r="AD27" s="92">
        <v>21</v>
      </c>
      <c r="AE27" s="92" t="s">
        <v>72</v>
      </c>
      <c r="AF27" s="92" t="s">
        <v>1</v>
      </c>
      <c r="AG27" s="92" t="s">
        <v>72</v>
      </c>
      <c r="AH27" s="92">
        <v>2437</v>
      </c>
      <c r="AI27" s="92" t="s">
        <v>72</v>
      </c>
      <c r="AJ27" s="92">
        <v>126</v>
      </c>
      <c r="AK27" s="92" t="s">
        <v>72</v>
      </c>
      <c r="AL27" s="92">
        <v>89</v>
      </c>
      <c r="AM27" s="92" t="s">
        <v>72</v>
      </c>
      <c r="AN27" s="92">
        <v>1169</v>
      </c>
      <c r="AO27" s="92" t="s">
        <v>72</v>
      </c>
      <c r="AP27" s="92">
        <v>1310</v>
      </c>
      <c r="AQ27" s="92" t="s">
        <v>72</v>
      </c>
      <c r="AR27" s="92">
        <v>202</v>
      </c>
      <c r="AS27" s="92" t="s">
        <v>72</v>
      </c>
      <c r="AT27" s="187">
        <v>0</v>
      </c>
      <c r="AU27" s="92" t="s">
        <v>72</v>
      </c>
      <c r="AV27" s="108" t="s">
        <v>1</v>
      </c>
      <c r="AW27" s="108" t="s">
        <v>1</v>
      </c>
      <c r="AX27" s="108" t="s">
        <v>1</v>
      </c>
      <c r="AY27" s="108" t="s">
        <v>1</v>
      </c>
      <c r="AZ27" s="108" t="s">
        <v>1</v>
      </c>
      <c r="BA27" s="108" t="s">
        <v>1</v>
      </c>
      <c r="BB27" s="108" t="s">
        <v>1</v>
      </c>
      <c r="BC27" s="108" t="s">
        <v>1</v>
      </c>
      <c r="BD27" s="108" t="s">
        <v>1</v>
      </c>
      <c r="BE27" s="108" t="s">
        <v>1</v>
      </c>
      <c r="BF27" s="108" t="s">
        <v>1</v>
      </c>
      <c r="BG27" s="108" t="s">
        <v>1</v>
      </c>
      <c r="BH27" s="110">
        <v>1</v>
      </c>
      <c r="BI27" s="92" t="s">
        <v>94</v>
      </c>
      <c r="BJ27" s="92">
        <v>44</v>
      </c>
      <c r="BK27" s="92">
        <v>1587</v>
      </c>
      <c r="BL27" s="92" t="s">
        <v>72</v>
      </c>
      <c r="BM27" s="92" t="s">
        <v>74</v>
      </c>
      <c r="BN27" s="92">
        <v>264</v>
      </c>
      <c r="BO27" s="92">
        <v>484</v>
      </c>
      <c r="BP27" s="92" t="s">
        <v>72</v>
      </c>
      <c r="BQ27" s="108" t="s">
        <v>1</v>
      </c>
      <c r="BR27" s="108" t="s">
        <v>1</v>
      </c>
      <c r="BS27" s="108" t="s">
        <v>1</v>
      </c>
      <c r="BT27" s="108" t="s">
        <v>1</v>
      </c>
      <c r="BU27" s="108" t="s">
        <v>1</v>
      </c>
      <c r="BV27" s="189" t="s">
        <v>1</v>
      </c>
      <c r="BW27" s="189" t="s">
        <v>1</v>
      </c>
      <c r="BX27" s="189" t="s">
        <v>1</v>
      </c>
      <c r="BY27" s="189" t="s">
        <v>1</v>
      </c>
      <c r="BZ27" s="190" t="s">
        <v>1</v>
      </c>
      <c r="CA27" s="189" t="s">
        <v>1</v>
      </c>
      <c r="CB27" s="189" t="s">
        <v>1</v>
      </c>
      <c r="CC27" s="189" t="s">
        <v>1</v>
      </c>
      <c r="CD27" s="189" t="s">
        <v>1</v>
      </c>
      <c r="CE27" s="189" t="s">
        <v>1</v>
      </c>
      <c r="CF27" s="108" t="s">
        <v>1</v>
      </c>
    </row>
    <row r="28" ht="21" customHeight="1" spans="1:84">
      <c r="A28" s="107">
        <v>45131</v>
      </c>
      <c r="B28" s="194" t="s">
        <v>89</v>
      </c>
      <c r="C28" s="92" t="s">
        <v>71</v>
      </c>
      <c r="D28" s="30" t="s">
        <v>1</v>
      </c>
      <c r="E28" s="30" t="s">
        <v>1</v>
      </c>
      <c r="F28" s="30">
        <v>29.2171</v>
      </c>
      <c r="G28" s="108" t="s">
        <v>1</v>
      </c>
      <c r="H28" s="108" t="str">
        <f t="shared" si="0"/>
        <v/>
      </c>
      <c r="I28" s="30">
        <v>23.4</v>
      </c>
      <c r="J28" s="141" t="str">
        <f t="shared" si="1"/>
        <v/>
      </c>
      <c r="K28" s="211" t="str">
        <f>IFERROR(E28/#REF!,"")</f>
        <v/>
      </c>
      <c r="L28" s="30">
        <v>73807</v>
      </c>
      <c r="M28" s="155" t="s">
        <v>72</v>
      </c>
      <c r="N28" s="108" t="s">
        <v>1</v>
      </c>
      <c r="O28" s="108" t="s">
        <v>1</v>
      </c>
      <c r="P28" s="108" t="s">
        <v>1</v>
      </c>
      <c r="Q28" s="108" t="s">
        <v>1</v>
      </c>
      <c r="R28" s="108">
        <v>26392</v>
      </c>
      <c r="S28" s="108">
        <v>0</v>
      </c>
      <c r="T28" s="108" t="s">
        <v>1</v>
      </c>
      <c r="U28" s="108" t="s">
        <v>1</v>
      </c>
      <c r="V28" s="92" t="s">
        <v>1</v>
      </c>
      <c r="W28" s="92" t="s">
        <v>72</v>
      </c>
      <c r="X28" s="92" t="s">
        <v>1</v>
      </c>
      <c r="Y28" s="92" t="s">
        <v>72</v>
      </c>
      <c r="Z28" s="92" t="s">
        <v>1</v>
      </c>
      <c r="AA28" s="236" t="s">
        <v>72</v>
      </c>
      <c r="AB28" s="92" t="s">
        <v>1</v>
      </c>
      <c r="AC28" s="92" t="s">
        <v>72</v>
      </c>
      <c r="AD28" s="92">
        <v>24</v>
      </c>
      <c r="AE28" s="92" t="s">
        <v>72</v>
      </c>
      <c r="AF28" s="92" t="s">
        <v>1</v>
      </c>
      <c r="AG28" s="92" t="s">
        <v>72</v>
      </c>
      <c r="AH28" s="92">
        <v>2870</v>
      </c>
      <c r="AI28" s="92" t="s">
        <v>72</v>
      </c>
      <c r="AJ28" s="92">
        <v>1009</v>
      </c>
      <c r="AK28" s="92" t="s">
        <v>72</v>
      </c>
      <c r="AL28" s="92">
        <v>120</v>
      </c>
      <c r="AM28" s="92" t="s">
        <v>72</v>
      </c>
      <c r="AN28" s="92">
        <v>3200</v>
      </c>
      <c r="AO28" s="92" t="s">
        <v>72</v>
      </c>
      <c r="AP28" s="92">
        <v>1582</v>
      </c>
      <c r="AQ28" s="92" t="s">
        <v>72</v>
      </c>
      <c r="AR28" s="92">
        <v>211</v>
      </c>
      <c r="AS28" s="92" t="s">
        <v>72</v>
      </c>
      <c r="AT28" s="187">
        <v>0.0134</v>
      </c>
      <c r="AU28" s="92" t="s">
        <v>72</v>
      </c>
      <c r="AV28" s="108" t="s">
        <v>1</v>
      </c>
      <c r="AW28" s="108" t="s">
        <v>1</v>
      </c>
      <c r="AX28" s="108" t="s">
        <v>1</v>
      </c>
      <c r="AY28" s="108" t="s">
        <v>1</v>
      </c>
      <c r="AZ28" s="108" t="s">
        <v>1</v>
      </c>
      <c r="BA28" s="108" t="s">
        <v>1</v>
      </c>
      <c r="BB28" s="108" t="s">
        <v>1</v>
      </c>
      <c r="BC28" s="108" t="s">
        <v>1</v>
      </c>
      <c r="BD28" s="108" t="s">
        <v>1</v>
      </c>
      <c r="BE28" s="108" t="s">
        <v>1</v>
      </c>
      <c r="BF28" s="108" t="s">
        <v>1</v>
      </c>
      <c r="BG28" s="108" t="s">
        <v>1</v>
      </c>
      <c r="BH28" s="110">
        <v>1</v>
      </c>
      <c r="BI28" s="92" t="s">
        <v>94</v>
      </c>
      <c r="BJ28" s="92">
        <v>35</v>
      </c>
      <c r="BK28" s="92">
        <v>1778</v>
      </c>
      <c r="BL28" s="92" t="s">
        <v>72</v>
      </c>
      <c r="BM28" s="92" t="s">
        <v>74</v>
      </c>
      <c r="BN28" s="92">
        <v>243</v>
      </c>
      <c r="BO28" s="92">
        <v>496</v>
      </c>
      <c r="BP28" s="92" t="s">
        <v>72</v>
      </c>
      <c r="BQ28" s="108" t="s">
        <v>1</v>
      </c>
      <c r="BR28" s="108" t="s">
        <v>1</v>
      </c>
      <c r="BS28" s="108" t="s">
        <v>1</v>
      </c>
      <c r="BT28" s="108" t="s">
        <v>1</v>
      </c>
      <c r="BU28" s="108" t="s">
        <v>1</v>
      </c>
      <c r="BV28" s="189" t="s">
        <v>1</v>
      </c>
      <c r="BW28" s="189" t="s">
        <v>1</v>
      </c>
      <c r="BX28" s="189" t="s">
        <v>1</v>
      </c>
      <c r="BY28" s="189" t="s">
        <v>1</v>
      </c>
      <c r="BZ28" s="190" t="s">
        <v>1</v>
      </c>
      <c r="CA28" s="189" t="s">
        <v>1</v>
      </c>
      <c r="CB28" s="189" t="s">
        <v>1</v>
      </c>
      <c r="CC28" s="189" t="s">
        <v>1</v>
      </c>
      <c r="CD28" s="189" t="s">
        <v>1</v>
      </c>
      <c r="CE28" s="189" t="s">
        <v>1</v>
      </c>
      <c r="CF28" s="108" t="s">
        <v>1</v>
      </c>
    </row>
    <row r="29" ht="21" customHeight="1" spans="1:84">
      <c r="A29" s="107">
        <v>45132</v>
      </c>
      <c r="B29" s="105" t="s">
        <v>91</v>
      </c>
      <c r="C29" s="92" t="s">
        <v>71</v>
      </c>
      <c r="D29" s="30" t="s">
        <v>1</v>
      </c>
      <c r="E29" s="30" t="s">
        <v>1</v>
      </c>
      <c r="F29" s="30">
        <v>31.5665</v>
      </c>
      <c r="G29" s="108" t="s">
        <v>1</v>
      </c>
      <c r="H29" s="108" t="str">
        <f t="shared" si="0"/>
        <v/>
      </c>
      <c r="I29" s="30">
        <v>18.2</v>
      </c>
      <c r="J29" s="141" t="str">
        <f t="shared" si="1"/>
        <v/>
      </c>
      <c r="K29" s="211" t="str">
        <f>IFERROR(E29/#REF!,"")</f>
        <v/>
      </c>
      <c r="L29" s="30">
        <v>64783</v>
      </c>
      <c r="M29" s="155" t="s">
        <v>72</v>
      </c>
      <c r="N29" s="108" t="s">
        <v>1</v>
      </c>
      <c r="O29" s="108" t="s">
        <v>1</v>
      </c>
      <c r="P29" s="108" t="s">
        <v>1</v>
      </c>
      <c r="Q29" s="108" t="s">
        <v>1</v>
      </c>
      <c r="R29" s="108">
        <v>91973</v>
      </c>
      <c r="S29" s="108">
        <v>0</v>
      </c>
      <c r="T29" s="108" t="s">
        <v>1</v>
      </c>
      <c r="U29" s="108" t="s">
        <v>1</v>
      </c>
      <c r="V29" s="92" t="s">
        <v>1</v>
      </c>
      <c r="W29" s="92" t="s">
        <v>72</v>
      </c>
      <c r="X29" s="92" t="s">
        <v>1</v>
      </c>
      <c r="Y29" s="92" t="s">
        <v>72</v>
      </c>
      <c r="Z29" s="92" t="s">
        <v>1</v>
      </c>
      <c r="AA29" s="236" t="s">
        <v>72</v>
      </c>
      <c r="AB29" s="92" t="s">
        <v>1</v>
      </c>
      <c r="AC29" s="92" t="s">
        <v>72</v>
      </c>
      <c r="AD29" s="92">
        <v>20</v>
      </c>
      <c r="AE29" s="92" t="s">
        <v>72</v>
      </c>
      <c r="AF29" s="92" t="s">
        <v>1</v>
      </c>
      <c r="AG29" s="92" t="s">
        <v>72</v>
      </c>
      <c r="AH29" s="92">
        <v>2692</v>
      </c>
      <c r="AI29" s="92" t="s">
        <v>72</v>
      </c>
      <c r="AJ29" s="92">
        <v>680</v>
      </c>
      <c r="AK29" s="92" t="s">
        <v>72</v>
      </c>
      <c r="AL29" s="92">
        <v>134</v>
      </c>
      <c r="AM29" s="92" t="s">
        <v>72</v>
      </c>
      <c r="AN29" s="92">
        <v>3296</v>
      </c>
      <c r="AO29" s="92" t="s">
        <v>72</v>
      </c>
      <c r="AP29" s="92">
        <v>1301</v>
      </c>
      <c r="AQ29" s="92" t="s">
        <v>72</v>
      </c>
      <c r="AR29" s="92">
        <v>152</v>
      </c>
      <c r="AS29" s="92" t="s">
        <v>72</v>
      </c>
      <c r="AT29" s="187">
        <v>0.0111</v>
      </c>
      <c r="AU29" s="92" t="s">
        <v>72</v>
      </c>
      <c r="AV29" s="108" t="s">
        <v>1</v>
      </c>
      <c r="AW29" s="108" t="s">
        <v>1</v>
      </c>
      <c r="AX29" s="108" t="s">
        <v>1</v>
      </c>
      <c r="AY29" s="108" t="s">
        <v>1</v>
      </c>
      <c r="AZ29" s="108" t="s">
        <v>1</v>
      </c>
      <c r="BA29" s="108" t="s">
        <v>1</v>
      </c>
      <c r="BB29" s="108" t="s">
        <v>1</v>
      </c>
      <c r="BC29" s="108" t="s">
        <v>1</v>
      </c>
      <c r="BD29" s="108" t="s">
        <v>1</v>
      </c>
      <c r="BE29" s="108" t="s">
        <v>1</v>
      </c>
      <c r="BF29" s="108" t="s">
        <v>1</v>
      </c>
      <c r="BG29" s="108" t="s">
        <v>1</v>
      </c>
      <c r="BH29" s="110">
        <v>1</v>
      </c>
      <c r="BI29" s="92" t="s">
        <v>94</v>
      </c>
      <c r="BJ29" s="92">
        <v>39</v>
      </c>
      <c r="BK29" s="92">
        <v>1479</v>
      </c>
      <c r="BL29" s="92" t="s">
        <v>72</v>
      </c>
      <c r="BM29" s="92" t="s">
        <v>74</v>
      </c>
      <c r="BN29" s="92">
        <v>245</v>
      </c>
      <c r="BO29" s="92">
        <v>476</v>
      </c>
      <c r="BP29" s="92" t="s">
        <v>72</v>
      </c>
      <c r="BQ29" s="108" t="s">
        <v>1</v>
      </c>
      <c r="BR29" s="108" t="s">
        <v>1</v>
      </c>
      <c r="BS29" s="108" t="s">
        <v>1</v>
      </c>
      <c r="BT29" s="108" t="s">
        <v>1</v>
      </c>
      <c r="BU29" s="108" t="s">
        <v>1</v>
      </c>
      <c r="BV29" s="189" t="s">
        <v>93</v>
      </c>
      <c r="BW29" s="189" t="s">
        <v>83</v>
      </c>
      <c r="BX29" s="189" t="s">
        <v>86</v>
      </c>
      <c r="BY29" s="189" t="s">
        <v>84</v>
      </c>
      <c r="BZ29" s="189" t="s">
        <v>87</v>
      </c>
      <c r="CA29" s="190" t="s">
        <v>92</v>
      </c>
      <c r="CB29" s="290" t="s">
        <v>148</v>
      </c>
      <c r="CC29" s="189" t="s">
        <v>149</v>
      </c>
      <c r="CD29" s="190" t="s">
        <v>145</v>
      </c>
      <c r="CE29" s="189" t="s">
        <v>79</v>
      </c>
      <c r="CF29" s="108" t="s">
        <v>1</v>
      </c>
    </row>
    <row r="30" ht="21" customHeight="1" spans="1:84">
      <c r="A30" s="107">
        <v>45133</v>
      </c>
      <c r="B30" s="108" t="s">
        <v>70</v>
      </c>
      <c r="C30" s="92" t="s">
        <v>71</v>
      </c>
      <c r="D30" s="30" t="s">
        <v>1</v>
      </c>
      <c r="E30" s="30" t="s">
        <v>1</v>
      </c>
      <c r="F30" s="30">
        <v>14.9135</v>
      </c>
      <c r="G30" s="108" t="s">
        <v>1</v>
      </c>
      <c r="H30" s="108" t="str">
        <f t="shared" si="0"/>
        <v/>
      </c>
      <c r="I30" s="30">
        <v>10.4</v>
      </c>
      <c r="J30" s="141" t="str">
        <f t="shared" si="1"/>
        <v/>
      </c>
      <c r="K30" s="211" t="str">
        <f>IFERROR(E30/#REF!,"")</f>
        <v/>
      </c>
      <c r="L30" s="30">
        <v>103749</v>
      </c>
      <c r="M30" s="155" t="s">
        <v>72</v>
      </c>
      <c r="N30" s="108" t="s">
        <v>1</v>
      </c>
      <c r="O30" s="108" t="s">
        <v>1</v>
      </c>
      <c r="P30" s="108" t="s">
        <v>1</v>
      </c>
      <c r="Q30" s="108" t="s">
        <v>1</v>
      </c>
      <c r="R30" s="108">
        <v>9897</v>
      </c>
      <c r="S30" s="108">
        <v>0</v>
      </c>
      <c r="T30" s="108" t="s">
        <v>1</v>
      </c>
      <c r="U30" s="108" t="s">
        <v>1</v>
      </c>
      <c r="V30" s="92" t="s">
        <v>1</v>
      </c>
      <c r="W30" s="92" t="s">
        <v>72</v>
      </c>
      <c r="X30" s="92" t="s">
        <v>1</v>
      </c>
      <c r="Y30" s="92" t="s">
        <v>72</v>
      </c>
      <c r="Z30" s="92" t="s">
        <v>1</v>
      </c>
      <c r="AA30" s="236" t="s">
        <v>72</v>
      </c>
      <c r="AB30" s="92" t="s">
        <v>1</v>
      </c>
      <c r="AC30" s="92" t="s">
        <v>72</v>
      </c>
      <c r="AD30" s="92">
        <v>18</v>
      </c>
      <c r="AE30" s="92" t="s">
        <v>72</v>
      </c>
      <c r="AF30" s="92" t="s">
        <v>1</v>
      </c>
      <c r="AG30" s="92" t="s">
        <v>72</v>
      </c>
      <c r="AH30" s="92">
        <v>2494</v>
      </c>
      <c r="AI30" s="92" t="s">
        <v>72</v>
      </c>
      <c r="AJ30" s="92">
        <v>767</v>
      </c>
      <c r="AK30" s="92" t="s">
        <v>72</v>
      </c>
      <c r="AL30" s="92">
        <v>74</v>
      </c>
      <c r="AM30" s="92" t="s">
        <v>72</v>
      </c>
      <c r="AN30" s="92">
        <v>2854</v>
      </c>
      <c r="AO30" s="92" t="s">
        <v>72</v>
      </c>
      <c r="AP30" s="92">
        <v>1195</v>
      </c>
      <c r="AQ30" s="92" t="s">
        <v>72</v>
      </c>
      <c r="AR30" s="92">
        <v>160</v>
      </c>
      <c r="AS30" s="92" t="s">
        <v>72</v>
      </c>
      <c r="AT30" s="187">
        <v>0.0075</v>
      </c>
      <c r="AU30" s="92" t="s">
        <v>72</v>
      </c>
      <c r="AV30" s="108" t="s">
        <v>1</v>
      </c>
      <c r="AW30" s="108" t="s">
        <v>1</v>
      </c>
      <c r="AX30" s="108" t="s">
        <v>1</v>
      </c>
      <c r="AY30" s="108" t="s">
        <v>1</v>
      </c>
      <c r="AZ30" s="108" t="s">
        <v>1</v>
      </c>
      <c r="BA30" s="108" t="s">
        <v>1</v>
      </c>
      <c r="BB30" s="108" t="s">
        <v>1</v>
      </c>
      <c r="BC30" s="108" t="s">
        <v>1</v>
      </c>
      <c r="BD30" s="108" t="s">
        <v>1</v>
      </c>
      <c r="BE30" s="108" t="s">
        <v>1</v>
      </c>
      <c r="BF30" s="108" t="s">
        <v>1</v>
      </c>
      <c r="BG30" s="108" t="s">
        <v>1</v>
      </c>
      <c r="BH30" s="110">
        <v>1</v>
      </c>
      <c r="BI30" s="92" t="s">
        <v>94</v>
      </c>
      <c r="BJ30" s="92">
        <v>38</v>
      </c>
      <c r="BK30" s="92">
        <v>1451</v>
      </c>
      <c r="BL30" s="92" t="s">
        <v>72</v>
      </c>
      <c r="BM30" s="92" t="s">
        <v>74</v>
      </c>
      <c r="BN30" s="92">
        <v>240</v>
      </c>
      <c r="BO30" s="92">
        <v>483</v>
      </c>
      <c r="BP30" s="92" t="s">
        <v>72</v>
      </c>
      <c r="BQ30" s="108" t="s">
        <v>1</v>
      </c>
      <c r="BR30" s="108" t="s">
        <v>1</v>
      </c>
      <c r="BS30" s="108" t="s">
        <v>1</v>
      </c>
      <c r="BT30" s="108" t="s">
        <v>1</v>
      </c>
      <c r="BU30" s="108" t="s">
        <v>1</v>
      </c>
      <c r="BV30" s="189" t="s">
        <v>1</v>
      </c>
      <c r="BW30" s="189" t="s">
        <v>1</v>
      </c>
      <c r="BX30" s="189" t="s">
        <v>1</v>
      </c>
      <c r="BY30" s="189" t="s">
        <v>1</v>
      </c>
      <c r="BZ30" s="189" t="s">
        <v>1</v>
      </c>
      <c r="CA30" s="190" t="s">
        <v>1</v>
      </c>
      <c r="CB30" s="290" t="s">
        <v>1</v>
      </c>
      <c r="CC30" s="189" t="s">
        <v>1</v>
      </c>
      <c r="CD30" s="190" t="s">
        <v>1</v>
      </c>
      <c r="CE30" s="189" t="s">
        <v>1</v>
      </c>
      <c r="CF30" s="108" t="s">
        <v>1</v>
      </c>
    </row>
    <row r="31" ht="21" customHeight="1" spans="1:84">
      <c r="A31" s="107">
        <v>45134</v>
      </c>
      <c r="B31" s="108" t="s">
        <v>70</v>
      </c>
      <c r="C31" s="92" t="s">
        <v>71</v>
      </c>
      <c r="D31" s="30" t="s">
        <v>1</v>
      </c>
      <c r="E31" s="30" t="s">
        <v>1</v>
      </c>
      <c r="F31" s="30">
        <v>17.8236</v>
      </c>
      <c r="G31" s="108" t="s">
        <v>1</v>
      </c>
      <c r="H31" s="108" t="str">
        <f t="shared" si="0"/>
        <v/>
      </c>
      <c r="I31" s="30">
        <v>13</v>
      </c>
      <c r="J31" s="141" t="str">
        <f t="shared" si="1"/>
        <v/>
      </c>
      <c r="K31" s="211" t="str">
        <f>IFERROR(E31/#REF!,"")</f>
        <v/>
      </c>
      <c r="L31" s="30">
        <v>40088</v>
      </c>
      <c r="M31" s="155" t="s">
        <v>72</v>
      </c>
      <c r="N31" s="108" t="s">
        <v>1</v>
      </c>
      <c r="O31" s="108" t="s">
        <v>1</v>
      </c>
      <c r="P31" s="108" t="s">
        <v>1</v>
      </c>
      <c r="Q31" s="108" t="s">
        <v>1</v>
      </c>
      <c r="R31" s="108">
        <v>3299</v>
      </c>
      <c r="S31" s="108">
        <v>0</v>
      </c>
      <c r="T31" s="108" t="s">
        <v>1</v>
      </c>
      <c r="U31" s="108" t="s">
        <v>1</v>
      </c>
      <c r="V31" s="92" t="s">
        <v>1</v>
      </c>
      <c r="W31" s="92" t="s">
        <v>72</v>
      </c>
      <c r="X31" s="92" t="s">
        <v>1</v>
      </c>
      <c r="Y31" s="92" t="s">
        <v>72</v>
      </c>
      <c r="Z31" s="92" t="s">
        <v>1</v>
      </c>
      <c r="AA31" s="236" t="s">
        <v>72</v>
      </c>
      <c r="AB31" s="92" t="s">
        <v>1</v>
      </c>
      <c r="AC31" s="92" t="s">
        <v>72</v>
      </c>
      <c r="AD31" s="92">
        <v>12</v>
      </c>
      <c r="AE31" s="92" t="s">
        <v>72</v>
      </c>
      <c r="AF31" s="92" t="s">
        <v>1</v>
      </c>
      <c r="AG31" s="92" t="s">
        <v>72</v>
      </c>
      <c r="AH31" s="92">
        <v>2499</v>
      </c>
      <c r="AI31" s="92" t="s">
        <v>72</v>
      </c>
      <c r="AJ31" s="92">
        <v>225</v>
      </c>
      <c r="AK31" s="92" t="s">
        <v>72</v>
      </c>
      <c r="AL31" s="92">
        <v>77</v>
      </c>
      <c r="AM31" s="92" t="s">
        <v>72</v>
      </c>
      <c r="AN31" s="92">
        <v>5601</v>
      </c>
      <c r="AO31" s="92" t="s">
        <v>72</v>
      </c>
      <c r="AP31" s="92">
        <v>1196</v>
      </c>
      <c r="AQ31" s="92" t="s">
        <v>72</v>
      </c>
      <c r="AR31" s="92">
        <v>181</v>
      </c>
      <c r="AS31" s="92" t="s">
        <v>72</v>
      </c>
      <c r="AT31" s="187">
        <v>0.0064</v>
      </c>
      <c r="AU31" s="92" t="s">
        <v>72</v>
      </c>
      <c r="AV31" s="108" t="s">
        <v>1</v>
      </c>
      <c r="AW31" s="108" t="s">
        <v>1</v>
      </c>
      <c r="AX31" s="108" t="s">
        <v>1</v>
      </c>
      <c r="AY31" s="108" t="s">
        <v>1</v>
      </c>
      <c r="AZ31" s="108" t="s">
        <v>1</v>
      </c>
      <c r="BA31" s="108" t="s">
        <v>1</v>
      </c>
      <c r="BB31" s="108" t="s">
        <v>1</v>
      </c>
      <c r="BC31" s="108" t="s">
        <v>1</v>
      </c>
      <c r="BD31" s="108" t="s">
        <v>1</v>
      </c>
      <c r="BE31" s="108" t="s">
        <v>1</v>
      </c>
      <c r="BF31" s="108" t="s">
        <v>1</v>
      </c>
      <c r="BG31" s="108" t="s">
        <v>1</v>
      </c>
      <c r="BH31" s="110">
        <v>1</v>
      </c>
      <c r="BI31" s="92" t="s">
        <v>94</v>
      </c>
      <c r="BJ31" s="92">
        <v>44</v>
      </c>
      <c r="BK31" s="92">
        <v>1273</v>
      </c>
      <c r="BL31" s="92" t="s">
        <v>72</v>
      </c>
      <c r="BM31" s="92" t="s">
        <v>74</v>
      </c>
      <c r="BN31" s="92">
        <v>269</v>
      </c>
      <c r="BO31" s="92">
        <v>446</v>
      </c>
      <c r="BP31" s="92" t="s">
        <v>72</v>
      </c>
      <c r="BQ31" s="108" t="s">
        <v>1</v>
      </c>
      <c r="BR31" s="108" t="s">
        <v>1</v>
      </c>
      <c r="BS31" s="108" t="s">
        <v>1</v>
      </c>
      <c r="BT31" s="108" t="s">
        <v>1</v>
      </c>
      <c r="BU31" s="108" t="s">
        <v>1</v>
      </c>
      <c r="BV31" s="189" t="s">
        <v>1</v>
      </c>
      <c r="BW31" s="189" t="s">
        <v>1</v>
      </c>
      <c r="BX31" s="189" t="s">
        <v>1</v>
      </c>
      <c r="BY31" s="189" t="s">
        <v>1</v>
      </c>
      <c r="BZ31" s="189" t="s">
        <v>1</v>
      </c>
      <c r="CA31" s="190" t="s">
        <v>1</v>
      </c>
      <c r="CB31" s="290" t="s">
        <v>1</v>
      </c>
      <c r="CC31" s="189" t="s">
        <v>1</v>
      </c>
      <c r="CD31" s="190" t="s">
        <v>1</v>
      </c>
      <c r="CE31" s="189" t="s">
        <v>1</v>
      </c>
      <c r="CF31" s="108" t="s">
        <v>1</v>
      </c>
    </row>
    <row r="32" ht="21" customHeight="1" spans="1:84">
      <c r="A32" s="107">
        <v>45135</v>
      </c>
      <c r="B32" s="108" t="s">
        <v>70</v>
      </c>
      <c r="C32" s="92" t="s">
        <v>71</v>
      </c>
      <c r="D32" s="30" t="s">
        <v>1</v>
      </c>
      <c r="E32" s="30" t="s">
        <v>1</v>
      </c>
      <c r="F32" s="30">
        <v>11.4668</v>
      </c>
      <c r="G32" s="108" t="s">
        <v>1</v>
      </c>
      <c r="H32" s="108" t="str">
        <f t="shared" si="0"/>
        <v/>
      </c>
      <c r="I32" s="30">
        <v>13</v>
      </c>
      <c r="J32" s="141" t="str">
        <f t="shared" si="1"/>
        <v/>
      </c>
      <c r="K32" s="211" t="str">
        <f>IFERROR(E32/#REF!,"")</f>
        <v/>
      </c>
      <c r="L32" s="30">
        <v>38898</v>
      </c>
      <c r="M32" s="155" t="s">
        <v>72</v>
      </c>
      <c r="N32" s="108" t="s">
        <v>1</v>
      </c>
      <c r="O32" s="108" t="s">
        <v>1</v>
      </c>
      <c r="P32" s="108" t="s">
        <v>1</v>
      </c>
      <c r="Q32" s="108" t="s">
        <v>1</v>
      </c>
      <c r="R32" s="108">
        <v>6598</v>
      </c>
      <c r="S32" s="108">
        <v>0</v>
      </c>
      <c r="T32" s="108" t="s">
        <v>1</v>
      </c>
      <c r="U32" s="108" t="s">
        <v>1</v>
      </c>
      <c r="V32" s="92" t="s">
        <v>1</v>
      </c>
      <c r="W32" s="92" t="s">
        <v>72</v>
      </c>
      <c r="X32" s="92" t="s">
        <v>1</v>
      </c>
      <c r="Y32" s="92" t="s">
        <v>72</v>
      </c>
      <c r="Z32" s="92" t="s">
        <v>1</v>
      </c>
      <c r="AA32" s="236" t="s">
        <v>72</v>
      </c>
      <c r="AB32" s="92" t="s">
        <v>1</v>
      </c>
      <c r="AC32" s="92" t="s">
        <v>72</v>
      </c>
      <c r="AD32" s="92">
        <v>24</v>
      </c>
      <c r="AE32" s="92" t="s">
        <v>72</v>
      </c>
      <c r="AF32" s="92" t="s">
        <v>1</v>
      </c>
      <c r="AG32" s="92" t="s">
        <v>72</v>
      </c>
      <c r="AH32" s="92">
        <v>2412</v>
      </c>
      <c r="AI32" s="92" t="s">
        <v>72</v>
      </c>
      <c r="AJ32" s="92">
        <v>636</v>
      </c>
      <c r="AK32" s="92" t="s">
        <v>72</v>
      </c>
      <c r="AL32" s="92">
        <v>57</v>
      </c>
      <c r="AM32" s="92" t="s">
        <v>72</v>
      </c>
      <c r="AN32" s="92">
        <v>3357</v>
      </c>
      <c r="AO32" s="92" t="s">
        <v>72</v>
      </c>
      <c r="AP32" s="92">
        <v>1163</v>
      </c>
      <c r="AQ32" s="92" t="s">
        <v>72</v>
      </c>
      <c r="AR32" s="92">
        <v>149</v>
      </c>
      <c r="AS32" s="92" t="s">
        <v>72</v>
      </c>
      <c r="AT32" s="187">
        <v>0.0058</v>
      </c>
      <c r="AU32" s="92" t="s">
        <v>72</v>
      </c>
      <c r="AV32" s="108" t="s">
        <v>1</v>
      </c>
      <c r="AW32" s="108" t="s">
        <v>1</v>
      </c>
      <c r="AX32" s="108" t="s">
        <v>1</v>
      </c>
      <c r="AY32" s="108" t="s">
        <v>1</v>
      </c>
      <c r="AZ32" s="108" t="s">
        <v>1</v>
      </c>
      <c r="BA32" s="108" t="s">
        <v>1</v>
      </c>
      <c r="BB32" s="108" t="s">
        <v>1</v>
      </c>
      <c r="BC32" s="108" t="s">
        <v>1</v>
      </c>
      <c r="BD32" s="108" t="s">
        <v>1</v>
      </c>
      <c r="BE32" s="108" t="s">
        <v>1</v>
      </c>
      <c r="BF32" s="108" t="s">
        <v>1</v>
      </c>
      <c r="BG32" s="108" t="s">
        <v>1</v>
      </c>
      <c r="BH32" s="110">
        <v>1</v>
      </c>
      <c r="BI32" s="92" t="s">
        <v>73</v>
      </c>
      <c r="BJ32" s="92">
        <v>51</v>
      </c>
      <c r="BK32" s="92">
        <v>1119</v>
      </c>
      <c r="BL32" s="92" t="s">
        <v>72</v>
      </c>
      <c r="BM32" s="92" t="s">
        <v>74</v>
      </c>
      <c r="BN32" s="92">
        <v>306</v>
      </c>
      <c r="BO32" s="92">
        <v>368</v>
      </c>
      <c r="BP32" s="92" t="s">
        <v>72</v>
      </c>
      <c r="BQ32" s="108" t="s">
        <v>1</v>
      </c>
      <c r="BR32" s="108" t="s">
        <v>1</v>
      </c>
      <c r="BS32" s="108" t="s">
        <v>1</v>
      </c>
      <c r="BT32" s="108" t="s">
        <v>1</v>
      </c>
      <c r="BU32" s="108" t="s">
        <v>1</v>
      </c>
      <c r="BV32" s="189" t="s">
        <v>1</v>
      </c>
      <c r="BW32" s="189" t="s">
        <v>1</v>
      </c>
      <c r="BX32" s="189" t="s">
        <v>1</v>
      </c>
      <c r="BY32" s="189" t="s">
        <v>1</v>
      </c>
      <c r="BZ32" s="189" t="s">
        <v>1</v>
      </c>
      <c r="CA32" s="190" t="s">
        <v>1</v>
      </c>
      <c r="CB32" s="290" t="s">
        <v>1</v>
      </c>
      <c r="CC32" s="189" t="s">
        <v>1</v>
      </c>
      <c r="CD32" s="190" t="s">
        <v>1</v>
      </c>
      <c r="CE32" s="189" t="s">
        <v>1</v>
      </c>
      <c r="CF32" s="108" t="s">
        <v>1</v>
      </c>
    </row>
    <row r="33" ht="21" customHeight="1" spans="1:84">
      <c r="A33" s="107">
        <v>45136</v>
      </c>
      <c r="B33" s="194" t="s">
        <v>89</v>
      </c>
      <c r="C33" s="92" t="s">
        <v>71</v>
      </c>
      <c r="D33" s="30" t="s">
        <v>1</v>
      </c>
      <c r="E33" s="30" t="s">
        <v>1</v>
      </c>
      <c r="F33" s="30">
        <v>0</v>
      </c>
      <c r="G33" s="108" t="s">
        <v>1</v>
      </c>
      <c r="H33" s="108" t="str">
        <f t="shared" si="0"/>
        <v/>
      </c>
      <c r="I33" s="30">
        <v>0</v>
      </c>
      <c r="J33" s="141" t="str">
        <f t="shared" si="1"/>
        <v/>
      </c>
      <c r="K33" s="211" t="str">
        <f>IFERROR(E33/#REF!,"")</f>
        <v/>
      </c>
      <c r="L33" s="30">
        <v>47101</v>
      </c>
      <c r="M33" s="155" t="s">
        <v>72</v>
      </c>
      <c r="N33" s="108" t="s">
        <v>1</v>
      </c>
      <c r="O33" s="108" t="s">
        <v>1</v>
      </c>
      <c r="P33" s="108" t="s">
        <v>1</v>
      </c>
      <c r="Q33" s="108" t="s">
        <v>1</v>
      </c>
      <c r="R33" s="108">
        <v>0</v>
      </c>
      <c r="S33" s="108">
        <v>0</v>
      </c>
      <c r="T33" s="108" t="s">
        <v>1</v>
      </c>
      <c r="U33" s="108" t="s">
        <v>1</v>
      </c>
      <c r="V33" s="92" t="s">
        <v>1</v>
      </c>
      <c r="W33" s="92" t="s">
        <v>72</v>
      </c>
      <c r="X33" s="92" t="s">
        <v>1</v>
      </c>
      <c r="Y33" s="92" t="s">
        <v>72</v>
      </c>
      <c r="Z33" s="92" t="s">
        <v>1</v>
      </c>
      <c r="AA33" s="236" t="s">
        <v>72</v>
      </c>
      <c r="AB33" s="92" t="s">
        <v>1</v>
      </c>
      <c r="AC33" s="92" t="s">
        <v>72</v>
      </c>
      <c r="AD33" s="92">
        <v>24</v>
      </c>
      <c r="AE33" s="92" t="s">
        <v>72</v>
      </c>
      <c r="AF33" s="92" t="s">
        <v>1</v>
      </c>
      <c r="AG33" s="92" t="s">
        <v>72</v>
      </c>
      <c r="AH33" s="92">
        <v>3016</v>
      </c>
      <c r="AI33" s="92" t="s">
        <v>72</v>
      </c>
      <c r="AJ33" s="92">
        <v>599</v>
      </c>
      <c r="AK33" s="92" t="s">
        <v>72</v>
      </c>
      <c r="AL33" s="92">
        <v>98</v>
      </c>
      <c r="AM33" s="92" t="s">
        <v>72</v>
      </c>
      <c r="AN33" s="92">
        <v>4056</v>
      </c>
      <c r="AO33" s="92" t="s">
        <v>72</v>
      </c>
      <c r="AP33" s="92">
        <v>1580</v>
      </c>
      <c r="AQ33" s="92" t="s">
        <v>72</v>
      </c>
      <c r="AR33" s="92">
        <v>270</v>
      </c>
      <c r="AS33" s="92" t="s">
        <v>72</v>
      </c>
      <c r="AT33" s="187">
        <v>0</v>
      </c>
      <c r="AU33" s="92" t="s">
        <v>72</v>
      </c>
      <c r="AV33" s="108" t="s">
        <v>1</v>
      </c>
      <c r="AW33" s="108" t="s">
        <v>1</v>
      </c>
      <c r="AX33" s="108" t="s">
        <v>1</v>
      </c>
      <c r="AY33" s="108" t="s">
        <v>1</v>
      </c>
      <c r="AZ33" s="108" t="s">
        <v>1</v>
      </c>
      <c r="BA33" s="108" t="s">
        <v>1</v>
      </c>
      <c r="BB33" s="108" t="s">
        <v>1</v>
      </c>
      <c r="BC33" s="108" t="s">
        <v>1</v>
      </c>
      <c r="BD33" s="108" t="s">
        <v>1</v>
      </c>
      <c r="BE33" s="108" t="s">
        <v>1</v>
      </c>
      <c r="BF33" s="108" t="s">
        <v>1</v>
      </c>
      <c r="BG33" s="108" t="s">
        <v>1</v>
      </c>
      <c r="BH33" s="110">
        <v>1</v>
      </c>
      <c r="BI33" s="92" t="s">
        <v>94</v>
      </c>
      <c r="BJ33" s="92">
        <v>43</v>
      </c>
      <c r="BK33" s="92">
        <v>1521</v>
      </c>
      <c r="BL33" s="92" t="s">
        <v>72</v>
      </c>
      <c r="BM33" s="92" t="s">
        <v>74</v>
      </c>
      <c r="BN33" s="92">
        <v>258</v>
      </c>
      <c r="BO33" s="92">
        <v>479</v>
      </c>
      <c r="BP33" s="92" t="s">
        <v>72</v>
      </c>
      <c r="BQ33" s="108" t="s">
        <v>1</v>
      </c>
      <c r="BR33" s="108" t="s">
        <v>1</v>
      </c>
      <c r="BS33" s="108" t="s">
        <v>1</v>
      </c>
      <c r="BT33" s="108" t="s">
        <v>1</v>
      </c>
      <c r="BU33" s="108" t="s">
        <v>1</v>
      </c>
      <c r="BV33" s="189" t="s">
        <v>1</v>
      </c>
      <c r="BW33" s="189" t="s">
        <v>1</v>
      </c>
      <c r="BX33" s="189" t="s">
        <v>1</v>
      </c>
      <c r="BY33" s="189" t="s">
        <v>1</v>
      </c>
      <c r="BZ33" s="189" t="s">
        <v>1</v>
      </c>
      <c r="CA33" s="190" t="s">
        <v>1</v>
      </c>
      <c r="CB33" s="290" t="s">
        <v>1</v>
      </c>
      <c r="CC33" s="189" t="s">
        <v>1</v>
      </c>
      <c r="CD33" s="190" t="s">
        <v>1</v>
      </c>
      <c r="CE33" s="189" t="s">
        <v>1</v>
      </c>
      <c r="CF33" s="108" t="s">
        <v>1</v>
      </c>
    </row>
    <row r="34" ht="21" customHeight="1" spans="1:84">
      <c r="A34" s="107">
        <v>45137</v>
      </c>
      <c r="B34" s="194" t="s">
        <v>89</v>
      </c>
      <c r="C34" s="92" t="s">
        <v>71</v>
      </c>
      <c r="D34" s="30" t="s">
        <v>1</v>
      </c>
      <c r="E34" s="30" t="s">
        <v>1</v>
      </c>
      <c r="F34" s="155">
        <v>0</v>
      </c>
      <c r="G34" s="108" t="s">
        <v>1</v>
      </c>
      <c r="H34" s="108" t="str">
        <f t="shared" si="0"/>
        <v/>
      </c>
      <c r="I34" s="30">
        <v>0</v>
      </c>
      <c r="J34" s="141" t="str">
        <f t="shared" si="1"/>
        <v/>
      </c>
      <c r="K34" s="211" t="str">
        <f>IFERROR(E34/#REF!,"")</f>
        <v/>
      </c>
      <c r="L34" s="30">
        <v>36289</v>
      </c>
      <c r="M34" s="155" t="s">
        <v>72</v>
      </c>
      <c r="N34" s="108" t="s">
        <v>1</v>
      </c>
      <c r="O34" s="291">
        <v>23.8327</v>
      </c>
      <c r="P34" s="108">
        <v>0</v>
      </c>
      <c r="Q34" s="199">
        <v>0.2173</v>
      </c>
      <c r="R34" s="108">
        <v>0</v>
      </c>
      <c r="S34" s="108">
        <v>0</v>
      </c>
      <c r="T34" s="108" t="s">
        <v>1</v>
      </c>
      <c r="U34" s="108" t="s">
        <v>1</v>
      </c>
      <c r="V34" s="92" t="s">
        <v>1</v>
      </c>
      <c r="W34" s="92" t="s">
        <v>72</v>
      </c>
      <c r="X34" s="92" t="s">
        <v>1</v>
      </c>
      <c r="Y34" s="92" t="s">
        <v>72</v>
      </c>
      <c r="Z34" s="92" t="s">
        <v>1</v>
      </c>
      <c r="AA34" s="236" t="s">
        <v>72</v>
      </c>
      <c r="AB34" s="92" t="s">
        <v>1</v>
      </c>
      <c r="AC34" s="92" t="s">
        <v>72</v>
      </c>
      <c r="AD34" s="92">
        <v>27</v>
      </c>
      <c r="AE34" s="92" t="s">
        <v>72</v>
      </c>
      <c r="AF34" s="92" t="s">
        <v>1</v>
      </c>
      <c r="AG34" s="92" t="s">
        <v>72</v>
      </c>
      <c r="AH34" s="92">
        <v>3504</v>
      </c>
      <c r="AI34" s="92" t="s">
        <v>72</v>
      </c>
      <c r="AJ34" s="92">
        <v>754</v>
      </c>
      <c r="AK34" s="92" t="s">
        <v>72</v>
      </c>
      <c r="AL34" s="92">
        <v>86</v>
      </c>
      <c r="AM34" s="92" t="s">
        <v>72</v>
      </c>
      <c r="AN34" s="92">
        <v>1873</v>
      </c>
      <c r="AO34" s="92" t="s">
        <v>72</v>
      </c>
      <c r="AP34" s="92">
        <v>2108</v>
      </c>
      <c r="AQ34" s="92" t="s">
        <v>72</v>
      </c>
      <c r="AR34" s="92">
        <v>328</v>
      </c>
      <c r="AS34" s="92" t="s">
        <v>72</v>
      </c>
      <c r="AT34" s="187">
        <v>0</v>
      </c>
      <c r="AU34" s="92" t="s">
        <v>72</v>
      </c>
      <c r="AV34" s="108">
        <v>249</v>
      </c>
      <c r="AW34" s="108" t="s">
        <v>72</v>
      </c>
      <c r="AX34" s="108">
        <v>50</v>
      </c>
      <c r="AY34" s="108" t="s">
        <v>72</v>
      </c>
      <c r="AZ34" s="199">
        <v>0.200803212851406</v>
      </c>
      <c r="BA34" s="108" t="s">
        <v>72</v>
      </c>
      <c r="BB34" s="108" t="s">
        <v>1</v>
      </c>
      <c r="BC34" s="108" t="s">
        <v>72</v>
      </c>
      <c r="BD34" s="108" t="s">
        <v>1</v>
      </c>
      <c r="BE34" s="108" t="s">
        <v>1</v>
      </c>
      <c r="BF34" s="108" t="s">
        <v>1</v>
      </c>
      <c r="BG34" s="108" t="s">
        <v>1</v>
      </c>
      <c r="BH34" s="110">
        <v>1</v>
      </c>
      <c r="BI34" s="92" t="s">
        <v>94</v>
      </c>
      <c r="BJ34" s="92">
        <v>41</v>
      </c>
      <c r="BK34" s="92">
        <v>2013</v>
      </c>
      <c r="BL34" s="92" t="s">
        <v>72</v>
      </c>
      <c r="BM34" s="92" t="s">
        <v>74</v>
      </c>
      <c r="BN34" s="92">
        <v>216</v>
      </c>
      <c r="BO34" s="92">
        <v>613</v>
      </c>
      <c r="BP34" s="92" t="s">
        <v>72</v>
      </c>
      <c r="BQ34" s="108" t="s">
        <v>1</v>
      </c>
      <c r="BR34" s="108" t="s">
        <v>1</v>
      </c>
      <c r="BS34" s="108" t="s">
        <v>1</v>
      </c>
      <c r="BT34" s="108" t="s">
        <v>1</v>
      </c>
      <c r="BU34" s="108" t="s">
        <v>1</v>
      </c>
      <c r="BV34" s="189" t="s">
        <v>1</v>
      </c>
      <c r="BW34" s="189" t="s">
        <v>1</v>
      </c>
      <c r="BX34" s="189" t="s">
        <v>1</v>
      </c>
      <c r="BY34" s="189" t="s">
        <v>1</v>
      </c>
      <c r="BZ34" s="189" t="s">
        <v>1</v>
      </c>
      <c r="CA34" s="190" t="s">
        <v>1</v>
      </c>
      <c r="CB34" s="290" t="s">
        <v>1</v>
      </c>
      <c r="CC34" s="189" t="s">
        <v>1</v>
      </c>
      <c r="CD34" s="190" t="s">
        <v>1</v>
      </c>
      <c r="CE34" s="189" t="s">
        <v>1</v>
      </c>
      <c r="CF34" s="108" t="s">
        <v>1</v>
      </c>
    </row>
    <row r="35" ht="21" customHeight="1" spans="1:84">
      <c r="A35" s="107">
        <v>45138</v>
      </c>
      <c r="B35" s="196" t="s">
        <v>98</v>
      </c>
      <c r="C35" s="92" t="s">
        <v>71</v>
      </c>
      <c r="D35" s="30" t="s">
        <v>1</v>
      </c>
      <c r="E35" s="30" t="s">
        <v>1</v>
      </c>
      <c r="F35" s="108">
        <v>42.2</v>
      </c>
      <c r="G35" s="108" t="s">
        <v>1</v>
      </c>
      <c r="H35" s="108" t="str">
        <f t="shared" si="0"/>
        <v/>
      </c>
      <c r="I35" s="30">
        <v>39</v>
      </c>
      <c r="J35" s="141" t="str">
        <f t="shared" si="1"/>
        <v/>
      </c>
      <c r="K35" s="211" t="str">
        <f>IFERROR(E35/#REF!,"")</f>
        <v/>
      </c>
      <c r="L35" s="30">
        <v>119465</v>
      </c>
      <c r="M35" s="155" t="s">
        <v>72</v>
      </c>
      <c r="N35" s="108" t="s">
        <v>1</v>
      </c>
      <c r="O35" s="108" t="s">
        <v>1</v>
      </c>
      <c r="P35" s="108" t="s">
        <v>1</v>
      </c>
      <c r="Q35" s="108" t="s">
        <v>1</v>
      </c>
      <c r="R35" s="108">
        <v>29531</v>
      </c>
      <c r="S35" s="108">
        <v>0</v>
      </c>
      <c r="T35" s="108" t="s">
        <v>1</v>
      </c>
      <c r="U35" s="108" t="s">
        <v>1</v>
      </c>
      <c r="V35" s="92" t="s">
        <v>1</v>
      </c>
      <c r="W35" s="92" t="s">
        <v>72</v>
      </c>
      <c r="X35" s="92" t="s">
        <v>1</v>
      </c>
      <c r="Y35" s="92" t="s">
        <v>72</v>
      </c>
      <c r="Z35" s="92" t="s">
        <v>1</v>
      </c>
      <c r="AA35" s="236" t="s">
        <v>72</v>
      </c>
      <c r="AB35" s="92" t="s">
        <v>1</v>
      </c>
      <c r="AC35" s="92" t="s">
        <v>72</v>
      </c>
      <c r="AD35" s="92">
        <v>36</v>
      </c>
      <c r="AE35" s="92" t="s">
        <v>72</v>
      </c>
      <c r="AF35" s="92" t="s">
        <v>1</v>
      </c>
      <c r="AG35" s="92" t="s">
        <v>72</v>
      </c>
      <c r="AH35" s="92">
        <v>3981</v>
      </c>
      <c r="AI35" s="92" t="s">
        <v>72</v>
      </c>
      <c r="AJ35" s="92">
        <v>896</v>
      </c>
      <c r="AK35" s="92" t="s">
        <v>72</v>
      </c>
      <c r="AL35" s="92">
        <v>136</v>
      </c>
      <c r="AM35" s="92" t="s">
        <v>72</v>
      </c>
      <c r="AN35" s="92">
        <v>5178</v>
      </c>
      <c r="AO35" s="92" t="s">
        <v>72</v>
      </c>
      <c r="AP35" s="92">
        <v>2214</v>
      </c>
      <c r="AQ35" s="92" t="s">
        <v>72</v>
      </c>
      <c r="AR35" s="92">
        <v>326</v>
      </c>
      <c r="AS35" s="92" t="s">
        <v>72</v>
      </c>
      <c r="AT35" s="187">
        <v>0.0136</v>
      </c>
      <c r="AU35" s="92" t="s">
        <v>72</v>
      </c>
      <c r="AV35" s="108" t="s">
        <v>1</v>
      </c>
      <c r="AW35" s="108" t="s">
        <v>1</v>
      </c>
      <c r="AX35" s="108" t="s">
        <v>1</v>
      </c>
      <c r="AY35" s="108" t="s">
        <v>1</v>
      </c>
      <c r="AZ35" s="108" t="s">
        <v>1</v>
      </c>
      <c r="BA35" s="108" t="s">
        <v>1</v>
      </c>
      <c r="BB35" s="108" t="s">
        <v>1</v>
      </c>
      <c r="BC35" s="108" t="s">
        <v>1</v>
      </c>
      <c r="BD35" s="108" t="s">
        <v>1</v>
      </c>
      <c r="BE35" s="108" t="s">
        <v>1</v>
      </c>
      <c r="BF35" s="108" t="s">
        <v>1</v>
      </c>
      <c r="BG35" s="108" t="s">
        <v>1</v>
      </c>
      <c r="BH35" s="110">
        <v>1</v>
      </c>
      <c r="BI35" s="92" t="s">
        <v>94</v>
      </c>
      <c r="BJ35" s="92">
        <v>34</v>
      </c>
      <c r="BK35" s="92">
        <v>2235</v>
      </c>
      <c r="BL35" s="92" t="s">
        <v>72</v>
      </c>
      <c r="BM35" s="92" t="s">
        <v>74</v>
      </c>
      <c r="BN35" s="92">
        <v>199</v>
      </c>
      <c r="BO35" s="92">
        <v>628</v>
      </c>
      <c r="BP35" s="92" t="s">
        <v>72</v>
      </c>
      <c r="BQ35" s="108" t="s">
        <v>1</v>
      </c>
      <c r="BR35" s="108" t="s">
        <v>1</v>
      </c>
      <c r="BS35" s="108" t="s">
        <v>1</v>
      </c>
      <c r="BT35" s="108" t="s">
        <v>1</v>
      </c>
      <c r="BU35" s="108" t="s">
        <v>1</v>
      </c>
      <c r="BV35" s="189" t="s">
        <v>1</v>
      </c>
      <c r="BW35" s="189" t="s">
        <v>1</v>
      </c>
      <c r="BX35" s="189" t="s">
        <v>1</v>
      </c>
      <c r="BY35" s="189" t="s">
        <v>1</v>
      </c>
      <c r="BZ35" s="189" t="s">
        <v>1</v>
      </c>
      <c r="CA35" s="190" t="s">
        <v>1</v>
      </c>
      <c r="CB35" s="290" t="s">
        <v>1</v>
      </c>
      <c r="CC35" s="189" t="s">
        <v>1</v>
      </c>
      <c r="CD35" s="190" t="s">
        <v>1</v>
      </c>
      <c r="CE35" s="189" t="s">
        <v>1</v>
      </c>
      <c r="CF35" s="108" t="s">
        <v>1</v>
      </c>
    </row>
    <row r="36" ht="28" customHeight="1" spans="1:84">
      <c r="A36" s="107">
        <v>45139</v>
      </c>
      <c r="B36" s="197" t="s">
        <v>99</v>
      </c>
      <c r="C36" s="92" t="s">
        <v>71</v>
      </c>
      <c r="D36" s="30" t="s">
        <v>1</v>
      </c>
      <c r="E36" s="30" t="s">
        <v>1</v>
      </c>
      <c r="F36" s="108" t="e">
        <f>E36-3.2</f>
        <v>#VALUE!</v>
      </c>
      <c r="G36" s="109" t="s">
        <v>1</v>
      </c>
      <c r="H36" s="108" t="s">
        <v>1</v>
      </c>
      <c r="I36" s="109">
        <v>19</v>
      </c>
      <c r="J36" s="141" t="str">
        <f t="shared" si="1"/>
        <v/>
      </c>
      <c r="K36" s="211" t="str">
        <f>IFERROR(E36/#REF!,"")</f>
        <v/>
      </c>
      <c r="L36" s="30">
        <v>151183</v>
      </c>
      <c r="M36" s="242" t="s">
        <v>72</v>
      </c>
      <c r="N36" s="109" t="s">
        <v>1</v>
      </c>
      <c r="O36" s="109">
        <v>13.186</v>
      </c>
      <c r="P36" s="109" t="s">
        <v>1</v>
      </c>
      <c r="Q36" s="109" t="s">
        <v>1</v>
      </c>
      <c r="R36" s="109" t="s">
        <v>1</v>
      </c>
      <c r="S36" s="109" t="s">
        <v>1</v>
      </c>
      <c r="T36" s="109" t="s">
        <v>1</v>
      </c>
      <c r="U36" s="109" t="s">
        <v>1</v>
      </c>
      <c r="V36" s="92" t="s">
        <v>1</v>
      </c>
      <c r="W36" s="92" t="s">
        <v>72</v>
      </c>
      <c r="X36" s="92" t="s">
        <v>1</v>
      </c>
      <c r="Y36" s="92" t="s">
        <v>72</v>
      </c>
      <c r="Z36" s="92" t="s">
        <v>1</v>
      </c>
      <c r="AA36" s="236" t="s">
        <v>72</v>
      </c>
      <c r="AB36" s="92" t="s">
        <v>1</v>
      </c>
      <c r="AC36" s="92" t="s">
        <v>72</v>
      </c>
      <c r="AD36" s="92">
        <v>29</v>
      </c>
      <c r="AE36" s="92" t="s">
        <v>72</v>
      </c>
      <c r="AF36" s="92" t="s">
        <v>1</v>
      </c>
      <c r="AG36" s="92" t="s">
        <v>72</v>
      </c>
      <c r="AH36" s="92">
        <v>4932</v>
      </c>
      <c r="AI36" s="92" t="s">
        <v>72</v>
      </c>
      <c r="AJ36" s="92">
        <v>1019</v>
      </c>
      <c r="AK36" s="92" t="s">
        <v>72</v>
      </c>
      <c r="AL36" s="92">
        <v>131</v>
      </c>
      <c r="AM36" s="92" t="s">
        <v>72</v>
      </c>
      <c r="AN36" s="92">
        <v>4083</v>
      </c>
      <c r="AO36" s="92" t="s">
        <v>72</v>
      </c>
      <c r="AP36" s="92">
        <v>1983</v>
      </c>
      <c r="AQ36" s="92" t="s">
        <v>72</v>
      </c>
      <c r="AR36" s="92">
        <v>255</v>
      </c>
      <c r="AS36" s="92" t="s">
        <v>72</v>
      </c>
      <c r="AT36" s="200">
        <v>0.0083</v>
      </c>
      <c r="AU36" s="109" t="s">
        <v>1</v>
      </c>
      <c r="AV36" s="198">
        <v>225</v>
      </c>
      <c r="AW36" s="109" t="s">
        <v>72</v>
      </c>
      <c r="AX36" s="199">
        <v>0.0277</v>
      </c>
      <c r="AY36" s="200" t="s">
        <v>72</v>
      </c>
      <c r="AZ36" s="200" t="s">
        <v>1</v>
      </c>
      <c r="BA36" s="109" t="s">
        <v>1</v>
      </c>
      <c r="BB36" s="109" t="s">
        <v>1</v>
      </c>
      <c r="BC36" s="200" t="s">
        <v>1</v>
      </c>
      <c r="BD36" s="200" t="s">
        <v>1</v>
      </c>
      <c r="BE36" s="109" t="s">
        <v>1</v>
      </c>
      <c r="BF36" s="109" t="s">
        <v>1</v>
      </c>
      <c r="BG36" s="200" t="s">
        <v>1</v>
      </c>
      <c r="BH36" s="110">
        <v>1</v>
      </c>
      <c r="BI36" s="92" t="s">
        <v>94</v>
      </c>
      <c r="BJ36" s="92">
        <v>32</v>
      </c>
      <c r="BK36" s="92">
        <v>2052</v>
      </c>
      <c r="BL36" s="92" t="s">
        <v>72</v>
      </c>
      <c r="BM36" s="92" t="s">
        <v>74</v>
      </c>
      <c r="BN36" s="92">
        <v>199</v>
      </c>
      <c r="BO36" s="92">
        <v>635</v>
      </c>
      <c r="BP36" s="92" t="s">
        <v>72</v>
      </c>
      <c r="BQ36" s="108" t="s">
        <v>1</v>
      </c>
      <c r="BR36" s="108" t="s">
        <v>1</v>
      </c>
      <c r="BS36" s="108" t="s">
        <v>1</v>
      </c>
      <c r="BT36" s="108" t="s">
        <v>1</v>
      </c>
      <c r="BU36" s="108" t="s">
        <v>1</v>
      </c>
      <c r="BV36" s="189" t="s">
        <v>93</v>
      </c>
      <c r="BW36" s="189" t="s">
        <v>86</v>
      </c>
      <c r="BX36" s="189" t="s">
        <v>87</v>
      </c>
      <c r="BY36" s="189" t="s">
        <v>83</v>
      </c>
      <c r="BZ36" s="190" t="s">
        <v>92</v>
      </c>
      <c r="CA36" s="189" t="s">
        <v>84</v>
      </c>
      <c r="CB36" s="190" t="s">
        <v>145</v>
      </c>
      <c r="CC36" s="191" t="s">
        <v>150</v>
      </c>
      <c r="CD36" s="189" t="s">
        <v>79</v>
      </c>
      <c r="CE36" s="189" t="s">
        <v>81</v>
      </c>
      <c r="CF36" s="108" t="s">
        <v>1</v>
      </c>
    </row>
    <row r="37" ht="28" customHeight="1" spans="1:84">
      <c r="A37" s="107">
        <v>45140</v>
      </c>
      <c r="B37" s="202" t="s">
        <v>100</v>
      </c>
      <c r="C37" s="92" t="s">
        <v>71</v>
      </c>
      <c r="D37" s="30" t="s">
        <v>1</v>
      </c>
      <c r="E37" s="30" t="s">
        <v>1</v>
      </c>
      <c r="F37" s="108" t="e">
        <f>E37-1.9</f>
        <v>#VALUE!</v>
      </c>
      <c r="G37" s="109" t="s">
        <v>1</v>
      </c>
      <c r="H37" s="108" t="s">
        <v>1</v>
      </c>
      <c r="I37" s="109">
        <v>12</v>
      </c>
      <c r="J37" s="141" t="str">
        <f t="shared" si="1"/>
        <v/>
      </c>
      <c r="K37" s="211" t="str">
        <f>IFERROR(E37/#REF!,"")</f>
        <v/>
      </c>
      <c r="L37" s="30">
        <v>71181</v>
      </c>
      <c r="M37" s="242" t="s">
        <v>72</v>
      </c>
      <c r="N37" s="109" t="s">
        <v>1</v>
      </c>
      <c r="O37" s="109" t="s">
        <v>1</v>
      </c>
      <c r="P37" s="109" t="s">
        <v>1</v>
      </c>
      <c r="Q37" s="109" t="s">
        <v>1</v>
      </c>
      <c r="R37" s="109" t="s">
        <v>1</v>
      </c>
      <c r="S37" s="109" t="s">
        <v>1</v>
      </c>
      <c r="T37" s="109" t="s">
        <v>1</v>
      </c>
      <c r="U37" s="109" t="s">
        <v>1</v>
      </c>
      <c r="V37" s="92" t="s">
        <v>1</v>
      </c>
      <c r="W37" s="92" t="s">
        <v>72</v>
      </c>
      <c r="X37" s="92" t="s">
        <v>1</v>
      </c>
      <c r="Y37" s="92" t="s">
        <v>72</v>
      </c>
      <c r="Z37" s="92" t="s">
        <v>1</v>
      </c>
      <c r="AA37" s="236" t="s">
        <v>72</v>
      </c>
      <c r="AB37" s="92" t="s">
        <v>1</v>
      </c>
      <c r="AC37" s="92" t="s">
        <v>72</v>
      </c>
      <c r="AD37" s="92">
        <v>33</v>
      </c>
      <c r="AE37" s="92" t="s">
        <v>72</v>
      </c>
      <c r="AF37" s="92" t="s">
        <v>1</v>
      </c>
      <c r="AG37" s="92" t="s">
        <v>72</v>
      </c>
      <c r="AH37" s="92">
        <v>5083</v>
      </c>
      <c r="AI37" s="92" t="s">
        <v>72</v>
      </c>
      <c r="AJ37" s="92">
        <v>801</v>
      </c>
      <c r="AK37" s="92" t="s">
        <v>72</v>
      </c>
      <c r="AL37" s="92">
        <v>106</v>
      </c>
      <c r="AM37" s="92" t="s">
        <v>72</v>
      </c>
      <c r="AN37" s="92">
        <v>3595</v>
      </c>
      <c r="AO37" s="92" t="s">
        <v>72</v>
      </c>
      <c r="AP37" s="92">
        <v>2166</v>
      </c>
      <c r="AQ37" s="92" t="s">
        <v>72</v>
      </c>
      <c r="AR37" s="92">
        <v>315</v>
      </c>
      <c r="AS37" s="92" t="s">
        <v>72</v>
      </c>
      <c r="AT37" s="200" t="s">
        <v>1</v>
      </c>
      <c r="AU37" s="109" t="s">
        <v>1</v>
      </c>
      <c r="AV37" s="109" t="s">
        <v>1</v>
      </c>
      <c r="AW37" s="109" t="s">
        <v>1</v>
      </c>
      <c r="AX37" s="109" t="s">
        <v>1</v>
      </c>
      <c r="AY37" s="200" t="s">
        <v>1</v>
      </c>
      <c r="AZ37" s="200" t="s">
        <v>1</v>
      </c>
      <c r="BA37" s="109" t="s">
        <v>1</v>
      </c>
      <c r="BB37" s="109" t="s">
        <v>1</v>
      </c>
      <c r="BC37" s="200" t="s">
        <v>1</v>
      </c>
      <c r="BD37" s="200" t="s">
        <v>1</v>
      </c>
      <c r="BE37" s="109" t="s">
        <v>1</v>
      </c>
      <c r="BF37" s="109" t="s">
        <v>1</v>
      </c>
      <c r="BG37" s="200" t="s">
        <v>1</v>
      </c>
      <c r="BH37" s="110">
        <v>1</v>
      </c>
      <c r="BI37" s="92" t="s">
        <v>102</v>
      </c>
      <c r="BJ37" s="92">
        <v>19</v>
      </c>
      <c r="BK37" s="92">
        <v>3083</v>
      </c>
      <c r="BL37" s="92" t="s">
        <v>72</v>
      </c>
      <c r="BM37" s="92" t="s">
        <v>74</v>
      </c>
      <c r="BN37" s="92">
        <v>128</v>
      </c>
      <c r="BO37" s="92">
        <v>935</v>
      </c>
      <c r="BP37" s="92" t="s">
        <v>72</v>
      </c>
      <c r="BQ37" s="108" t="s">
        <v>1</v>
      </c>
      <c r="BR37" s="108" t="s">
        <v>1</v>
      </c>
      <c r="BS37" s="108" t="s">
        <v>1</v>
      </c>
      <c r="BT37" s="108" t="s">
        <v>1</v>
      </c>
      <c r="BU37" s="108" t="s">
        <v>1</v>
      </c>
      <c r="BV37" s="189" t="s">
        <v>1</v>
      </c>
      <c r="BW37" s="189" t="s">
        <v>1</v>
      </c>
      <c r="BX37" s="189" t="s">
        <v>1</v>
      </c>
      <c r="BY37" s="189" t="s">
        <v>1</v>
      </c>
      <c r="BZ37" s="190" t="s">
        <v>1</v>
      </c>
      <c r="CA37" s="189" t="s">
        <v>1</v>
      </c>
      <c r="CB37" s="190" t="s">
        <v>1</v>
      </c>
      <c r="CC37" s="191" t="s">
        <v>1</v>
      </c>
      <c r="CD37" s="189" t="s">
        <v>1</v>
      </c>
      <c r="CE37" s="189" t="s">
        <v>1</v>
      </c>
      <c r="CF37" s="108" t="s">
        <v>1</v>
      </c>
    </row>
    <row r="38" ht="28" customHeight="1" spans="1:84">
      <c r="A38" s="107">
        <v>45141</v>
      </c>
      <c r="B38" s="202" t="s">
        <v>100</v>
      </c>
      <c r="C38" s="92" t="s">
        <v>71</v>
      </c>
      <c r="D38" s="30" t="s">
        <v>1</v>
      </c>
      <c r="E38" s="30" t="s">
        <v>1</v>
      </c>
      <c r="F38" s="109" t="e">
        <f>E38-1.9</f>
        <v>#VALUE!</v>
      </c>
      <c r="G38" s="109" t="s">
        <v>1</v>
      </c>
      <c r="H38" s="108" t="s">
        <v>1</v>
      </c>
      <c r="I38" s="109">
        <v>10</v>
      </c>
      <c r="J38" s="141" t="str">
        <f t="shared" si="1"/>
        <v/>
      </c>
      <c r="K38" s="211" t="str">
        <f>IFERROR(E38/#REF!,"")</f>
        <v/>
      </c>
      <c r="L38" s="30">
        <v>54265</v>
      </c>
      <c r="M38" s="242" t="s">
        <v>72</v>
      </c>
      <c r="N38" s="109" t="s">
        <v>1</v>
      </c>
      <c r="O38" s="109" t="s">
        <v>1</v>
      </c>
      <c r="P38" s="109" t="s">
        <v>1</v>
      </c>
      <c r="Q38" s="109" t="s">
        <v>1</v>
      </c>
      <c r="R38" s="109" t="s">
        <v>1</v>
      </c>
      <c r="S38" s="109" t="s">
        <v>1</v>
      </c>
      <c r="T38" s="109" t="s">
        <v>1</v>
      </c>
      <c r="U38" s="109" t="s">
        <v>1</v>
      </c>
      <c r="V38" s="92" t="s">
        <v>1</v>
      </c>
      <c r="W38" s="92" t="s">
        <v>72</v>
      </c>
      <c r="X38" s="92" t="s">
        <v>1</v>
      </c>
      <c r="Y38" s="92" t="s">
        <v>72</v>
      </c>
      <c r="Z38" s="92" t="s">
        <v>1</v>
      </c>
      <c r="AA38" s="236" t="s">
        <v>72</v>
      </c>
      <c r="AB38" s="92" t="s">
        <v>1</v>
      </c>
      <c r="AC38" s="92" t="s">
        <v>72</v>
      </c>
      <c r="AD38" s="92">
        <v>32</v>
      </c>
      <c r="AE38" s="92" t="s">
        <v>72</v>
      </c>
      <c r="AF38" s="92" t="s">
        <v>1</v>
      </c>
      <c r="AG38" s="92" t="s">
        <v>72</v>
      </c>
      <c r="AH38" s="92">
        <v>4786</v>
      </c>
      <c r="AI38" s="92" t="s">
        <v>72</v>
      </c>
      <c r="AJ38" s="92">
        <v>193</v>
      </c>
      <c r="AK38" s="92" t="s">
        <v>72</v>
      </c>
      <c r="AL38" s="92">
        <v>129</v>
      </c>
      <c r="AM38" s="92" t="s">
        <v>72</v>
      </c>
      <c r="AN38" s="92">
        <v>2773</v>
      </c>
      <c r="AO38" s="92" t="s">
        <v>72</v>
      </c>
      <c r="AP38" s="92">
        <v>2047</v>
      </c>
      <c r="AQ38" s="92" t="s">
        <v>72</v>
      </c>
      <c r="AR38" s="92">
        <v>248</v>
      </c>
      <c r="AS38" s="92" t="s">
        <v>72</v>
      </c>
      <c r="AT38" s="200" t="s">
        <v>1</v>
      </c>
      <c r="AU38" s="109" t="s">
        <v>1</v>
      </c>
      <c r="AV38" s="109" t="s">
        <v>1</v>
      </c>
      <c r="AW38" s="109" t="s">
        <v>1</v>
      </c>
      <c r="AX38" s="109" t="s">
        <v>1</v>
      </c>
      <c r="AY38" s="200" t="s">
        <v>1</v>
      </c>
      <c r="AZ38" s="200" t="s">
        <v>1</v>
      </c>
      <c r="BA38" s="109" t="s">
        <v>1</v>
      </c>
      <c r="BB38" s="109" t="s">
        <v>1</v>
      </c>
      <c r="BC38" s="200" t="s">
        <v>1</v>
      </c>
      <c r="BD38" s="200" t="s">
        <v>1</v>
      </c>
      <c r="BE38" s="109" t="s">
        <v>1</v>
      </c>
      <c r="BF38" s="109" t="s">
        <v>1</v>
      </c>
      <c r="BG38" s="200" t="s">
        <v>1</v>
      </c>
      <c r="BH38" s="110">
        <v>1</v>
      </c>
      <c r="BI38" s="92" t="s">
        <v>94</v>
      </c>
      <c r="BJ38" s="92">
        <v>35</v>
      </c>
      <c r="BK38" s="92">
        <v>2041</v>
      </c>
      <c r="BL38" s="92" t="s">
        <v>72</v>
      </c>
      <c r="BM38" s="92" t="s">
        <v>74</v>
      </c>
      <c r="BN38" s="92">
        <v>177</v>
      </c>
      <c r="BO38" s="92">
        <v>710</v>
      </c>
      <c r="BP38" s="92" t="s">
        <v>72</v>
      </c>
      <c r="BQ38" s="108" t="s">
        <v>1</v>
      </c>
      <c r="BR38" s="108" t="s">
        <v>1</v>
      </c>
      <c r="BS38" s="108" t="s">
        <v>1</v>
      </c>
      <c r="BT38" s="108" t="s">
        <v>1</v>
      </c>
      <c r="BU38" s="108" t="s">
        <v>1</v>
      </c>
      <c r="BV38" s="189" t="s">
        <v>1</v>
      </c>
      <c r="BW38" s="189" t="s">
        <v>1</v>
      </c>
      <c r="BX38" s="189" t="s">
        <v>1</v>
      </c>
      <c r="BY38" s="189" t="s">
        <v>1</v>
      </c>
      <c r="BZ38" s="190" t="s">
        <v>1</v>
      </c>
      <c r="CA38" s="189" t="s">
        <v>1</v>
      </c>
      <c r="CB38" s="190" t="s">
        <v>1</v>
      </c>
      <c r="CC38" s="191" t="s">
        <v>1</v>
      </c>
      <c r="CD38" s="189" t="s">
        <v>1</v>
      </c>
      <c r="CE38" s="189" t="s">
        <v>1</v>
      </c>
      <c r="CF38" s="108" t="s">
        <v>1</v>
      </c>
    </row>
    <row r="39" ht="28" customHeight="1" spans="1:84">
      <c r="A39" s="107">
        <v>45142</v>
      </c>
      <c r="B39" s="202" t="s">
        <v>100</v>
      </c>
      <c r="C39" s="92" t="s">
        <v>71</v>
      </c>
      <c r="D39" s="30" t="s">
        <v>1</v>
      </c>
      <c r="E39" s="30" t="s">
        <v>1</v>
      </c>
      <c r="F39" s="109" t="e">
        <f>E39-1.9</f>
        <v>#VALUE!</v>
      </c>
      <c r="G39" s="109" t="s">
        <v>1</v>
      </c>
      <c r="H39" s="108" t="s">
        <v>1</v>
      </c>
      <c r="I39" s="109">
        <v>13</v>
      </c>
      <c r="J39" s="141" t="str">
        <f t="shared" si="1"/>
        <v/>
      </c>
      <c r="K39" s="211" t="str">
        <f>IFERROR(E39/#REF!,"")</f>
        <v/>
      </c>
      <c r="L39" s="30">
        <v>51135</v>
      </c>
      <c r="M39" s="242" t="s">
        <v>72</v>
      </c>
      <c r="N39" s="109" t="s">
        <v>1</v>
      </c>
      <c r="O39" s="109" t="s">
        <v>1</v>
      </c>
      <c r="P39" s="109" t="s">
        <v>1</v>
      </c>
      <c r="Q39" s="109" t="s">
        <v>1</v>
      </c>
      <c r="R39" s="109" t="s">
        <v>1</v>
      </c>
      <c r="S39" s="109" t="s">
        <v>1</v>
      </c>
      <c r="T39" s="109" t="s">
        <v>1</v>
      </c>
      <c r="U39" s="109" t="s">
        <v>1</v>
      </c>
      <c r="V39" s="92" t="s">
        <v>1</v>
      </c>
      <c r="W39" s="92" t="s">
        <v>72</v>
      </c>
      <c r="X39" s="92" t="s">
        <v>1</v>
      </c>
      <c r="Y39" s="92" t="s">
        <v>72</v>
      </c>
      <c r="Z39" s="92" t="s">
        <v>1</v>
      </c>
      <c r="AA39" s="236" t="s">
        <v>72</v>
      </c>
      <c r="AB39" s="92" t="s">
        <v>1</v>
      </c>
      <c r="AC39" s="92" t="s">
        <v>72</v>
      </c>
      <c r="AD39" s="92">
        <v>37</v>
      </c>
      <c r="AE39" s="92" t="s">
        <v>72</v>
      </c>
      <c r="AF39" s="92" t="s">
        <v>1</v>
      </c>
      <c r="AG39" s="92" t="s">
        <v>72</v>
      </c>
      <c r="AH39" s="92">
        <v>5264</v>
      </c>
      <c r="AI39" s="92" t="s">
        <v>72</v>
      </c>
      <c r="AJ39" s="92">
        <v>475</v>
      </c>
      <c r="AK39" s="92" t="s">
        <v>72</v>
      </c>
      <c r="AL39" s="92">
        <v>113</v>
      </c>
      <c r="AM39" s="92" t="s">
        <v>72</v>
      </c>
      <c r="AN39" s="92">
        <v>6855</v>
      </c>
      <c r="AO39" s="92" t="s">
        <v>72</v>
      </c>
      <c r="AP39" s="92">
        <v>2351</v>
      </c>
      <c r="AQ39" s="92" t="s">
        <v>72</v>
      </c>
      <c r="AR39" s="92">
        <v>276</v>
      </c>
      <c r="AS39" s="92" t="s">
        <v>72</v>
      </c>
      <c r="AT39" s="200" t="s">
        <v>1</v>
      </c>
      <c r="AU39" s="109" t="s">
        <v>1</v>
      </c>
      <c r="AV39" s="109" t="s">
        <v>1</v>
      </c>
      <c r="AW39" s="109" t="s">
        <v>1</v>
      </c>
      <c r="AX39" s="109" t="s">
        <v>1</v>
      </c>
      <c r="AY39" s="200" t="s">
        <v>1</v>
      </c>
      <c r="AZ39" s="200" t="s">
        <v>1</v>
      </c>
      <c r="BA39" s="109" t="s">
        <v>1</v>
      </c>
      <c r="BB39" s="109" t="s">
        <v>1</v>
      </c>
      <c r="BC39" s="200" t="s">
        <v>1</v>
      </c>
      <c r="BD39" s="200" t="s">
        <v>1</v>
      </c>
      <c r="BE39" s="109" t="s">
        <v>1</v>
      </c>
      <c r="BF39" s="109" t="s">
        <v>1</v>
      </c>
      <c r="BG39" s="200" t="s">
        <v>1</v>
      </c>
      <c r="BH39" s="200">
        <v>0.95</v>
      </c>
      <c r="BI39" s="92" t="s">
        <v>94</v>
      </c>
      <c r="BJ39" s="92">
        <v>31</v>
      </c>
      <c r="BK39" s="92">
        <v>2193</v>
      </c>
      <c r="BL39" s="92" t="s">
        <v>72</v>
      </c>
      <c r="BM39" s="92" t="s">
        <v>74</v>
      </c>
      <c r="BN39" s="92">
        <v>199</v>
      </c>
      <c r="BO39" s="92">
        <v>642</v>
      </c>
      <c r="BP39" s="92" t="s">
        <v>72</v>
      </c>
      <c r="BQ39" s="108" t="s">
        <v>1</v>
      </c>
      <c r="BR39" s="108" t="s">
        <v>1</v>
      </c>
      <c r="BS39" s="108" t="s">
        <v>1</v>
      </c>
      <c r="BT39" s="108" t="s">
        <v>1</v>
      </c>
      <c r="BU39" s="108" t="s">
        <v>1</v>
      </c>
      <c r="BV39" s="189" t="s">
        <v>1</v>
      </c>
      <c r="BW39" s="189" t="s">
        <v>1</v>
      </c>
      <c r="BX39" s="189" t="s">
        <v>1</v>
      </c>
      <c r="BY39" s="189" t="s">
        <v>1</v>
      </c>
      <c r="BZ39" s="190" t="s">
        <v>1</v>
      </c>
      <c r="CA39" s="189" t="s">
        <v>1</v>
      </c>
      <c r="CB39" s="190" t="s">
        <v>1</v>
      </c>
      <c r="CC39" s="191" t="s">
        <v>1</v>
      </c>
      <c r="CD39" s="189" t="s">
        <v>1</v>
      </c>
      <c r="CE39" s="189" t="s">
        <v>1</v>
      </c>
      <c r="CF39" s="108" t="s">
        <v>1</v>
      </c>
    </row>
    <row r="40" ht="28" customHeight="1" spans="1:84">
      <c r="A40" s="107">
        <v>45143</v>
      </c>
      <c r="B40" s="203" t="s">
        <v>89</v>
      </c>
      <c r="C40" s="92" t="s">
        <v>71</v>
      </c>
      <c r="D40" s="30" t="s">
        <v>1</v>
      </c>
      <c r="E40" s="30" t="s">
        <v>1</v>
      </c>
      <c r="F40" s="109" t="str">
        <f>E40</f>
        <v/>
      </c>
      <c r="G40" s="109" t="s">
        <v>1</v>
      </c>
      <c r="H40" s="108" t="s">
        <v>1</v>
      </c>
      <c r="I40" s="109">
        <v>0</v>
      </c>
      <c r="J40" s="141" t="str">
        <f t="shared" si="1"/>
        <v/>
      </c>
      <c r="K40" s="211" t="str">
        <f>IFERROR(E40/#REF!,"")</f>
        <v/>
      </c>
      <c r="L40" s="30">
        <v>19694</v>
      </c>
      <c r="M40" s="242" t="s">
        <v>72</v>
      </c>
      <c r="N40" s="109" t="s">
        <v>1</v>
      </c>
      <c r="O40" s="109" t="s">
        <v>1</v>
      </c>
      <c r="P40" s="109" t="s">
        <v>1</v>
      </c>
      <c r="Q40" s="109" t="s">
        <v>1</v>
      </c>
      <c r="R40" s="109" t="s">
        <v>1</v>
      </c>
      <c r="S40" s="109" t="s">
        <v>1</v>
      </c>
      <c r="T40" s="109" t="s">
        <v>1</v>
      </c>
      <c r="U40" s="109" t="s">
        <v>1</v>
      </c>
      <c r="V40" s="92" t="s">
        <v>1</v>
      </c>
      <c r="W40" s="92" t="s">
        <v>72</v>
      </c>
      <c r="X40" s="92" t="s">
        <v>1</v>
      </c>
      <c r="Y40" s="92" t="s">
        <v>72</v>
      </c>
      <c r="Z40" s="92" t="s">
        <v>1</v>
      </c>
      <c r="AA40" s="236" t="s">
        <v>72</v>
      </c>
      <c r="AB40" s="92" t="s">
        <v>1</v>
      </c>
      <c r="AC40" s="92" t="s">
        <v>72</v>
      </c>
      <c r="AD40" s="92">
        <v>26</v>
      </c>
      <c r="AE40" s="92" t="s">
        <v>72</v>
      </c>
      <c r="AF40" s="92" t="s">
        <v>1</v>
      </c>
      <c r="AG40" s="92" t="s">
        <v>72</v>
      </c>
      <c r="AH40" s="92">
        <v>5661</v>
      </c>
      <c r="AI40" s="92" t="s">
        <v>72</v>
      </c>
      <c r="AJ40" s="92">
        <v>913</v>
      </c>
      <c r="AK40" s="92" t="s">
        <v>72</v>
      </c>
      <c r="AL40" s="92">
        <v>148</v>
      </c>
      <c r="AM40" s="92" t="s">
        <v>72</v>
      </c>
      <c r="AN40" s="92">
        <v>1388</v>
      </c>
      <c r="AO40" s="92" t="s">
        <v>72</v>
      </c>
      <c r="AP40" s="92">
        <v>2427</v>
      </c>
      <c r="AQ40" s="92" t="s">
        <v>72</v>
      </c>
      <c r="AR40" s="92">
        <v>374</v>
      </c>
      <c r="AS40" s="92" t="s">
        <v>72</v>
      </c>
      <c r="AT40" s="200" t="s">
        <v>1</v>
      </c>
      <c r="AU40" s="109" t="s">
        <v>1</v>
      </c>
      <c r="AV40" s="109" t="s">
        <v>1</v>
      </c>
      <c r="AW40" s="109" t="s">
        <v>1</v>
      </c>
      <c r="AX40" s="109" t="s">
        <v>1</v>
      </c>
      <c r="AY40" s="200" t="s">
        <v>1</v>
      </c>
      <c r="AZ40" s="200" t="s">
        <v>1</v>
      </c>
      <c r="BA40" s="109" t="s">
        <v>1</v>
      </c>
      <c r="BB40" s="109" t="s">
        <v>1</v>
      </c>
      <c r="BC40" s="200" t="s">
        <v>1</v>
      </c>
      <c r="BD40" s="200" t="s">
        <v>1</v>
      </c>
      <c r="BE40" s="109" t="s">
        <v>1</v>
      </c>
      <c r="BF40" s="109" t="s">
        <v>1</v>
      </c>
      <c r="BG40" s="200" t="s">
        <v>1</v>
      </c>
      <c r="BH40" s="200">
        <v>0.95</v>
      </c>
      <c r="BI40" s="92" t="s">
        <v>94</v>
      </c>
      <c r="BJ40" s="92">
        <v>26</v>
      </c>
      <c r="BK40" s="92">
        <v>2440</v>
      </c>
      <c r="BL40" s="92" t="s">
        <v>72</v>
      </c>
      <c r="BM40" s="92" t="s">
        <v>74</v>
      </c>
      <c r="BN40" s="92">
        <v>171</v>
      </c>
      <c r="BO40" s="92">
        <v>760</v>
      </c>
      <c r="BP40" s="92" t="s">
        <v>72</v>
      </c>
      <c r="BQ40" s="108" t="s">
        <v>1</v>
      </c>
      <c r="BR40" s="108" t="s">
        <v>1</v>
      </c>
      <c r="BS40" s="108" t="s">
        <v>1</v>
      </c>
      <c r="BT40" s="108" t="s">
        <v>1</v>
      </c>
      <c r="BU40" s="108" t="s">
        <v>1</v>
      </c>
      <c r="BV40" s="189" t="s">
        <v>1</v>
      </c>
      <c r="BW40" s="189" t="s">
        <v>1</v>
      </c>
      <c r="BX40" s="189" t="s">
        <v>1</v>
      </c>
      <c r="BY40" s="189" t="s">
        <v>1</v>
      </c>
      <c r="BZ40" s="190" t="s">
        <v>1</v>
      </c>
      <c r="CA40" s="189" t="s">
        <v>1</v>
      </c>
      <c r="CB40" s="190" t="s">
        <v>1</v>
      </c>
      <c r="CC40" s="191" t="s">
        <v>1</v>
      </c>
      <c r="CD40" s="189" t="s">
        <v>1</v>
      </c>
      <c r="CE40" s="189" t="s">
        <v>1</v>
      </c>
      <c r="CF40" s="108" t="s">
        <v>1</v>
      </c>
    </row>
    <row r="41" ht="28" customHeight="1" spans="1:84">
      <c r="A41" s="107">
        <v>45144</v>
      </c>
      <c r="B41" s="203" t="s">
        <v>89</v>
      </c>
      <c r="C41" s="92" t="s">
        <v>71</v>
      </c>
      <c r="D41" s="30" t="s">
        <v>1</v>
      </c>
      <c r="E41" s="30" t="s">
        <v>1</v>
      </c>
      <c r="F41" s="109" t="str">
        <f>E41</f>
        <v/>
      </c>
      <c r="G41" s="109" t="s">
        <v>1</v>
      </c>
      <c r="H41" s="108" t="s">
        <v>1</v>
      </c>
      <c r="I41" s="109">
        <v>0</v>
      </c>
      <c r="J41" s="141" t="str">
        <f t="shared" si="1"/>
        <v/>
      </c>
      <c r="K41" s="211" t="str">
        <f>IFERROR(E41/#REF!,"")</f>
        <v/>
      </c>
      <c r="L41" s="30">
        <v>11997</v>
      </c>
      <c r="M41" s="242" t="s">
        <v>72</v>
      </c>
      <c r="N41" s="109" t="s">
        <v>1</v>
      </c>
      <c r="O41" s="109" t="s">
        <v>1</v>
      </c>
      <c r="P41" s="109" t="s">
        <v>1</v>
      </c>
      <c r="Q41" s="109" t="s">
        <v>1</v>
      </c>
      <c r="R41" s="109" t="s">
        <v>1</v>
      </c>
      <c r="S41" s="109" t="s">
        <v>1</v>
      </c>
      <c r="T41" s="109" t="s">
        <v>1</v>
      </c>
      <c r="U41" s="109" t="s">
        <v>1</v>
      </c>
      <c r="V41" s="92" t="s">
        <v>1</v>
      </c>
      <c r="W41" s="92" t="s">
        <v>72</v>
      </c>
      <c r="X41" s="92" t="s">
        <v>1</v>
      </c>
      <c r="Y41" s="92" t="s">
        <v>72</v>
      </c>
      <c r="Z41" s="92" t="s">
        <v>1</v>
      </c>
      <c r="AA41" s="236" t="s">
        <v>72</v>
      </c>
      <c r="AB41" s="92" t="s">
        <v>1</v>
      </c>
      <c r="AC41" s="92" t="s">
        <v>72</v>
      </c>
      <c r="AD41" s="92">
        <v>32</v>
      </c>
      <c r="AE41" s="92" t="s">
        <v>72</v>
      </c>
      <c r="AF41" s="92" t="s">
        <v>1</v>
      </c>
      <c r="AG41" s="92" t="s">
        <v>72</v>
      </c>
      <c r="AH41" s="92">
        <v>5827</v>
      </c>
      <c r="AI41" s="92" t="s">
        <v>72</v>
      </c>
      <c r="AJ41" s="92">
        <v>660</v>
      </c>
      <c r="AK41" s="92" t="s">
        <v>72</v>
      </c>
      <c r="AL41" s="92">
        <v>160</v>
      </c>
      <c r="AM41" s="92" t="s">
        <v>72</v>
      </c>
      <c r="AN41" s="92">
        <v>1590</v>
      </c>
      <c r="AO41" s="92" t="s">
        <v>72</v>
      </c>
      <c r="AP41" s="92">
        <v>2625</v>
      </c>
      <c r="AQ41" s="92" t="s">
        <v>72</v>
      </c>
      <c r="AR41" s="92">
        <v>420</v>
      </c>
      <c r="AS41" s="92" t="s">
        <v>72</v>
      </c>
      <c r="AT41" s="200" t="s">
        <v>1</v>
      </c>
      <c r="AU41" s="109" t="s">
        <v>1</v>
      </c>
      <c r="AV41" s="109" t="s">
        <v>1</v>
      </c>
      <c r="AW41" s="109" t="s">
        <v>1</v>
      </c>
      <c r="AX41" s="109" t="s">
        <v>1</v>
      </c>
      <c r="AY41" s="200" t="s">
        <v>1</v>
      </c>
      <c r="AZ41" s="200" t="s">
        <v>1</v>
      </c>
      <c r="BA41" s="109" t="s">
        <v>1</v>
      </c>
      <c r="BB41" s="109" t="s">
        <v>1</v>
      </c>
      <c r="BC41" s="200" t="s">
        <v>1</v>
      </c>
      <c r="BD41" s="200" t="s">
        <v>1</v>
      </c>
      <c r="BE41" s="109" t="s">
        <v>1</v>
      </c>
      <c r="BF41" s="109" t="s">
        <v>1</v>
      </c>
      <c r="BG41" s="200" t="s">
        <v>1</v>
      </c>
      <c r="BH41" s="200">
        <v>0.85</v>
      </c>
      <c r="BI41" s="92" t="s">
        <v>94</v>
      </c>
      <c r="BJ41" s="92">
        <v>25</v>
      </c>
      <c r="BK41" s="92">
        <v>2878</v>
      </c>
      <c r="BL41" s="92" t="s">
        <v>72</v>
      </c>
      <c r="BM41" s="92" t="s">
        <v>74</v>
      </c>
      <c r="BN41" s="92">
        <v>112</v>
      </c>
      <c r="BO41" s="92">
        <v>1053</v>
      </c>
      <c r="BP41" s="92" t="s">
        <v>72</v>
      </c>
      <c r="BQ41" s="108" t="s">
        <v>1</v>
      </c>
      <c r="BR41" s="108" t="s">
        <v>1</v>
      </c>
      <c r="BS41" s="108" t="s">
        <v>1</v>
      </c>
      <c r="BT41" s="108" t="s">
        <v>1</v>
      </c>
      <c r="BU41" s="108" t="s">
        <v>1</v>
      </c>
      <c r="BV41" s="189" t="s">
        <v>1</v>
      </c>
      <c r="BW41" s="189" t="s">
        <v>1</v>
      </c>
      <c r="BX41" s="189" t="s">
        <v>1</v>
      </c>
      <c r="BY41" s="189" t="s">
        <v>1</v>
      </c>
      <c r="BZ41" s="190" t="s">
        <v>1</v>
      </c>
      <c r="CA41" s="189" t="s">
        <v>1</v>
      </c>
      <c r="CB41" s="190" t="s">
        <v>1</v>
      </c>
      <c r="CC41" s="191" t="s">
        <v>1</v>
      </c>
      <c r="CD41" s="189" t="s">
        <v>1</v>
      </c>
      <c r="CE41" s="189" t="s">
        <v>1</v>
      </c>
      <c r="CF41" s="108" t="s">
        <v>1</v>
      </c>
    </row>
    <row r="42" ht="28" customHeight="1" spans="1:84">
      <c r="A42" s="107">
        <v>45145</v>
      </c>
      <c r="B42" s="197" t="s">
        <v>99</v>
      </c>
      <c r="C42" s="92" t="s">
        <v>71</v>
      </c>
      <c r="D42" s="30" t="s">
        <v>1</v>
      </c>
      <c r="E42" s="30" t="s">
        <v>1</v>
      </c>
      <c r="F42" s="109" t="e">
        <f>E42-0.96</f>
        <v>#VALUE!</v>
      </c>
      <c r="G42" s="109" t="s">
        <v>1</v>
      </c>
      <c r="H42" s="108" t="s">
        <v>1</v>
      </c>
      <c r="I42" s="109">
        <v>40</v>
      </c>
      <c r="J42" s="141" t="str">
        <f t="shared" si="1"/>
        <v/>
      </c>
      <c r="K42" s="211" t="str">
        <f>IFERROR(E42/#REF!,"")</f>
        <v/>
      </c>
      <c r="L42" s="30">
        <v>111147</v>
      </c>
      <c r="M42" s="242" t="s">
        <v>72</v>
      </c>
      <c r="N42" s="109" t="s">
        <v>1</v>
      </c>
      <c r="O42" s="109" t="s">
        <v>1</v>
      </c>
      <c r="P42" s="109" t="s">
        <v>1</v>
      </c>
      <c r="Q42" s="109" t="s">
        <v>1</v>
      </c>
      <c r="R42" s="109" t="s">
        <v>1</v>
      </c>
      <c r="S42" s="109" t="s">
        <v>1</v>
      </c>
      <c r="T42" s="109" t="s">
        <v>1</v>
      </c>
      <c r="U42" s="109" t="s">
        <v>1</v>
      </c>
      <c r="V42" s="92" t="s">
        <v>1</v>
      </c>
      <c r="W42" s="92" t="s">
        <v>72</v>
      </c>
      <c r="X42" s="92" t="s">
        <v>1</v>
      </c>
      <c r="Y42" s="92" t="s">
        <v>72</v>
      </c>
      <c r="Z42" s="92" t="s">
        <v>1</v>
      </c>
      <c r="AA42" s="236" t="s">
        <v>72</v>
      </c>
      <c r="AB42" s="92" t="s">
        <v>1</v>
      </c>
      <c r="AC42" s="92" t="s">
        <v>72</v>
      </c>
      <c r="AD42" s="292">
        <v>18</v>
      </c>
      <c r="AE42" s="92" t="s">
        <v>72</v>
      </c>
      <c r="AF42" s="92" t="s">
        <v>1</v>
      </c>
      <c r="AG42" s="92" t="s">
        <v>72</v>
      </c>
      <c r="AH42" s="92">
        <v>6564</v>
      </c>
      <c r="AI42" s="92" t="s">
        <v>72</v>
      </c>
      <c r="AJ42" s="92">
        <v>1033</v>
      </c>
      <c r="AK42" s="92" t="s">
        <v>72</v>
      </c>
      <c r="AL42" s="92">
        <v>168</v>
      </c>
      <c r="AM42" s="92" t="s">
        <v>72</v>
      </c>
      <c r="AN42" s="92">
        <v>1398</v>
      </c>
      <c r="AO42" s="92" t="s">
        <v>72</v>
      </c>
      <c r="AP42" s="92">
        <v>2631</v>
      </c>
      <c r="AQ42" s="92" t="s">
        <v>72</v>
      </c>
      <c r="AR42" s="92">
        <v>458</v>
      </c>
      <c r="AS42" s="92" t="s">
        <v>72</v>
      </c>
      <c r="AT42" s="200" t="s">
        <v>1</v>
      </c>
      <c r="AU42" s="109" t="s">
        <v>1</v>
      </c>
      <c r="AV42" s="109" t="s">
        <v>1</v>
      </c>
      <c r="AW42" s="109" t="s">
        <v>1</v>
      </c>
      <c r="AX42" s="109" t="s">
        <v>1</v>
      </c>
      <c r="AY42" s="200" t="s">
        <v>1</v>
      </c>
      <c r="AZ42" s="200" t="s">
        <v>1</v>
      </c>
      <c r="BA42" s="109" t="s">
        <v>1</v>
      </c>
      <c r="BB42" s="109" t="s">
        <v>1</v>
      </c>
      <c r="BC42" s="200" t="s">
        <v>1</v>
      </c>
      <c r="BD42" s="200" t="s">
        <v>1</v>
      </c>
      <c r="BE42" s="109" t="s">
        <v>1</v>
      </c>
      <c r="BF42" s="109" t="s">
        <v>1</v>
      </c>
      <c r="BG42" s="200" t="s">
        <v>1</v>
      </c>
      <c r="BH42" s="200">
        <v>0.9</v>
      </c>
      <c r="BI42" s="92" t="s">
        <v>94</v>
      </c>
      <c r="BJ42" s="92">
        <v>25</v>
      </c>
      <c r="BK42" s="92">
        <v>2750</v>
      </c>
      <c r="BL42" s="92" t="s">
        <v>72</v>
      </c>
      <c r="BM42" s="92" t="s">
        <v>74</v>
      </c>
      <c r="BN42" s="92">
        <v>111</v>
      </c>
      <c r="BO42" s="92">
        <v>1050</v>
      </c>
      <c r="BP42" s="92" t="s">
        <v>72</v>
      </c>
      <c r="BQ42" s="108" t="s">
        <v>1</v>
      </c>
      <c r="BR42" s="108" t="s">
        <v>1</v>
      </c>
      <c r="BS42" s="108" t="s">
        <v>1</v>
      </c>
      <c r="BT42" s="108" t="s">
        <v>1</v>
      </c>
      <c r="BU42" s="108" t="s">
        <v>1</v>
      </c>
      <c r="BV42" s="189" t="s">
        <v>1</v>
      </c>
      <c r="BW42" s="189" t="s">
        <v>1</v>
      </c>
      <c r="BX42" s="189" t="s">
        <v>1</v>
      </c>
      <c r="BY42" s="189" t="s">
        <v>1</v>
      </c>
      <c r="BZ42" s="190" t="s">
        <v>1</v>
      </c>
      <c r="CA42" s="189" t="s">
        <v>1</v>
      </c>
      <c r="CB42" s="190" t="s">
        <v>1</v>
      </c>
      <c r="CC42" s="191" t="s">
        <v>1</v>
      </c>
      <c r="CD42" s="189" t="s">
        <v>1</v>
      </c>
      <c r="CE42" s="189" t="s">
        <v>1</v>
      </c>
      <c r="CF42" s="108" t="s">
        <v>1</v>
      </c>
    </row>
    <row r="43" ht="28" customHeight="1" spans="1:84">
      <c r="A43" s="107">
        <v>45146</v>
      </c>
      <c r="B43" s="197" t="s">
        <v>99</v>
      </c>
      <c r="C43" s="92" t="s">
        <v>71</v>
      </c>
      <c r="D43" s="30" t="s">
        <v>1</v>
      </c>
      <c r="E43" s="30" t="s">
        <v>1</v>
      </c>
      <c r="F43" s="109" t="e">
        <f>E43-3.2</f>
        <v>#VALUE!</v>
      </c>
      <c r="G43" s="109" t="s">
        <v>1</v>
      </c>
      <c r="H43" s="108" t="s">
        <v>1</v>
      </c>
      <c r="I43" s="109">
        <v>20</v>
      </c>
      <c r="J43" s="141" t="str">
        <f t="shared" si="1"/>
        <v/>
      </c>
      <c r="K43" s="211" t="str">
        <f>IFERROR(E43/#REF!,"")</f>
        <v/>
      </c>
      <c r="L43" s="30">
        <v>52574</v>
      </c>
      <c r="M43" s="242" t="s">
        <v>72</v>
      </c>
      <c r="N43" s="109" t="s">
        <v>1</v>
      </c>
      <c r="O43" s="109" t="s">
        <v>1</v>
      </c>
      <c r="P43" s="109" t="s">
        <v>1</v>
      </c>
      <c r="Q43" s="109" t="s">
        <v>1</v>
      </c>
      <c r="R43" s="109" t="s">
        <v>1</v>
      </c>
      <c r="S43" s="109" t="s">
        <v>1</v>
      </c>
      <c r="T43" s="109" t="s">
        <v>1</v>
      </c>
      <c r="U43" s="109" t="s">
        <v>1</v>
      </c>
      <c r="V43" s="92" t="s">
        <v>1</v>
      </c>
      <c r="W43" s="92" t="s">
        <v>72</v>
      </c>
      <c r="X43" s="92" t="s">
        <v>1</v>
      </c>
      <c r="Y43" s="92" t="s">
        <v>72</v>
      </c>
      <c r="Z43" s="92" t="s">
        <v>1</v>
      </c>
      <c r="AA43" s="236" t="s">
        <v>72</v>
      </c>
      <c r="AB43" s="92" t="s">
        <v>1</v>
      </c>
      <c r="AC43" s="92" t="s">
        <v>72</v>
      </c>
      <c r="AD43" s="92" t="s">
        <v>1</v>
      </c>
      <c r="AE43" s="92" t="s">
        <v>72</v>
      </c>
      <c r="AF43" s="92" t="s">
        <v>1</v>
      </c>
      <c r="AG43" s="92" t="s">
        <v>72</v>
      </c>
      <c r="AH43" s="92">
        <v>5623</v>
      </c>
      <c r="AI43" s="92" t="s">
        <v>72</v>
      </c>
      <c r="AJ43" s="92">
        <v>716</v>
      </c>
      <c r="AK43" s="92" t="s">
        <v>72</v>
      </c>
      <c r="AL43" s="92">
        <v>100</v>
      </c>
      <c r="AM43" s="92" t="s">
        <v>72</v>
      </c>
      <c r="AN43" s="92">
        <v>1181</v>
      </c>
      <c r="AO43" s="92" t="s">
        <v>72</v>
      </c>
      <c r="AP43" s="92">
        <v>2293</v>
      </c>
      <c r="AQ43" s="92" t="s">
        <v>72</v>
      </c>
      <c r="AR43" s="92">
        <v>397</v>
      </c>
      <c r="AS43" s="92" t="s">
        <v>72</v>
      </c>
      <c r="AT43" s="200" t="s">
        <v>1</v>
      </c>
      <c r="AU43" s="109" t="s">
        <v>1</v>
      </c>
      <c r="AV43" s="109" t="s">
        <v>1</v>
      </c>
      <c r="AW43" s="109" t="s">
        <v>1</v>
      </c>
      <c r="AX43" s="109" t="s">
        <v>1</v>
      </c>
      <c r="AY43" s="200" t="s">
        <v>1</v>
      </c>
      <c r="AZ43" s="200" t="s">
        <v>1</v>
      </c>
      <c r="BA43" s="109" t="s">
        <v>1</v>
      </c>
      <c r="BB43" s="109" t="s">
        <v>1</v>
      </c>
      <c r="BC43" s="200" t="s">
        <v>1</v>
      </c>
      <c r="BD43" s="200" t="s">
        <v>1</v>
      </c>
      <c r="BE43" s="109" t="s">
        <v>1</v>
      </c>
      <c r="BF43" s="109" t="s">
        <v>1</v>
      </c>
      <c r="BG43" s="200" t="s">
        <v>1</v>
      </c>
      <c r="BH43" s="200">
        <v>0.95</v>
      </c>
      <c r="BI43" s="92" t="s">
        <v>94</v>
      </c>
      <c r="BJ43" s="92">
        <v>26</v>
      </c>
      <c r="BK43" s="92">
        <v>2398</v>
      </c>
      <c r="BL43" s="92" t="s">
        <v>72</v>
      </c>
      <c r="BM43" s="92" t="s">
        <v>74</v>
      </c>
      <c r="BN43" s="92">
        <v>135</v>
      </c>
      <c r="BO43" s="92">
        <v>893</v>
      </c>
      <c r="BP43" s="92" t="s">
        <v>72</v>
      </c>
      <c r="BQ43" s="108" t="s">
        <v>1</v>
      </c>
      <c r="BR43" s="108" t="s">
        <v>1</v>
      </c>
      <c r="BS43" s="108" t="s">
        <v>1</v>
      </c>
      <c r="BT43" s="108" t="s">
        <v>1</v>
      </c>
      <c r="BU43" s="108" t="s">
        <v>1</v>
      </c>
      <c r="BV43" s="189" t="s">
        <v>93</v>
      </c>
      <c r="BW43" s="189" t="s">
        <v>87</v>
      </c>
      <c r="BX43" s="190" t="s">
        <v>92</v>
      </c>
      <c r="BY43" s="189" t="s">
        <v>83</v>
      </c>
      <c r="BZ43" s="189" t="s">
        <v>86</v>
      </c>
      <c r="CA43" s="189" t="s">
        <v>84</v>
      </c>
      <c r="CB43" s="190" t="s">
        <v>145</v>
      </c>
      <c r="CC43" s="191" t="s">
        <v>106</v>
      </c>
      <c r="CD43" s="189" t="s">
        <v>76</v>
      </c>
      <c r="CE43" s="189" t="s">
        <v>81</v>
      </c>
      <c r="CF43" s="108" t="s">
        <v>1</v>
      </c>
    </row>
    <row r="44" ht="28" customHeight="1" spans="1:84">
      <c r="A44" s="107">
        <v>45147</v>
      </c>
      <c r="B44" s="202" t="s">
        <v>100</v>
      </c>
      <c r="C44" s="92" t="s">
        <v>71</v>
      </c>
      <c r="D44" s="30" t="s">
        <v>1</v>
      </c>
      <c r="E44" s="30" t="s">
        <v>1</v>
      </c>
      <c r="F44" s="109" t="e">
        <f>E44-1.6</f>
        <v>#VALUE!</v>
      </c>
      <c r="G44" s="109" t="s">
        <v>1</v>
      </c>
      <c r="H44" s="108" t="s">
        <v>1</v>
      </c>
      <c r="I44" s="109">
        <v>10</v>
      </c>
      <c r="J44" s="141" t="str">
        <f t="shared" si="1"/>
        <v/>
      </c>
      <c r="K44" s="211" t="str">
        <f>IFERROR(E44/#REF!,"")</f>
        <v/>
      </c>
      <c r="L44" s="30">
        <v>40989</v>
      </c>
      <c r="M44" s="242" t="s">
        <v>72</v>
      </c>
      <c r="N44" s="109" t="s">
        <v>1</v>
      </c>
      <c r="O44" s="109" t="s">
        <v>1</v>
      </c>
      <c r="P44" s="109" t="s">
        <v>1</v>
      </c>
      <c r="Q44" s="109" t="s">
        <v>1</v>
      </c>
      <c r="R44" s="109" t="s">
        <v>1</v>
      </c>
      <c r="S44" s="109" t="s">
        <v>1</v>
      </c>
      <c r="T44" s="109" t="s">
        <v>1</v>
      </c>
      <c r="U44" s="109" t="s">
        <v>1</v>
      </c>
      <c r="V44" s="92" t="s">
        <v>1</v>
      </c>
      <c r="W44" s="92" t="s">
        <v>72</v>
      </c>
      <c r="X44" s="92" t="s">
        <v>1</v>
      </c>
      <c r="Y44" s="92" t="s">
        <v>72</v>
      </c>
      <c r="Z44" s="92" t="s">
        <v>1</v>
      </c>
      <c r="AA44" s="236" t="s">
        <v>72</v>
      </c>
      <c r="AB44" s="92" t="s">
        <v>1</v>
      </c>
      <c r="AC44" s="92" t="s">
        <v>72</v>
      </c>
      <c r="AD44" s="92" t="s">
        <v>1</v>
      </c>
      <c r="AE44" s="92" t="s">
        <v>72</v>
      </c>
      <c r="AF44" s="92" t="s">
        <v>1</v>
      </c>
      <c r="AG44" s="92" t="s">
        <v>72</v>
      </c>
      <c r="AH44" s="92">
        <v>5367</v>
      </c>
      <c r="AI44" s="92" t="s">
        <v>72</v>
      </c>
      <c r="AJ44" s="92">
        <v>506</v>
      </c>
      <c r="AK44" s="92" t="s">
        <v>72</v>
      </c>
      <c r="AL44" s="92">
        <v>124</v>
      </c>
      <c r="AM44" s="92" t="s">
        <v>72</v>
      </c>
      <c r="AN44" s="92">
        <v>1595</v>
      </c>
      <c r="AO44" s="92" t="s">
        <v>72</v>
      </c>
      <c r="AP44" s="92">
        <v>2334</v>
      </c>
      <c r="AQ44" s="92" t="s">
        <v>72</v>
      </c>
      <c r="AR44" s="92">
        <v>385</v>
      </c>
      <c r="AS44" s="92" t="s">
        <v>72</v>
      </c>
      <c r="AT44" s="200" t="s">
        <v>1</v>
      </c>
      <c r="AU44" s="109" t="s">
        <v>1</v>
      </c>
      <c r="AV44" s="109" t="s">
        <v>1</v>
      </c>
      <c r="AW44" s="109" t="s">
        <v>1</v>
      </c>
      <c r="AX44" s="109" t="s">
        <v>1</v>
      </c>
      <c r="AY44" s="200" t="s">
        <v>1</v>
      </c>
      <c r="AZ44" s="200" t="s">
        <v>1</v>
      </c>
      <c r="BA44" s="109" t="s">
        <v>1</v>
      </c>
      <c r="BB44" s="109" t="s">
        <v>1</v>
      </c>
      <c r="BC44" s="200" t="s">
        <v>1</v>
      </c>
      <c r="BD44" s="200" t="s">
        <v>1</v>
      </c>
      <c r="BE44" s="109" t="s">
        <v>1</v>
      </c>
      <c r="BF44" s="109" t="s">
        <v>1</v>
      </c>
      <c r="BG44" s="200" t="s">
        <v>1</v>
      </c>
      <c r="BH44" s="200">
        <v>0.9</v>
      </c>
      <c r="BI44" s="92" t="s">
        <v>94</v>
      </c>
      <c r="BJ44" s="92">
        <v>22</v>
      </c>
      <c r="BK44" s="92">
        <v>3116</v>
      </c>
      <c r="BL44" s="92" t="s">
        <v>72</v>
      </c>
      <c r="BM44" s="92" t="s">
        <v>74</v>
      </c>
      <c r="BN44" s="92">
        <v>117</v>
      </c>
      <c r="BO44" s="92">
        <v>1000</v>
      </c>
      <c r="BP44" s="92" t="s">
        <v>72</v>
      </c>
      <c r="BQ44" s="108" t="s">
        <v>1</v>
      </c>
      <c r="BR44" s="108" t="s">
        <v>1</v>
      </c>
      <c r="BS44" s="108" t="s">
        <v>1</v>
      </c>
      <c r="BT44" s="108" t="s">
        <v>1</v>
      </c>
      <c r="BU44" s="108" t="s">
        <v>1</v>
      </c>
      <c r="BV44" s="189" t="s">
        <v>1</v>
      </c>
      <c r="BW44" s="189" t="s">
        <v>1</v>
      </c>
      <c r="BX44" s="190" t="s">
        <v>1</v>
      </c>
      <c r="BY44" s="189" t="s">
        <v>1</v>
      </c>
      <c r="BZ44" s="189" t="s">
        <v>1</v>
      </c>
      <c r="CA44" s="189" t="s">
        <v>1</v>
      </c>
      <c r="CB44" s="190" t="s">
        <v>1</v>
      </c>
      <c r="CC44" s="191" t="s">
        <v>1</v>
      </c>
      <c r="CD44" s="189" t="s">
        <v>1</v>
      </c>
      <c r="CE44" s="189" t="s">
        <v>1</v>
      </c>
      <c r="CF44" s="108" t="s">
        <v>1</v>
      </c>
    </row>
    <row r="45" ht="28" customHeight="1" spans="1:84">
      <c r="A45" s="107">
        <v>45148</v>
      </c>
      <c r="B45" s="202" t="s">
        <v>100</v>
      </c>
      <c r="C45" s="92" t="s">
        <v>71</v>
      </c>
      <c r="D45" s="30" t="s">
        <v>1</v>
      </c>
      <c r="E45" s="30" t="s">
        <v>1</v>
      </c>
      <c r="F45" s="109" t="e">
        <f>E45-1.28</f>
        <v>#VALUE!</v>
      </c>
      <c r="G45" s="109" t="s">
        <v>1</v>
      </c>
      <c r="H45" s="108" t="s">
        <v>1</v>
      </c>
      <c r="I45" s="109">
        <v>12</v>
      </c>
      <c r="J45" s="141" t="str">
        <f t="shared" si="1"/>
        <v/>
      </c>
      <c r="K45" s="211" t="str">
        <f>IFERROR(E45/#REF!,"")</f>
        <v/>
      </c>
      <c r="L45" s="30">
        <v>45186</v>
      </c>
      <c r="M45" s="242" t="s">
        <v>72</v>
      </c>
      <c r="N45" s="109" t="s">
        <v>1</v>
      </c>
      <c r="O45" s="109">
        <v>5.2</v>
      </c>
      <c r="P45" s="109" t="s">
        <v>1</v>
      </c>
      <c r="Q45" s="141" t="e">
        <f t="shared" ref="Q45:Q108" si="2">O45/E45</f>
        <v>#VALUE!</v>
      </c>
      <c r="R45" s="109" t="s">
        <v>1</v>
      </c>
      <c r="S45" s="109" t="s">
        <v>1</v>
      </c>
      <c r="T45" s="109" t="s">
        <v>1</v>
      </c>
      <c r="U45" s="109" t="s">
        <v>1</v>
      </c>
      <c r="V45" s="92" t="s">
        <v>1</v>
      </c>
      <c r="W45" s="92" t="s">
        <v>72</v>
      </c>
      <c r="X45" s="92" t="s">
        <v>1</v>
      </c>
      <c r="Y45" s="92" t="s">
        <v>72</v>
      </c>
      <c r="Z45" s="92" t="s">
        <v>1</v>
      </c>
      <c r="AA45" s="236" t="s">
        <v>72</v>
      </c>
      <c r="AB45" s="92" t="s">
        <v>1</v>
      </c>
      <c r="AC45" s="92" t="s">
        <v>72</v>
      </c>
      <c r="AD45" s="92" t="s">
        <v>1</v>
      </c>
      <c r="AE45" s="92" t="s">
        <v>72</v>
      </c>
      <c r="AF45" s="92" t="s">
        <v>1</v>
      </c>
      <c r="AG45" s="92" t="s">
        <v>72</v>
      </c>
      <c r="AH45" s="92">
        <v>5090</v>
      </c>
      <c r="AI45" s="92" t="s">
        <v>72</v>
      </c>
      <c r="AJ45" s="92">
        <v>698</v>
      </c>
      <c r="AK45" s="92" t="s">
        <v>72</v>
      </c>
      <c r="AL45" s="92">
        <v>97</v>
      </c>
      <c r="AM45" s="92" t="s">
        <v>72</v>
      </c>
      <c r="AN45" s="92">
        <v>1707</v>
      </c>
      <c r="AO45" s="92" t="s">
        <v>72</v>
      </c>
      <c r="AP45" s="92">
        <v>2303</v>
      </c>
      <c r="AQ45" s="92" t="s">
        <v>72</v>
      </c>
      <c r="AR45" s="92">
        <v>344</v>
      </c>
      <c r="AS45" s="92" t="s">
        <v>72</v>
      </c>
      <c r="AT45" s="200" t="s">
        <v>1</v>
      </c>
      <c r="AU45" s="109" t="s">
        <v>1</v>
      </c>
      <c r="AV45" s="198">
        <v>284</v>
      </c>
      <c r="AW45" s="198">
        <v>0</v>
      </c>
      <c r="AX45" s="141">
        <v>0.0494601184256357</v>
      </c>
      <c r="AY45" s="200" t="s">
        <v>1</v>
      </c>
      <c r="AZ45" s="198">
        <v>18</v>
      </c>
      <c r="BA45" s="198">
        <v>0</v>
      </c>
      <c r="BB45" s="141">
        <v>0.0633802816901408</v>
      </c>
      <c r="BC45" s="200" t="s">
        <v>1</v>
      </c>
      <c r="BD45" s="200" t="s">
        <v>1</v>
      </c>
      <c r="BE45" s="109" t="s">
        <v>1</v>
      </c>
      <c r="BF45" s="109" t="s">
        <v>1</v>
      </c>
      <c r="BG45" s="200" t="s">
        <v>1</v>
      </c>
      <c r="BH45" s="200">
        <v>0.9</v>
      </c>
      <c r="BI45" s="92" t="s">
        <v>94</v>
      </c>
      <c r="BJ45" s="92">
        <v>29</v>
      </c>
      <c r="BK45" s="92">
        <v>2181</v>
      </c>
      <c r="BL45" s="92" t="s">
        <v>72</v>
      </c>
      <c r="BM45" s="92" t="s">
        <v>74</v>
      </c>
      <c r="BN45" s="92">
        <v>159</v>
      </c>
      <c r="BO45" s="92">
        <v>759</v>
      </c>
      <c r="BP45" s="92" t="s">
        <v>72</v>
      </c>
      <c r="BQ45" s="108" t="s">
        <v>1</v>
      </c>
      <c r="BR45" s="108" t="s">
        <v>1</v>
      </c>
      <c r="BS45" s="108" t="s">
        <v>1</v>
      </c>
      <c r="BT45" s="108" t="s">
        <v>1</v>
      </c>
      <c r="BU45" s="108" t="s">
        <v>1</v>
      </c>
      <c r="BV45" s="189" t="s">
        <v>1</v>
      </c>
      <c r="BW45" s="189" t="s">
        <v>1</v>
      </c>
      <c r="BX45" s="190" t="s">
        <v>1</v>
      </c>
      <c r="BY45" s="189" t="s">
        <v>1</v>
      </c>
      <c r="BZ45" s="189" t="s">
        <v>1</v>
      </c>
      <c r="CA45" s="189" t="s">
        <v>1</v>
      </c>
      <c r="CB45" s="190" t="s">
        <v>1</v>
      </c>
      <c r="CC45" s="191" t="s">
        <v>1</v>
      </c>
      <c r="CD45" s="189" t="s">
        <v>1</v>
      </c>
      <c r="CE45" s="189" t="s">
        <v>1</v>
      </c>
      <c r="CF45" s="108" t="s">
        <v>1</v>
      </c>
    </row>
    <row r="46" ht="28" customHeight="1" spans="1:84">
      <c r="A46" s="107">
        <v>45149</v>
      </c>
      <c r="B46" s="203" t="s">
        <v>89</v>
      </c>
      <c r="C46" s="92" t="s">
        <v>71</v>
      </c>
      <c r="D46" s="30" t="s">
        <v>1</v>
      </c>
      <c r="E46" s="30" t="s">
        <v>1</v>
      </c>
      <c r="F46" s="109" t="str">
        <f>E46</f>
        <v/>
      </c>
      <c r="G46" s="109" t="s">
        <v>1</v>
      </c>
      <c r="H46" s="108" t="s">
        <v>1</v>
      </c>
      <c r="I46" s="109">
        <v>0</v>
      </c>
      <c r="J46" s="141" t="str">
        <f t="shared" si="1"/>
        <v/>
      </c>
      <c r="K46" s="211" t="str">
        <f>IFERROR(E46/#REF!,"")</f>
        <v/>
      </c>
      <c r="L46" s="30">
        <v>18395</v>
      </c>
      <c r="M46" s="242" t="s">
        <v>72</v>
      </c>
      <c r="N46" s="109" t="s">
        <v>1</v>
      </c>
      <c r="O46" s="109">
        <v>6.89</v>
      </c>
      <c r="P46" s="109" t="s">
        <v>1</v>
      </c>
      <c r="Q46" s="141" t="e">
        <f t="shared" si="2"/>
        <v>#VALUE!</v>
      </c>
      <c r="R46" s="109" t="s">
        <v>1</v>
      </c>
      <c r="S46" s="109" t="s">
        <v>1</v>
      </c>
      <c r="T46" s="109" t="s">
        <v>1</v>
      </c>
      <c r="U46" s="109" t="s">
        <v>1</v>
      </c>
      <c r="V46" s="92" t="s">
        <v>1</v>
      </c>
      <c r="W46" s="92" t="s">
        <v>72</v>
      </c>
      <c r="X46" s="92" t="s">
        <v>1</v>
      </c>
      <c r="Y46" s="92" t="s">
        <v>72</v>
      </c>
      <c r="Z46" s="92" t="s">
        <v>1</v>
      </c>
      <c r="AA46" s="236" t="s">
        <v>72</v>
      </c>
      <c r="AB46" s="92" t="s">
        <v>1</v>
      </c>
      <c r="AC46" s="92" t="s">
        <v>72</v>
      </c>
      <c r="AD46" s="92" t="s">
        <v>1</v>
      </c>
      <c r="AE46" s="92" t="s">
        <v>72</v>
      </c>
      <c r="AF46" s="92" t="s">
        <v>1</v>
      </c>
      <c r="AG46" s="92" t="s">
        <v>72</v>
      </c>
      <c r="AH46" s="92">
        <v>5454</v>
      </c>
      <c r="AI46" s="92" t="s">
        <v>72</v>
      </c>
      <c r="AJ46" s="92">
        <v>975</v>
      </c>
      <c r="AK46" s="92" t="s">
        <v>72</v>
      </c>
      <c r="AL46" s="92">
        <v>116</v>
      </c>
      <c r="AM46" s="92" t="s">
        <v>72</v>
      </c>
      <c r="AN46" s="92">
        <v>1807</v>
      </c>
      <c r="AO46" s="92" t="s">
        <v>72</v>
      </c>
      <c r="AP46" s="92">
        <v>2266</v>
      </c>
      <c r="AQ46" s="92" t="s">
        <v>72</v>
      </c>
      <c r="AR46" s="92">
        <v>369</v>
      </c>
      <c r="AS46" s="92" t="s">
        <v>72</v>
      </c>
      <c r="AT46" s="200" t="s">
        <v>1</v>
      </c>
      <c r="AU46" s="109" t="s">
        <v>1</v>
      </c>
      <c r="AV46" s="198">
        <v>255</v>
      </c>
      <c r="AW46" s="198" t="s">
        <v>1</v>
      </c>
      <c r="AX46" s="141">
        <v>0.0408261287223823</v>
      </c>
      <c r="AY46" s="200" t="s">
        <v>1</v>
      </c>
      <c r="AZ46" s="198">
        <v>24</v>
      </c>
      <c r="BA46" s="198" t="s">
        <v>1</v>
      </c>
      <c r="BB46" s="141">
        <v>0.0941176470588235</v>
      </c>
      <c r="BC46" s="200" t="s">
        <v>1</v>
      </c>
      <c r="BD46" s="200" t="s">
        <v>1</v>
      </c>
      <c r="BE46" s="109" t="s">
        <v>1</v>
      </c>
      <c r="BF46" s="109" t="s">
        <v>1</v>
      </c>
      <c r="BG46" s="200" t="s">
        <v>1</v>
      </c>
      <c r="BH46" s="200">
        <v>0.9</v>
      </c>
      <c r="BI46" s="92" t="s">
        <v>94</v>
      </c>
      <c r="BJ46" s="92">
        <v>26</v>
      </c>
      <c r="BK46" s="92">
        <v>2194</v>
      </c>
      <c r="BL46" s="92" t="s">
        <v>72</v>
      </c>
      <c r="BM46" s="92" t="s">
        <v>74</v>
      </c>
      <c r="BN46" s="92">
        <v>178</v>
      </c>
      <c r="BO46" s="92">
        <v>751</v>
      </c>
      <c r="BP46" s="92" t="s">
        <v>72</v>
      </c>
      <c r="BQ46" s="108" t="s">
        <v>1</v>
      </c>
      <c r="BR46" s="108" t="s">
        <v>1</v>
      </c>
      <c r="BS46" s="108" t="s">
        <v>1</v>
      </c>
      <c r="BT46" s="108" t="s">
        <v>1</v>
      </c>
      <c r="BU46" s="108" t="s">
        <v>1</v>
      </c>
      <c r="BV46" s="189" t="s">
        <v>1</v>
      </c>
      <c r="BW46" s="189" t="s">
        <v>1</v>
      </c>
      <c r="BX46" s="190" t="s">
        <v>1</v>
      </c>
      <c r="BY46" s="189" t="s">
        <v>1</v>
      </c>
      <c r="BZ46" s="189" t="s">
        <v>1</v>
      </c>
      <c r="CA46" s="189" t="s">
        <v>1</v>
      </c>
      <c r="CB46" s="190" t="s">
        <v>1</v>
      </c>
      <c r="CC46" s="191" t="s">
        <v>1</v>
      </c>
      <c r="CD46" s="189" t="s">
        <v>1</v>
      </c>
      <c r="CE46" s="189" t="s">
        <v>1</v>
      </c>
      <c r="CF46" s="108" t="s">
        <v>1</v>
      </c>
    </row>
    <row r="47" ht="28" customHeight="1" spans="1:84">
      <c r="A47" s="107">
        <v>45150</v>
      </c>
      <c r="B47" s="203" t="s">
        <v>89</v>
      </c>
      <c r="C47" s="92" t="s">
        <v>71</v>
      </c>
      <c r="D47" s="30" t="s">
        <v>1</v>
      </c>
      <c r="E47" s="30" t="s">
        <v>1</v>
      </c>
      <c r="F47" s="109" t="str">
        <f>E47</f>
        <v/>
      </c>
      <c r="G47" s="109" t="s">
        <v>1</v>
      </c>
      <c r="H47" s="108" t="s">
        <v>1</v>
      </c>
      <c r="I47" s="109">
        <v>0</v>
      </c>
      <c r="J47" s="141" t="str">
        <f t="shared" si="1"/>
        <v/>
      </c>
      <c r="K47" s="211" t="str">
        <f>IFERROR(E47/#REF!,"")</f>
        <v/>
      </c>
      <c r="L47" s="172">
        <v>8597</v>
      </c>
      <c r="M47" s="242" t="s">
        <v>72</v>
      </c>
      <c r="N47" s="109" t="s">
        <v>1</v>
      </c>
      <c r="O47" s="109">
        <v>5.1</v>
      </c>
      <c r="P47" s="109" t="s">
        <v>1</v>
      </c>
      <c r="Q47" s="141" t="e">
        <f t="shared" si="2"/>
        <v>#VALUE!</v>
      </c>
      <c r="R47" s="109" t="s">
        <v>1</v>
      </c>
      <c r="S47" s="109" t="s">
        <v>1</v>
      </c>
      <c r="T47" s="109" t="s">
        <v>1</v>
      </c>
      <c r="U47" s="109" t="s">
        <v>1</v>
      </c>
      <c r="V47" s="92" t="s">
        <v>1</v>
      </c>
      <c r="W47" s="92" t="s">
        <v>72</v>
      </c>
      <c r="X47" s="92" t="s">
        <v>1</v>
      </c>
      <c r="Y47" s="92" t="s">
        <v>72</v>
      </c>
      <c r="Z47" s="92" t="s">
        <v>1</v>
      </c>
      <c r="AA47" s="236" t="s">
        <v>72</v>
      </c>
      <c r="AB47" s="92" t="s">
        <v>1</v>
      </c>
      <c r="AC47" s="92" t="s">
        <v>72</v>
      </c>
      <c r="AD47" s="92" t="s">
        <v>1</v>
      </c>
      <c r="AE47" s="92" t="s">
        <v>72</v>
      </c>
      <c r="AF47" s="92" t="s">
        <v>1</v>
      </c>
      <c r="AG47" s="92" t="s">
        <v>72</v>
      </c>
      <c r="AH47" s="92">
        <v>5903</v>
      </c>
      <c r="AI47" s="92" t="s">
        <v>72</v>
      </c>
      <c r="AJ47" s="92">
        <v>1247</v>
      </c>
      <c r="AK47" s="92" t="s">
        <v>72</v>
      </c>
      <c r="AL47" s="92">
        <v>125</v>
      </c>
      <c r="AM47" s="92" t="s">
        <v>72</v>
      </c>
      <c r="AN47" s="92">
        <v>2306</v>
      </c>
      <c r="AO47" s="92" t="s">
        <v>72</v>
      </c>
      <c r="AP47" s="92">
        <v>2610</v>
      </c>
      <c r="AQ47" s="92" t="s">
        <v>72</v>
      </c>
      <c r="AR47" s="92">
        <v>418</v>
      </c>
      <c r="AS47" s="92" t="s">
        <v>72</v>
      </c>
      <c r="AT47" s="200" t="s">
        <v>1</v>
      </c>
      <c r="AU47" s="109" t="s">
        <v>1</v>
      </c>
      <c r="AV47" s="198">
        <v>242</v>
      </c>
      <c r="AW47" s="198" t="s">
        <v>1</v>
      </c>
      <c r="AX47" s="141">
        <v>0.0329565572654229</v>
      </c>
      <c r="AY47" s="200" t="s">
        <v>1</v>
      </c>
      <c r="AZ47" s="198">
        <v>24</v>
      </c>
      <c r="BA47" s="198" t="s">
        <v>1</v>
      </c>
      <c r="BB47" s="141">
        <v>0.0991735537190083</v>
      </c>
      <c r="BC47" s="200" t="s">
        <v>1</v>
      </c>
      <c r="BD47" s="200" t="s">
        <v>1</v>
      </c>
      <c r="BE47" s="109" t="s">
        <v>1</v>
      </c>
      <c r="BF47" s="109" t="s">
        <v>1</v>
      </c>
      <c r="BG47" s="200" t="s">
        <v>1</v>
      </c>
      <c r="BH47" s="200">
        <v>0.95</v>
      </c>
      <c r="BI47" s="92" t="s">
        <v>102</v>
      </c>
      <c r="BJ47" s="92">
        <v>19</v>
      </c>
      <c r="BK47" s="92">
        <v>2993</v>
      </c>
      <c r="BL47" s="92" t="s">
        <v>72</v>
      </c>
      <c r="BM47" s="92" t="s">
        <v>74</v>
      </c>
      <c r="BN47" s="92">
        <v>124</v>
      </c>
      <c r="BO47" s="92">
        <v>1104</v>
      </c>
      <c r="BP47" s="92" t="s">
        <v>72</v>
      </c>
      <c r="BQ47" s="108" t="s">
        <v>1</v>
      </c>
      <c r="BR47" s="108" t="s">
        <v>1</v>
      </c>
      <c r="BS47" s="108" t="s">
        <v>1</v>
      </c>
      <c r="BT47" s="108" t="s">
        <v>1</v>
      </c>
      <c r="BU47" s="108" t="s">
        <v>1</v>
      </c>
      <c r="BV47" s="189" t="s">
        <v>1</v>
      </c>
      <c r="BW47" s="189" t="s">
        <v>1</v>
      </c>
      <c r="BX47" s="190" t="s">
        <v>1</v>
      </c>
      <c r="BY47" s="189" t="s">
        <v>1</v>
      </c>
      <c r="BZ47" s="189" t="s">
        <v>1</v>
      </c>
      <c r="CA47" s="189" t="s">
        <v>1</v>
      </c>
      <c r="CB47" s="190" t="s">
        <v>1</v>
      </c>
      <c r="CC47" s="191" t="s">
        <v>1</v>
      </c>
      <c r="CD47" s="189" t="s">
        <v>1</v>
      </c>
      <c r="CE47" s="189" t="s">
        <v>1</v>
      </c>
      <c r="CF47" s="108" t="s">
        <v>1</v>
      </c>
    </row>
    <row r="48" ht="28" customHeight="1" spans="1:84">
      <c r="A48" s="107">
        <v>45151</v>
      </c>
      <c r="B48" s="203" t="s">
        <v>89</v>
      </c>
      <c r="C48" s="92" t="s">
        <v>71</v>
      </c>
      <c r="D48" s="30" t="s">
        <v>1</v>
      </c>
      <c r="E48" s="30" t="s">
        <v>1</v>
      </c>
      <c r="F48" s="109" t="str">
        <f>E48</f>
        <v/>
      </c>
      <c r="G48" s="109" t="s">
        <v>1</v>
      </c>
      <c r="H48" s="108" t="s">
        <v>1</v>
      </c>
      <c r="I48" s="109">
        <v>0</v>
      </c>
      <c r="J48" s="141" t="str">
        <f t="shared" si="1"/>
        <v/>
      </c>
      <c r="K48" s="211" t="str">
        <f>IFERROR(E48/#REF!,"")</f>
        <v/>
      </c>
      <c r="L48" s="172">
        <v>2599</v>
      </c>
      <c r="M48" s="242" t="s">
        <v>72</v>
      </c>
      <c r="N48" s="109" t="s">
        <v>1</v>
      </c>
      <c r="O48" s="109">
        <v>7.7</v>
      </c>
      <c r="P48" s="109" t="s">
        <v>1</v>
      </c>
      <c r="Q48" s="141" t="e">
        <f t="shared" si="2"/>
        <v>#VALUE!</v>
      </c>
      <c r="R48" s="109" t="s">
        <v>1</v>
      </c>
      <c r="S48" s="109" t="s">
        <v>1</v>
      </c>
      <c r="T48" s="109" t="s">
        <v>1</v>
      </c>
      <c r="U48" s="109" t="s">
        <v>1</v>
      </c>
      <c r="V48" s="92" t="s">
        <v>1</v>
      </c>
      <c r="W48" s="92" t="s">
        <v>72</v>
      </c>
      <c r="X48" s="92" t="s">
        <v>1</v>
      </c>
      <c r="Y48" s="92" t="s">
        <v>72</v>
      </c>
      <c r="Z48" s="92" t="s">
        <v>1</v>
      </c>
      <c r="AA48" s="236" t="s">
        <v>72</v>
      </c>
      <c r="AB48" s="92" t="s">
        <v>1</v>
      </c>
      <c r="AC48" s="92" t="s">
        <v>72</v>
      </c>
      <c r="AD48" s="92" t="s">
        <v>1</v>
      </c>
      <c r="AE48" s="92" t="s">
        <v>72</v>
      </c>
      <c r="AF48" s="92" t="s">
        <v>1</v>
      </c>
      <c r="AG48" s="92" t="s">
        <v>72</v>
      </c>
      <c r="AH48" s="92">
        <v>6761</v>
      </c>
      <c r="AI48" s="92" t="s">
        <v>72</v>
      </c>
      <c r="AJ48" s="92">
        <v>1410</v>
      </c>
      <c r="AK48" s="92" t="s">
        <v>72</v>
      </c>
      <c r="AL48" s="92">
        <v>177</v>
      </c>
      <c r="AM48" s="92" t="s">
        <v>72</v>
      </c>
      <c r="AN48" s="92">
        <v>2370</v>
      </c>
      <c r="AO48" s="92" t="s">
        <v>72</v>
      </c>
      <c r="AP48" s="92">
        <v>3010</v>
      </c>
      <c r="AQ48" s="92" t="s">
        <v>72</v>
      </c>
      <c r="AR48" s="92">
        <v>436</v>
      </c>
      <c r="AS48" s="92" t="s">
        <v>72</v>
      </c>
      <c r="AT48" s="200" t="s">
        <v>1</v>
      </c>
      <c r="AU48" s="109" t="s">
        <v>1</v>
      </c>
      <c r="AV48" s="198">
        <v>316</v>
      </c>
      <c r="AW48" s="198" t="s">
        <v>1</v>
      </c>
      <c r="AX48" s="141">
        <v>0.0400050639321433</v>
      </c>
      <c r="AY48" s="200" t="s">
        <v>1</v>
      </c>
      <c r="AZ48" s="198">
        <v>36</v>
      </c>
      <c r="BA48" s="198" t="s">
        <v>1</v>
      </c>
      <c r="BB48" s="141">
        <v>0.113924050632911</v>
      </c>
      <c r="BC48" s="200" t="s">
        <v>1</v>
      </c>
      <c r="BD48" s="200" t="s">
        <v>1</v>
      </c>
      <c r="BE48" s="109" t="s">
        <v>1</v>
      </c>
      <c r="BF48" s="109" t="s">
        <v>1</v>
      </c>
      <c r="BG48" s="200" t="s">
        <v>1</v>
      </c>
      <c r="BH48" s="200">
        <v>0.95</v>
      </c>
      <c r="BI48" s="92" t="s">
        <v>94</v>
      </c>
      <c r="BJ48" s="92">
        <v>22</v>
      </c>
      <c r="BK48" s="92">
        <v>3355</v>
      </c>
      <c r="BL48" s="92" t="s">
        <v>72</v>
      </c>
      <c r="BM48" s="92" t="s">
        <v>74</v>
      </c>
      <c r="BN48" s="92">
        <v>116</v>
      </c>
      <c r="BO48" s="92">
        <v>1246</v>
      </c>
      <c r="BP48" s="92" t="s">
        <v>72</v>
      </c>
      <c r="BQ48" s="108" t="s">
        <v>1</v>
      </c>
      <c r="BR48" s="108" t="s">
        <v>1</v>
      </c>
      <c r="BS48" s="108" t="s">
        <v>1</v>
      </c>
      <c r="BT48" s="108" t="s">
        <v>1</v>
      </c>
      <c r="BU48" s="108" t="s">
        <v>1</v>
      </c>
      <c r="BV48" s="189" t="s">
        <v>1</v>
      </c>
      <c r="BW48" s="189" t="s">
        <v>1</v>
      </c>
      <c r="BX48" s="190" t="s">
        <v>1</v>
      </c>
      <c r="BY48" s="189" t="s">
        <v>1</v>
      </c>
      <c r="BZ48" s="189" t="s">
        <v>1</v>
      </c>
      <c r="CA48" s="189" t="s">
        <v>1</v>
      </c>
      <c r="CB48" s="190" t="s">
        <v>1</v>
      </c>
      <c r="CC48" s="191" t="s">
        <v>1</v>
      </c>
      <c r="CD48" s="189" t="s">
        <v>1</v>
      </c>
      <c r="CE48" s="189" t="s">
        <v>1</v>
      </c>
      <c r="CF48" s="108" t="s">
        <v>1</v>
      </c>
    </row>
    <row r="49" ht="28" customHeight="1" spans="1:84">
      <c r="A49" s="107">
        <v>45152</v>
      </c>
      <c r="B49" s="197" t="s">
        <v>104</v>
      </c>
      <c r="C49" s="92" t="s">
        <v>71</v>
      </c>
      <c r="D49" s="30" t="s">
        <v>1</v>
      </c>
      <c r="E49" s="30" t="s">
        <v>1</v>
      </c>
      <c r="F49" s="109" t="str">
        <f>E49</f>
        <v/>
      </c>
      <c r="G49" s="109" t="s">
        <v>1</v>
      </c>
      <c r="H49" s="108" t="s">
        <v>1</v>
      </c>
      <c r="I49" s="109">
        <v>59</v>
      </c>
      <c r="J49" s="141" t="str">
        <f t="shared" si="1"/>
        <v/>
      </c>
      <c r="K49" s="211" t="str">
        <f>IFERROR(E49/#REF!,"")</f>
        <v/>
      </c>
      <c r="L49" s="172">
        <v>254008</v>
      </c>
      <c r="M49" s="242" t="s">
        <v>72</v>
      </c>
      <c r="N49" s="109" t="s">
        <v>1</v>
      </c>
      <c r="O49" s="109">
        <v>15.63</v>
      </c>
      <c r="P49" s="109" t="s">
        <v>1</v>
      </c>
      <c r="Q49" s="141" t="e">
        <f t="shared" si="2"/>
        <v>#VALUE!</v>
      </c>
      <c r="R49" s="109" t="s">
        <v>1</v>
      </c>
      <c r="S49" s="109" t="s">
        <v>1</v>
      </c>
      <c r="T49" s="109" t="s">
        <v>1</v>
      </c>
      <c r="U49" s="109" t="s">
        <v>1</v>
      </c>
      <c r="V49" s="92" t="s">
        <v>1</v>
      </c>
      <c r="W49" s="92" t="s">
        <v>72</v>
      </c>
      <c r="X49" s="92" t="s">
        <v>1</v>
      </c>
      <c r="Y49" s="92" t="s">
        <v>72</v>
      </c>
      <c r="Z49" s="92" t="s">
        <v>1</v>
      </c>
      <c r="AA49" s="236" t="s">
        <v>72</v>
      </c>
      <c r="AB49" s="92" t="s">
        <v>1</v>
      </c>
      <c r="AC49" s="92" t="s">
        <v>72</v>
      </c>
      <c r="AD49" s="92" t="s">
        <v>1</v>
      </c>
      <c r="AE49" s="92" t="s">
        <v>72</v>
      </c>
      <c r="AF49" s="92" t="s">
        <v>1</v>
      </c>
      <c r="AG49" s="92" t="s">
        <v>72</v>
      </c>
      <c r="AH49" s="92">
        <v>7987</v>
      </c>
      <c r="AI49" s="92" t="s">
        <v>72</v>
      </c>
      <c r="AJ49" s="92">
        <v>1620</v>
      </c>
      <c r="AK49" s="92" t="s">
        <v>72</v>
      </c>
      <c r="AL49" s="92">
        <v>216</v>
      </c>
      <c r="AM49" s="92" t="s">
        <v>72</v>
      </c>
      <c r="AN49" s="92">
        <v>2221</v>
      </c>
      <c r="AO49" s="92" t="s">
        <v>72</v>
      </c>
      <c r="AP49" s="92">
        <v>3079</v>
      </c>
      <c r="AQ49" s="92" t="s">
        <v>72</v>
      </c>
      <c r="AR49" s="92">
        <v>611</v>
      </c>
      <c r="AS49" s="92" t="s">
        <v>72</v>
      </c>
      <c r="AT49" s="200" t="s">
        <v>1</v>
      </c>
      <c r="AU49" s="109" t="s">
        <v>1</v>
      </c>
      <c r="AV49" s="198">
        <v>422</v>
      </c>
      <c r="AW49" s="198" t="s">
        <v>1</v>
      </c>
      <c r="AX49" s="141">
        <v>0.0497348261638185</v>
      </c>
      <c r="AY49" s="200" t="s">
        <v>1</v>
      </c>
      <c r="AZ49" s="198">
        <v>62</v>
      </c>
      <c r="BA49" s="198" t="s">
        <v>1</v>
      </c>
      <c r="BB49" s="141">
        <v>0.146919431279621</v>
      </c>
      <c r="BC49" s="200" t="s">
        <v>1</v>
      </c>
      <c r="BD49" s="200" t="s">
        <v>1</v>
      </c>
      <c r="BE49" s="109" t="s">
        <v>1</v>
      </c>
      <c r="BF49" s="109" t="s">
        <v>1</v>
      </c>
      <c r="BG49" s="200" t="s">
        <v>1</v>
      </c>
      <c r="BH49" s="200">
        <v>1</v>
      </c>
      <c r="BI49" s="92" t="s">
        <v>102</v>
      </c>
      <c r="BJ49" s="92">
        <v>17</v>
      </c>
      <c r="BK49" s="92">
        <v>3740</v>
      </c>
      <c r="BL49" s="92" t="s">
        <v>72</v>
      </c>
      <c r="BM49" s="92" t="s">
        <v>73</v>
      </c>
      <c r="BN49" s="92">
        <v>97</v>
      </c>
      <c r="BO49" s="92">
        <v>1396</v>
      </c>
      <c r="BP49" s="92" t="s">
        <v>72</v>
      </c>
      <c r="BQ49" s="108" t="s">
        <v>1</v>
      </c>
      <c r="BR49" s="108" t="s">
        <v>1</v>
      </c>
      <c r="BS49" s="108" t="s">
        <v>1</v>
      </c>
      <c r="BT49" s="108" t="s">
        <v>1</v>
      </c>
      <c r="BU49" s="108" t="s">
        <v>1</v>
      </c>
      <c r="BV49" s="189" t="s">
        <v>1</v>
      </c>
      <c r="BW49" s="189" t="s">
        <v>1</v>
      </c>
      <c r="BX49" s="190" t="s">
        <v>1</v>
      </c>
      <c r="BY49" s="189" t="s">
        <v>1</v>
      </c>
      <c r="BZ49" s="189" t="s">
        <v>1</v>
      </c>
      <c r="CA49" s="189" t="s">
        <v>1</v>
      </c>
      <c r="CB49" s="190" t="s">
        <v>1</v>
      </c>
      <c r="CC49" s="191" t="s">
        <v>1</v>
      </c>
      <c r="CD49" s="189" t="s">
        <v>1</v>
      </c>
      <c r="CE49" s="189" t="s">
        <v>1</v>
      </c>
      <c r="CF49" s="108" t="s">
        <v>1</v>
      </c>
    </row>
    <row r="50" ht="28" customHeight="1" spans="1:84">
      <c r="A50" s="107">
        <v>45153</v>
      </c>
      <c r="B50" s="197" t="s">
        <v>99</v>
      </c>
      <c r="C50" s="92" t="s">
        <v>71</v>
      </c>
      <c r="D50" s="30" t="s">
        <v>1</v>
      </c>
      <c r="E50" s="30" t="s">
        <v>1</v>
      </c>
      <c r="F50" s="109" t="e">
        <f>E50-3.5</f>
        <v>#VALUE!</v>
      </c>
      <c r="G50" s="109" t="s">
        <v>1</v>
      </c>
      <c r="H50" s="108" t="s">
        <v>1</v>
      </c>
      <c r="I50" s="109">
        <v>26</v>
      </c>
      <c r="J50" s="141" t="str">
        <f t="shared" si="1"/>
        <v/>
      </c>
      <c r="K50" s="211" t="str">
        <f>IFERROR(E50/#REF!,"")</f>
        <v/>
      </c>
      <c r="L50" s="172">
        <v>118223</v>
      </c>
      <c r="M50" s="242" t="s">
        <v>72</v>
      </c>
      <c r="N50" s="109" t="s">
        <v>1</v>
      </c>
      <c r="O50" s="109">
        <v>8.86</v>
      </c>
      <c r="P50" s="109" t="s">
        <v>1</v>
      </c>
      <c r="Q50" s="141" t="e">
        <f t="shared" si="2"/>
        <v>#VALUE!</v>
      </c>
      <c r="R50" s="109" t="s">
        <v>1</v>
      </c>
      <c r="S50" s="109" t="s">
        <v>1</v>
      </c>
      <c r="T50" s="109" t="s">
        <v>1</v>
      </c>
      <c r="U50" s="109" t="s">
        <v>1</v>
      </c>
      <c r="V50" s="92" t="s">
        <v>1</v>
      </c>
      <c r="W50" s="92" t="s">
        <v>72</v>
      </c>
      <c r="X50" s="92" t="s">
        <v>1</v>
      </c>
      <c r="Y50" s="92" t="s">
        <v>72</v>
      </c>
      <c r="Z50" s="92" t="s">
        <v>1</v>
      </c>
      <c r="AA50" s="236" t="s">
        <v>72</v>
      </c>
      <c r="AB50" s="92" t="s">
        <v>1</v>
      </c>
      <c r="AC50" s="92" t="s">
        <v>72</v>
      </c>
      <c r="AD50" s="92" t="s">
        <v>1</v>
      </c>
      <c r="AE50" s="92" t="s">
        <v>72</v>
      </c>
      <c r="AF50" s="92" t="s">
        <v>1</v>
      </c>
      <c r="AG50" s="92" t="s">
        <v>72</v>
      </c>
      <c r="AH50" s="92">
        <v>6472</v>
      </c>
      <c r="AI50" s="92" t="s">
        <v>72</v>
      </c>
      <c r="AJ50" s="92">
        <v>1270</v>
      </c>
      <c r="AK50" s="92" t="s">
        <v>72</v>
      </c>
      <c r="AL50" s="92">
        <v>155</v>
      </c>
      <c r="AM50" s="92" t="s">
        <v>72</v>
      </c>
      <c r="AN50" s="92">
        <v>1963</v>
      </c>
      <c r="AO50" s="92" t="s">
        <v>72</v>
      </c>
      <c r="AP50" s="92">
        <v>2741</v>
      </c>
      <c r="AQ50" s="92" t="s">
        <v>72</v>
      </c>
      <c r="AR50" s="92">
        <v>444</v>
      </c>
      <c r="AS50" s="92" t="s">
        <v>72</v>
      </c>
      <c r="AT50" s="200" t="s">
        <v>1</v>
      </c>
      <c r="AU50" s="109" t="s">
        <v>1</v>
      </c>
      <c r="AV50" s="198">
        <v>297</v>
      </c>
      <c r="AW50" s="198" t="s">
        <v>1</v>
      </c>
      <c r="AX50" s="141">
        <v>0.0410788381742739</v>
      </c>
      <c r="AY50" s="200" t="s">
        <v>1</v>
      </c>
      <c r="AZ50" s="198">
        <v>29</v>
      </c>
      <c r="BA50" s="198" t="s">
        <v>1</v>
      </c>
      <c r="BB50" s="141">
        <v>0.0976430976430976</v>
      </c>
      <c r="BC50" s="200" t="s">
        <v>1</v>
      </c>
      <c r="BD50" s="200" t="s">
        <v>1</v>
      </c>
      <c r="BE50" s="109" t="s">
        <v>1</v>
      </c>
      <c r="BF50" s="109" t="s">
        <v>1</v>
      </c>
      <c r="BG50" s="200" t="s">
        <v>1</v>
      </c>
      <c r="BH50" s="200">
        <v>1</v>
      </c>
      <c r="BI50" s="92" t="s">
        <v>94</v>
      </c>
      <c r="BJ50" s="92">
        <v>22</v>
      </c>
      <c r="BK50" s="92">
        <v>2655</v>
      </c>
      <c r="BL50" s="92" t="s">
        <v>72</v>
      </c>
      <c r="BM50" s="92" t="s">
        <v>74</v>
      </c>
      <c r="BN50" s="92">
        <v>135</v>
      </c>
      <c r="BO50" s="92">
        <v>1035</v>
      </c>
      <c r="BP50" s="92" t="s">
        <v>72</v>
      </c>
      <c r="BQ50" s="108" t="s">
        <v>1</v>
      </c>
      <c r="BR50" s="108" t="s">
        <v>1</v>
      </c>
      <c r="BS50" s="108" t="s">
        <v>1</v>
      </c>
      <c r="BT50" s="108" t="s">
        <v>1</v>
      </c>
      <c r="BU50" s="108" t="s">
        <v>1</v>
      </c>
      <c r="BV50" s="189" t="s">
        <v>93</v>
      </c>
      <c r="BW50" s="189" t="s">
        <v>86</v>
      </c>
      <c r="BX50" s="190" t="s">
        <v>92</v>
      </c>
      <c r="BY50" s="189" t="s">
        <v>87</v>
      </c>
      <c r="BZ50" s="189" t="s">
        <v>83</v>
      </c>
      <c r="CA50" s="189" t="s">
        <v>84</v>
      </c>
      <c r="CB50" s="190" t="s">
        <v>145</v>
      </c>
      <c r="CC50" s="189" t="s">
        <v>76</v>
      </c>
      <c r="CD50" s="189" t="s">
        <v>105</v>
      </c>
      <c r="CE50" s="189" t="s">
        <v>107</v>
      </c>
      <c r="CF50" s="108" t="s">
        <v>1</v>
      </c>
    </row>
    <row r="51" ht="28" customHeight="1" spans="1:84">
      <c r="A51" s="107">
        <v>45154</v>
      </c>
      <c r="B51" s="202" t="s">
        <v>100</v>
      </c>
      <c r="C51" s="92" t="s">
        <v>71</v>
      </c>
      <c r="D51" s="30" t="s">
        <v>1</v>
      </c>
      <c r="E51" s="30" t="s">
        <v>1</v>
      </c>
      <c r="F51" s="109" t="e">
        <f>E51-1.9</f>
        <v>#VALUE!</v>
      </c>
      <c r="G51" s="109" t="s">
        <v>1</v>
      </c>
      <c r="H51" s="108" t="s">
        <v>1</v>
      </c>
      <c r="I51" s="109">
        <v>0</v>
      </c>
      <c r="J51" s="141" t="str">
        <f t="shared" si="1"/>
        <v/>
      </c>
      <c r="K51" s="211" t="str">
        <f>IFERROR(E51/#REF!,"")</f>
        <v/>
      </c>
      <c r="L51" s="172">
        <v>28493</v>
      </c>
      <c r="M51" s="242" t="s">
        <v>72</v>
      </c>
      <c r="N51" s="109" t="s">
        <v>1</v>
      </c>
      <c r="O51" s="109">
        <v>3.31</v>
      </c>
      <c r="P51" s="109" t="s">
        <v>1</v>
      </c>
      <c r="Q51" s="141" t="e">
        <f t="shared" si="2"/>
        <v>#VALUE!</v>
      </c>
      <c r="R51" s="109" t="s">
        <v>1</v>
      </c>
      <c r="S51" s="109" t="s">
        <v>1</v>
      </c>
      <c r="T51" s="109" t="s">
        <v>1</v>
      </c>
      <c r="U51" s="109" t="s">
        <v>1</v>
      </c>
      <c r="V51" s="92" t="s">
        <v>1</v>
      </c>
      <c r="W51" s="92" t="s">
        <v>72</v>
      </c>
      <c r="X51" s="92" t="s">
        <v>1</v>
      </c>
      <c r="Y51" s="92" t="s">
        <v>72</v>
      </c>
      <c r="Z51" s="92" t="s">
        <v>1</v>
      </c>
      <c r="AA51" s="236" t="s">
        <v>72</v>
      </c>
      <c r="AB51" s="92" t="s">
        <v>1</v>
      </c>
      <c r="AC51" s="92" t="s">
        <v>72</v>
      </c>
      <c r="AD51" s="92" t="s">
        <v>1</v>
      </c>
      <c r="AE51" s="92" t="s">
        <v>72</v>
      </c>
      <c r="AF51" s="92" t="s">
        <v>1</v>
      </c>
      <c r="AG51" s="92" t="s">
        <v>72</v>
      </c>
      <c r="AH51" s="92">
        <v>6145</v>
      </c>
      <c r="AI51" s="92" t="s">
        <v>72</v>
      </c>
      <c r="AJ51" s="92">
        <v>654</v>
      </c>
      <c r="AK51" s="92" t="s">
        <v>72</v>
      </c>
      <c r="AL51" s="92">
        <v>160</v>
      </c>
      <c r="AM51" s="92" t="s">
        <v>72</v>
      </c>
      <c r="AN51" s="92">
        <v>2136</v>
      </c>
      <c r="AO51" s="92" t="s">
        <v>72</v>
      </c>
      <c r="AP51" s="92">
        <v>2825</v>
      </c>
      <c r="AQ51" s="92" t="s">
        <v>72</v>
      </c>
      <c r="AR51" s="92">
        <v>411</v>
      </c>
      <c r="AS51" s="92" t="s">
        <v>72</v>
      </c>
      <c r="AT51" s="200" t="s">
        <v>1</v>
      </c>
      <c r="AU51" s="109" t="s">
        <v>1</v>
      </c>
      <c r="AV51" s="198">
        <v>314</v>
      </c>
      <c r="AW51" s="198" t="s">
        <v>1</v>
      </c>
      <c r="AX51" s="141">
        <v>0.0459332943241662</v>
      </c>
      <c r="AY51" s="200" t="s">
        <v>1</v>
      </c>
      <c r="AZ51" s="198">
        <v>13</v>
      </c>
      <c r="BA51" s="198" t="s">
        <v>1</v>
      </c>
      <c r="BB51" s="141">
        <v>0.0414012738853503</v>
      </c>
      <c r="BC51" s="200" t="s">
        <v>1</v>
      </c>
      <c r="BD51" s="200" t="s">
        <v>1</v>
      </c>
      <c r="BE51" s="109" t="s">
        <v>1</v>
      </c>
      <c r="BF51" s="109" t="s">
        <v>1</v>
      </c>
      <c r="BG51" s="200" t="s">
        <v>1</v>
      </c>
      <c r="BH51" s="200">
        <v>1</v>
      </c>
      <c r="BI51" s="92" t="s">
        <v>102</v>
      </c>
      <c r="BJ51" s="92">
        <v>18</v>
      </c>
      <c r="BK51" s="92">
        <v>2888</v>
      </c>
      <c r="BL51" s="92" t="s">
        <v>72</v>
      </c>
      <c r="BM51" s="92" t="s">
        <v>74</v>
      </c>
      <c r="BN51" s="92">
        <v>116</v>
      </c>
      <c r="BO51" s="92">
        <v>1142</v>
      </c>
      <c r="BP51" s="92" t="s">
        <v>72</v>
      </c>
      <c r="BQ51" s="108" t="s">
        <v>1</v>
      </c>
      <c r="BR51" s="108" t="s">
        <v>1</v>
      </c>
      <c r="BS51" s="108" t="s">
        <v>1</v>
      </c>
      <c r="BT51" s="108" t="s">
        <v>1</v>
      </c>
      <c r="BU51" s="108" t="s">
        <v>1</v>
      </c>
      <c r="BV51" s="189" t="s">
        <v>1</v>
      </c>
      <c r="BW51" s="189" t="s">
        <v>1</v>
      </c>
      <c r="BX51" s="190" t="s">
        <v>1</v>
      </c>
      <c r="BY51" s="189" t="s">
        <v>1</v>
      </c>
      <c r="BZ51" s="189" t="s">
        <v>1</v>
      </c>
      <c r="CA51" s="189" t="s">
        <v>1</v>
      </c>
      <c r="CB51" s="190" t="s">
        <v>1</v>
      </c>
      <c r="CC51" s="189" t="s">
        <v>1</v>
      </c>
      <c r="CD51" s="189" t="s">
        <v>1</v>
      </c>
      <c r="CE51" s="189" t="s">
        <v>1</v>
      </c>
      <c r="CF51" s="108" t="s">
        <v>1</v>
      </c>
    </row>
    <row r="52" ht="28" customHeight="1" spans="1:84">
      <c r="A52" s="107">
        <v>45155</v>
      </c>
      <c r="B52" s="197" t="s">
        <v>104</v>
      </c>
      <c r="C52" s="92" t="s">
        <v>71</v>
      </c>
      <c r="D52" s="30" t="s">
        <v>1</v>
      </c>
      <c r="E52" s="30" t="s">
        <v>1</v>
      </c>
      <c r="F52" s="109" t="e">
        <f>E52-0.5</f>
        <v>#VALUE!</v>
      </c>
      <c r="G52" s="109" t="s">
        <v>1</v>
      </c>
      <c r="H52" s="108" t="s">
        <v>1</v>
      </c>
      <c r="I52" s="109">
        <v>24</v>
      </c>
      <c r="J52" s="141" t="str">
        <f t="shared" si="1"/>
        <v/>
      </c>
      <c r="K52" s="211" t="str">
        <f>IFERROR(E52/#REF!,"")</f>
        <v/>
      </c>
      <c r="L52" s="172">
        <v>20875</v>
      </c>
      <c r="M52" s="242" t="s">
        <v>72</v>
      </c>
      <c r="N52" s="109" t="s">
        <v>1</v>
      </c>
      <c r="O52" s="109">
        <v>8.4</v>
      </c>
      <c r="P52" s="109" t="s">
        <v>1</v>
      </c>
      <c r="Q52" s="141" t="e">
        <f t="shared" si="2"/>
        <v>#VALUE!</v>
      </c>
      <c r="R52" s="109" t="s">
        <v>1</v>
      </c>
      <c r="S52" s="109" t="s">
        <v>1</v>
      </c>
      <c r="T52" s="109" t="s">
        <v>1</v>
      </c>
      <c r="U52" s="109" t="s">
        <v>1</v>
      </c>
      <c r="V52" s="92" t="s">
        <v>1</v>
      </c>
      <c r="W52" s="92" t="s">
        <v>72</v>
      </c>
      <c r="X52" s="92" t="s">
        <v>1</v>
      </c>
      <c r="Y52" s="92" t="s">
        <v>72</v>
      </c>
      <c r="Z52" s="92" t="s">
        <v>1</v>
      </c>
      <c r="AA52" s="236" t="s">
        <v>72</v>
      </c>
      <c r="AB52" s="92" t="s">
        <v>1</v>
      </c>
      <c r="AC52" s="92" t="s">
        <v>72</v>
      </c>
      <c r="AD52" s="92" t="s">
        <v>1</v>
      </c>
      <c r="AE52" s="92" t="s">
        <v>72</v>
      </c>
      <c r="AF52" s="92" t="s">
        <v>1</v>
      </c>
      <c r="AG52" s="92" t="s">
        <v>72</v>
      </c>
      <c r="AH52" s="92">
        <v>6388</v>
      </c>
      <c r="AI52" s="92" t="s">
        <v>72</v>
      </c>
      <c r="AJ52" s="92">
        <v>1228</v>
      </c>
      <c r="AK52" s="92" t="s">
        <v>72</v>
      </c>
      <c r="AL52" s="92">
        <v>176</v>
      </c>
      <c r="AM52" s="92" t="s">
        <v>72</v>
      </c>
      <c r="AN52" s="92">
        <v>1736</v>
      </c>
      <c r="AO52" s="92" t="s">
        <v>72</v>
      </c>
      <c r="AP52" s="92">
        <v>2808</v>
      </c>
      <c r="AQ52" s="92" t="s">
        <v>72</v>
      </c>
      <c r="AR52" s="92">
        <v>427</v>
      </c>
      <c r="AS52" s="92" t="s">
        <v>72</v>
      </c>
      <c r="AT52" s="200" t="s">
        <v>1</v>
      </c>
      <c r="AU52" s="109" t="s">
        <v>1</v>
      </c>
      <c r="AV52" s="198">
        <v>297</v>
      </c>
      <c r="AW52" s="198" t="s">
        <v>1</v>
      </c>
      <c r="AX52" s="141">
        <v>0.0428447778418927</v>
      </c>
      <c r="AY52" s="200" t="s">
        <v>1</v>
      </c>
      <c r="AZ52" s="198">
        <v>28</v>
      </c>
      <c r="BA52" s="198" t="s">
        <v>1</v>
      </c>
      <c r="BB52" s="141">
        <v>0.0942760942760943</v>
      </c>
      <c r="BC52" s="200" t="s">
        <v>1</v>
      </c>
      <c r="BD52" s="200" t="s">
        <v>1</v>
      </c>
      <c r="BE52" s="109" t="s">
        <v>1</v>
      </c>
      <c r="BF52" s="109" t="s">
        <v>1</v>
      </c>
      <c r="BG52" s="200" t="s">
        <v>1</v>
      </c>
      <c r="BH52" s="200">
        <v>1</v>
      </c>
      <c r="BI52" s="92" t="s">
        <v>102</v>
      </c>
      <c r="BJ52" s="92">
        <v>20</v>
      </c>
      <c r="BK52" s="92">
        <v>2919</v>
      </c>
      <c r="BL52" s="92" t="s">
        <v>72</v>
      </c>
      <c r="BM52" s="92" t="s">
        <v>74</v>
      </c>
      <c r="BN52" s="92">
        <v>118</v>
      </c>
      <c r="BO52" s="92">
        <v>1115</v>
      </c>
      <c r="BP52" s="92" t="s">
        <v>72</v>
      </c>
      <c r="BQ52" s="108" t="s">
        <v>1</v>
      </c>
      <c r="BR52" s="108" t="s">
        <v>1</v>
      </c>
      <c r="BS52" s="108" t="s">
        <v>1</v>
      </c>
      <c r="BT52" s="108" t="s">
        <v>1</v>
      </c>
      <c r="BU52" s="108" t="s">
        <v>1</v>
      </c>
      <c r="BV52" s="189" t="s">
        <v>1</v>
      </c>
      <c r="BW52" s="189" t="s">
        <v>1</v>
      </c>
      <c r="BX52" s="190" t="s">
        <v>1</v>
      </c>
      <c r="BY52" s="189" t="s">
        <v>1</v>
      </c>
      <c r="BZ52" s="189" t="s">
        <v>1</v>
      </c>
      <c r="CA52" s="189" t="s">
        <v>1</v>
      </c>
      <c r="CB52" s="190" t="s">
        <v>1</v>
      </c>
      <c r="CC52" s="189" t="s">
        <v>1</v>
      </c>
      <c r="CD52" s="189" t="s">
        <v>1</v>
      </c>
      <c r="CE52" s="189" t="s">
        <v>1</v>
      </c>
      <c r="CF52" s="108" t="s">
        <v>1</v>
      </c>
    </row>
    <row r="53" ht="28" customHeight="1" spans="1:84">
      <c r="A53" s="107">
        <v>45156</v>
      </c>
      <c r="B53" s="197" t="s">
        <v>99</v>
      </c>
      <c r="C53" s="92" t="s">
        <v>71</v>
      </c>
      <c r="D53" s="30" t="s">
        <v>1</v>
      </c>
      <c r="E53" s="30" t="s">
        <v>1</v>
      </c>
      <c r="F53" s="109" t="e">
        <f>E53-0.96</f>
        <v>#VALUE!</v>
      </c>
      <c r="G53" s="109" t="s">
        <v>1</v>
      </c>
      <c r="H53" s="108" t="s">
        <v>1</v>
      </c>
      <c r="I53" s="109">
        <v>23</v>
      </c>
      <c r="J53" s="141" t="str">
        <f t="shared" si="1"/>
        <v/>
      </c>
      <c r="K53" s="211" t="str">
        <f>IFERROR(E53/#REF!,"")</f>
        <v/>
      </c>
      <c r="L53" s="172">
        <v>110548</v>
      </c>
      <c r="M53" s="242" t="s">
        <v>72</v>
      </c>
      <c r="N53" s="109" t="s">
        <v>1</v>
      </c>
      <c r="O53" s="109">
        <v>9.3</v>
      </c>
      <c r="P53" s="109" t="s">
        <v>1</v>
      </c>
      <c r="Q53" s="141" t="e">
        <f t="shared" si="2"/>
        <v>#VALUE!</v>
      </c>
      <c r="R53" s="109" t="s">
        <v>1</v>
      </c>
      <c r="S53" s="109" t="s">
        <v>1</v>
      </c>
      <c r="T53" s="109" t="s">
        <v>1</v>
      </c>
      <c r="U53" s="109" t="s">
        <v>1</v>
      </c>
      <c r="V53" s="92" t="s">
        <v>1</v>
      </c>
      <c r="W53" s="92" t="s">
        <v>72</v>
      </c>
      <c r="X53" s="92" t="s">
        <v>1</v>
      </c>
      <c r="Y53" s="92" t="s">
        <v>72</v>
      </c>
      <c r="Z53" s="92" t="s">
        <v>1</v>
      </c>
      <c r="AA53" s="236" t="s">
        <v>72</v>
      </c>
      <c r="AB53" s="92" t="s">
        <v>1</v>
      </c>
      <c r="AC53" s="92" t="s">
        <v>72</v>
      </c>
      <c r="AD53" s="92" t="s">
        <v>1</v>
      </c>
      <c r="AE53" s="92" t="s">
        <v>72</v>
      </c>
      <c r="AF53" s="92" t="s">
        <v>1</v>
      </c>
      <c r="AG53" s="92" t="s">
        <v>72</v>
      </c>
      <c r="AH53" s="92">
        <v>6868</v>
      </c>
      <c r="AI53" s="92" t="s">
        <v>72</v>
      </c>
      <c r="AJ53" s="92">
        <v>1011</v>
      </c>
      <c r="AK53" s="92" t="s">
        <v>72</v>
      </c>
      <c r="AL53" s="92">
        <v>167</v>
      </c>
      <c r="AM53" s="92" t="s">
        <v>72</v>
      </c>
      <c r="AN53" s="92">
        <v>1560</v>
      </c>
      <c r="AO53" s="92" t="s">
        <v>72</v>
      </c>
      <c r="AP53" s="92">
        <v>2687</v>
      </c>
      <c r="AQ53" s="92" t="s">
        <v>72</v>
      </c>
      <c r="AR53" s="92">
        <v>1103</v>
      </c>
      <c r="AS53" s="92" t="s">
        <v>72</v>
      </c>
      <c r="AT53" s="200" t="s">
        <v>1</v>
      </c>
      <c r="AU53" s="109" t="s">
        <v>1</v>
      </c>
      <c r="AV53" s="198">
        <v>328</v>
      </c>
      <c r="AW53" s="198" t="s">
        <v>1</v>
      </c>
      <c r="AX53" s="141">
        <v>0.0457334076965979</v>
      </c>
      <c r="AY53" s="200" t="s">
        <v>1</v>
      </c>
      <c r="AZ53" s="198">
        <v>32</v>
      </c>
      <c r="BA53" s="198" t="s">
        <v>1</v>
      </c>
      <c r="BB53" s="141">
        <v>0.0975609756097561</v>
      </c>
      <c r="BC53" s="200" t="s">
        <v>1</v>
      </c>
      <c r="BD53" s="200" t="s">
        <v>1</v>
      </c>
      <c r="BE53" s="109" t="s">
        <v>1</v>
      </c>
      <c r="BF53" s="109" t="s">
        <v>1</v>
      </c>
      <c r="BG53" s="200" t="s">
        <v>1</v>
      </c>
      <c r="BH53" s="200">
        <v>1</v>
      </c>
      <c r="BI53" s="92" t="s">
        <v>102</v>
      </c>
      <c r="BJ53" s="92">
        <v>16</v>
      </c>
      <c r="BK53" s="92">
        <v>3056</v>
      </c>
      <c r="BL53" s="92" t="s">
        <v>72</v>
      </c>
      <c r="BM53" s="92" t="s">
        <v>74</v>
      </c>
      <c r="BN53" s="92">
        <v>119</v>
      </c>
      <c r="BO53" s="92">
        <v>1058</v>
      </c>
      <c r="BP53" s="92" t="s">
        <v>72</v>
      </c>
      <c r="BQ53" s="108" t="s">
        <v>1</v>
      </c>
      <c r="BR53" s="108" t="s">
        <v>1</v>
      </c>
      <c r="BS53" s="108" t="s">
        <v>1</v>
      </c>
      <c r="BT53" s="108" t="s">
        <v>1</v>
      </c>
      <c r="BU53" s="108" t="s">
        <v>1</v>
      </c>
      <c r="BV53" s="189" t="s">
        <v>1</v>
      </c>
      <c r="BW53" s="189" t="s">
        <v>1</v>
      </c>
      <c r="BX53" s="190" t="s">
        <v>1</v>
      </c>
      <c r="BY53" s="189" t="s">
        <v>1</v>
      </c>
      <c r="BZ53" s="189" t="s">
        <v>1</v>
      </c>
      <c r="CA53" s="189" t="s">
        <v>1</v>
      </c>
      <c r="CB53" s="190" t="s">
        <v>1</v>
      </c>
      <c r="CC53" s="189" t="s">
        <v>1</v>
      </c>
      <c r="CD53" s="189" t="s">
        <v>1</v>
      </c>
      <c r="CE53" s="189" t="s">
        <v>1</v>
      </c>
      <c r="CF53" s="108" t="s">
        <v>1</v>
      </c>
    </row>
    <row r="54" ht="28" customHeight="1" spans="1:84">
      <c r="A54" s="107">
        <v>45157</v>
      </c>
      <c r="B54" s="202" t="s">
        <v>100</v>
      </c>
      <c r="C54" s="92" t="s">
        <v>71</v>
      </c>
      <c r="D54" s="30" t="s">
        <v>1</v>
      </c>
      <c r="E54" s="30" t="s">
        <v>1</v>
      </c>
      <c r="F54" s="109" t="str">
        <f>E54</f>
        <v/>
      </c>
      <c r="G54" s="109" t="s">
        <v>1</v>
      </c>
      <c r="H54" s="108" t="s">
        <v>1</v>
      </c>
      <c r="I54" s="109">
        <v>10</v>
      </c>
      <c r="J54" s="141" t="str">
        <f t="shared" si="1"/>
        <v/>
      </c>
      <c r="K54" s="211" t="str">
        <f>IFERROR(E54/#REF!,"")</f>
        <v/>
      </c>
      <c r="L54" s="172">
        <v>25992</v>
      </c>
      <c r="M54" s="242" t="s">
        <v>72</v>
      </c>
      <c r="N54" s="109" t="s">
        <v>1</v>
      </c>
      <c r="O54" s="109">
        <v>6.3</v>
      </c>
      <c r="P54" s="109" t="s">
        <v>1</v>
      </c>
      <c r="Q54" s="141" t="e">
        <f t="shared" si="2"/>
        <v>#VALUE!</v>
      </c>
      <c r="R54" s="109" t="s">
        <v>1</v>
      </c>
      <c r="S54" s="109" t="s">
        <v>1</v>
      </c>
      <c r="T54" s="109" t="s">
        <v>1</v>
      </c>
      <c r="U54" s="109" t="s">
        <v>1</v>
      </c>
      <c r="V54" s="92" t="s">
        <v>1</v>
      </c>
      <c r="W54" s="92" t="s">
        <v>72</v>
      </c>
      <c r="X54" s="92" t="s">
        <v>1</v>
      </c>
      <c r="Y54" s="92" t="s">
        <v>72</v>
      </c>
      <c r="Z54" s="92" t="s">
        <v>1</v>
      </c>
      <c r="AA54" s="236" t="s">
        <v>72</v>
      </c>
      <c r="AB54" s="92" t="s">
        <v>1</v>
      </c>
      <c r="AC54" s="92" t="s">
        <v>72</v>
      </c>
      <c r="AD54" s="92" t="s">
        <v>1</v>
      </c>
      <c r="AE54" s="92" t="s">
        <v>72</v>
      </c>
      <c r="AF54" s="92" t="s">
        <v>1</v>
      </c>
      <c r="AG54" s="92" t="s">
        <v>72</v>
      </c>
      <c r="AH54" s="92">
        <v>6686</v>
      </c>
      <c r="AI54" s="92" t="s">
        <v>72</v>
      </c>
      <c r="AJ54" s="92">
        <v>648</v>
      </c>
      <c r="AK54" s="92" t="s">
        <v>72</v>
      </c>
      <c r="AL54" s="92">
        <v>107</v>
      </c>
      <c r="AM54" s="92" t="s">
        <v>72</v>
      </c>
      <c r="AN54" s="92">
        <v>1954</v>
      </c>
      <c r="AO54" s="92" t="s">
        <v>72</v>
      </c>
      <c r="AP54" s="92">
        <v>2999</v>
      </c>
      <c r="AQ54" s="92" t="s">
        <v>72</v>
      </c>
      <c r="AR54" s="92">
        <v>1020</v>
      </c>
      <c r="AS54" s="92" t="s">
        <v>72</v>
      </c>
      <c r="AT54" s="200" t="s">
        <v>1</v>
      </c>
      <c r="AU54" s="109" t="s">
        <v>1</v>
      </c>
      <c r="AV54" s="198">
        <v>309</v>
      </c>
      <c r="AW54" s="109" t="s">
        <v>1</v>
      </c>
      <c r="AX54" s="141">
        <v>0.0422361946418808</v>
      </c>
      <c r="AY54" s="200" t="s">
        <v>1</v>
      </c>
      <c r="AZ54" s="207" t="s">
        <v>151</v>
      </c>
      <c r="BA54" s="109" t="s">
        <v>1</v>
      </c>
      <c r="BB54" s="141">
        <v>0.058252427184466</v>
      </c>
      <c r="BC54" s="200" t="s">
        <v>1</v>
      </c>
      <c r="BD54" s="200" t="s">
        <v>1</v>
      </c>
      <c r="BE54" s="109" t="s">
        <v>1</v>
      </c>
      <c r="BF54" s="109" t="s">
        <v>1</v>
      </c>
      <c r="BG54" s="200" t="s">
        <v>1</v>
      </c>
      <c r="BH54" s="200">
        <v>0.96</v>
      </c>
      <c r="BI54" s="92" t="s">
        <v>102</v>
      </c>
      <c r="BJ54" s="92">
        <v>20</v>
      </c>
      <c r="BK54" s="92">
        <v>3120</v>
      </c>
      <c r="BL54" s="92" t="s">
        <v>72</v>
      </c>
      <c r="BM54" s="92" t="s">
        <v>74</v>
      </c>
      <c r="BN54" s="92">
        <v>113</v>
      </c>
      <c r="BO54" s="92">
        <v>1223</v>
      </c>
      <c r="BP54" s="92" t="s">
        <v>72</v>
      </c>
      <c r="BQ54" s="108" t="s">
        <v>1</v>
      </c>
      <c r="BR54" s="108" t="s">
        <v>1</v>
      </c>
      <c r="BS54" s="108" t="s">
        <v>1</v>
      </c>
      <c r="BT54" s="108" t="s">
        <v>1</v>
      </c>
      <c r="BU54" s="108" t="s">
        <v>1</v>
      </c>
      <c r="BV54" s="189" t="s">
        <v>1</v>
      </c>
      <c r="BW54" s="189" t="s">
        <v>1</v>
      </c>
      <c r="BX54" s="190" t="s">
        <v>1</v>
      </c>
      <c r="BY54" s="189" t="s">
        <v>1</v>
      </c>
      <c r="BZ54" s="189" t="s">
        <v>1</v>
      </c>
      <c r="CA54" s="189" t="s">
        <v>1</v>
      </c>
      <c r="CB54" s="190" t="s">
        <v>1</v>
      </c>
      <c r="CC54" s="189" t="s">
        <v>1</v>
      </c>
      <c r="CD54" s="189" t="s">
        <v>1</v>
      </c>
      <c r="CE54" s="189" t="s">
        <v>1</v>
      </c>
      <c r="CF54" s="108" t="s">
        <v>1</v>
      </c>
    </row>
    <row r="55" ht="28" customHeight="1" spans="1:84">
      <c r="A55" s="107">
        <v>45158</v>
      </c>
      <c r="B55" s="202" t="s">
        <v>100</v>
      </c>
      <c r="C55" s="92" t="s">
        <v>71</v>
      </c>
      <c r="D55" s="30" t="s">
        <v>1</v>
      </c>
      <c r="E55" s="30" t="s">
        <v>1</v>
      </c>
      <c r="F55" s="109" t="str">
        <f>E55</f>
        <v/>
      </c>
      <c r="G55" s="109" t="s">
        <v>1</v>
      </c>
      <c r="H55" s="108" t="s">
        <v>1</v>
      </c>
      <c r="I55" s="109">
        <v>12</v>
      </c>
      <c r="J55" s="141" t="str">
        <f t="shared" si="1"/>
        <v/>
      </c>
      <c r="K55" s="211" t="str">
        <f>IFERROR(E55/#REF!,"")</f>
        <v/>
      </c>
      <c r="L55" s="172">
        <v>53586</v>
      </c>
      <c r="M55" s="242" t="s">
        <v>72</v>
      </c>
      <c r="N55" s="109" t="s">
        <v>1</v>
      </c>
      <c r="O55" s="109">
        <v>3.5</v>
      </c>
      <c r="P55" s="109" t="s">
        <v>1</v>
      </c>
      <c r="Q55" s="141" t="e">
        <f t="shared" si="2"/>
        <v>#VALUE!</v>
      </c>
      <c r="R55" s="109" t="s">
        <v>1</v>
      </c>
      <c r="S55" s="109" t="s">
        <v>1</v>
      </c>
      <c r="T55" s="109" t="s">
        <v>1</v>
      </c>
      <c r="U55" s="109" t="s">
        <v>1</v>
      </c>
      <c r="V55" s="92" t="s">
        <v>1</v>
      </c>
      <c r="W55" s="92" t="s">
        <v>72</v>
      </c>
      <c r="X55" s="92" t="s">
        <v>1</v>
      </c>
      <c r="Y55" s="92" t="s">
        <v>72</v>
      </c>
      <c r="Z55" s="92" t="s">
        <v>1</v>
      </c>
      <c r="AA55" s="236" t="s">
        <v>72</v>
      </c>
      <c r="AB55" s="92" t="s">
        <v>1</v>
      </c>
      <c r="AC55" s="92" t="s">
        <v>72</v>
      </c>
      <c r="AD55" s="92" t="s">
        <v>1</v>
      </c>
      <c r="AE55" s="92" t="s">
        <v>72</v>
      </c>
      <c r="AF55" s="92" t="s">
        <v>1</v>
      </c>
      <c r="AG55" s="92" t="s">
        <v>72</v>
      </c>
      <c r="AH55" s="92">
        <v>6992</v>
      </c>
      <c r="AI55" s="92" t="s">
        <v>72</v>
      </c>
      <c r="AJ55" s="92">
        <v>698</v>
      </c>
      <c r="AK55" s="92" t="s">
        <v>72</v>
      </c>
      <c r="AL55" s="92">
        <v>138</v>
      </c>
      <c r="AM55" s="92" t="s">
        <v>72</v>
      </c>
      <c r="AN55" s="92">
        <v>2062</v>
      </c>
      <c r="AO55" s="92" t="s">
        <v>72</v>
      </c>
      <c r="AP55" s="92">
        <v>3158</v>
      </c>
      <c r="AQ55" s="92" t="s">
        <v>72</v>
      </c>
      <c r="AR55" s="92">
        <v>1032</v>
      </c>
      <c r="AS55" s="92" t="s">
        <v>72</v>
      </c>
      <c r="AT55" s="200" t="s">
        <v>1</v>
      </c>
      <c r="AU55" s="109" t="s">
        <v>1</v>
      </c>
      <c r="AV55" s="207">
        <v>247</v>
      </c>
      <c r="AW55" s="109" t="s">
        <v>1</v>
      </c>
      <c r="AX55" s="141">
        <v>0.0324359816152331</v>
      </c>
      <c r="AY55" s="200" t="s">
        <v>1</v>
      </c>
      <c r="AZ55" s="207">
        <v>12</v>
      </c>
      <c r="BA55" s="109" t="s">
        <v>1</v>
      </c>
      <c r="BB55" s="141">
        <v>0.048582995951417</v>
      </c>
      <c r="BC55" s="200" t="s">
        <v>1</v>
      </c>
      <c r="BD55" s="200" t="s">
        <v>1</v>
      </c>
      <c r="BE55" s="109" t="s">
        <v>1</v>
      </c>
      <c r="BF55" s="109" t="s">
        <v>1</v>
      </c>
      <c r="BG55" s="200" t="s">
        <v>1</v>
      </c>
      <c r="BH55" s="200">
        <v>0.96</v>
      </c>
      <c r="BI55" s="92" t="s">
        <v>94</v>
      </c>
      <c r="BJ55" s="92">
        <v>24</v>
      </c>
      <c r="BK55" s="92">
        <v>3029</v>
      </c>
      <c r="BL55" s="92" t="s">
        <v>72</v>
      </c>
      <c r="BM55" s="92" t="s">
        <v>74</v>
      </c>
      <c r="BN55" s="92">
        <v>113</v>
      </c>
      <c r="BO55" s="92">
        <v>1220</v>
      </c>
      <c r="BP55" s="92" t="s">
        <v>72</v>
      </c>
      <c r="BQ55" s="108" t="s">
        <v>1</v>
      </c>
      <c r="BR55" s="108" t="s">
        <v>1</v>
      </c>
      <c r="BS55" s="108" t="s">
        <v>1</v>
      </c>
      <c r="BT55" s="108" t="s">
        <v>1</v>
      </c>
      <c r="BU55" s="108" t="s">
        <v>1</v>
      </c>
      <c r="BV55" s="189" t="s">
        <v>1</v>
      </c>
      <c r="BW55" s="189" t="s">
        <v>1</v>
      </c>
      <c r="BX55" s="190" t="s">
        <v>1</v>
      </c>
      <c r="BY55" s="189" t="s">
        <v>1</v>
      </c>
      <c r="BZ55" s="189" t="s">
        <v>1</v>
      </c>
      <c r="CA55" s="189" t="s">
        <v>1</v>
      </c>
      <c r="CB55" s="190" t="s">
        <v>1</v>
      </c>
      <c r="CC55" s="189" t="s">
        <v>1</v>
      </c>
      <c r="CD55" s="189" t="s">
        <v>1</v>
      </c>
      <c r="CE55" s="189" t="s">
        <v>1</v>
      </c>
      <c r="CF55" s="108" t="s">
        <v>1</v>
      </c>
    </row>
    <row r="56" ht="28" customHeight="1" spans="1:84">
      <c r="A56" s="107">
        <v>45159</v>
      </c>
      <c r="B56" s="202" t="s">
        <v>100</v>
      </c>
      <c r="C56" s="92" t="s">
        <v>71</v>
      </c>
      <c r="D56" s="30" t="s">
        <v>1</v>
      </c>
      <c r="E56" s="30" t="s">
        <v>1</v>
      </c>
      <c r="F56" s="109" t="e">
        <f>E56-1</f>
        <v>#VALUE!</v>
      </c>
      <c r="G56" s="109" t="s">
        <v>1</v>
      </c>
      <c r="H56" s="108" t="s">
        <v>1</v>
      </c>
      <c r="I56" s="109">
        <v>13</v>
      </c>
      <c r="J56" s="141" t="str">
        <f t="shared" si="1"/>
        <v/>
      </c>
      <c r="K56" s="211" t="str">
        <f>IFERROR(E56/#REF!,"")</f>
        <v/>
      </c>
      <c r="L56" s="30">
        <v>69977</v>
      </c>
      <c r="M56" s="242" t="s">
        <v>72</v>
      </c>
      <c r="N56" s="109" t="s">
        <v>1</v>
      </c>
      <c r="O56" s="109">
        <v>4.33</v>
      </c>
      <c r="P56" s="109" t="s">
        <v>1</v>
      </c>
      <c r="Q56" s="141" t="e">
        <f t="shared" si="2"/>
        <v>#VALUE!</v>
      </c>
      <c r="R56" s="109" t="s">
        <v>1</v>
      </c>
      <c r="S56" s="109" t="s">
        <v>1</v>
      </c>
      <c r="T56" s="109" t="s">
        <v>1</v>
      </c>
      <c r="U56" s="109" t="s">
        <v>1</v>
      </c>
      <c r="V56" s="92" t="s">
        <v>1</v>
      </c>
      <c r="W56" s="92" t="s">
        <v>72</v>
      </c>
      <c r="X56" s="92" t="s">
        <v>1</v>
      </c>
      <c r="Y56" s="92" t="s">
        <v>72</v>
      </c>
      <c r="Z56" s="92" t="s">
        <v>1</v>
      </c>
      <c r="AA56" s="236" t="s">
        <v>72</v>
      </c>
      <c r="AB56" s="92" t="s">
        <v>1</v>
      </c>
      <c r="AC56" s="92" t="s">
        <v>72</v>
      </c>
      <c r="AD56" s="92" t="s">
        <v>1</v>
      </c>
      <c r="AE56" s="92" t="s">
        <v>72</v>
      </c>
      <c r="AF56" s="92" t="s">
        <v>1</v>
      </c>
      <c r="AG56" s="92" t="s">
        <v>72</v>
      </c>
      <c r="AH56" s="92">
        <v>7120</v>
      </c>
      <c r="AI56" s="92" t="s">
        <v>72</v>
      </c>
      <c r="AJ56" s="92">
        <v>752</v>
      </c>
      <c r="AK56" s="92" t="s">
        <v>72</v>
      </c>
      <c r="AL56" s="92">
        <v>160</v>
      </c>
      <c r="AM56" s="92" t="s">
        <v>72</v>
      </c>
      <c r="AN56" s="92">
        <v>2001</v>
      </c>
      <c r="AO56" s="92" t="s">
        <v>72</v>
      </c>
      <c r="AP56" s="92">
        <v>3200</v>
      </c>
      <c r="AQ56" s="92" t="s">
        <v>72</v>
      </c>
      <c r="AR56" s="92">
        <v>1027</v>
      </c>
      <c r="AS56" s="92" t="s">
        <v>72</v>
      </c>
      <c r="AT56" s="200" t="s">
        <v>1</v>
      </c>
      <c r="AU56" s="109" t="s">
        <v>1</v>
      </c>
      <c r="AV56" s="207" t="s">
        <v>152</v>
      </c>
      <c r="AW56" s="109" t="s">
        <v>1</v>
      </c>
      <c r="AX56" s="141">
        <v>0.0389644012944984</v>
      </c>
      <c r="AY56" s="200" t="s">
        <v>1</v>
      </c>
      <c r="AZ56" s="207" t="s">
        <v>153</v>
      </c>
      <c r="BA56" s="109" t="s">
        <v>1</v>
      </c>
      <c r="BB56" s="141">
        <v>0.0465116279069767</v>
      </c>
      <c r="BC56" s="200" t="s">
        <v>1</v>
      </c>
      <c r="BD56" s="200" t="s">
        <v>1</v>
      </c>
      <c r="BE56" s="109" t="s">
        <v>1</v>
      </c>
      <c r="BF56" s="109" t="s">
        <v>1</v>
      </c>
      <c r="BG56" s="200" t="s">
        <v>1</v>
      </c>
      <c r="BH56" s="200">
        <v>0.96</v>
      </c>
      <c r="BI56" s="92" t="s">
        <v>102</v>
      </c>
      <c r="BJ56" s="92">
        <v>17</v>
      </c>
      <c r="BK56" s="92">
        <v>3462</v>
      </c>
      <c r="BL56" s="92" t="s">
        <v>72</v>
      </c>
      <c r="BM56" s="92" t="s">
        <v>74</v>
      </c>
      <c r="BN56" s="92">
        <v>103</v>
      </c>
      <c r="BO56" s="92">
        <v>1325</v>
      </c>
      <c r="BP56" s="92" t="s">
        <v>72</v>
      </c>
      <c r="BQ56" s="108" t="s">
        <v>1</v>
      </c>
      <c r="BR56" s="108" t="s">
        <v>1</v>
      </c>
      <c r="BS56" s="108" t="s">
        <v>1</v>
      </c>
      <c r="BT56" s="108" t="s">
        <v>1</v>
      </c>
      <c r="BU56" s="108" t="s">
        <v>1</v>
      </c>
      <c r="BV56" s="189" t="s">
        <v>1</v>
      </c>
      <c r="BW56" s="189" t="s">
        <v>1</v>
      </c>
      <c r="BX56" s="190" t="s">
        <v>1</v>
      </c>
      <c r="BY56" s="189" t="s">
        <v>1</v>
      </c>
      <c r="BZ56" s="189" t="s">
        <v>1</v>
      </c>
      <c r="CA56" s="189" t="s">
        <v>1</v>
      </c>
      <c r="CB56" s="190" t="s">
        <v>1</v>
      </c>
      <c r="CC56" s="189" t="s">
        <v>1</v>
      </c>
      <c r="CD56" s="189" t="s">
        <v>1</v>
      </c>
      <c r="CE56" s="189" t="s">
        <v>1</v>
      </c>
      <c r="CF56" s="108" t="s">
        <v>1</v>
      </c>
    </row>
    <row r="57" ht="28" customHeight="1" spans="1:84">
      <c r="A57" s="107">
        <v>45160</v>
      </c>
      <c r="B57" s="202" t="s">
        <v>100</v>
      </c>
      <c r="C57" s="92" t="s">
        <v>71</v>
      </c>
      <c r="D57" s="30" t="s">
        <v>1</v>
      </c>
      <c r="E57" s="30" t="s">
        <v>1</v>
      </c>
      <c r="F57" s="109" t="e">
        <f>E57-1.6</f>
        <v>#VALUE!</v>
      </c>
      <c r="G57" s="109" t="s">
        <v>1</v>
      </c>
      <c r="H57" s="108" t="s">
        <v>1</v>
      </c>
      <c r="I57" s="109">
        <v>0</v>
      </c>
      <c r="J57" s="141" t="str">
        <f t="shared" si="1"/>
        <v/>
      </c>
      <c r="K57" s="211" t="str">
        <f>IFERROR(E57/#REF!,"")</f>
        <v/>
      </c>
      <c r="L57" s="172">
        <v>33891</v>
      </c>
      <c r="M57" s="242" t="s">
        <v>72</v>
      </c>
      <c r="N57" s="109" t="s">
        <v>1</v>
      </c>
      <c r="O57" s="109">
        <v>5.6</v>
      </c>
      <c r="P57" s="109" t="s">
        <v>1</v>
      </c>
      <c r="Q57" s="141" t="e">
        <f t="shared" si="2"/>
        <v>#VALUE!</v>
      </c>
      <c r="R57" s="109" t="s">
        <v>1</v>
      </c>
      <c r="S57" s="109" t="s">
        <v>1</v>
      </c>
      <c r="T57" s="109" t="s">
        <v>1</v>
      </c>
      <c r="U57" s="109" t="s">
        <v>1</v>
      </c>
      <c r="V57" s="92" t="s">
        <v>1</v>
      </c>
      <c r="W57" s="92" t="s">
        <v>72</v>
      </c>
      <c r="X57" s="92" t="s">
        <v>1</v>
      </c>
      <c r="Y57" s="92" t="s">
        <v>72</v>
      </c>
      <c r="Z57" s="92" t="s">
        <v>1</v>
      </c>
      <c r="AA57" s="236" t="s">
        <v>72</v>
      </c>
      <c r="AB57" s="92" t="s">
        <v>1</v>
      </c>
      <c r="AC57" s="92" t="s">
        <v>72</v>
      </c>
      <c r="AD57" s="92" t="s">
        <v>1</v>
      </c>
      <c r="AE57" s="92" t="s">
        <v>72</v>
      </c>
      <c r="AF57" s="92" t="s">
        <v>1</v>
      </c>
      <c r="AG57" s="92" t="s">
        <v>72</v>
      </c>
      <c r="AH57" s="92">
        <v>6278</v>
      </c>
      <c r="AI57" s="92" t="s">
        <v>72</v>
      </c>
      <c r="AJ57" s="92">
        <v>822</v>
      </c>
      <c r="AK57" s="92" t="s">
        <v>72</v>
      </c>
      <c r="AL57" s="92">
        <v>99</v>
      </c>
      <c r="AM57" s="92" t="s">
        <v>72</v>
      </c>
      <c r="AN57" s="92">
        <v>1290</v>
      </c>
      <c r="AO57" s="92" t="s">
        <v>72</v>
      </c>
      <c r="AP57" s="92">
        <v>2751</v>
      </c>
      <c r="AQ57" s="92" t="s">
        <v>72</v>
      </c>
      <c r="AR57" s="92">
        <v>996</v>
      </c>
      <c r="AS57" s="92" t="s">
        <v>72</v>
      </c>
      <c r="AT57" s="200" t="s">
        <v>1</v>
      </c>
      <c r="AU57" s="109" t="s">
        <v>1</v>
      </c>
      <c r="AV57" s="207" t="s">
        <v>154</v>
      </c>
      <c r="AW57" s="109" t="s">
        <v>1</v>
      </c>
      <c r="AX57" s="141">
        <v>0.0426445773891701</v>
      </c>
      <c r="AY57" s="200" t="s">
        <v>1</v>
      </c>
      <c r="AZ57" s="207" t="s">
        <v>155</v>
      </c>
      <c r="BA57" s="109" t="s">
        <v>1</v>
      </c>
      <c r="BB57" s="141">
        <v>0.0611510791366906</v>
      </c>
      <c r="BC57" s="200" t="s">
        <v>1</v>
      </c>
      <c r="BD57" s="200" t="s">
        <v>1</v>
      </c>
      <c r="BE57" s="109" t="s">
        <v>1</v>
      </c>
      <c r="BF57" s="109" t="s">
        <v>1</v>
      </c>
      <c r="BG57" s="200" t="s">
        <v>1</v>
      </c>
      <c r="BH57" s="200">
        <v>0.92</v>
      </c>
      <c r="BI57" s="92" t="s">
        <v>102</v>
      </c>
      <c r="BJ57" s="92">
        <v>20</v>
      </c>
      <c r="BK57" s="92">
        <v>2858</v>
      </c>
      <c r="BL57" s="92" t="s">
        <v>72</v>
      </c>
      <c r="BM57" s="92" t="s">
        <v>74</v>
      </c>
      <c r="BN57" s="92">
        <v>138</v>
      </c>
      <c r="BO57" s="92">
        <v>914</v>
      </c>
      <c r="BP57" s="92" t="s">
        <v>72</v>
      </c>
      <c r="BQ57" s="108" t="s">
        <v>1</v>
      </c>
      <c r="BR57" s="108" t="s">
        <v>1</v>
      </c>
      <c r="BS57" s="108" t="s">
        <v>1</v>
      </c>
      <c r="BT57" s="108" t="s">
        <v>1</v>
      </c>
      <c r="BU57" s="108" t="s">
        <v>1</v>
      </c>
      <c r="BV57" s="189" t="s">
        <v>93</v>
      </c>
      <c r="BW57" s="189" t="s">
        <v>86</v>
      </c>
      <c r="BX57" s="189" t="s">
        <v>83</v>
      </c>
      <c r="BY57" s="190" t="s">
        <v>92</v>
      </c>
      <c r="BZ57" s="189" t="s">
        <v>87</v>
      </c>
      <c r="CA57" s="190" t="s">
        <v>145</v>
      </c>
      <c r="CB57" s="189" t="s">
        <v>84</v>
      </c>
      <c r="CC57" s="189" t="s">
        <v>79</v>
      </c>
      <c r="CD57" s="191" t="s">
        <v>150</v>
      </c>
      <c r="CE57" s="189" t="s">
        <v>76</v>
      </c>
      <c r="CF57" s="108" t="s">
        <v>1</v>
      </c>
    </row>
    <row r="58" ht="28" customHeight="1" spans="1:84">
      <c r="A58" s="107">
        <v>45161</v>
      </c>
      <c r="B58" s="202" t="s">
        <v>100</v>
      </c>
      <c r="C58" s="92" t="s">
        <v>71</v>
      </c>
      <c r="D58" s="30" t="s">
        <v>1</v>
      </c>
      <c r="E58" s="30" t="s">
        <v>1</v>
      </c>
      <c r="F58" s="109" t="e">
        <f>E58-2</f>
        <v>#VALUE!</v>
      </c>
      <c r="G58" s="109" t="s">
        <v>1</v>
      </c>
      <c r="H58" s="108" t="s">
        <v>1</v>
      </c>
      <c r="I58" s="109">
        <v>0</v>
      </c>
      <c r="J58" s="141" t="str">
        <f t="shared" si="1"/>
        <v/>
      </c>
      <c r="K58" s="211" t="str">
        <f>IFERROR(E58/#REF!,"")</f>
        <v/>
      </c>
      <c r="L58" s="172">
        <v>38384</v>
      </c>
      <c r="M58" s="242" t="s">
        <v>72</v>
      </c>
      <c r="N58" s="109" t="s">
        <v>1</v>
      </c>
      <c r="O58" s="109">
        <v>6.25</v>
      </c>
      <c r="P58" s="109" t="s">
        <v>1</v>
      </c>
      <c r="Q58" s="141" t="e">
        <f t="shared" si="2"/>
        <v>#VALUE!</v>
      </c>
      <c r="R58" s="109" t="s">
        <v>1</v>
      </c>
      <c r="S58" s="109" t="s">
        <v>1</v>
      </c>
      <c r="T58" s="109" t="s">
        <v>1</v>
      </c>
      <c r="U58" s="109" t="s">
        <v>1</v>
      </c>
      <c r="V58" s="92" t="s">
        <v>1</v>
      </c>
      <c r="W58" s="92" t="s">
        <v>72</v>
      </c>
      <c r="X58" s="92" t="s">
        <v>1</v>
      </c>
      <c r="Y58" s="92" t="s">
        <v>72</v>
      </c>
      <c r="Z58" s="92" t="s">
        <v>1</v>
      </c>
      <c r="AA58" s="236" t="s">
        <v>72</v>
      </c>
      <c r="AB58" s="92" t="s">
        <v>1</v>
      </c>
      <c r="AC58" s="92" t="s">
        <v>72</v>
      </c>
      <c r="AD58" s="92" t="s">
        <v>1</v>
      </c>
      <c r="AE58" s="92" t="s">
        <v>72</v>
      </c>
      <c r="AF58" s="92" t="s">
        <v>1</v>
      </c>
      <c r="AG58" s="92" t="s">
        <v>72</v>
      </c>
      <c r="AH58" s="125">
        <v>36117</v>
      </c>
      <c r="AI58" s="92" t="s">
        <v>72</v>
      </c>
      <c r="AJ58" s="125">
        <v>1188</v>
      </c>
      <c r="AK58" s="92" t="s">
        <v>72</v>
      </c>
      <c r="AL58" s="92">
        <v>135</v>
      </c>
      <c r="AM58" s="92" t="s">
        <v>72</v>
      </c>
      <c r="AN58" s="125">
        <v>1520</v>
      </c>
      <c r="AO58" s="92" t="s">
        <v>72</v>
      </c>
      <c r="AP58" s="125">
        <v>3191</v>
      </c>
      <c r="AQ58" s="92" t="s">
        <v>72</v>
      </c>
      <c r="AR58" s="92">
        <v>596</v>
      </c>
      <c r="AS58" s="92" t="s">
        <v>72</v>
      </c>
      <c r="AT58" s="200" t="s">
        <v>1</v>
      </c>
      <c r="AU58" s="109" t="s">
        <v>1</v>
      </c>
      <c r="AV58" s="207" t="s">
        <v>156</v>
      </c>
      <c r="AW58" s="109" t="s">
        <v>1</v>
      </c>
      <c r="AX58" s="141">
        <v>0.00752017129279056</v>
      </c>
      <c r="AY58" s="200" t="s">
        <v>1</v>
      </c>
      <c r="AZ58" s="207" t="s">
        <v>157</v>
      </c>
      <c r="BA58" s="109" t="s">
        <v>1</v>
      </c>
      <c r="BB58" s="141">
        <v>0.0694444444444444</v>
      </c>
      <c r="BC58" s="200" t="s">
        <v>1</v>
      </c>
      <c r="BD58" s="200" t="s">
        <v>1</v>
      </c>
      <c r="BE58" s="109" t="s">
        <v>1</v>
      </c>
      <c r="BF58" s="109" t="s">
        <v>1</v>
      </c>
      <c r="BG58" s="200" t="s">
        <v>1</v>
      </c>
      <c r="BH58" s="200" t="s">
        <v>1</v>
      </c>
      <c r="BI58" s="92" t="s">
        <v>102</v>
      </c>
      <c r="BJ58" s="92">
        <v>18</v>
      </c>
      <c r="BK58" s="92">
        <v>3536</v>
      </c>
      <c r="BL58" s="92" t="s">
        <v>72</v>
      </c>
      <c r="BM58" s="92" t="s">
        <v>74</v>
      </c>
      <c r="BN58" s="92">
        <v>110</v>
      </c>
      <c r="BO58" s="92">
        <v>1266</v>
      </c>
      <c r="BP58" s="92" t="s">
        <v>72</v>
      </c>
      <c r="BQ58" s="108" t="s">
        <v>1</v>
      </c>
      <c r="BR58" s="108" t="s">
        <v>1</v>
      </c>
      <c r="BS58" s="108" t="s">
        <v>1</v>
      </c>
      <c r="BT58" s="108" t="s">
        <v>1</v>
      </c>
      <c r="BU58" s="108" t="s">
        <v>1</v>
      </c>
      <c r="BV58" s="189" t="s">
        <v>1</v>
      </c>
      <c r="BW58" s="189" t="s">
        <v>1</v>
      </c>
      <c r="BX58" s="189" t="s">
        <v>1</v>
      </c>
      <c r="BY58" s="190" t="s">
        <v>1</v>
      </c>
      <c r="BZ58" s="189" t="s">
        <v>1</v>
      </c>
      <c r="CA58" s="190" t="s">
        <v>1</v>
      </c>
      <c r="CB58" s="189" t="s">
        <v>1</v>
      </c>
      <c r="CC58" s="189" t="s">
        <v>1</v>
      </c>
      <c r="CD58" s="191" t="s">
        <v>1</v>
      </c>
      <c r="CE58" s="189" t="s">
        <v>1</v>
      </c>
      <c r="CF58" s="108" t="s">
        <v>1</v>
      </c>
    </row>
    <row r="59" ht="28" customHeight="1" spans="1:84">
      <c r="A59" s="107">
        <v>45162</v>
      </c>
      <c r="B59" s="202" t="s">
        <v>100</v>
      </c>
      <c r="C59" s="92" t="s">
        <v>71</v>
      </c>
      <c r="D59" s="30" t="s">
        <v>1</v>
      </c>
      <c r="E59" s="30" t="s">
        <v>1</v>
      </c>
      <c r="F59" s="109" t="e">
        <f>E59-0.6</f>
        <v>#VALUE!</v>
      </c>
      <c r="G59" s="109" t="s">
        <v>1</v>
      </c>
      <c r="H59" s="108" t="s">
        <v>1</v>
      </c>
      <c r="I59" s="109">
        <v>25</v>
      </c>
      <c r="J59" s="141" t="str">
        <f t="shared" si="1"/>
        <v/>
      </c>
      <c r="K59" s="211" t="str">
        <f>IFERROR(E59/#REF!,"")</f>
        <v/>
      </c>
      <c r="L59" s="30">
        <v>30721</v>
      </c>
      <c r="M59" s="242" t="s">
        <v>72</v>
      </c>
      <c r="N59" s="109" t="s">
        <v>1</v>
      </c>
      <c r="O59" s="109">
        <v>8.18</v>
      </c>
      <c r="P59" s="109" t="s">
        <v>1</v>
      </c>
      <c r="Q59" s="141" t="e">
        <f t="shared" si="2"/>
        <v>#VALUE!</v>
      </c>
      <c r="R59" s="109" t="s">
        <v>1</v>
      </c>
      <c r="S59" s="109" t="s">
        <v>1</v>
      </c>
      <c r="T59" s="109" t="s">
        <v>1</v>
      </c>
      <c r="U59" s="109" t="s">
        <v>1</v>
      </c>
      <c r="V59" s="92" t="s">
        <v>1</v>
      </c>
      <c r="W59" s="92" t="s">
        <v>72</v>
      </c>
      <c r="X59" s="92" t="s">
        <v>1</v>
      </c>
      <c r="Y59" s="92" t="s">
        <v>72</v>
      </c>
      <c r="Z59" s="92" t="s">
        <v>1</v>
      </c>
      <c r="AA59" s="236" t="s">
        <v>72</v>
      </c>
      <c r="AB59" s="92" t="s">
        <v>1</v>
      </c>
      <c r="AC59" s="92" t="s">
        <v>72</v>
      </c>
      <c r="AD59" s="92" t="s">
        <v>1</v>
      </c>
      <c r="AE59" s="92" t="s">
        <v>72</v>
      </c>
      <c r="AF59" s="92" t="s">
        <v>1</v>
      </c>
      <c r="AG59" s="92" t="s">
        <v>72</v>
      </c>
      <c r="AH59" s="125">
        <v>36170</v>
      </c>
      <c r="AI59" s="92" t="s">
        <v>72</v>
      </c>
      <c r="AJ59" s="125">
        <v>1244</v>
      </c>
      <c r="AK59" s="92" t="s">
        <v>72</v>
      </c>
      <c r="AL59" s="92">
        <v>128</v>
      </c>
      <c r="AM59" s="92" t="s">
        <v>72</v>
      </c>
      <c r="AN59" s="125">
        <v>1108</v>
      </c>
      <c r="AO59" s="92" t="s">
        <v>72</v>
      </c>
      <c r="AP59" s="125">
        <v>2927</v>
      </c>
      <c r="AQ59" s="92" t="s">
        <v>72</v>
      </c>
      <c r="AR59" s="92">
        <v>606</v>
      </c>
      <c r="AS59" s="92" t="s">
        <v>72</v>
      </c>
      <c r="AT59" s="200" t="s">
        <v>1</v>
      </c>
      <c r="AU59" s="109" t="s">
        <v>1</v>
      </c>
      <c r="AV59" s="207" t="s">
        <v>154</v>
      </c>
      <c r="AW59" s="109" t="s">
        <v>1</v>
      </c>
      <c r="AX59" s="141">
        <v>0.00732677964314893</v>
      </c>
      <c r="AY59" s="200" t="s">
        <v>1</v>
      </c>
      <c r="AZ59" s="207" t="s">
        <v>158</v>
      </c>
      <c r="BA59" s="109" t="s">
        <v>1</v>
      </c>
      <c r="BB59" s="141">
        <v>0.0755395683453237</v>
      </c>
      <c r="BC59" s="200" t="s">
        <v>1</v>
      </c>
      <c r="BD59" s="200" t="s">
        <v>1</v>
      </c>
      <c r="BE59" s="109" t="s">
        <v>1</v>
      </c>
      <c r="BF59" s="109" t="s">
        <v>1</v>
      </c>
      <c r="BG59" s="200" t="s">
        <v>1</v>
      </c>
      <c r="BH59" s="200" t="s">
        <v>1</v>
      </c>
      <c r="BI59" s="92" t="s">
        <v>102</v>
      </c>
      <c r="BJ59" s="92">
        <v>14</v>
      </c>
      <c r="BK59" s="92">
        <v>3660</v>
      </c>
      <c r="BL59" s="92" t="s">
        <v>72</v>
      </c>
      <c r="BM59" s="92" t="s">
        <v>74</v>
      </c>
      <c r="BN59" s="92">
        <v>109</v>
      </c>
      <c r="BO59" s="92">
        <v>1206</v>
      </c>
      <c r="BP59" s="92" t="s">
        <v>72</v>
      </c>
      <c r="BQ59" s="108" t="s">
        <v>1</v>
      </c>
      <c r="BR59" s="108" t="s">
        <v>1</v>
      </c>
      <c r="BS59" s="108" t="s">
        <v>1</v>
      </c>
      <c r="BT59" s="108" t="s">
        <v>1</v>
      </c>
      <c r="BU59" s="108" t="s">
        <v>1</v>
      </c>
      <c r="BV59" s="189" t="s">
        <v>1</v>
      </c>
      <c r="BW59" s="189" t="s">
        <v>1</v>
      </c>
      <c r="BX59" s="189" t="s">
        <v>1</v>
      </c>
      <c r="BY59" s="190" t="s">
        <v>1</v>
      </c>
      <c r="BZ59" s="189" t="s">
        <v>1</v>
      </c>
      <c r="CA59" s="190" t="s">
        <v>1</v>
      </c>
      <c r="CB59" s="189" t="s">
        <v>1</v>
      </c>
      <c r="CC59" s="189" t="s">
        <v>1</v>
      </c>
      <c r="CD59" s="191" t="s">
        <v>1</v>
      </c>
      <c r="CE59" s="189" t="s">
        <v>1</v>
      </c>
      <c r="CF59" s="108" t="s">
        <v>1</v>
      </c>
    </row>
    <row r="60" ht="28" customHeight="1" spans="1:84">
      <c r="A60" s="107">
        <v>45163</v>
      </c>
      <c r="B60" s="202" t="s">
        <v>100</v>
      </c>
      <c r="C60" s="92" t="s">
        <v>71</v>
      </c>
      <c r="D60" s="30" t="s">
        <v>1</v>
      </c>
      <c r="E60" s="30" t="s">
        <v>1</v>
      </c>
      <c r="F60" s="109" t="str">
        <f>E60</f>
        <v/>
      </c>
      <c r="G60" s="109" t="s">
        <v>1</v>
      </c>
      <c r="H60" s="108" t="s">
        <v>1</v>
      </c>
      <c r="I60" s="109">
        <v>21</v>
      </c>
      <c r="J60" s="141" t="str">
        <f t="shared" si="1"/>
        <v/>
      </c>
      <c r="K60" s="211" t="str">
        <f>IFERROR(E60/#REF!,"")</f>
        <v/>
      </c>
      <c r="L60" s="172">
        <v>60961</v>
      </c>
      <c r="M60" s="242" t="s">
        <v>72</v>
      </c>
      <c r="N60" s="109" t="s">
        <v>1</v>
      </c>
      <c r="O60" s="109">
        <v>5.49</v>
      </c>
      <c r="P60" s="109" t="s">
        <v>1</v>
      </c>
      <c r="Q60" s="141" t="e">
        <f t="shared" si="2"/>
        <v>#VALUE!</v>
      </c>
      <c r="R60" s="109" t="s">
        <v>1</v>
      </c>
      <c r="S60" s="109" t="s">
        <v>1</v>
      </c>
      <c r="T60" s="109" t="s">
        <v>1</v>
      </c>
      <c r="U60" s="109" t="s">
        <v>1</v>
      </c>
      <c r="V60" s="92" t="s">
        <v>1</v>
      </c>
      <c r="W60" s="92" t="s">
        <v>72</v>
      </c>
      <c r="X60" s="92" t="s">
        <v>1</v>
      </c>
      <c r="Y60" s="92" t="s">
        <v>72</v>
      </c>
      <c r="Z60" s="92" t="s">
        <v>1</v>
      </c>
      <c r="AA60" s="236" t="s">
        <v>72</v>
      </c>
      <c r="AB60" s="92" t="s">
        <v>1</v>
      </c>
      <c r="AC60" s="92" t="s">
        <v>72</v>
      </c>
      <c r="AD60" s="92" t="s">
        <v>1</v>
      </c>
      <c r="AE60" s="92" t="s">
        <v>72</v>
      </c>
      <c r="AF60" s="92" t="s">
        <v>1</v>
      </c>
      <c r="AG60" s="92" t="s">
        <v>72</v>
      </c>
      <c r="AH60" s="125">
        <v>7159</v>
      </c>
      <c r="AI60" s="125" t="s">
        <v>72</v>
      </c>
      <c r="AJ60" s="125">
        <v>513</v>
      </c>
      <c r="AK60" s="125" t="s">
        <v>72</v>
      </c>
      <c r="AL60" s="125">
        <v>91</v>
      </c>
      <c r="AM60" s="125" t="s">
        <v>72</v>
      </c>
      <c r="AN60" s="125">
        <v>900</v>
      </c>
      <c r="AO60" s="125" t="s">
        <v>72</v>
      </c>
      <c r="AP60" s="125">
        <v>2603</v>
      </c>
      <c r="AQ60" s="125" t="s">
        <v>72</v>
      </c>
      <c r="AR60" s="125">
        <v>446</v>
      </c>
      <c r="AS60" s="92" t="s">
        <v>72</v>
      </c>
      <c r="AT60" s="200" t="s">
        <v>1</v>
      </c>
      <c r="AU60" s="109" t="s">
        <v>1</v>
      </c>
      <c r="AV60" s="207" t="s">
        <v>159</v>
      </c>
      <c r="AW60" s="109" t="s">
        <v>1</v>
      </c>
      <c r="AX60" s="141">
        <v>0.0372778500216732</v>
      </c>
      <c r="AY60" s="200" t="s">
        <v>1</v>
      </c>
      <c r="AZ60" s="207" t="s">
        <v>157</v>
      </c>
      <c r="BA60" s="109" t="s">
        <v>1</v>
      </c>
      <c r="BB60" s="141">
        <v>0.0775193798449612</v>
      </c>
      <c r="BC60" s="200" t="s">
        <v>1</v>
      </c>
      <c r="BD60" s="200" t="s">
        <v>1</v>
      </c>
      <c r="BE60" s="109" t="s">
        <v>1</v>
      </c>
      <c r="BF60" s="109" t="s">
        <v>1</v>
      </c>
      <c r="BG60" s="200" t="s">
        <v>1</v>
      </c>
      <c r="BH60" s="200" t="s">
        <v>1</v>
      </c>
      <c r="BI60" s="92" t="s">
        <v>102</v>
      </c>
      <c r="BJ60" s="92">
        <v>20</v>
      </c>
      <c r="BK60" s="92">
        <v>3312</v>
      </c>
      <c r="BL60" s="92" t="s">
        <v>72</v>
      </c>
      <c r="BM60" s="92" t="s">
        <v>74</v>
      </c>
      <c r="BN60" s="92">
        <v>117</v>
      </c>
      <c r="BO60" s="92">
        <v>1127</v>
      </c>
      <c r="BP60" s="92" t="s">
        <v>72</v>
      </c>
      <c r="BQ60" s="108" t="s">
        <v>1</v>
      </c>
      <c r="BR60" s="108" t="s">
        <v>1</v>
      </c>
      <c r="BS60" s="108" t="s">
        <v>1</v>
      </c>
      <c r="BT60" s="108" t="s">
        <v>1</v>
      </c>
      <c r="BU60" s="108" t="s">
        <v>1</v>
      </c>
      <c r="BV60" s="189" t="s">
        <v>1</v>
      </c>
      <c r="BW60" s="189" t="s">
        <v>1</v>
      </c>
      <c r="BX60" s="189" t="s">
        <v>1</v>
      </c>
      <c r="BY60" s="190" t="s">
        <v>1</v>
      </c>
      <c r="BZ60" s="189" t="s">
        <v>1</v>
      </c>
      <c r="CA60" s="190" t="s">
        <v>1</v>
      </c>
      <c r="CB60" s="189" t="s">
        <v>1</v>
      </c>
      <c r="CC60" s="189" t="s">
        <v>1</v>
      </c>
      <c r="CD60" s="191" t="s">
        <v>1</v>
      </c>
      <c r="CE60" s="189" t="s">
        <v>1</v>
      </c>
      <c r="CF60" s="108" t="s">
        <v>1</v>
      </c>
    </row>
    <row r="61" ht="28" customHeight="1" spans="1:84">
      <c r="A61" s="107">
        <v>45164</v>
      </c>
      <c r="B61" s="202" t="s">
        <v>100</v>
      </c>
      <c r="C61" s="92" t="s">
        <v>71</v>
      </c>
      <c r="D61" s="30" t="s">
        <v>1</v>
      </c>
      <c r="E61" s="30" t="s">
        <v>1</v>
      </c>
      <c r="F61" s="109" t="str">
        <f>E61</f>
        <v/>
      </c>
      <c r="G61" s="109" t="s">
        <v>1</v>
      </c>
      <c r="H61" s="108" t="s">
        <v>1</v>
      </c>
      <c r="I61" s="109">
        <v>10</v>
      </c>
      <c r="J61" s="141" t="str">
        <f t="shared" si="1"/>
        <v/>
      </c>
      <c r="K61" s="211" t="str">
        <f>IFERROR(E61/#REF!,"")</f>
        <v/>
      </c>
      <c r="L61" s="172">
        <v>35237</v>
      </c>
      <c r="M61" s="242" t="s">
        <v>72</v>
      </c>
      <c r="N61" s="109" t="s">
        <v>1</v>
      </c>
      <c r="O61" s="109">
        <v>6.76</v>
      </c>
      <c r="P61" s="109" t="s">
        <v>1</v>
      </c>
      <c r="Q61" s="141" t="e">
        <f t="shared" si="2"/>
        <v>#VALUE!</v>
      </c>
      <c r="R61" s="109" t="s">
        <v>1</v>
      </c>
      <c r="S61" s="109" t="s">
        <v>1</v>
      </c>
      <c r="T61" s="109" t="s">
        <v>1</v>
      </c>
      <c r="U61" s="109" t="s">
        <v>1</v>
      </c>
      <c r="V61" s="92" t="s">
        <v>1</v>
      </c>
      <c r="W61" s="92" t="s">
        <v>72</v>
      </c>
      <c r="X61" s="92" t="s">
        <v>1</v>
      </c>
      <c r="Y61" s="92" t="s">
        <v>72</v>
      </c>
      <c r="Z61" s="92" t="s">
        <v>1</v>
      </c>
      <c r="AA61" s="236" t="s">
        <v>72</v>
      </c>
      <c r="AB61" s="92" t="s">
        <v>1</v>
      </c>
      <c r="AC61" s="92" t="s">
        <v>72</v>
      </c>
      <c r="AD61" s="92" t="s">
        <v>1</v>
      </c>
      <c r="AE61" s="92" t="s">
        <v>72</v>
      </c>
      <c r="AF61" s="92" t="s">
        <v>1</v>
      </c>
      <c r="AG61" s="92" t="s">
        <v>72</v>
      </c>
      <c r="AH61" s="125">
        <v>7021</v>
      </c>
      <c r="AI61" s="125" t="s">
        <v>72</v>
      </c>
      <c r="AJ61" s="125">
        <v>222</v>
      </c>
      <c r="AK61" s="125" t="s">
        <v>72</v>
      </c>
      <c r="AL61" s="125">
        <v>84</v>
      </c>
      <c r="AM61" s="125" t="s">
        <v>72</v>
      </c>
      <c r="AN61" s="125">
        <v>1466</v>
      </c>
      <c r="AO61" s="125" t="s">
        <v>72</v>
      </c>
      <c r="AP61" s="125">
        <v>2931</v>
      </c>
      <c r="AQ61" s="125" t="s">
        <v>72</v>
      </c>
      <c r="AR61" s="125">
        <v>492</v>
      </c>
      <c r="AS61" s="92" t="s">
        <v>72</v>
      </c>
      <c r="AT61" s="200" t="s">
        <v>1</v>
      </c>
      <c r="AU61" s="109" t="s">
        <v>1</v>
      </c>
      <c r="AV61" s="207" t="s">
        <v>160</v>
      </c>
      <c r="AW61" s="109" t="s">
        <v>1</v>
      </c>
      <c r="AX61" s="141">
        <v>0.0355561902041982</v>
      </c>
      <c r="AY61" s="200" t="s">
        <v>1</v>
      </c>
      <c r="AZ61" s="207" t="s">
        <v>161</v>
      </c>
      <c r="BA61" s="109" t="s">
        <v>1</v>
      </c>
      <c r="BB61" s="141">
        <v>0.0923694779116466</v>
      </c>
      <c r="BC61" s="200" t="s">
        <v>1</v>
      </c>
      <c r="BD61" s="200" t="s">
        <v>1</v>
      </c>
      <c r="BE61" s="109" t="s">
        <v>1</v>
      </c>
      <c r="BF61" s="109" t="s">
        <v>1</v>
      </c>
      <c r="BG61" s="200" t="s">
        <v>1</v>
      </c>
      <c r="BH61" s="200" t="s">
        <v>1</v>
      </c>
      <c r="BI61" s="92" t="s">
        <v>102</v>
      </c>
      <c r="BJ61" s="92">
        <v>20</v>
      </c>
      <c r="BK61" s="92">
        <v>3480</v>
      </c>
      <c r="BL61" s="92" t="s">
        <v>72</v>
      </c>
      <c r="BM61" s="92" t="s">
        <v>74</v>
      </c>
      <c r="BN61" s="92">
        <v>128</v>
      </c>
      <c r="BO61" s="92">
        <v>1173</v>
      </c>
      <c r="BP61" s="92" t="s">
        <v>72</v>
      </c>
      <c r="BQ61" s="108" t="s">
        <v>1</v>
      </c>
      <c r="BR61" s="108" t="s">
        <v>1</v>
      </c>
      <c r="BS61" s="108" t="s">
        <v>1</v>
      </c>
      <c r="BT61" s="108" t="s">
        <v>1</v>
      </c>
      <c r="BU61" s="108" t="s">
        <v>1</v>
      </c>
      <c r="BV61" s="189" t="s">
        <v>1</v>
      </c>
      <c r="BW61" s="189" t="s">
        <v>1</v>
      </c>
      <c r="BX61" s="189" t="s">
        <v>1</v>
      </c>
      <c r="BY61" s="190" t="s">
        <v>1</v>
      </c>
      <c r="BZ61" s="189" t="s">
        <v>1</v>
      </c>
      <c r="CA61" s="190" t="s">
        <v>1</v>
      </c>
      <c r="CB61" s="189" t="s">
        <v>1</v>
      </c>
      <c r="CC61" s="189" t="s">
        <v>1</v>
      </c>
      <c r="CD61" s="191" t="s">
        <v>1</v>
      </c>
      <c r="CE61" s="189" t="s">
        <v>1</v>
      </c>
      <c r="CF61" s="108" t="s">
        <v>1</v>
      </c>
    </row>
    <row r="62" ht="28" customHeight="1" spans="1:84">
      <c r="A62" s="107">
        <v>45165</v>
      </c>
      <c r="B62" s="202" t="s">
        <v>100</v>
      </c>
      <c r="C62" s="92" t="s">
        <v>71</v>
      </c>
      <c r="D62" s="30" t="s">
        <v>1</v>
      </c>
      <c r="E62" s="30" t="s">
        <v>1</v>
      </c>
      <c r="F62" s="109" t="e">
        <f>E62-0.6</f>
        <v>#VALUE!</v>
      </c>
      <c r="G62" s="109" t="s">
        <v>1</v>
      </c>
      <c r="H62" s="108" t="s">
        <v>1</v>
      </c>
      <c r="I62" s="109">
        <v>12</v>
      </c>
      <c r="J62" s="141" t="str">
        <f t="shared" si="1"/>
        <v/>
      </c>
      <c r="K62" s="211" t="str">
        <f>IFERROR(E62/#REF!,"")</f>
        <v/>
      </c>
      <c r="L62" s="172">
        <v>38988</v>
      </c>
      <c r="M62" s="242" t="s">
        <v>72</v>
      </c>
      <c r="N62" s="109" t="s">
        <v>1</v>
      </c>
      <c r="O62" s="109">
        <v>4.73</v>
      </c>
      <c r="P62" s="109" t="s">
        <v>1</v>
      </c>
      <c r="Q62" s="141" t="e">
        <f t="shared" si="2"/>
        <v>#VALUE!</v>
      </c>
      <c r="R62" s="109" t="s">
        <v>1</v>
      </c>
      <c r="S62" s="109" t="s">
        <v>1</v>
      </c>
      <c r="T62" s="109" t="s">
        <v>1</v>
      </c>
      <c r="U62" s="109" t="s">
        <v>1</v>
      </c>
      <c r="V62" s="92" t="s">
        <v>1</v>
      </c>
      <c r="W62" s="92" t="s">
        <v>72</v>
      </c>
      <c r="X62" s="92" t="s">
        <v>1</v>
      </c>
      <c r="Y62" s="92" t="s">
        <v>72</v>
      </c>
      <c r="Z62" s="92" t="s">
        <v>1</v>
      </c>
      <c r="AA62" s="236" t="s">
        <v>72</v>
      </c>
      <c r="AB62" s="92" t="s">
        <v>1</v>
      </c>
      <c r="AC62" s="92" t="s">
        <v>72</v>
      </c>
      <c r="AD62" s="92" t="s">
        <v>1</v>
      </c>
      <c r="AE62" s="92" t="s">
        <v>72</v>
      </c>
      <c r="AF62" s="92" t="s">
        <v>1</v>
      </c>
      <c r="AG62" s="92" t="s">
        <v>72</v>
      </c>
      <c r="AH62" s="125">
        <v>7247</v>
      </c>
      <c r="AI62" s="125" t="s">
        <v>72</v>
      </c>
      <c r="AJ62" s="125">
        <v>504</v>
      </c>
      <c r="AK62" s="125" t="s">
        <v>72</v>
      </c>
      <c r="AL62" s="125">
        <v>115</v>
      </c>
      <c r="AM62" s="125" t="s">
        <v>72</v>
      </c>
      <c r="AN62" s="125">
        <v>1594</v>
      </c>
      <c r="AO62" s="125" t="s">
        <v>72</v>
      </c>
      <c r="AP62" s="125">
        <v>3204</v>
      </c>
      <c r="AQ62" s="125" t="s">
        <v>72</v>
      </c>
      <c r="AR62" s="125">
        <v>509</v>
      </c>
      <c r="AS62" s="92" t="s">
        <v>72</v>
      </c>
      <c r="AT62" s="200" t="s">
        <v>1</v>
      </c>
      <c r="AU62" s="109" t="s">
        <v>1</v>
      </c>
      <c r="AV62" s="198">
        <v>261</v>
      </c>
      <c r="AW62" s="109" t="s">
        <v>1</v>
      </c>
      <c r="AX62" s="141">
        <v>0.0355392156862745</v>
      </c>
      <c r="AY62" s="200" t="s">
        <v>1</v>
      </c>
      <c r="AZ62" s="207">
        <v>17</v>
      </c>
      <c r="BA62" s="109" t="s">
        <v>1</v>
      </c>
      <c r="BB62" s="141">
        <v>0.0651340996168582</v>
      </c>
      <c r="BC62" s="200" t="s">
        <v>1</v>
      </c>
      <c r="BD62" s="200" t="s">
        <v>1</v>
      </c>
      <c r="BE62" s="109" t="s">
        <v>1</v>
      </c>
      <c r="BF62" s="109" t="s">
        <v>1</v>
      </c>
      <c r="BG62" s="200" t="s">
        <v>1</v>
      </c>
      <c r="BH62" s="200" t="s">
        <v>1</v>
      </c>
      <c r="BI62" s="92" t="s">
        <v>94</v>
      </c>
      <c r="BJ62" s="92">
        <v>19</v>
      </c>
      <c r="BK62" s="92">
        <v>3674</v>
      </c>
      <c r="BL62" s="92" t="s">
        <v>72</v>
      </c>
      <c r="BM62" s="92" t="s">
        <v>74</v>
      </c>
      <c r="BN62" s="92">
        <v>131</v>
      </c>
      <c r="BO62" s="92">
        <v>1218</v>
      </c>
      <c r="BP62" s="92" t="s">
        <v>72</v>
      </c>
      <c r="BQ62" s="108" t="s">
        <v>1</v>
      </c>
      <c r="BR62" s="108" t="s">
        <v>1</v>
      </c>
      <c r="BS62" s="108" t="s">
        <v>1</v>
      </c>
      <c r="BT62" s="108" t="s">
        <v>1</v>
      </c>
      <c r="BU62" s="108" t="s">
        <v>1</v>
      </c>
      <c r="BV62" s="189" t="s">
        <v>1</v>
      </c>
      <c r="BW62" s="189" t="s">
        <v>1</v>
      </c>
      <c r="BX62" s="189" t="s">
        <v>1</v>
      </c>
      <c r="BY62" s="190" t="s">
        <v>1</v>
      </c>
      <c r="BZ62" s="189" t="s">
        <v>1</v>
      </c>
      <c r="CA62" s="190" t="s">
        <v>1</v>
      </c>
      <c r="CB62" s="189" t="s">
        <v>1</v>
      </c>
      <c r="CC62" s="189" t="s">
        <v>1</v>
      </c>
      <c r="CD62" s="191" t="s">
        <v>1</v>
      </c>
      <c r="CE62" s="189" t="s">
        <v>1</v>
      </c>
      <c r="CF62" s="108" t="s">
        <v>1</v>
      </c>
    </row>
    <row r="63" ht="28" customHeight="1" spans="1:84">
      <c r="A63" s="107">
        <v>45166</v>
      </c>
      <c r="B63" s="202" t="s">
        <v>100</v>
      </c>
      <c r="C63" s="92" t="s">
        <v>71</v>
      </c>
      <c r="D63" s="30" t="s">
        <v>1</v>
      </c>
      <c r="E63" s="30" t="s">
        <v>1</v>
      </c>
      <c r="F63" s="109" t="str">
        <f t="shared" ref="F63:F126" si="3">E63</f>
        <v/>
      </c>
      <c r="G63" s="109" t="s">
        <v>1</v>
      </c>
      <c r="H63" s="108" t="s">
        <v>1</v>
      </c>
      <c r="I63" s="109">
        <v>13</v>
      </c>
      <c r="J63" s="141" t="str">
        <f t="shared" si="1"/>
        <v/>
      </c>
      <c r="K63" s="211" t="str">
        <f>IFERROR(E63/#REF!,"")</f>
        <v/>
      </c>
      <c r="L63" s="172">
        <v>61202</v>
      </c>
      <c r="M63" s="242" t="s">
        <v>72</v>
      </c>
      <c r="N63" s="109" t="s">
        <v>1</v>
      </c>
      <c r="O63" s="109">
        <v>7.63</v>
      </c>
      <c r="P63" s="109" t="s">
        <v>1</v>
      </c>
      <c r="Q63" s="141" t="e">
        <f t="shared" si="2"/>
        <v>#VALUE!</v>
      </c>
      <c r="R63" s="109" t="s">
        <v>1</v>
      </c>
      <c r="S63" s="109" t="s">
        <v>1</v>
      </c>
      <c r="T63" s="109" t="s">
        <v>1</v>
      </c>
      <c r="U63" s="109" t="s">
        <v>1</v>
      </c>
      <c r="V63" s="92" t="s">
        <v>1</v>
      </c>
      <c r="W63" s="92" t="s">
        <v>72</v>
      </c>
      <c r="X63" s="92" t="s">
        <v>1</v>
      </c>
      <c r="Y63" s="92" t="s">
        <v>72</v>
      </c>
      <c r="Z63" s="92" t="s">
        <v>1</v>
      </c>
      <c r="AA63" s="236" t="s">
        <v>72</v>
      </c>
      <c r="AB63" s="92" t="s">
        <v>1</v>
      </c>
      <c r="AC63" s="92" t="s">
        <v>72</v>
      </c>
      <c r="AD63" s="92" t="s">
        <v>1</v>
      </c>
      <c r="AE63" s="92" t="s">
        <v>72</v>
      </c>
      <c r="AF63" s="92" t="s">
        <v>1</v>
      </c>
      <c r="AG63" s="92" t="s">
        <v>72</v>
      </c>
      <c r="AH63" s="125">
        <v>36700</v>
      </c>
      <c r="AI63" s="125" t="s">
        <v>72</v>
      </c>
      <c r="AJ63" s="125">
        <v>515</v>
      </c>
      <c r="AK63" s="125" t="s">
        <v>72</v>
      </c>
      <c r="AL63" s="125">
        <v>170</v>
      </c>
      <c r="AM63" s="125" t="s">
        <v>72</v>
      </c>
      <c r="AN63" s="125">
        <v>18338</v>
      </c>
      <c r="AO63" s="125" t="s">
        <v>72</v>
      </c>
      <c r="AP63" s="125">
        <v>3284</v>
      </c>
      <c r="AQ63" s="125" t="s">
        <v>72</v>
      </c>
      <c r="AR63" s="125">
        <v>880</v>
      </c>
      <c r="AS63" s="92" t="s">
        <v>72</v>
      </c>
      <c r="AT63" s="200" t="s">
        <v>1</v>
      </c>
      <c r="AU63" s="109" t="s">
        <v>1</v>
      </c>
      <c r="AV63" s="198">
        <v>322</v>
      </c>
      <c r="AW63" s="109" t="s">
        <v>1</v>
      </c>
      <c r="AX63" s="141">
        <v>0.0061624435428309</v>
      </c>
      <c r="AY63" s="200" t="s">
        <v>1</v>
      </c>
      <c r="AZ63" s="207" t="s">
        <v>162</v>
      </c>
      <c r="BA63" s="109" t="s">
        <v>1</v>
      </c>
      <c r="BB63" s="141">
        <v>0.0745341614906832</v>
      </c>
      <c r="BC63" s="200" t="s">
        <v>1</v>
      </c>
      <c r="BD63" s="200" t="s">
        <v>1</v>
      </c>
      <c r="BE63" s="109" t="s">
        <v>1</v>
      </c>
      <c r="BF63" s="109" t="s">
        <v>1</v>
      </c>
      <c r="BG63" s="200" t="s">
        <v>1</v>
      </c>
      <c r="BH63" s="200" t="s">
        <v>1</v>
      </c>
      <c r="BI63" s="92" t="s">
        <v>94</v>
      </c>
      <c r="BJ63" s="92">
        <v>21</v>
      </c>
      <c r="BK63" s="92">
        <v>3570</v>
      </c>
      <c r="BL63" s="92" t="s">
        <v>72</v>
      </c>
      <c r="BM63" s="92" t="s">
        <v>74</v>
      </c>
      <c r="BN63" s="92">
        <v>120</v>
      </c>
      <c r="BO63" s="92">
        <v>1317</v>
      </c>
      <c r="BP63" s="92" t="s">
        <v>72</v>
      </c>
      <c r="BQ63" s="108" t="s">
        <v>1</v>
      </c>
      <c r="BR63" s="108" t="s">
        <v>1</v>
      </c>
      <c r="BS63" s="108" t="s">
        <v>1</v>
      </c>
      <c r="BT63" s="108" t="s">
        <v>1</v>
      </c>
      <c r="BU63" s="108" t="s">
        <v>1</v>
      </c>
      <c r="BV63" s="189" t="s">
        <v>1</v>
      </c>
      <c r="BW63" s="189" t="s">
        <v>1</v>
      </c>
      <c r="BX63" s="189" t="s">
        <v>1</v>
      </c>
      <c r="BY63" s="190" t="s">
        <v>1</v>
      </c>
      <c r="BZ63" s="189" t="s">
        <v>1</v>
      </c>
      <c r="CA63" s="190" t="s">
        <v>1</v>
      </c>
      <c r="CB63" s="189" t="s">
        <v>1</v>
      </c>
      <c r="CC63" s="189" t="s">
        <v>1</v>
      </c>
      <c r="CD63" s="191" t="s">
        <v>1</v>
      </c>
      <c r="CE63" s="189" t="s">
        <v>1</v>
      </c>
      <c r="CF63" s="108" t="s">
        <v>1</v>
      </c>
    </row>
    <row r="64" ht="28" customHeight="1" spans="1:84">
      <c r="A64" s="107">
        <v>45167</v>
      </c>
      <c r="B64" s="203" t="s">
        <v>89</v>
      </c>
      <c r="C64" s="92" t="s">
        <v>71</v>
      </c>
      <c r="D64" s="30" t="s">
        <v>1</v>
      </c>
      <c r="E64" s="30" t="s">
        <v>1</v>
      </c>
      <c r="F64" s="109" t="str">
        <f t="shared" si="3"/>
        <v/>
      </c>
      <c r="G64" s="109" t="s">
        <v>1</v>
      </c>
      <c r="H64" s="108" t="s">
        <v>1</v>
      </c>
      <c r="I64" s="109">
        <v>0</v>
      </c>
      <c r="J64" s="141" t="str">
        <f t="shared" si="1"/>
        <v/>
      </c>
      <c r="K64" s="211" t="str">
        <f>IFERROR(E64/#REF!,"")</f>
        <v/>
      </c>
      <c r="L64" s="172">
        <v>9579</v>
      </c>
      <c r="M64" s="242" t="s">
        <v>72</v>
      </c>
      <c r="N64" s="109" t="s">
        <v>1</v>
      </c>
      <c r="O64" s="109">
        <v>6.52</v>
      </c>
      <c r="P64" s="109" t="s">
        <v>1</v>
      </c>
      <c r="Q64" s="141" t="e">
        <f t="shared" si="2"/>
        <v>#VALUE!</v>
      </c>
      <c r="R64" s="109" t="s">
        <v>1</v>
      </c>
      <c r="S64" s="109" t="s">
        <v>1</v>
      </c>
      <c r="T64" s="109" t="s">
        <v>1</v>
      </c>
      <c r="U64" s="109" t="s">
        <v>1</v>
      </c>
      <c r="V64" s="92" t="s">
        <v>1</v>
      </c>
      <c r="W64" s="92" t="s">
        <v>72</v>
      </c>
      <c r="X64" s="92" t="s">
        <v>1</v>
      </c>
      <c r="Y64" s="92" t="s">
        <v>72</v>
      </c>
      <c r="Z64" s="92" t="s">
        <v>1</v>
      </c>
      <c r="AA64" s="236" t="s">
        <v>72</v>
      </c>
      <c r="AB64" s="92" t="s">
        <v>1</v>
      </c>
      <c r="AC64" s="92" t="s">
        <v>72</v>
      </c>
      <c r="AD64" s="92" t="s">
        <v>1</v>
      </c>
      <c r="AE64" s="92" t="s">
        <v>72</v>
      </c>
      <c r="AF64" s="92" t="s">
        <v>1</v>
      </c>
      <c r="AG64" s="92" t="s">
        <v>72</v>
      </c>
      <c r="AH64" s="125">
        <v>13718</v>
      </c>
      <c r="AI64" s="125" t="s">
        <v>72</v>
      </c>
      <c r="AJ64" s="125">
        <v>803</v>
      </c>
      <c r="AK64" s="125" t="s">
        <v>72</v>
      </c>
      <c r="AL64" s="125">
        <v>164</v>
      </c>
      <c r="AM64" s="125" t="s">
        <v>72</v>
      </c>
      <c r="AN64" s="125">
        <v>9601</v>
      </c>
      <c r="AO64" s="125" t="s">
        <v>72</v>
      </c>
      <c r="AP64" s="125">
        <v>3089</v>
      </c>
      <c r="AQ64" s="125" t="s">
        <v>72</v>
      </c>
      <c r="AR64" s="125">
        <v>901</v>
      </c>
      <c r="AS64" s="92" t="s">
        <v>72</v>
      </c>
      <c r="AT64" s="200" t="s">
        <v>1</v>
      </c>
      <c r="AU64" s="109" t="s">
        <v>1</v>
      </c>
      <c r="AV64" s="198">
        <v>308</v>
      </c>
      <c r="AW64" s="109" t="s">
        <v>1</v>
      </c>
      <c r="AX64" s="141">
        <v>0.0133091349062311</v>
      </c>
      <c r="AY64" s="200" t="s">
        <v>1</v>
      </c>
      <c r="AZ64" s="207" t="s">
        <v>109</v>
      </c>
      <c r="BA64" s="109" t="s">
        <v>1</v>
      </c>
      <c r="BB64" s="141">
        <v>0.0714285714285714</v>
      </c>
      <c r="BC64" s="200" t="s">
        <v>1</v>
      </c>
      <c r="BD64" s="200" t="s">
        <v>1</v>
      </c>
      <c r="BE64" s="109" t="s">
        <v>1</v>
      </c>
      <c r="BF64" s="109" t="s">
        <v>1</v>
      </c>
      <c r="BG64" s="200" t="s">
        <v>1</v>
      </c>
      <c r="BH64" s="200" t="s">
        <v>1</v>
      </c>
      <c r="BI64" s="92" t="s">
        <v>94</v>
      </c>
      <c r="BJ64" s="92">
        <v>22</v>
      </c>
      <c r="BK64" s="92">
        <v>3280</v>
      </c>
      <c r="BL64" s="92" t="s">
        <v>72</v>
      </c>
      <c r="BM64" s="92" t="s">
        <v>74</v>
      </c>
      <c r="BN64" s="92">
        <v>128</v>
      </c>
      <c r="BO64" s="92">
        <v>1250</v>
      </c>
      <c r="BP64" s="92" t="s">
        <v>72</v>
      </c>
      <c r="BQ64" s="108" t="s">
        <v>1</v>
      </c>
      <c r="BR64" s="108" t="s">
        <v>1</v>
      </c>
      <c r="BS64" s="108" t="s">
        <v>1</v>
      </c>
      <c r="BT64" s="108" t="s">
        <v>1</v>
      </c>
      <c r="BU64" s="108" t="s">
        <v>1</v>
      </c>
      <c r="BV64" s="189" t="s">
        <v>93</v>
      </c>
      <c r="BW64" s="189" t="s">
        <v>87</v>
      </c>
      <c r="BX64" s="189" t="s">
        <v>86</v>
      </c>
      <c r="BY64" s="190" t="s">
        <v>92</v>
      </c>
      <c r="BZ64" s="190" t="s">
        <v>145</v>
      </c>
      <c r="CA64" s="189" t="s">
        <v>83</v>
      </c>
      <c r="CB64" s="189" t="s">
        <v>76</v>
      </c>
      <c r="CC64" s="189" t="s">
        <v>84</v>
      </c>
      <c r="CD64" s="191" t="s">
        <v>150</v>
      </c>
      <c r="CE64" s="191" t="s">
        <v>144</v>
      </c>
      <c r="CF64" s="108" t="s">
        <v>1</v>
      </c>
    </row>
    <row r="65" ht="28" customHeight="1" spans="1:84">
      <c r="A65" s="107">
        <v>45168</v>
      </c>
      <c r="B65" s="203" t="s">
        <v>89</v>
      </c>
      <c r="C65" s="92" t="s">
        <v>71</v>
      </c>
      <c r="D65" s="30" t="s">
        <v>1</v>
      </c>
      <c r="E65" s="30" t="s">
        <v>1</v>
      </c>
      <c r="F65" s="109" t="str">
        <f t="shared" si="3"/>
        <v/>
      </c>
      <c r="G65" s="109" t="s">
        <v>1</v>
      </c>
      <c r="H65" s="108" t="s">
        <v>1</v>
      </c>
      <c r="I65" s="109">
        <v>0</v>
      </c>
      <c r="J65" s="141" t="str">
        <f t="shared" si="1"/>
        <v/>
      </c>
      <c r="K65" s="211" t="str">
        <f>IFERROR(E65/#REF!,"")</f>
        <v/>
      </c>
      <c r="L65" s="172">
        <v>14995</v>
      </c>
      <c r="M65" s="242" t="s">
        <v>72</v>
      </c>
      <c r="N65" s="109" t="s">
        <v>1</v>
      </c>
      <c r="O65" s="109">
        <v>12.46</v>
      </c>
      <c r="P65" s="109" t="s">
        <v>1</v>
      </c>
      <c r="Q65" s="141" t="e">
        <f t="shared" si="2"/>
        <v>#VALUE!</v>
      </c>
      <c r="R65" s="109" t="s">
        <v>1</v>
      </c>
      <c r="S65" s="109" t="s">
        <v>1</v>
      </c>
      <c r="T65" s="109" t="s">
        <v>1</v>
      </c>
      <c r="U65" s="109" t="s">
        <v>1</v>
      </c>
      <c r="V65" s="92" t="s">
        <v>1</v>
      </c>
      <c r="W65" s="92" t="s">
        <v>72</v>
      </c>
      <c r="X65" s="92" t="s">
        <v>1</v>
      </c>
      <c r="Y65" s="92" t="s">
        <v>72</v>
      </c>
      <c r="Z65" s="92" t="s">
        <v>1</v>
      </c>
      <c r="AA65" s="236" t="s">
        <v>72</v>
      </c>
      <c r="AB65" s="92" t="s">
        <v>1</v>
      </c>
      <c r="AC65" s="92" t="s">
        <v>72</v>
      </c>
      <c r="AD65" s="92" t="s">
        <v>1</v>
      </c>
      <c r="AE65" s="92" t="s">
        <v>72</v>
      </c>
      <c r="AF65" s="92" t="s">
        <v>1</v>
      </c>
      <c r="AG65" s="92" t="s">
        <v>72</v>
      </c>
      <c r="AH65" s="125">
        <v>11960</v>
      </c>
      <c r="AI65" s="125" t="s">
        <v>72</v>
      </c>
      <c r="AJ65" s="125">
        <v>1021</v>
      </c>
      <c r="AK65" s="125" t="s">
        <v>72</v>
      </c>
      <c r="AL65" s="125">
        <v>148</v>
      </c>
      <c r="AM65" s="125" t="s">
        <v>72</v>
      </c>
      <c r="AN65" s="125">
        <v>1924</v>
      </c>
      <c r="AO65" s="125" t="s">
        <v>72</v>
      </c>
      <c r="AP65" s="125">
        <v>2784</v>
      </c>
      <c r="AQ65" s="125" t="s">
        <v>72</v>
      </c>
      <c r="AR65" s="125">
        <v>699</v>
      </c>
      <c r="AS65" s="92" t="s">
        <v>72</v>
      </c>
      <c r="AT65" s="200" t="s">
        <v>1</v>
      </c>
      <c r="AU65" s="109" t="s">
        <v>1</v>
      </c>
      <c r="AV65" s="198">
        <v>306</v>
      </c>
      <c r="AW65" s="109" t="s">
        <v>1</v>
      </c>
      <c r="AX65" s="141">
        <v>0.0212884374565187</v>
      </c>
      <c r="AY65" s="200" t="s">
        <v>1</v>
      </c>
      <c r="AZ65" s="207" t="s">
        <v>163</v>
      </c>
      <c r="BA65" s="109" t="s">
        <v>1</v>
      </c>
      <c r="BB65" s="141">
        <v>0.127450980392157</v>
      </c>
      <c r="BC65" s="200" t="s">
        <v>1</v>
      </c>
      <c r="BD65" s="200" t="s">
        <v>1</v>
      </c>
      <c r="BE65" s="109" t="s">
        <v>1</v>
      </c>
      <c r="BF65" s="109" t="s">
        <v>1</v>
      </c>
      <c r="BG65" s="200" t="s">
        <v>1</v>
      </c>
      <c r="BH65" s="200" t="s">
        <v>1</v>
      </c>
      <c r="BI65" s="92" t="s">
        <v>102</v>
      </c>
      <c r="BJ65" s="92">
        <v>18</v>
      </c>
      <c r="BK65" s="92">
        <v>3410</v>
      </c>
      <c r="BL65" s="92" t="s">
        <v>72</v>
      </c>
      <c r="BM65" s="92" t="s">
        <v>74</v>
      </c>
      <c r="BN65" s="92">
        <v>118</v>
      </c>
      <c r="BO65" s="125">
        <v>1367</v>
      </c>
      <c r="BP65" s="92" t="s">
        <v>72</v>
      </c>
      <c r="BQ65" s="108" t="s">
        <v>1</v>
      </c>
      <c r="BR65" s="108" t="s">
        <v>1</v>
      </c>
      <c r="BS65" s="108" t="s">
        <v>1</v>
      </c>
      <c r="BT65" s="108" t="s">
        <v>1</v>
      </c>
      <c r="BU65" s="108" t="s">
        <v>1</v>
      </c>
      <c r="BV65" s="189" t="s">
        <v>1</v>
      </c>
      <c r="BW65" s="189" t="s">
        <v>1</v>
      </c>
      <c r="BX65" s="189" t="s">
        <v>1</v>
      </c>
      <c r="BY65" s="190" t="s">
        <v>1</v>
      </c>
      <c r="BZ65" s="190" t="s">
        <v>1</v>
      </c>
      <c r="CA65" s="189" t="s">
        <v>1</v>
      </c>
      <c r="CB65" s="189" t="s">
        <v>1</v>
      </c>
      <c r="CC65" s="189" t="s">
        <v>1</v>
      </c>
      <c r="CD65" s="191" t="s">
        <v>1</v>
      </c>
      <c r="CE65" s="191" t="s">
        <v>1</v>
      </c>
      <c r="CF65" s="108" t="s">
        <v>1</v>
      </c>
    </row>
    <row r="66" ht="28" customHeight="1" spans="1:84">
      <c r="A66" s="107">
        <v>45169</v>
      </c>
      <c r="B66" s="118" t="s">
        <v>123</v>
      </c>
      <c r="C66" s="92" t="s">
        <v>71</v>
      </c>
      <c r="D66" s="30" t="s">
        <v>1</v>
      </c>
      <c r="E66" s="30" t="s">
        <v>1</v>
      </c>
      <c r="F66" s="109" t="str">
        <f t="shared" si="3"/>
        <v/>
      </c>
      <c r="G66" s="109" t="s">
        <v>1</v>
      </c>
      <c r="H66" s="108" t="s">
        <v>1</v>
      </c>
      <c r="I66" s="109">
        <v>45</v>
      </c>
      <c r="J66" s="141" t="str">
        <f t="shared" si="1"/>
        <v/>
      </c>
      <c r="K66" s="211" t="str">
        <f>IFERROR(E66/#REF!,"")</f>
        <v/>
      </c>
      <c r="L66" s="172">
        <v>126540</v>
      </c>
      <c r="M66" s="242" t="s">
        <v>72</v>
      </c>
      <c r="N66" s="109" t="s">
        <v>1</v>
      </c>
      <c r="O66" s="109">
        <v>14.46</v>
      </c>
      <c r="P66" s="109" t="s">
        <v>1</v>
      </c>
      <c r="Q66" s="141" t="e">
        <f t="shared" si="2"/>
        <v>#VALUE!</v>
      </c>
      <c r="R66" s="109" t="s">
        <v>1</v>
      </c>
      <c r="S66" s="109" t="s">
        <v>1</v>
      </c>
      <c r="T66" s="109" t="s">
        <v>1</v>
      </c>
      <c r="U66" s="109" t="s">
        <v>1</v>
      </c>
      <c r="V66" s="92" t="s">
        <v>1</v>
      </c>
      <c r="W66" s="92" t="s">
        <v>72</v>
      </c>
      <c r="X66" s="92" t="s">
        <v>1</v>
      </c>
      <c r="Y66" s="92" t="s">
        <v>72</v>
      </c>
      <c r="Z66" s="92" t="s">
        <v>1</v>
      </c>
      <c r="AA66" s="236" t="s">
        <v>72</v>
      </c>
      <c r="AB66" s="92" t="s">
        <v>1</v>
      </c>
      <c r="AC66" s="92" t="s">
        <v>72</v>
      </c>
      <c r="AD66" s="92" t="s">
        <v>1</v>
      </c>
      <c r="AE66" s="92" t="s">
        <v>72</v>
      </c>
      <c r="AF66" s="92" t="s">
        <v>1</v>
      </c>
      <c r="AG66" s="92" t="s">
        <v>72</v>
      </c>
      <c r="AH66" s="125">
        <v>9357</v>
      </c>
      <c r="AI66" s="125" t="s">
        <v>72</v>
      </c>
      <c r="AJ66" s="125">
        <v>1174</v>
      </c>
      <c r="AK66" s="125" t="s">
        <v>72</v>
      </c>
      <c r="AL66" s="125">
        <v>130</v>
      </c>
      <c r="AM66" s="125" t="s">
        <v>72</v>
      </c>
      <c r="AN66" s="125">
        <v>1431</v>
      </c>
      <c r="AO66" s="125" t="s">
        <v>72</v>
      </c>
      <c r="AP66" s="125">
        <v>2963</v>
      </c>
      <c r="AQ66" s="125" t="s">
        <v>72</v>
      </c>
      <c r="AR66" s="125">
        <v>610</v>
      </c>
      <c r="AS66" s="92" t="s">
        <v>72</v>
      </c>
      <c r="AT66" s="200" t="s">
        <v>1</v>
      </c>
      <c r="AU66" s="109" t="s">
        <v>1</v>
      </c>
      <c r="AV66" s="198">
        <v>350</v>
      </c>
      <c r="AW66" s="109" t="s">
        <v>1</v>
      </c>
      <c r="AX66" s="141">
        <v>0.0307287093942054</v>
      </c>
      <c r="AY66" s="200" t="s">
        <v>1</v>
      </c>
      <c r="AZ66" s="207" t="s">
        <v>164</v>
      </c>
      <c r="BA66" s="109" t="s">
        <v>1</v>
      </c>
      <c r="BB66" s="141">
        <v>0.128571428571429</v>
      </c>
      <c r="BC66" s="200" t="s">
        <v>1</v>
      </c>
      <c r="BD66" s="200" t="s">
        <v>1</v>
      </c>
      <c r="BE66" s="109" t="s">
        <v>1</v>
      </c>
      <c r="BF66" s="109" t="s">
        <v>1</v>
      </c>
      <c r="BG66" s="200" t="s">
        <v>1</v>
      </c>
      <c r="BH66" s="200" t="s">
        <v>1</v>
      </c>
      <c r="BI66" s="92" t="s">
        <v>102</v>
      </c>
      <c r="BJ66" s="92">
        <v>16</v>
      </c>
      <c r="BK66" s="92">
        <v>3535</v>
      </c>
      <c r="BL66" s="92" t="s">
        <v>72</v>
      </c>
      <c r="BM66" s="92" t="s">
        <v>74</v>
      </c>
      <c r="BN66" s="92">
        <v>107</v>
      </c>
      <c r="BO66" s="125">
        <v>1485</v>
      </c>
      <c r="BP66" s="92" t="s">
        <v>72</v>
      </c>
      <c r="BQ66" s="108" t="s">
        <v>1</v>
      </c>
      <c r="BR66" s="108" t="s">
        <v>1</v>
      </c>
      <c r="BS66" s="108" t="s">
        <v>1</v>
      </c>
      <c r="BT66" s="108" t="s">
        <v>1</v>
      </c>
      <c r="BU66" s="108" t="s">
        <v>1</v>
      </c>
      <c r="BV66" s="189" t="s">
        <v>1</v>
      </c>
      <c r="BW66" s="189" t="s">
        <v>1</v>
      </c>
      <c r="BX66" s="189" t="s">
        <v>1</v>
      </c>
      <c r="BY66" s="190" t="s">
        <v>1</v>
      </c>
      <c r="BZ66" s="190" t="s">
        <v>1</v>
      </c>
      <c r="CA66" s="189" t="s">
        <v>1</v>
      </c>
      <c r="CB66" s="189" t="s">
        <v>1</v>
      </c>
      <c r="CC66" s="189" t="s">
        <v>1</v>
      </c>
      <c r="CD66" s="191" t="s">
        <v>1</v>
      </c>
      <c r="CE66" s="191" t="s">
        <v>1</v>
      </c>
      <c r="CF66" s="108" t="s">
        <v>1</v>
      </c>
    </row>
    <row r="67" ht="28" customHeight="1" spans="1:84">
      <c r="A67" s="107">
        <v>45170</v>
      </c>
      <c r="B67" s="118" t="s">
        <v>1</v>
      </c>
      <c r="C67" s="92" t="s">
        <v>71</v>
      </c>
      <c r="D67" s="30" t="s">
        <v>1</v>
      </c>
      <c r="E67" s="30" t="s">
        <v>1</v>
      </c>
      <c r="F67" s="109" t="str">
        <f t="shared" si="3"/>
        <v/>
      </c>
      <c r="G67" s="109" t="s">
        <v>1</v>
      </c>
      <c r="H67" s="108" t="s">
        <v>1</v>
      </c>
      <c r="I67" s="109" t="s">
        <v>1</v>
      </c>
      <c r="J67" s="141" t="str">
        <f t="shared" si="1"/>
        <v/>
      </c>
      <c r="K67" s="211" t="str">
        <f>IFERROR(E67/#REF!,"")</f>
        <v/>
      </c>
      <c r="L67" s="30">
        <v>44267</v>
      </c>
      <c r="M67" s="242" t="s">
        <v>72</v>
      </c>
      <c r="N67" s="109" t="s">
        <v>1</v>
      </c>
      <c r="O67" s="109">
        <v>6.79</v>
      </c>
      <c r="P67" s="109" t="s">
        <v>1</v>
      </c>
      <c r="Q67" s="141" t="e">
        <f t="shared" si="2"/>
        <v>#VALUE!</v>
      </c>
      <c r="R67" s="109" t="s">
        <v>1</v>
      </c>
      <c r="S67" s="109" t="s">
        <v>1</v>
      </c>
      <c r="T67" s="109" t="s">
        <v>1</v>
      </c>
      <c r="U67" s="109" t="s">
        <v>1</v>
      </c>
      <c r="V67" s="92" t="s">
        <v>1</v>
      </c>
      <c r="W67" s="92" t="s">
        <v>72</v>
      </c>
      <c r="X67" s="92" t="s">
        <v>1</v>
      </c>
      <c r="Y67" s="92" t="s">
        <v>72</v>
      </c>
      <c r="Z67" s="92" t="s">
        <v>1</v>
      </c>
      <c r="AA67" s="236" t="s">
        <v>72</v>
      </c>
      <c r="AB67" s="92" t="s">
        <v>1</v>
      </c>
      <c r="AC67" s="92" t="s">
        <v>72</v>
      </c>
      <c r="AD67" s="92" t="s">
        <v>1</v>
      </c>
      <c r="AE67" s="92" t="s">
        <v>72</v>
      </c>
      <c r="AF67" s="92" t="s">
        <v>1</v>
      </c>
      <c r="AG67" s="92" t="s">
        <v>72</v>
      </c>
      <c r="AH67" s="125">
        <v>4626</v>
      </c>
      <c r="AI67" s="125" t="s">
        <v>72</v>
      </c>
      <c r="AJ67" s="125">
        <v>570</v>
      </c>
      <c r="AK67" s="125" t="s">
        <v>72</v>
      </c>
      <c r="AL67" s="125">
        <v>103</v>
      </c>
      <c r="AM67" s="125" t="s">
        <v>72</v>
      </c>
      <c r="AN67" s="125">
        <v>1545</v>
      </c>
      <c r="AO67" s="125" t="s">
        <v>72</v>
      </c>
      <c r="AP67" s="125">
        <v>2564</v>
      </c>
      <c r="AQ67" s="125" t="s">
        <v>72</v>
      </c>
      <c r="AR67" s="125">
        <v>464</v>
      </c>
      <c r="AS67" s="92" t="s">
        <v>72</v>
      </c>
      <c r="AT67" s="200" t="s">
        <v>1</v>
      </c>
      <c r="AU67" s="109" t="s">
        <v>1</v>
      </c>
      <c r="AV67" s="198">
        <v>265</v>
      </c>
      <c r="AW67" s="109" t="s">
        <v>1</v>
      </c>
      <c r="AX67" s="141">
        <v>0.0412644036125817</v>
      </c>
      <c r="AY67" s="200" t="s">
        <v>1</v>
      </c>
      <c r="AZ67" s="207" t="s">
        <v>165</v>
      </c>
      <c r="BA67" s="109" t="s">
        <v>1</v>
      </c>
      <c r="BB67" s="141">
        <v>0.0830188679245283</v>
      </c>
      <c r="BC67" s="200" t="s">
        <v>1</v>
      </c>
      <c r="BD67" s="200" t="s">
        <v>1</v>
      </c>
      <c r="BE67" s="109" t="s">
        <v>1</v>
      </c>
      <c r="BF67" s="109" t="s">
        <v>1</v>
      </c>
      <c r="BG67" s="200" t="s">
        <v>1</v>
      </c>
      <c r="BH67" s="200" t="s">
        <v>1</v>
      </c>
      <c r="BI67" s="92" t="s">
        <v>102</v>
      </c>
      <c r="BJ67" s="92">
        <v>19</v>
      </c>
      <c r="BK67" s="92">
        <v>2952</v>
      </c>
      <c r="BL67" s="92" t="s">
        <v>72</v>
      </c>
      <c r="BM67" s="92" t="s">
        <v>74</v>
      </c>
      <c r="BN67" s="92">
        <v>140</v>
      </c>
      <c r="BO67" s="125">
        <v>1071</v>
      </c>
      <c r="BP67" s="241" t="s">
        <v>72</v>
      </c>
      <c r="BQ67" s="108" t="s">
        <v>1</v>
      </c>
      <c r="BR67" s="108" t="s">
        <v>1</v>
      </c>
      <c r="BS67" s="108" t="s">
        <v>1</v>
      </c>
      <c r="BT67" s="108" t="s">
        <v>1</v>
      </c>
      <c r="BU67" s="108" t="s">
        <v>1</v>
      </c>
      <c r="BV67" s="189" t="s">
        <v>1</v>
      </c>
      <c r="BW67" s="189" t="s">
        <v>1</v>
      </c>
      <c r="BX67" s="189" t="s">
        <v>1</v>
      </c>
      <c r="BY67" s="190" t="s">
        <v>1</v>
      </c>
      <c r="BZ67" s="190" t="s">
        <v>1</v>
      </c>
      <c r="CA67" s="189" t="s">
        <v>1</v>
      </c>
      <c r="CB67" s="189" t="s">
        <v>1</v>
      </c>
      <c r="CC67" s="189" t="s">
        <v>1</v>
      </c>
      <c r="CD67" s="191" t="s">
        <v>1</v>
      </c>
      <c r="CE67" s="191" t="s">
        <v>1</v>
      </c>
      <c r="CF67" s="108" t="s">
        <v>1</v>
      </c>
    </row>
    <row r="68" ht="28" customHeight="1" spans="1:84">
      <c r="A68" s="107">
        <v>45171</v>
      </c>
      <c r="B68" s="7" t="s">
        <v>125</v>
      </c>
      <c r="C68" s="92" t="s">
        <v>71</v>
      </c>
      <c r="D68" s="30" t="s">
        <v>1</v>
      </c>
      <c r="E68" s="30" t="s">
        <v>1</v>
      </c>
      <c r="F68" s="109" t="str">
        <f t="shared" si="3"/>
        <v/>
      </c>
      <c r="G68" s="109" t="s">
        <v>1</v>
      </c>
      <c r="H68" s="108" t="s">
        <v>1</v>
      </c>
      <c r="I68" s="109" t="s">
        <v>1</v>
      </c>
      <c r="J68" s="141" t="str">
        <f t="shared" si="1"/>
        <v/>
      </c>
      <c r="K68" s="211" t="str">
        <f>IFERROR(E68/#REF!,"")</f>
        <v/>
      </c>
      <c r="L68" s="30">
        <v>53383</v>
      </c>
      <c r="M68" s="242" t="s">
        <v>72</v>
      </c>
      <c r="N68" s="109" t="s">
        <v>1</v>
      </c>
      <c r="O68" s="109">
        <v>4.52</v>
      </c>
      <c r="P68" s="109" t="s">
        <v>1</v>
      </c>
      <c r="Q68" s="141" t="e">
        <f t="shared" si="2"/>
        <v>#VALUE!</v>
      </c>
      <c r="R68" s="109" t="s">
        <v>1</v>
      </c>
      <c r="S68" s="109" t="s">
        <v>1</v>
      </c>
      <c r="T68" s="109" t="s">
        <v>1</v>
      </c>
      <c r="U68" s="109" t="s">
        <v>1</v>
      </c>
      <c r="V68" s="92" t="s">
        <v>1</v>
      </c>
      <c r="W68" s="92" t="s">
        <v>72</v>
      </c>
      <c r="X68" s="92" t="s">
        <v>1</v>
      </c>
      <c r="Y68" s="92" t="s">
        <v>72</v>
      </c>
      <c r="Z68" s="92" t="s">
        <v>1</v>
      </c>
      <c r="AA68" s="236" t="s">
        <v>72</v>
      </c>
      <c r="AB68" s="92" t="s">
        <v>1</v>
      </c>
      <c r="AC68" s="92" t="s">
        <v>72</v>
      </c>
      <c r="AD68" s="92" t="s">
        <v>1</v>
      </c>
      <c r="AE68" s="92" t="s">
        <v>72</v>
      </c>
      <c r="AF68" s="92" t="s">
        <v>1</v>
      </c>
      <c r="AG68" s="92" t="s">
        <v>72</v>
      </c>
      <c r="AH68" s="125">
        <v>4916</v>
      </c>
      <c r="AI68" s="125" t="s">
        <v>72</v>
      </c>
      <c r="AJ68" s="125">
        <v>631</v>
      </c>
      <c r="AK68" s="125" t="s">
        <v>72</v>
      </c>
      <c r="AL68" s="92">
        <v>121</v>
      </c>
      <c r="AM68" s="125" t="s">
        <v>72</v>
      </c>
      <c r="AN68" s="125">
        <v>1439</v>
      </c>
      <c r="AO68" s="125" t="s">
        <v>72</v>
      </c>
      <c r="AP68" s="125">
        <v>3219</v>
      </c>
      <c r="AQ68" s="125" t="s">
        <v>72</v>
      </c>
      <c r="AR68" s="125">
        <v>487</v>
      </c>
      <c r="AS68" s="92" t="s">
        <v>72</v>
      </c>
      <c r="AT68" s="200" t="s">
        <v>1</v>
      </c>
      <c r="AU68" s="109" t="s">
        <v>1</v>
      </c>
      <c r="AV68" s="198">
        <v>321</v>
      </c>
      <c r="AW68" s="109" t="s">
        <v>1</v>
      </c>
      <c r="AX68" s="141">
        <v>0.0485114100045338</v>
      </c>
      <c r="AY68" s="200" t="s">
        <v>1</v>
      </c>
      <c r="AZ68" s="207" t="s">
        <v>153</v>
      </c>
      <c r="BA68" s="109" t="s">
        <v>1</v>
      </c>
      <c r="BB68" s="141">
        <v>0.043613707165109</v>
      </c>
      <c r="BC68" s="200" t="s">
        <v>1</v>
      </c>
      <c r="BD68" s="200" t="s">
        <v>1</v>
      </c>
      <c r="BE68" s="109" t="s">
        <v>1</v>
      </c>
      <c r="BF68" s="109" t="s">
        <v>1</v>
      </c>
      <c r="BG68" s="200" t="s">
        <v>1</v>
      </c>
      <c r="BH68" s="200" t="s">
        <v>1</v>
      </c>
      <c r="BI68" s="92" t="s">
        <v>102</v>
      </c>
      <c r="BJ68" s="92">
        <v>17</v>
      </c>
      <c r="BK68" s="92">
        <v>3369</v>
      </c>
      <c r="BL68" s="92" t="s">
        <v>72</v>
      </c>
      <c r="BM68" s="92" t="s">
        <v>74</v>
      </c>
      <c r="BN68" s="92">
        <v>127</v>
      </c>
      <c r="BO68" s="125">
        <v>1258</v>
      </c>
      <c r="BP68" s="241" t="s">
        <v>72</v>
      </c>
      <c r="BQ68" s="108" t="s">
        <v>1</v>
      </c>
      <c r="BR68" s="108" t="s">
        <v>1</v>
      </c>
      <c r="BS68" s="108" t="s">
        <v>1</v>
      </c>
      <c r="BT68" s="108" t="s">
        <v>1</v>
      </c>
      <c r="BU68" s="108" t="s">
        <v>1</v>
      </c>
      <c r="BV68" s="189" t="s">
        <v>1</v>
      </c>
      <c r="BW68" s="189" t="s">
        <v>1</v>
      </c>
      <c r="BX68" s="189" t="s">
        <v>1</v>
      </c>
      <c r="BY68" s="190" t="s">
        <v>1</v>
      </c>
      <c r="BZ68" s="190" t="s">
        <v>1</v>
      </c>
      <c r="CA68" s="189" t="s">
        <v>1</v>
      </c>
      <c r="CB68" s="189" t="s">
        <v>1</v>
      </c>
      <c r="CC68" s="189" t="s">
        <v>1</v>
      </c>
      <c r="CD68" s="191" t="s">
        <v>1</v>
      </c>
      <c r="CE68" s="191" t="s">
        <v>1</v>
      </c>
      <c r="CF68" s="108" t="s">
        <v>1</v>
      </c>
    </row>
    <row r="69" ht="28" customHeight="1" spans="1:84">
      <c r="A69" s="107">
        <v>45172</v>
      </c>
      <c r="B69" s="7" t="s">
        <v>89</v>
      </c>
      <c r="C69" s="92" t="s">
        <v>71</v>
      </c>
      <c r="D69" s="30" t="s">
        <v>1</v>
      </c>
      <c r="E69" s="30" t="s">
        <v>1</v>
      </c>
      <c r="F69" s="109" t="str">
        <f t="shared" si="3"/>
        <v/>
      </c>
      <c r="G69" s="109" t="s">
        <v>1</v>
      </c>
      <c r="H69" s="108" t="s">
        <v>1</v>
      </c>
      <c r="I69" s="109" t="s">
        <v>1</v>
      </c>
      <c r="J69" s="141" t="str">
        <f t="shared" ref="J69:J127" si="4">IFERROR(E69/I69,"")</f>
        <v/>
      </c>
      <c r="K69" s="211" t="str">
        <f>IFERROR(E69/#REF!,"")</f>
        <v/>
      </c>
      <c r="L69" s="172">
        <v>7298</v>
      </c>
      <c r="M69" s="242" t="s">
        <v>72</v>
      </c>
      <c r="N69" s="109" t="s">
        <v>1</v>
      </c>
      <c r="O69" s="109">
        <v>1.47</v>
      </c>
      <c r="P69" s="109" t="s">
        <v>1</v>
      </c>
      <c r="Q69" s="141" t="e">
        <f t="shared" si="2"/>
        <v>#VALUE!</v>
      </c>
      <c r="R69" s="109" t="s">
        <v>1</v>
      </c>
      <c r="S69" s="109" t="s">
        <v>1</v>
      </c>
      <c r="T69" s="109" t="s">
        <v>1</v>
      </c>
      <c r="U69" s="109" t="s">
        <v>1</v>
      </c>
      <c r="V69" s="92" t="s">
        <v>1</v>
      </c>
      <c r="W69" s="92" t="s">
        <v>72</v>
      </c>
      <c r="X69" s="92" t="s">
        <v>1</v>
      </c>
      <c r="Y69" s="92" t="s">
        <v>72</v>
      </c>
      <c r="Z69" s="92" t="s">
        <v>1</v>
      </c>
      <c r="AA69" s="236" t="s">
        <v>72</v>
      </c>
      <c r="AB69" s="92" t="s">
        <v>1</v>
      </c>
      <c r="AC69" s="92" t="s">
        <v>72</v>
      </c>
      <c r="AD69" s="92" t="s">
        <v>1</v>
      </c>
      <c r="AE69" s="92" t="s">
        <v>72</v>
      </c>
      <c r="AF69" s="92" t="s">
        <v>1</v>
      </c>
      <c r="AG69" s="92" t="s">
        <v>72</v>
      </c>
      <c r="AH69" s="125">
        <v>4518</v>
      </c>
      <c r="AI69" s="125" t="s">
        <v>72</v>
      </c>
      <c r="AJ69" s="125">
        <v>813</v>
      </c>
      <c r="AK69" s="125" t="s">
        <v>72</v>
      </c>
      <c r="AL69" s="125">
        <v>112</v>
      </c>
      <c r="AM69" s="125" t="s">
        <v>72</v>
      </c>
      <c r="AN69" s="125">
        <v>1497</v>
      </c>
      <c r="AO69" s="125" t="s">
        <v>72</v>
      </c>
      <c r="AP69" s="125">
        <v>2589</v>
      </c>
      <c r="AQ69" s="125" t="s">
        <v>72</v>
      </c>
      <c r="AR69" s="125">
        <v>610</v>
      </c>
      <c r="AS69" s="92" t="s">
        <v>72</v>
      </c>
      <c r="AT69" s="200" t="s">
        <v>1</v>
      </c>
      <c r="AU69" s="109" t="s">
        <v>1</v>
      </c>
      <c r="AV69" s="198">
        <v>222</v>
      </c>
      <c r="AW69" s="109" t="s">
        <v>1</v>
      </c>
      <c r="AX69" s="141">
        <v>0.0347037673909645</v>
      </c>
      <c r="AY69" s="200" t="s">
        <v>1</v>
      </c>
      <c r="AZ69" s="207" t="s">
        <v>166</v>
      </c>
      <c r="BA69" s="109" t="s">
        <v>1</v>
      </c>
      <c r="BB69" s="141">
        <v>0.0315315315315315</v>
      </c>
      <c r="BC69" s="200" t="s">
        <v>1</v>
      </c>
      <c r="BD69" s="200" t="s">
        <v>1</v>
      </c>
      <c r="BE69" s="109" t="s">
        <v>1</v>
      </c>
      <c r="BF69" s="109" t="s">
        <v>1</v>
      </c>
      <c r="BG69" s="200" t="s">
        <v>1</v>
      </c>
      <c r="BH69" s="200" t="s">
        <v>1</v>
      </c>
      <c r="BI69" s="92" t="s">
        <v>94</v>
      </c>
      <c r="BJ69" s="92">
        <v>35</v>
      </c>
      <c r="BK69" s="92">
        <v>1769</v>
      </c>
      <c r="BL69" s="92" t="s">
        <v>72</v>
      </c>
      <c r="BM69" s="92" t="s">
        <v>74</v>
      </c>
      <c r="BN69" s="92">
        <v>230</v>
      </c>
      <c r="BO69" s="92">
        <v>717</v>
      </c>
      <c r="BP69" s="241" t="s">
        <v>72</v>
      </c>
      <c r="BQ69" s="108" t="s">
        <v>1</v>
      </c>
      <c r="BR69" s="108" t="s">
        <v>1</v>
      </c>
      <c r="BS69" s="108" t="s">
        <v>1</v>
      </c>
      <c r="BT69" s="108" t="s">
        <v>1</v>
      </c>
      <c r="BU69" s="108" t="s">
        <v>1</v>
      </c>
      <c r="BV69" s="189" t="s">
        <v>1</v>
      </c>
      <c r="BW69" s="189" t="s">
        <v>1</v>
      </c>
      <c r="BX69" s="189" t="s">
        <v>1</v>
      </c>
      <c r="BY69" s="190" t="s">
        <v>1</v>
      </c>
      <c r="BZ69" s="190" t="s">
        <v>1</v>
      </c>
      <c r="CA69" s="189" t="s">
        <v>1</v>
      </c>
      <c r="CB69" s="189" t="s">
        <v>1</v>
      </c>
      <c r="CC69" s="189" t="s">
        <v>1</v>
      </c>
      <c r="CD69" s="191" t="s">
        <v>1</v>
      </c>
      <c r="CE69" s="191" t="s">
        <v>1</v>
      </c>
      <c r="CF69" s="108" t="s">
        <v>1</v>
      </c>
    </row>
    <row r="70" ht="28" customHeight="1" spans="1:84">
      <c r="A70" s="107">
        <v>45173</v>
      </c>
      <c r="B70" s="7" t="s">
        <v>126</v>
      </c>
      <c r="C70" s="92" t="s">
        <v>71</v>
      </c>
      <c r="D70" s="30" t="s">
        <v>1</v>
      </c>
      <c r="E70" s="30" t="s">
        <v>1</v>
      </c>
      <c r="F70" s="109" t="str">
        <f t="shared" si="3"/>
        <v/>
      </c>
      <c r="G70" s="109" t="s">
        <v>1</v>
      </c>
      <c r="H70" s="108" t="s">
        <v>1</v>
      </c>
      <c r="I70" s="109" t="s">
        <v>1</v>
      </c>
      <c r="J70" s="141" t="str">
        <f t="shared" si="4"/>
        <v/>
      </c>
      <c r="K70" s="211" t="str">
        <f>IFERROR(E70/#REF!,"")</f>
        <v/>
      </c>
      <c r="L70" s="172">
        <v>185373</v>
      </c>
      <c r="M70" s="242" t="s">
        <v>72</v>
      </c>
      <c r="N70" s="109" t="s">
        <v>1</v>
      </c>
      <c r="O70" s="109">
        <v>12.16</v>
      </c>
      <c r="P70" s="109" t="s">
        <v>1</v>
      </c>
      <c r="Q70" s="141" t="e">
        <f t="shared" si="2"/>
        <v>#VALUE!</v>
      </c>
      <c r="R70" s="109" t="s">
        <v>1</v>
      </c>
      <c r="S70" s="109" t="s">
        <v>1</v>
      </c>
      <c r="T70" s="109" t="s">
        <v>1</v>
      </c>
      <c r="U70" s="109" t="s">
        <v>1</v>
      </c>
      <c r="V70" s="92" t="s">
        <v>1</v>
      </c>
      <c r="W70" s="92" t="s">
        <v>72</v>
      </c>
      <c r="X70" s="92" t="s">
        <v>1</v>
      </c>
      <c r="Y70" s="92" t="s">
        <v>72</v>
      </c>
      <c r="Z70" s="92" t="s">
        <v>1</v>
      </c>
      <c r="AA70" s="236" t="s">
        <v>72</v>
      </c>
      <c r="AB70" s="92" t="s">
        <v>1</v>
      </c>
      <c r="AC70" s="92" t="s">
        <v>72</v>
      </c>
      <c r="AD70" s="92" t="s">
        <v>1</v>
      </c>
      <c r="AE70" s="92" t="s">
        <v>72</v>
      </c>
      <c r="AF70" s="92" t="s">
        <v>1</v>
      </c>
      <c r="AG70" s="92" t="s">
        <v>72</v>
      </c>
      <c r="AH70" s="125">
        <v>4622</v>
      </c>
      <c r="AI70" s="125" t="s">
        <v>72</v>
      </c>
      <c r="AJ70" s="125">
        <v>1000</v>
      </c>
      <c r="AK70" s="125" t="s">
        <v>72</v>
      </c>
      <c r="AL70" s="125">
        <v>166</v>
      </c>
      <c r="AM70" s="125" t="s">
        <v>72</v>
      </c>
      <c r="AN70" s="125">
        <v>1624</v>
      </c>
      <c r="AO70" s="125" t="s">
        <v>72</v>
      </c>
      <c r="AP70" s="125">
        <v>2489</v>
      </c>
      <c r="AQ70" s="125" t="s">
        <v>72</v>
      </c>
      <c r="AR70" s="125">
        <v>607</v>
      </c>
      <c r="AS70" s="92" t="s">
        <v>72</v>
      </c>
      <c r="AT70" s="200" t="s">
        <v>1</v>
      </c>
      <c r="AU70" s="109" t="s">
        <v>1</v>
      </c>
      <c r="AV70" s="198">
        <v>309</v>
      </c>
      <c r="AW70" s="109" t="s">
        <v>1</v>
      </c>
      <c r="AX70" s="141">
        <v>0.0462021531100478</v>
      </c>
      <c r="AY70" s="200" t="s">
        <v>1</v>
      </c>
      <c r="AZ70" s="207" t="s">
        <v>167</v>
      </c>
      <c r="BA70" s="109" t="s">
        <v>1</v>
      </c>
      <c r="BB70" s="141">
        <v>0.129449838187702</v>
      </c>
      <c r="BC70" s="200" t="s">
        <v>1</v>
      </c>
      <c r="BD70" s="200" t="s">
        <v>1</v>
      </c>
      <c r="BE70" s="109" t="s">
        <v>1</v>
      </c>
      <c r="BF70" s="109" t="s">
        <v>1</v>
      </c>
      <c r="BG70" s="200" t="s">
        <v>1</v>
      </c>
      <c r="BH70" s="200" t="s">
        <v>1</v>
      </c>
      <c r="BI70" s="92" t="s">
        <v>94</v>
      </c>
      <c r="BJ70" s="92">
        <v>28</v>
      </c>
      <c r="BK70" s="92">
        <v>1981</v>
      </c>
      <c r="BL70" s="92" t="s">
        <v>72</v>
      </c>
      <c r="BM70" s="92" t="s">
        <v>74</v>
      </c>
      <c r="BN70" s="92">
        <v>205</v>
      </c>
      <c r="BO70" s="92">
        <v>735</v>
      </c>
      <c r="BP70" s="241" t="s">
        <v>72</v>
      </c>
      <c r="BQ70" s="108" t="s">
        <v>1</v>
      </c>
      <c r="BR70" s="108" t="s">
        <v>1</v>
      </c>
      <c r="BS70" s="108" t="s">
        <v>1</v>
      </c>
      <c r="BT70" s="108" t="s">
        <v>1</v>
      </c>
      <c r="BU70" s="108" t="s">
        <v>1</v>
      </c>
      <c r="BV70" s="189" t="s">
        <v>1</v>
      </c>
      <c r="BW70" s="189" t="s">
        <v>1</v>
      </c>
      <c r="BX70" s="189" t="s">
        <v>1</v>
      </c>
      <c r="BY70" s="190" t="s">
        <v>1</v>
      </c>
      <c r="BZ70" s="190" t="s">
        <v>1</v>
      </c>
      <c r="CA70" s="189" t="s">
        <v>1</v>
      </c>
      <c r="CB70" s="189" t="s">
        <v>1</v>
      </c>
      <c r="CC70" s="189" t="s">
        <v>1</v>
      </c>
      <c r="CD70" s="191" t="s">
        <v>1</v>
      </c>
      <c r="CE70" s="191" t="s">
        <v>1</v>
      </c>
      <c r="CF70" s="108" t="s">
        <v>1</v>
      </c>
    </row>
    <row r="71" ht="28" customHeight="1" spans="1:84">
      <c r="A71" s="107">
        <v>45174</v>
      </c>
      <c r="B71" s="7" t="s">
        <v>89</v>
      </c>
      <c r="C71" s="92" t="s">
        <v>71</v>
      </c>
      <c r="D71" s="30" t="s">
        <v>1</v>
      </c>
      <c r="E71" s="30" t="s">
        <v>1</v>
      </c>
      <c r="F71" s="109" t="str">
        <f t="shared" si="3"/>
        <v/>
      </c>
      <c r="G71" s="109" t="s">
        <v>1</v>
      </c>
      <c r="H71" s="108" t="s">
        <v>1</v>
      </c>
      <c r="I71" s="109" t="s">
        <v>1</v>
      </c>
      <c r="J71" s="141" t="str">
        <f t="shared" si="4"/>
        <v/>
      </c>
      <c r="K71" s="211" t="s">
        <v>1</v>
      </c>
      <c r="L71" s="172">
        <v>21393</v>
      </c>
      <c r="M71" s="242" t="s">
        <v>72</v>
      </c>
      <c r="N71" s="109" t="s">
        <v>1</v>
      </c>
      <c r="O71" s="109">
        <v>9.64</v>
      </c>
      <c r="P71" s="109" t="s">
        <v>1</v>
      </c>
      <c r="Q71" s="141" t="e">
        <f t="shared" si="2"/>
        <v>#VALUE!</v>
      </c>
      <c r="R71" s="109" t="s">
        <v>1</v>
      </c>
      <c r="S71" s="109" t="s">
        <v>1</v>
      </c>
      <c r="T71" s="109" t="s">
        <v>1</v>
      </c>
      <c r="U71" s="109" t="s">
        <v>1</v>
      </c>
      <c r="V71" s="92" t="s">
        <v>1</v>
      </c>
      <c r="W71" s="92" t="s">
        <v>72</v>
      </c>
      <c r="X71" s="92" t="s">
        <v>1</v>
      </c>
      <c r="Y71" s="92" t="s">
        <v>72</v>
      </c>
      <c r="Z71" s="92" t="s">
        <v>1</v>
      </c>
      <c r="AA71" s="236" t="s">
        <v>72</v>
      </c>
      <c r="AB71" s="92" t="s">
        <v>1</v>
      </c>
      <c r="AC71" s="92" t="s">
        <v>72</v>
      </c>
      <c r="AD71" s="92" t="s">
        <v>1</v>
      </c>
      <c r="AE71" s="92" t="s">
        <v>72</v>
      </c>
      <c r="AF71" s="92" t="s">
        <v>1</v>
      </c>
      <c r="AG71" s="92" t="s">
        <v>72</v>
      </c>
      <c r="AH71" s="125">
        <v>5236</v>
      </c>
      <c r="AI71" s="125" t="s">
        <v>72</v>
      </c>
      <c r="AJ71" s="125">
        <v>1014</v>
      </c>
      <c r="AK71" s="125" t="s">
        <v>72</v>
      </c>
      <c r="AL71" s="125">
        <v>134</v>
      </c>
      <c r="AM71" s="125" t="s">
        <v>72</v>
      </c>
      <c r="AN71" s="125">
        <v>1133</v>
      </c>
      <c r="AO71" s="125" t="s">
        <v>72</v>
      </c>
      <c r="AP71" s="125">
        <v>3241</v>
      </c>
      <c r="AQ71" s="125" t="s">
        <v>72</v>
      </c>
      <c r="AR71" s="125">
        <v>597</v>
      </c>
      <c r="AS71" s="92" t="s">
        <v>72</v>
      </c>
      <c r="AT71" s="200" t="s">
        <v>1</v>
      </c>
      <c r="AU71" s="109" t="s">
        <v>1</v>
      </c>
      <c r="AV71" s="198">
        <v>329</v>
      </c>
      <c r="AW71" s="109" t="s">
        <v>1</v>
      </c>
      <c r="AX71" s="141">
        <v>0.047882404307961</v>
      </c>
      <c r="AY71" s="200" t="s">
        <v>1</v>
      </c>
      <c r="AZ71" s="207" t="s">
        <v>168</v>
      </c>
      <c r="BA71" s="109" t="s">
        <v>1</v>
      </c>
      <c r="BB71" s="141">
        <v>0.106382978723404</v>
      </c>
      <c r="BC71" s="200" t="s">
        <v>1</v>
      </c>
      <c r="BD71" s="200" t="s">
        <v>1</v>
      </c>
      <c r="BE71" s="109" t="s">
        <v>1</v>
      </c>
      <c r="BF71" s="109" t="s">
        <v>1</v>
      </c>
      <c r="BG71" s="200" t="s">
        <v>1</v>
      </c>
      <c r="BH71" s="200" t="s">
        <v>1</v>
      </c>
      <c r="BI71" s="92" t="s">
        <v>102</v>
      </c>
      <c r="BJ71" s="92">
        <v>17</v>
      </c>
      <c r="BK71" s="92">
        <v>3436</v>
      </c>
      <c r="BL71" s="92" t="s">
        <v>72</v>
      </c>
      <c r="BM71" s="92" t="s">
        <v>73</v>
      </c>
      <c r="BN71" s="92">
        <v>92</v>
      </c>
      <c r="BO71" s="92">
        <v>1263</v>
      </c>
      <c r="BP71" s="92" t="s">
        <v>72</v>
      </c>
      <c r="BQ71" s="108" t="s">
        <v>1</v>
      </c>
      <c r="BR71" s="108" t="s">
        <v>1</v>
      </c>
      <c r="BS71" s="108" t="s">
        <v>1</v>
      </c>
      <c r="BT71" s="108" t="s">
        <v>1</v>
      </c>
      <c r="BU71" s="108" t="s">
        <v>1</v>
      </c>
      <c r="BV71" s="189" t="s">
        <v>93</v>
      </c>
      <c r="BW71" s="189" t="s">
        <v>86</v>
      </c>
      <c r="BX71" s="190" t="s">
        <v>92</v>
      </c>
      <c r="BY71" s="189" t="s">
        <v>87</v>
      </c>
      <c r="BZ71" s="189" t="s">
        <v>84</v>
      </c>
      <c r="CA71" s="190" t="s">
        <v>145</v>
      </c>
      <c r="CB71" s="189" t="s">
        <v>169</v>
      </c>
      <c r="CC71" s="189" t="s">
        <v>83</v>
      </c>
      <c r="CD71" s="105" t="s">
        <v>170</v>
      </c>
      <c r="CE71" s="189" t="s">
        <v>76</v>
      </c>
      <c r="CF71" s="108" t="s">
        <v>1</v>
      </c>
    </row>
    <row r="72" ht="28" customHeight="1" spans="1:84">
      <c r="A72" s="107">
        <v>45175</v>
      </c>
      <c r="B72" s="7" t="s">
        <v>89</v>
      </c>
      <c r="C72" s="92" t="s">
        <v>71</v>
      </c>
      <c r="D72" s="30" t="s">
        <v>1</v>
      </c>
      <c r="E72" s="30" t="s">
        <v>1</v>
      </c>
      <c r="F72" s="109" t="str">
        <f t="shared" si="3"/>
        <v/>
      </c>
      <c r="G72" s="109" t="s">
        <v>1</v>
      </c>
      <c r="H72" s="108" t="s">
        <v>1</v>
      </c>
      <c r="I72" s="109" t="s">
        <v>1</v>
      </c>
      <c r="J72" s="141" t="str">
        <f t="shared" si="4"/>
        <v/>
      </c>
      <c r="K72" s="211" t="s">
        <v>1</v>
      </c>
      <c r="L72" s="172">
        <v>11598</v>
      </c>
      <c r="M72" s="242" t="s">
        <v>72</v>
      </c>
      <c r="N72" s="109" t="s">
        <v>1</v>
      </c>
      <c r="O72" s="109">
        <v>7.81</v>
      </c>
      <c r="P72" s="109" t="s">
        <v>1</v>
      </c>
      <c r="Q72" s="141" t="e">
        <f t="shared" si="2"/>
        <v>#VALUE!</v>
      </c>
      <c r="R72" s="109" t="s">
        <v>1</v>
      </c>
      <c r="S72" s="109" t="s">
        <v>1</v>
      </c>
      <c r="T72" s="109" t="s">
        <v>1</v>
      </c>
      <c r="U72" s="109" t="s">
        <v>1</v>
      </c>
      <c r="V72" s="92" t="s">
        <v>1</v>
      </c>
      <c r="W72" s="92" t="s">
        <v>72</v>
      </c>
      <c r="X72" s="92" t="s">
        <v>1</v>
      </c>
      <c r="Y72" s="92" t="s">
        <v>72</v>
      </c>
      <c r="Z72" s="92" t="s">
        <v>1</v>
      </c>
      <c r="AA72" s="236" t="s">
        <v>72</v>
      </c>
      <c r="AB72" s="92" t="s">
        <v>1</v>
      </c>
      <c r="AC72" s="92" t="s">
        <v>72</v>
      </c>
      <c r="AD72" s="92" t="s">
        <v>1</v>
      </c>
      <c r="AE72" s="92" t="s">
        <v>72</v>
      </c>
      <c r="AF72" s="92" t="s">
        <v>1</v>
      </c>
      <c r="AG72" s="92" t="s">
        <v>72</v>
      </c>
      <c r="AH72" s="125">
        <v>4976</v>
      </c>
      <c r="AI72" s="125" t="s">
        <v>72</v>
      </c>
      <c r="AJ72" s="125">
        <v>1263</v>
      </c>
      <c r="AK72" s="125" t="s">
        <v>72</v>
      </c>
      <c r="AL72" s="125">
        <v>210</v>
      </c>
      <c r="AM72" s="125" t="s">
        <v>72</v>
      </c>
      <c r="AN72" s="125">
        <v>1125</v>
      </c>
      <c r="AO72" s="125" t="s">
        <v>72</v>
      </c>
      <c r="AP72" s="125">
        <v>2913</v>
      </c>
      <c r="AQ72" s="125" t="s">
        <v>72</v>
      </c>
      <c r="AR72" s="125">
        <v>560</v>
      </c>
      <c r="AS72" s="92" t="s">
        <v>72</v>
      </c>
      <c r="AT72" s="200" t="s">
        <v>1</v>
      </c>
      <c r="AU72" s="109" t="s">
        <v>1</v>
      </c>
      <c r="AV72" s="198">
        <v>342</v>
      </c>
      <c r="AW72" s="109" t="s">
        <v>1</v>
      </c>
      <c r="AX72" s="141">
        <v>0.0502571638501102</v>
      </c>
      <c r="AY72" s="200" t="s">
        <v>1</v>
      </c>
      <c r="AZ72" s="207" t="s">
        <v>171</v>
      </c>
      <c r="BA72" s="109" t="s">
        <v>1</v>
      </c>
      <c r="BB72" s="141">
        <v>0.0760233918128655</v>
      </c>
      <c r="BC72" s="200" t="s">
        <v>1</v>
      </c>
      <c r="BD72" s="200" t="s">
        <v>1</v>
      </c>
      <c r="BE72" s="109" t="s">
        <v>1</v>
      </c>
      <c r="BF72" s="109" t="s">
        <v>1</v>
      </c>
      <c r="BG72" s="200" t="s">
        <v>1</v>
      </c>
      <c r="BH72" s="200" t="s">
        <v>1</v>
      </c>
      <c r="BI72" s="92" t="s">
        <v>102</v>
      </c>
      <c r="BJ72" s="92">
        <v>19</v>
      </c>
      <c r="BK72" s="92">
        <v>3033</v>
      </c>
      <c r="BL72" s="92" t="s">
        <v>72</v>
      </c>
      <c r="BM72" s="92" t="s">
        <v>74</v>
      </c>
      <c r="BN72" s="92">
        <v>110</v>
      </c>
      <c r="BO72" s="92">
        <v>1136</v>
      </c>
      <c r="BP72" s="92" t="s">
        <v>72</v>
      </c>
      <c r="BQ72" s="108" t="s">
        <v>1</v>
      </c>
      <c r="BR72" s="108" t="s">
        <v>1</v>
      </c>
      <c r="BS72" s="108" t="s">
        <v>1</v>
      </c>
      <c r="BT72" s="108" t="s">
        <v>1</v>
      </c>
      <c r="BU72" s="108" t="s">
        <v>1</v>
      </c>
      <c r="BV72" s="189" t="s">
        <v>1</v>
      </c>
      <c r="BW72" s="189" t="s">
        <v>1</v>
      </c>
      <c r="BX72" s="190" t="s">
        <v>1</v>
      </c>
      <c r="BY72" s="189" t="s">
        <v>1</v>
      </c>
      <c r="BZ72" s="189" t="s">
        <v>1</v>
      </c>
      <c r="CA72" s="190" t="s">
        <v>1</v>
      </c>
      <c r="CB72" s="189" t="s">
        <v>1</v>
      </c>
      <c r="CC72" s="189" t="s">
        <v>1</v>
      </c>
      <c r="CD72" s="105" t="s">
        <v>1</v>
      </c>
      <c r="CE72" s="189" t="s">
        <v>1</v>
      </c>
      <c r="CF72" s="108" t="s">
        <v>1</v>
      </c>
    </row>
    <row r="73" ht="28" customHeight="1" spans="1:84">
      <c r="A73" s="107">
        <v>45176</v>
      </c>
      <c r="B73" s="7" t="s">
        <v>129</v>
      </c>
      <c r="C73" s="92" t="s">
        <v>71</v>
      </c>
      <c r="D73" s="30" t="s">
        <v>1</v>
      </c>
      <c r="E73" s="30" t="s">
        <v>1</v>
      </c>
      <c r="F73" s="109" t="str">
        <f t="shared" si="3"/>
        <v/>
      </c>
      <c r="G73" s="109" t="s">
        <v>1</v>
      </c>
      <c r="H73" s="108" t="s">
        <v>1</v>
      </c>
      <c r="I73" s="109" t="s">
        <v>1</v>
      </c>
      <c r="J73" s="141" t="str">
        <f t="shared" si="4"/>
        <v/>
      </c>
      <c r="K73" s="211" t="s">
        <v>1</v>
      </c>
      <c r="L73" s="172">
        <v>296971</v>
      </c>
      <c r="M73" s="242" t="s">
        <v>72</v>
      </c>
      <c r="N73" s="109" t="s">
        <v>1</v>
      </c>
      <c r="O73" s="109">
        <v>12.93</v>
      </c>
      <c r="P73" s="109" t="s">
        <v>1</v>
      </c>
      <c r="Q73" s="141" t="e">
        <f t="shared" si="2"/>
        <v>#VALUE!</v>
      </c>
      <c r="R73" s="109" t="s">
        <v>1</v>
      </c>
      <c r="S73" s="109" t="s">
        <v>1</v>
      </c>
      <c r="T73" s="109" t="s">
        <v>1</v>
      </c>
      <c r="U73" s="109" t="s">
        <v>1</v>
      </c>
      <c r="V73" s="92" t="s">
        <v>1</v>
      </c>
      <c r="W73" s="92" t="s">
        <v>72</v>
      </c>
      <c r="X73" s="92" t="s">
        <v>1</v>
      </c>
      <c r="Y73" s="92" t="s">
        <v>72</v>
      </c>
      <c r="Z73" s="92" t="s">
        <v>1</v>
      </c>
      <c r="AA73" s="236" t="s">
        <v>72</v>
      </c>
      <c r="AB73" s="92" t="s">
        <v>1</v>
      </c>
      <c r="AC73" s="92" t="s">
        <v>72</v>
      </c>
      <c r="AD73" s="92" t="s">
        <v>1</v>
      </c>
      <c r="AE73" s="92" t="s">
        <v>72</v>
      </c>
      <c r="AF73" s="92" t="s">
        <v>1</v>
      </c>
      <c r="AG73" s="92" t="s">
        <v>72</v>
      </c>
      <c r="AH73" s="125">
        <v>5195</v>
      </c>
      <c r="AI73" s="125" t="s">
        <v>72</v>
      </c>
      <c r="AJ73" s="125">
        <v>1109</v>
      </c>
      <c r="AK73" s="125" t="s">
        <v>72</v>
      </c>
      <c r="AL73" s="125">
        <v>182</v>
      </c>
      <c r="AM73" s="125" t="s">
        <v>72</v>
      </c>
      <c r="AN73" s="125">
        <v>949</v>
      </c>
      <c r="AO73" s="125" t="s">
        <v>72</v>
      </c>
      <c r="AP73" s="125">
        <v>3156</v>
      </c>
      <c r="AQ73" s="125" t="s">
        <v>72</v>
      </c>
      <c r="AR73" s="125">
        <v>661</v>
      </c>
      <c r="AS73" s="92" t="s">
        <v>72</v>
      </c>
      <c r="AT73" s="200" t="s">
        <v>1</v>
      </c>
      <c r="AU73" s="109" t="s">
        <v>1</v>
      </c>
      <c r="AV73" s="198">
        <v>410</v>
      </c>
      <c r="AW73" s="109" t="s">
        <v>1</v>
      </c>
      <c r="AX73" s="141">
        <v>0.0609393579072533</v>
      </c>
      <c r="AY73" s="200" t="s">
        <v>1</v>
      </c>
      <c r="AZ73" s="207" t="s">
        <v>172</v>
      </c>
      <c r="BA73" s="109" t="s">
        <v>1</v>
      </c>
      <c r="BB73" s="141">
        <v>0.0951219512195122</v>
      </c>
      <c r="BC73" s="200" t="s">
        <v>1</v>
      </c>
      <c r="BD73" s="200" t="s">
        <v>1</v>
      </c>
      <c r="BE73" s="109" t="s">
        <v>1</v>
      </c>
      <c r="BF73" s="109" t="s">
        <v>1</v>
      </c>
      <c r="BG73" s="200" t="s">
        <v>1</v>
      </c>
      <c r="BH73" s="200" t="s">
        <v>1</v>
      </c>
      <c r="BI73" s="92" t="s">
        <v>102</v>
      </c>
      <c r="BJ73" s="92">
        <v>15</v>
      </c>
      <c r="BK73" s="92">
        <v>3797</v>
      </c>
      <c r="BL73" s="92" t="s">
        <v>72</v>
      </c>
      <c r="BM73" s="92" t="s">
        <v>73</v>
      </c>
      <c r="BN73" s="92">
        <v>91</v>
      </c>
      <c r="BO73" s="92">
        <v>1326</v>
      </c>
      <c r="BP73" s="92" t="s">
        <v>72</v>
      </c>
      <c r="BQ73" s="108" t="s">
        <v>1</v>
      </c>
      <c r="BR73" s="108" t="s">
        <v>1</v>
      </c>
      <c r="BS73" s="108" t="s">
        <v>1</v>
      </c>
      <c r="BT73" s="108" t="s">
        <v>1</v>
      </c>
      <c r="BU73" s="108" t="s">
        <v>1</v>
      </c>
      <c r="BV73" s="189" t="s">
        <v>1</v>
      </c>
      <c r="BW73" s="189" t="s">
        <v>1</v>
      </c>
      <c r="BX73" s="190" t="s">
        <v>1</v>
      </c>
      <c r="BY73" s="189" t="s">
        <v>1</v>
      </c>
      <c r="BZ73" s="189" t="s">
        <v>1</v>
      </c>
      <c r="CA73" s="190" t="s">
        <v>1</v>
      </c>
      <c r="CB73" s="189" t="s">
        <v>1</v>
      </c>
      <c r="CC73" s="189" t="s">
        <v>1</v>
      </c>
      <c r="CD73" s="105" t="s">
        <v>1</v>
      </c>
      <c r="CE73" s="189" t="s">
        <v>1</v>
      </c>
      <c r="CF73" s="108" t="s">
        <v>1</v>
      </c>
    </row>
    <row r="74" ht="28" customHeight="1" spans="1:84">
      <c r="A74" s="107">
        <v>45177</v>
      </c>
      <c r="B74" s="7" t="s">
        <v>1</v>
      </c>
      <c r="C74" s="92" t="s">
        <v>71</v>
      </c>
      <c r="D74" s="30" t="s">
        <v>1</v>
      </c>
      <c r="E74" s="30" t="s">
        <v>1</v>
      </c>
      <c r="F74" s="109" t="str">
        <f t="shared" si="3"/>
        <v/>
      </c>
      <c r="G74" s="109" t="s">
        <v>1</v>
      </c>
      <c r="H74" s="108" t="s">
        <v>1</v>
      </c>
      <c r="I74" s="109" t="s">
        <v>1</v>
      </c>
      <c r="J74" s="141" t="str">
        <f t="shared" si="4"/>
        <v/>
      </c>
      <c r="K74" s="211" t="s">
        <v>1</v>
      </c>
      <c r="L74" s="30">
        <v>53366</v>
      </c>
      <c r="M74" s="242" t="s">
        <v>72</v>
      </c>
      <c r="N74" s="109" t="s">
        <v>1</v>
      </c>
      <c r="O74" s="109">
        <v>7.78</v>
      </c>
      <c r="P74" s="109" t="s">
        <v>1</v>
      </c>
      <c r="Q74" s="141" t="e">
        <f t="shared" si="2"/>
        <v>#VALUE!</v>
      </c>
      <c r="R74" s="109" t="s">
        <v>1</v>
      </c>
      <c r="S74" s="109" t="s">
        <v>1</v>
      </c>
      <c r="T74" s="109" t="s">
        <v>1</v>
      </c>
      <c r="U74" s="109" t="s">
        <v>1</v>
      </c>
      <c r="V74" s="92" t="s">
        <v>1</v>
      </c>
      <c r="W74" s="92" t="s">
        <v>72</v>
      </c>
      <c r="X74" s="92" t="s">
        <v>1</v>
      </c>
      <c r="Y74" s="92" t="s">
        <v>72</v>
      </c>
      <c r="Z74" s="92" t="s">
        <v>1</v>
      </c>
      <c r="AA74" s="236" t="s">
        <v>72</v>
      </c>
      <c r="AB74" s="92" t="s">
        <v>1</v>
      </c>
      <c r="AC74" s="92" t="s">
        <v>72</v>
      </c>
      <c r="AD74" s="92" t="s">
        <v>1</v>
      </c>
      <c r="AE74" s="92" t="s">
        <v>72</v>
      </c>
      <c r="AF74" s="92" t="s">
        <v>1</v>
      </c>
      <c r="AG74" s="92" t="s">
        <v>72</v>
      </c>
      <c r="AH74" s="125">
        <v>6338</v>
      </c>
      <c r="AI74" s="125" t="s">
        <v>72</v>
      </c>
      <c r="AJ74" s="125">
        <v>912</v>
      </c>
      <c r="AK74" s="125" t="s">
        <v>72</v>
      </c>
      <c r="AL74" s="125">
        <v>133</v>
      </c>
      <c r="AM74" s="125" t="s">
        <v>72</v>
      </c>
      <c r="AN74" s="125">
        <v>970</v>
      </c>
      <c r="AO74" s="125" t="s">
        <v>72</v>
      </c>
      <c r="AP74" s="125">
        <v>3011</v>
      </c>
      <c r="AQ74" s="125" t="s">
        <v>72</v>
      </c>
      <c r="AR74" s="125">
        <v>478</v>
      </c>
      <c r="AS74" s="92" t="s">
        <v>72</v>
      </c>
      <c r="AT74" s="200" t="s">
        <v>1</v>
      </c>
      <c r="AU74" s="109" t="s">
        <v>1</v>
      </c>
      <c r="AV74" s="198">
        <v>321</v>
      </c>
      <c r="AW74" s="109" t="s">
        <v>1</v>
      </c>
      <c r="AX74" s="141">
        <v>0.0521527213647441</v>
      </c>
      <c r="AY74" s="200" t="s">
        <v>1</v>
      </c>
      <c r="AZ74" s="207" t="s">
        <v>173</v>
      </c>
      <c r="BA74" s="109" t="s">
        <v>1</v>
      </c>
      <c r="BB74" s="141">
        <v>0.0934579439252336</v>
      </c>
      <c r="BC74" s="200" t="s">
        <v>1</v>
      </c>
      <c r="BD74" s="200" t="s">
        <v>1</v>
      </c>
      <c r="BE74" s="109" t="s">
        <v>1</v>
      </c>
      <c r="BF74" s="109" t="s">
        <v>1</v>
      </c>
      <c r="BG74" s="200" t="s">
        <v>1</v>
      </c>
      <c r="BH74" s="200" t="s">
        <v>1</v>
      </c>
      <c r="BI74" s="92" t="s">
        <v>102</v>
      </c>
      <c r="BJ74" s="92">
        <v>20</v>
      </c>
      <c r="BK74" s="92">
        <v>3147</v>
      </c>
      <c r="BL74" s="92" t="s">
        <v>72</v>
      </c>
      <c r="BM74" s="92" t="s">
        <v>74</v>
      </c>
      <c r="BN74" s="92">
        <v>107</v>
      </c>
      <c r="BO74" s="92">
        <v>1129</v>
      </c>
      <c r="BP74" s="92" t="s">
        <v>72</v>
      </c>
      <c r="BQ74" s="108" t="s">
        <v>1</v>
      </c>
      <c r="BR74" s="108" t="s">
        <v>1</v>
      </c>
      <c r="BS74" s="108" t="s">
        <v>1</v>
      </c>
      <c r="BT74" s="108" t="s">
        <v>1</v>
      </c>
      <c r="BU74" s="108" t="s">
        <v>1</v>
      </c>
      <c r="BV74" s="189" t="s">
        <v>1</v>
      </c>
      <c r="BW74" s="189" t="s">
        <v>1</v>
      </c>
      <c r="BX74" s="190" t="s">
        <v>1</v>
      </c>
      <c r="BY74" s="189" t="s">
        <v>1</v>
      </c>
      <c r="BZ74" s="189" t="s">
        <v>1</v>
      </c>
      <c r="CA74" s="190" t="s">
        <v>1</v>
      </c>
      <c r="CB74" s="189" t="s">
        <v>1</v>
      </c>
      <c r="CC74" s="189" t="s">
        <v>1</v>
      </c>
      <c r="CD74" s="105" t="s">
        <v>1</v>
      </c>
      <c r="CE74" s="189" t="s">
        <v>1</v>
      </c>
      <c r="CF74" s="108" t="s">
        <v>1</v>
      </c>
    </row>
    <row r="75" ht="28" customHeight="1" spans="1:84">
      <c r="A75" s="107">
        <v>45178</v>
      </c>
      <c r="B75" s="7" t="s">
        <v>1</v>
      </c>
      <c r="C75" s="92" t="s">
        <v>71</v>
      </c>
      <c r="D75" s="30" t="s">
        <v>1</v>
      </c>
      <c r="E75" s="30" t="s">
        <v>1</v>
      </c>
      <c r="F75" s="109" t="str">
        <f t="shared" si="3"/>
        <v/>
      </c>
      <c r="G75" s="109" t="s">
        <v>1</v>
      </c>
      <c r="H75" s="108" t="s">
        <v>1</v>
      </c>
      <c r="I75" s="109" t="s">
        <v>1</v>
      </c>
      <c r="J75" s="141" t="str">
        <f t="shared" si="4"/>
        <v/>
      </c>
      <c r="K75" s="211" t="s">
        <v>1</v>
      </c>
      <c r="L75" s="30">
        <v>88956</v>
      </c>
      <c r="M75" s="242" t="s">
        <v>72</v>
      </c>
      <c r="N75" s="109" t="s">
        <v>1</v>
      </c>
      <c r="O75" s="109">
        <v>7.37</v>
      </c>
      <c r="P75" s="109" t="s">
        <v>1</v>
      </c>
      <c r="Q75" s="141" t="e">
        <f t="shared" si="2"/>
        <v>#VALUE!</v>
      </c>
      <c r="R75" s="109" t="s">
        <v>1</v>
      </c>
      <c r="S75" s="109" t="s">
        <v>1</v>
      </c>
      <c r="T75" s="109" t="s">
        <v>1</v>
      </c>
      <c r="U75" s="109" t="s">
        <v>1</v>
      </c>
      <c r="V75" s="92" t="s">
        <v>1</v>
      </c>
      <c r="W75" s="92" t="s">
        <v>72</v>
      </c>
      <c r="X75" s="92" t="s">
        <v>1</v>
      </c>
      <c r="Y75" s="92" t="s">
        <v>72</v>
      </c>
      <c r="Z75" s="92" t="s">
        <v>1</v>
      </c>
      <c r="AA75" s="236" t="s">
        <v>72</v>
      </c>
      <c r="AB75" s="92" t="s">
        <v>1</v>
      </c>
      <c r="AC75" s="92" t="s">
        <v>72</v>
      </c>
      <c r="AD75" s="92" t="s">
        <v>1</v>
      </c>
      <c r="AE75" s="92" t="s">
        <v>72</v>
      </c>
      <c r="AF75" s="92" t="s">
        <v>1</v>
      </c>
      <c r="AG75" s="92" t="s">
        <v>72</v>
      </c>
      <c r="AH75" s="125">
        <v>7846</v>
      </c>
      <c r="AI75" s="125" t="s">
        <v>72</v>
      </c>
      <c r="AJ75" s="125">
        <v>872</v>
      </c>
      <c r="AK75" s="125" t="s">
        <v>72</v>
      </c>
      <c r="AL75" s="125">
        <v>109</v>
      </c>
      <c r="AM75" s="125" t="s">
        <v>72</v>
      </c>
      <c r="AN75" s="125">
        <v>1167</v>
      </c>
      <c r="AO75" s="125" t="s">
        <v>72</v>
      </c>
      <c r="AP75" s="125">
        <v>3847</v>
      </c>
      <c r="AQ75" s="125" t="s">
        <v>72</v>
      </c>
      <c r="AR75" s="125">
        <v>617</v>
      </c>
      <c r="AS75" s="92" t="s">
        <v>72</v>
      </c>
      <c r="AT75" s="200" t="s">
        <v>1</v>
      </c>
      <c r="AU75" s="109" t="s">
        <v>1</v>
      </c>
      <c r="AV75" s="198">
        <v>380</v>
      </c>
      <c r="AW75" s="109" t="s">
        <v>1</v>
      </c>
      <c r="AX75" s="141">
        <v>0.0519764738065928</v>
      </c>
      <c r="AY75" s="200" t="s">
        <v>1</v>
      </c>
      <c r="AZ75" s="207" t="s">
        <v>174</v>
      </c>
      <c r="BA75" s="109" t="s">
        <v>1</v>
      </c>
      <c r="BB75" s="141">
        <v>0.0710526315789474</v>
      </c>
      <c r="BC75" s="200" t="s">
        <v>1</v>
      </c>
      <c r="BD75" s="200" t="s">
        <v>1</v>
      </c>
      <c r="BE75" s="109" t="s">
        <v>1</v>
      </c>
      <c r="BF75" s="109" t="s">
        <v>1</v>
      </c>
      <c r="BG75" s="200" t="s">
        <v>1</v>
      </c>
      <c r="BH75" s="200" t="s">
        <v>1</v>
      </c>
      <c r="BI75" s="92" t="s">
        <v>102</v>
      </c>
      <c r="BJ75" s="92">
        <v>19</v>
      </c>
      <c r="BK75" s="92">
        <v>3655</v>
      </c>
      <c r="BL75" s="92" t="s">
        <v>72</v>
      </c>
      <c r="BM75" s="92" t="s">
        <v>74</v>
      </c>
      <c r="BN75" s="92">
        <v>101</v>
      </c>
      <c r="BO75" s="92">
        <v>1390</v>
      </c>
      <c r="BP75" s="92" t="s">
        <v>72</v>
      </c>
      <c r="BQ75" s="108" t="s">
        <v>1</v>
      </c>
      <c r="BR75" s="108" t="s">
        <v>1</v>
      </c>
      <c r="BS75" s="108" t="s">
        <v>1</v>
      </c>
      <c r="BT75" s="108" t="s">
        <v>1</v>
      </c>
      <c r="BU75" s="108" t="s">
        <v>1</v>
      </c>
      <c r="BV75" s="189" t="s">
        <v>1</v>
      </c>
      <c r="BW75" s="189" t="s">
        <v>1</v>
      </c>
      <c r="BX75" s="190" t="s">
        <v>1</v>
      </c>
      <c r="BY75" s="189" t="s">
        <v>1</v>
      </c>
      <c r="BZ75" s="189" t="s">
        <v>1</v>
      </c>
      <c r="CA75" s="190" t="s">
        <v>1</v>
      </c>
      <c r="CB75" s="189" t="s">
        <v>1</v>
      </c>
      <c r="CC75" s="189" t="s">
        <v>1</v>
      </c>
      <c r="CD75" s="105" t="s">
        <v>1</v>
      </c>
      <c r="CE75" s="189" t="s">
        <v>1</v>
      </c>
      <c r="CF75" s="108" t="s">
        <v>1</v>
      </c>
    </row>
    <row r="76" ht="28" customHeight="1" spans="1:84">
      <c r="A76" s="107">
        <v>45179</v>
      </c>
      <c r="B76" s="7" t="s">
        <v>89</v>
      </c>
      <c r="C76" s="92" t="s">
        <v>71</v>
      </c>
      <c r="D76" s="30" t="s">
        <v>1</v>
      </c>
      <c r="E76" s="30" t="s">
        <v>1</v>
      </c>
      <c r="F76" s="109" t="str">
        <f t="shared" si="3"/>
        <v/>
      </c>
      <c r="G76" s="109" t="s">
        <v>1</v>
      </c>
      <c r="H76" s="108" t="s">
        <v>1</v>
      </c>
      <c r="I76" s="109" t="s">
        <v>1</v>
      </c>
      <c r="J76" s="141" t="str">
        <f t="shared" si="4"/>
        <v/>
      </c>
      <c r="K76" s="211" t="s">
        <v>1</v>
      </c>
      <c r="L76" s="172">
        <v>31490</v>
      </c>
      <c r="M76" s="242" t="s">
        <v>72</v>
      </c>
      <c r="N76" s="109" t="s">
        <v>1</v>
      </c>
      <c r="O76" s="109">
        <v>2.51</v>
      </c>
      <c r="P76" s="109" t="s">
        <v>1</v>
      </c>
      <c r="Q76" s="141" t="e">
        <f t="shared" si="2"/>
        <v>#VALUE!</v>
      </c>
      <c r="R76" s="109" t="s">
        <v>1</v>
      </c>
      <c r="S76" s="109" t="s">
        <v>1</v>
      </c>
      <c r="T76" s="109" t="s">
        <v>1</v>
      </c>
      <c r="U76" s="109" t="s">
        <v>1</v>
      </c>
      <c r="V76" s="92" t="s">
        <v>1</v>
      </c>
      <c r="W76" s="92" t="s">
        <v>72</v>
      </c>
      <c r="X76" s="92" t="s">
        <v>1</v>
      </c>
      <c r="Y76" s="92" t="s">
        <v>72</v>
      </c>
      <c r="Z76" s="92" t="s">
        <v>1</v>
      </c>
      <c r="AA76" s="236" t="s">
        <v>72</v>
      </c>
      <c r="AB76" s="92" t="s">
        <v>1</v>
      </c>
      <c r="AC76" s="92" t="s">
        <v>72</v>
      </c>
      <c r="AD76" s="92" t="s">
        <v>1</v>
      </c>
      <c r="AE76" s="92" t="s">
        <v>72</v>
      </c>
      <c r="AF76" s="92" t="s">
        <v>1</v>
      </c>
      <c r="AG76" s="92" t="s">
        <v>72</v>
      </c>
      <c r="AH76" s="125">
        <v>7479</v>
      </c>
      <c r="AI76" s="125" t="s">
        <v>72</v>
      </c>
      <c r="AJ76" s="125">
        <v>769</v>
      </c>
      <c r="AK76" s="125" t="s">
        <v>72</v>
      </c>
      <c r="AL76" s="125">
        <v>146</v>
      </c>
      <c r="AM76" s="125" t="s">
        <v>72</v>
      </c>
      <c r="AN76" s="125">
        <v>833</v>
      </c>
      <c r="AO76" s="125" t="s">
        <v>72</v>
      </c>
      <c r="AP76" s="125">
        <v>3650</v>
      </c>
      <c r="AQ76" s="125" t="s">
        <v>72</v>
      </c>
      <c r="AR76" s="125">
        <v>569</v>
      </c>
      <c r="AS76" s="92" t="s">
        <v>72</v>
      </c>
      <c r="AT76" s="200" t="s">
        <v>1</v>
      </c>
      <c r="AU76" s="109" t="s">
        <v>1</v>
      </c>
      <c r="AV76" s="198">
        <v>358</v>
      </c>
      <c r="AW76" s="109" t="s">
        <v>1</v>
      </c>
      <c r="AX76" s="141">
        <v>0.0532579589407914</v>
      </c>
      <c r="AY76" s="200" t="s">
        <v>1</v>
      </c>
      <c r="AZ76" s="207" t="s">
        <v>166</v>
      </c>
      <c r="BA76" s="109" t="s">
        <v>1</v>
      </c>
      <c r="BB76" s="141">
        <v>0.0195530726256983</v>
      </c>
      <c r="BC76" s="200" t="s">
        <v>1</v>
      </c>
      <c r="BD76" s="200" t="s">
        <v>1</v>
      </c>
      <c r="BE76" s="109" t="s">
        <v>1</v>
      </c>
      <c r="BF76" s="109" t="s">
        <v>1</v>
      </c>
      <c r="BG76" s="200" t="s">
        <v>1</v>
      </c>
      <c r="BH76" s="200" t="s">
        <v>1</v>
      </c>
      <c r="BI76" s="92" t="s">
        <v>94</v>
      </c>
      <c r="BJ76" s="92">
        <v>22</v>
      </c>
      <c r="BK76" s="92">
        <v>3620</v>
      </c>
      <c r="BL76" s="92" t="s">
        <v>72</v>
      </c>
      <c r="BM76" s="92" t="s">
        <v>74</v>
      </c>
      <c r="BN76" s="92">
        <v>103</v>
      </c>
      <c r="BO76" s="92">
        <v>1478</v>
      </c>
      <c r="BP76" s="92" t="s">
        <v>72</v>
      </c>
      <c r="BQ76" s="108" t="s">
        <v>1</v>
      </c>
      <c r="BR76" s="108" t="s">
        <v>1</v>
      </c>
      <c r="BS76" s="108" t="s">
        <v>1</v>
      </c>
      <c r="BT76" s="108" t="s">
        <v>1</v>
      </c>
      <c r="BU76" s="108" t="s">
        <v>1</v>
      </c>
      <c r="BV76" s="189" t="s">
        <v>1</v>
      </c>
      <c r="BW76" s="189" t="s">
        <v>1</v>
      </c>
      <c r="BX76" s="190" t="s">
        <v>1</v>
      </c>
      <c r="BY76" s="189" t="s">
        <v>1</v>
      </c>
      <c r="BZ76" s="189" t="s">
        <v>1</v>
      </c>
      <c r="CA76" s="190" t="s">
        <v>1</v>
      </c>
      <c r="CB76" s="189" t="s">
        <v>1</v>
      </c>
      <c r="CC76" s="189" t="s">
        <v>1</v>
      </c>
      <c r="CD76" s="105" t="s">
        <v>1</v>
      </c>
      <c r="CE76" s="189" t="s">
        <v>1</v>
      </c>
      <c r="CF76" s="108" t="s">
        <v>1</v>
      </c>
    </row>
    <row r="77" ht="28" customHeight="1" spans="1:84">
      <c r="A77" s="107">
        <v>45180</v>
      </c>
      <c r="B77" s="7" t="s">
        <v>89</v>
      </c>
      <c r="C77" s="92" t="s">
        <v>71</v>
      </c>
      <c r="D77" s="30" t="s">
        <v>1</v>
      </c>
      <c r="E77" s="30" t="s">
        <v>1</v>
      </c>
      <c r="F77" s="109" t="str">
        <f t="shared" si="3"/>
        <v/>
      </c>
      <c r="G77" s="109" t="s">
        <v>1</v>
      </c>
      <c r="H77" s="108" t="s">
        <v>1</v>
      </c>
      <c r="I77" s="109" t="s">
        <v>1</v>
      </c>
      <c r="J77" s="141" t="str">
        <f t="shared" si="4"/>
        <v/>
      </c>
      <c r="K77" s="211" t="s">
        <v>1</v>
      </c>
      <c r="L77" s="172">
        <v>88371</v>
      </c>
      <c r="M77" s="242" t="s">
        <v>72</v>
      </c>
      <c r="N77" s="109" t="s">
        <v>1</v>
      </c>
      <c r="O77" s="109">
        <v>7.36</v>
      </c>
      <c r="P77" s="109" t="s">
        <v>1</v>
      </c>
      <c r="Q77" s="141" t="e">
        <f t="shared" si="2"/>
        <v>#VALUE!</v>
      </c>
      <c r="R77" s="109" t="s">
        <v>1</v>
      </c>
      <c r="S77" s="109" t="s">
        <v>1</v>
      </c>
      <c r="T77" s="109" t="s">
        <v>1</v>
      </c>
      <c r="U77" s="109" t="s">
        <v>1</v>
      </c>
      <c r="V77" s="92" t="s">
        <v>1</v>
      </c>
      <c r="W77" s="92" t="s">
        <v>72</v>
      </c>
      <c r="X77" s="92" t="s">
        <v>1</v>
      </c>
      <c r="Y77" s="92" t="s">
        <v>72</v>
      </c>
      <c r="Z77" s="92" t="s">
        <v>1</v>
      </c>
      <c r="AA77" s="236" t="s">
        <v>72</v>
      </c>
      <c r="AB77" s="92" t="s">
        <v>1</v>
      </c>
      <c r="AC77" s="92" t="s">
        <v>72</v>
      </c>
      <c r="AD77" s="92" t="s">
        <v>1</v>
      </c>
      <c r="AE77" s="92" t="s">
        <v>72</v>
      </c>
      <c r="AF77" s="92" t="s">
        <v>1</v>
      </c>
      <c r="AG77" s="92" t="s">
        <v>72</v>
      </c>
      <c r="AH77" s="125">
        <v>5446</v>
      </c>
      <c r="AI77" s="125" t="s">
        <v>72</v>
      </c>
      <c r="AJ77" s="125">
        <v>513</v>
      </c>
      <c r="AK77" s="125" t="s">
        <v>72</v>
      </c>
      <c r="AL77" s="125">
        <v>145</v>
      </c>
      <c r="AM77" s="125" t="s">
        <v>72</v>
      </c>
      <c r="AN77" s="125">
        <v>1300</v>
      </c>
      <c r="AO77" s="125" t="s">
        <v>72</v>
      </c>
      <c r="AP77" s="125">
        <v>3573</v>
      </c>
      <c r="AQ77" s="125" t="s">
        <v>72</v>
      </c>
      <c r="AR77" s="125">
        <v>597</v>
      </c>
      <c r="AS77" s="92" t="s">
        <v>72</v>
      </c>
      <c r="AT77" s="200" t="s">
        <v>1</v>
      </c>
      <c r="AU77" s="109" t="s">
        <v>1</v>
      </c>
      <c r="AV77" s="198">
        <v>353</v>
      </c>
      <c r="AW77" s="109" t="s">
        <v>1</v>
      </c>
      <c r="AX77" s="141">
        <v>0.0505513389660604</v>
      </c>
      <c r="AY77" s="200" t="s">
        <v>1</v>
      </c>
      <c r="AZ77" s="207" t="s">
        <v>162</v>
      </c>
      <c r="BA77" s="109" t="s">
        <v>1</v>
      </c>
      <c r="BB77" s="141">
        <v>0.0679886685552408</v>
      </c>
      <c r="BC77" s="200" t="s">
        <v>1</v>
      </c>
      <c r="BD77" s="200" t="s">
        <v>1</v>
      </c>
      <c r="BE77" s="109" t="s">
        <v>1</v>
      </c>
      <c r="BF77" s="109" t="s">
        <v>1</v>
      </c>
      <c r="BG77" s="200" t="s">
        <v>1</v>
      </c>
      <c r="BH77" s="200" t="s">
        <v>1</v>
      </c>
      <c r="BI77" s="92" t="s">
        <v>102</v>
      </c>
      <c r="BJ77" s="92">
        <v>18</v>
      </c>
      <c r="BK77" s="92">
        <v>3863</v>
      </c>
      <c r="BL77" s="92" t="s">
        <v>72</v>
      </c>
      <c r="BM77" s="92" t="s">
        <v>73</v>
      </c>
      <c r="BN77" s="92">
        <v>98</v>
      </c>
      <c r="BO77" s="92">
        <v>1337</v>
      </c>
      <c r="BP77" s="92" t="s">
        <v>72</v>
      </c>
      <c r="BQ77" s="108" t="s">
        <v>1</v>
      </c>
      <c r="BR77" s="108" t="s">
        <v>1</v>
      </c>
      <c r="BS77" s="108" t="s">
        <v>1</v>
      </c>
      <c r="BT77" s="108" t="s">
        <v>1</v>
      </c>
      <c r="BU77" s="108" t="s">
        <v>1</v>
      </c>
      <c r="BV77" s="189" t="s">
        <v>1</v>
      </c>
      <c r="BW77" s="189" t="s">
        <v>1</v>
      </c>
      <c r="BX77" s="190" t="s">
        <v>1</v>
      </c>
      <c r="BY77" s="189" t="s">
        <v>1</v>
      </c>
      <c r="BZ77" s="189" t="s">
        <v>1</v>
      </c>
      <c r="CA77" s="190" t="s">
        <v>1</v>
      </c>
      <c r="CB77" s="189" t="s">
        <v>1</v>
      </c>
      <c r="CC77" s="189" t="s">
        <v>1</v>
      </c>
      <c r="CD77" s="105" t="s">
        <v>1</v>
      </c>
      <c r="CE77" s="189" t="s">
        <v>1</v>
      </c>
      <c r="CF77" s="108" t="s">
        <v>1</v>
      </c>
    </row>
    <row r="78" ht="28" customHeight="1" spans="1:84">
      <c r="A78" s="107">
        <v>45181</v>
      </c>
      <c r="B78" s="7" t="s">
        <v>89</v>
      </c>
      <c r="C78" s="92" t="s">
        <v>71</v>
      </c>
      <c r="D78" s="30" t="s">
        <v>1</v>
      </c>
      <c r="E78" s="30" t="s">
        <v>1</v>
      </c>
      <c r="F78" s="109" t="str">
        <f t="shared" si="3"/>
        <v/>
      </c>
      <c r="G78" s="109" t="s">
        <v>1</v>
      </c>
      <c r="H78" s="108" t="s">
        <v>1</v>
      </c>
      <c r="I78" s="109" t="s">
        <v>1</v>
      </c>
      <c r="J78" s="141" t="str">
        <f t="shared" si="4"/>
        <v/>
      </c>
      <c r="K78" s="211" t="s">
        <v>1</v>
      </c>
      <c r="L78" s="172">
        <v>36406</v>
      </c>
      <c r="M78" s="242" t="s">
        <v>72</v>
      </c>
      <c r="N78" s="109" t="s">
        <v>1</v>
      </c>
      <c r="O78" s="109">
        <v>4.92</v>
      </c>
      <c r="P78" s="109" t="s">
        <v>1</v>
      </c>
      <c r="Q78" s="141" t="e">
        <f t="shared" si="2"/>
        <v>#VALUE!</v>
      </c>
      <c r="R78" s="109" t="s">
        <v>1</v>
      </c>
      <c r="S78" s="109" t="s">
        <v>1</v>
      </c>
      <c r="T78" s="109" t="s">
        <v>1</v>
      </c>
      <c r="U78" s="109" t="s">
        <v>1</v>
      </c>
      <c r="V78" s="92" t="s">
        <v>1</v>
      </c>
      <c r="W78" s="92" t="s">
        <v>72</v>
      </c>
      <c r="X78" s="92" t="s">
        <v>1</v>
      </c>
      <c r="Y78" s="92" t="s">
        <v>72</v>
      </c>
      <c r="Z78" s="92" t="s">
        <v>1</v>
      </c>
      <c r="AA78" s="236" t="s">
        <v>72</v>
      </c>
      <c r="AB78" s="92" t="s">
        <v>1</v>
      </c>
      <c r="AC78" s="92" t="s">
        <v>72</v>
      </c>
      <c r="AD78" s="92" t="s">
        <v>1</v>
      </c>
      <c r="AE78" s="92" t="s">
        <v>72</v>
      </c>
      <c r="AF78" s="92" t="s">
        <v>1</v>
      </c>
      <c r="AG78" s="92" t="s">
        <v>72</v>
      </c>
      <c r="AH78" s="125">
        <v>5202</v>
      </c>
      <c r="AI78" s="125" t="s">
        <v>72</v>
      </c>
      <c r="AJ78" s="125">
        <v>643</v>
      </c>
      <c r="AK78" s="125" t="s">
        <v>72</v>
      </c>
      <c r="AL78" s="125">
        <v>150</v>
      </c>
      <c r="AM78" s="125" t="s">
        <v>72</v>
      </c>
      <c r="AN78" s="125">
        <v>1328</v>
      </c>
      <c r="AO78" s="125" t="s">
        <v>72</v>
      </c>
      <c r="AP78" s="125">
        <v>3295</v>
      </c>
      <c r="AQ78" s="125" t="s">
        <v>72</v>
      </c>
      <c r="AR78" s="125">
        <v>620</v>
      </c>
      <c r="AS78" s="125" t="s">
        <v>72</v>
      </c>
      <c r="AT78" s="200" t="s">
        <v>1</v>
      </c>
      <c r="AU78" s="109" t="s">
        <v>1</v>
      </c>
      <c r="AV78" s="198">
        <v>291</v>
      </c>
      <c r="AW78" s="109" t="s">
        <v>1</v>
      </c>
      <c r="AX78" s="141">
        <v>0.042693661971831</v>
      </c>
      <c r="AY78" s="200" t="s">
        <v>1</v>
      </c>
      <c r="AZ78" s="207" t="s">
        <v>153</v>
      </c>
      <c r="BA78" s="109" t="s">
        <v>1</v>
      </c>
      <c r="BB78" s="141">
        <v>0.0481099656357388</v>
      </c>
      <c r="BC78" s="200" t="s">
        <v>1</v>
      </c>
      <c r="BD78" s="200" t="s">
        <v>1</v>
      </c>
      <c r="BE78" s="109" t="s">
        <v>1</v>
      </c>
      <c r="BF78" s="109" t="s">
        <v>1</v>
      </c>
      <c r="BG78" s="200" t="s">
        <v>1</v>
      </c>
      <c r="BH78" s="200" t="s">
        <v>1</v>
      </c>
      <c r="BI78" s="92" t="s">
        <v>102</v>
      </c>
      <c r="BJ78" s="92">
        <v>17</v>
      </c>
      <c r="BK78" s="92">
        <v>3562</v>
      </c>
      <c r="BL78" s="92" t="s">
        <v>72</v>
      </c>
      <c r="BM78" s="92" t="s">
        <v>74</v>
      </c>
      <c r="BN78" s="92">
        <v>109</v>
      </c>
      <c r="BO78" s="92">
        <v>1207</v>
      </c>
      <c r="BP78" s="92" t="s">
        <v>72</v>
      </c>
      <c r="BQ78" s="108" t="s">
        <v>1</v>
      </c>
      <c r="BR78" s="108" t="s">
        <v>1</v>
      </c>
      <c r="BS78" s="108" t="s">
        <v>1</v>
      </c>
      <c r="BT78" s="108" t="s">
        <v>1</v>
      </c>
      <c r="BU78" s="108" t="s">
        <v>1</v>
      </c>
      <c r="BV78" s="189" t="s">
        <v>87</v>
      </c>
      <c r="BW78" s="189" t="s">
        <v>93</v>
      </c>
      <c r="BX78" s="190" t="s">
        <v>92</v>
      </c>
      <c r="BY78" s="189" t="s">
        <v>86</v>
      </c>
      <c r="BZ78" s="190" t="s">
        <v>145</v>
      </c>
      <c r="CA78" s="189" t="s">
        <v>76</v>
      </c>
      <c r="CB78" s="191" t="s">
        <v>150</v>
      </c>
      <c r="CC78" s="189" t="s">
        <v>105</v>
      </c>
      <c r="CD78" s="293" t="s">
        <v>175</v>
      </c>
      <c r="CE78" s="189" t="s">
        <v>128</v>
      </c>
      <c r="CF78" s="108" t="s">
        <v>1</v>
      </c>
    </row>
    <row r="79" ht="28" customHeight="1" spans="1:84">
      <c r="A79" s="107">
        <v>45182</v>
      </c>
      <c r="B79" s="7" t="s">
        <v>89</v>
      </c>
      <c r="C79" s="92" t="s">
        <v>71</v>
      </c>
      <c r="D79" s="30" t="s">
        <v>1</v>
      </c>
      <c r="E79" s="30" t="s">
        <v>1</v>
      </c>
      <c r="F79" s="109" t="str">
        <f t="shared" si="3"/>
        <v/>
      </c>
      <c r="G79" s="109" t="s">
        <v>1</v>
      </c>
      <c r="H79" s="108" t="s">
        <v>1</v>
      </c>
      <c r="I79" s="109" t="s">
        <v>1</v>
      </c>
      <c r="J79" s="141" t="str">
        <f t="shared" si="4"/>
        <v/>
      </c>
      <c r="K79" s="211" t="s">
        <v>1</v>
      </c>
      <c r="L79" s="172">
        <v>91754</v>
      </c>
      <c r="M79" s="242" t="s">
        <v>72</v>
      </c>
      <c r="N79" s="109" t="s">
        <v>1</v>
      </c>
      <c r="O79" s="109">
        <v>8.04</v>
      </c>
      <c r="P79" s="109" t="s">
        <v>1</v>
      </c>
      <c r="Q79" s="141" t="e">
        <f t="shared" si="2"/>
        <v>#VALUE!</v>
      </c>
      <c r="R79" s="109" t="s">
        <v>1</v>
      </c>
      <c r="S79" s="109" t="s">
        <v>1</v>
      </c>
      <c r="T79" s="109" t="s">
        <v>1</v>
      </c>
      <c r="U79" s="109" t="s">
        <v>1</v>
      </c>
      <c r="V79" s="92" t="s">
        <v>1</v>
      </c>
      <c r="W79" s="92" t="s">
        <v>72</v>
      </c>
      <c r="X79" s="92" t="s">
        <v>1</v>
      </c>
      <c r="Y79" s="92" t="s">
        <v>72</v>
      </c>
      <c r="Z79" s="92" t="s">
        <v>1</v>
      </c>
      <c r="AA79" s="236" t="s">
        <v>72</v>
      </c>
      <c r="AB79" s="92" t="s">
        <v>1</v>
      </c>
      <c r="AC79" s="92" t="s">
        <v>72</v>
      </c>
      <c r="AD79" s="92" t="s">
        <v>1</v>
      </c>
      <c r="AE79" s="92" t="s">
        <v>72</v>
      </c>
      <c r="AF79" s="92" t="s">
        <v>1</v>
      </c>
      <c r="AG79" s="92" t="s">
        <v>72</v>
      </c>
      <c r="AH79" s="125">
        <v>5367</v>
      </c>
      <c r="AI79" s="125" t="s">
        <v>72</v>
      </c>
      <c r="AJ79" s="125">
        <v>747</v>
      </c>
      <c r="AK79" s="125" t="s">
        <v>72</v>
      </c>
      <c r="AL79" s="125">
        <v>235</v>
      </c>
      <c r="AM79" s="125" t="s">
        <v>72</v>
      </c>
      <c r="AN79" s="125">
        <v>878</v>
      </c>
      <c r="AO79" s="125" t="s">
        <v>72</v>
      </c>
      <c r="AP79" s="125">
        <v>3445</v>
      </c>
      <c r="AQ79" s="125" t="s">
        <v>72</v>
      </c>
      <c r="AR79" s="125">
        <v>595</v>
      </c>
      <c r="AS79" s="125" t="s">
        <v>72</v>
      </c>
      <c r="AT79" s="200" t="s">
        <v>1</v>
      </c>
      <c r="AU79" s="109" t="s">
        <v>1</v>
      </c>
      <c r="AV79" s="198">
        <v>359</v>
      </c>
      <c r="AW79" s="109" t="s">
        <v>1</v>
      </c>
      <c r="AX79" s="141">
        <v>0.0535660996717398</v>
      </c>
      <c r="AY79" s="200" t="s">
        <v>1</v>
      </c>
      <c r="AZ79" s="207" t="s">
        <v>162</v>
      </c>
      <c r="BA79" s="109" t="s">
        <v>1</v>
      </c>
      <c r="BB79" s="141">
        <v>0.0668523676880223</v>
      </c>
      <c r="BC79" s="200" t="s">
        <v>1</v>
      </c>
      <c r="BD79" s="200" t="s">
        <v>1</v>
      </c>
      <c r="BE79" s="109" t="s">
        <v>1</v>
      </c>
      <c r="BF79" s="109" t="s">
        <v>1</v>
      </c>
      <c r="BG79" s="200" t="s">
        <v>1</v>
      </c>
      <c r="BH79" s="200" t="s">
        <v>1</v>
      </c>
      <c r="BI79" s="92" t="s">
        <v>102</v>
      </c>
      <c r="BJ79" s="92">
        <v>14</v>
      </c>
      <c r="BK79" s="92">
        <v>4397</v>
      </c>
      <c r="BL79" s="92" t="s">
        <v>72</v>
      </c>
      <c r="BM79" s="92" t="s">
        <v>73</v>
      </c>
      <c r="BN79" s="92">
        <v>80</v>
      </c>
      <c r="BO79" s="125">
        <v>1562</v>
      </c>
      <c r="BP79" s="92" t="s">
        <v>72</v>
      </c>
      <c r="BQ79" s="108" t="s">
        <v>1</v>
      </c>
      <c r="BR79" s="108" t="s">
        <v>1</v>
      </c>
      <c r="BS79" s="108" t="s">
        <v>1</v>
      </c>
      <c r="BT79" s="108" t="s">
        <v>1</v>
      </c>
      <c r="BU79" s="108" t="s">
        <v>1</v>
      </c>
      <c r="BV79" s="189" t="s">
        <v>1</v>
      </c>
      <c r="BW79" s="189" t="s">
        <v>1</v>
      </c>
      <c r="BX79" s="190" t="s">
        <v>1</v>
      </c>
      <c r="BY79" s="189" t="s">
        <v>1</v>
      </c>
      <c r="BZ79" s="190" t="s">
        <v>1</v>
      </c>
      <c r="CA79" s="189" t="s">
        <v>1</v>
      </c>
      <c r="CB79" s="191" t="s">
        <v>1</v>
      </c>
      <c r="CC79" s="189" t="s">
        <v>1</v>
      </c>
      <c r="CD79" s="293" t="s">
        <v>1</v>
      </c>
      <c r="CE79" s="189" t="s">
        <v>1</v>
      </c>
      <c r="CF79" s="108" t="s">
        <v>1</v>
      </c>
    </row>
    <row r="80" ht="28" customHeight="1" spans="1:84">
      <c r="A80" s="107">
        <v>45183</v>
      </c>
      <c r="B80" s="118" t="s">
        <v>126</v>
      </c>
      <c r="C80" s="92" t="s">
        <v>71</v>
      </c>
      <c r="D80" s="30" t="s">
        <v>1</v>
      </c>
      <c r="E80" s="30" t="s">
        <v>1</v>
      </c>
      <c r="F80" s="109" t="str">
        <f t="shared" si="3"/>
        <v/>
      </c>
      <c r="G80" s="109" t="s">
        <v>1</v>
      </c>
      <c r="H80" s="108" t="s">
        <v>1</v>
      </c>
      <c r="I80" s="109" t="s">
        <v>1</v>
      </c>
      <c r="J80" s="141" t="str">
        <f t="shared" si="4"/>
        <v/>
      </c>
      <c r="K80" s="211" t="s">
        <v>1</v>
      </c>
      <c r="L80" s="172">
        <v>95769</v>
      </c>
      <c r="M80" s="242" t="s">
        <v>72</v>
      </c>
      <c r="N80" s="109" t="s">
        <v>1</v>
      </c>
      <c r="O80" s="32" t="s">
        <v>1</v>
      </c>
      <c r="P80" s="109" t="s">
        <v>1</v>
      </c>
      <c r="Q80" s="141" t="e">
        <f t="shared" si="2"/>
        <v>#VALUE!</v>
      </c>
      <c r="R80" s="109" t="s">
        <v>1</v>
      </c>
      <c r="S80" s="109" t="s">
        <v>1</v>
      </c>
      <c r="T80" s="109" t="s">
        <v>1</v>
      </c>
      <c r="U80" s="109" t="s">
        <v>1</v>
      </c>
      <c r="V80" s="92" t="s">
        <v>1</v>
      </c>
      <c r="W80" s="92" t="s">
        <v>72</v>
      </c>
      <c r="X80" s="92" t="s">
        <v>1</v>
      </c>
      <c r="Y80" s="92" t="s">
        <v>72</v>
      </c>
      <c r="Z80" s="92" t="s">
        <v>1</v>
      </c>
      <c r="AA80" s="236" t="s">
        <v>72</v>
      </c>
      <c r="AB80" s="92" t="s">
        <v>1</v>
      </c>
      <c r="AC80" s="92" t="s">
        <v>72</v>
      </c>
      <c r="AD80" s="92" t="s">
        <v>1</v>
      </c>
      <c r="AE80" s="92" t="s">
        <v>72</v>
      </c>
      <c r="AF80" s="92" t="s">
        <v>1</v>
      </c>
      <c r="AG80" s="92" t="s">
        <v>72</v>
      </c>
      <c r="AH80" s="125">
        <v>5918</v>
      </c>
      <c r="AI80" s="125" t="s">
        <v>72</v>
      </c>
      <c r="AJ80" s="125">
        <v>756</v>
      </c>
      <c r="AK80" s="125" t="s">
        <v>72</v>
      </c>
      <c r="AL80" s="125">
        <v>185</v>
      </c>
      <c r="AM80" s="125" t="s">
        <v>72</v>
      </c>
      <c r="AN80" s="125">
        <v>1180</v>
      </c>
      <c r="AO80" s="125" t="s">
        <v>72</v>
      </c>
      <c r="AP80" s="125">
        <v>3869</v>
      </c>
      <c r="AQ80" s="125" t="s">
        <v>72</v>
      </c>
      <c r="AR80" s="125">
        <v>635</v>
      </c>
      <c r="AS80" s="125" t="s">
        <v>72</v>
      </c>
      <c r="AT80" s="200" t="s">
        <v>1</v>
      </c>
      <c r="AU80" s="109" t="s">
        <v>1</v>
      </c>
      <c r="AV80" s="198">
        <v>386</v>
      </c>
      <c r="AW80" s="109" t="s">
        <v>1</v>
      </c>
      <c r="AX80" s="141" t="s">
        <v>1</v>
      </c>
      <c r="AY80" s="200" t="s">
        <v>1</v>
      </c>
      <c r="AZ80" s="108">
        <v>47</v>
      </c>
      <c r="BA80" s="109" t="s">
        <v>1</v>
      </c>
      <c r="BB80" s="141">
        <v>0.121761658031088</v>
      </c>
      <c r="BC80" s="200" t="s">
        <v>1</v>
      </c>
      <c r="BD80" s="200" t="s">
        <v>1</v>
      </c>
      <c r="BE80" s="109" t="s">
        <v>1</v>
      </c>
      <c r="BF80" s="109" t="s">
        <v>1</v>
      </c>
      <c r="BG80" s="200" t="s">
        <v>1</v>
      </c>
      <c r="BH80" s="200" t="s">
        <v>1</v>
      </c>
      <c r="BI80" s="92" t="s">
        <v>176</v>
      </c>
      <c r="BJ80" s="92">
        <v>10</v>
      </c>
      <c r="BK80" s="92">
        <v>5479</v>
      </c>
      <c r="BL80" s="92" t="s">
        <v>72</v>
      </c>
      <c r="BM80" s="92" t="s">
        <v>73</v>
      </c>
      <c r="BN80" s="92">
        <v>69</v>
      </c>
      <c r="BO80" s="125">
        <v>1788</v>
      </c>
      <c r="BP80" s="92" t="s">
        <v>72</v>
      </c>
      <c r="BQ80" s="108" t="s">
        <v>1</v>
      </c>
      <c r="BR80" s="108" t="s">
        <v>1</v>
      </c>
      <c r="BS80" s="108" t="s">
        <v>1</v>
      </c>
      <c r="BT80" s="108" t="s">
        <v>1</v>
      </c>
      <c r="BU80" s="108" t="s">
        <v>1</v>
      </c>
      <c r="BV80" s="189" t="s">
        <v>1</v>
      </c>
      <c r="BW80" s="189" t="s">
        <v>1</v>
      </c>
      <c r="BX80" s="190" t="s">
        <v>1</v>
      </c>
      <c r="BY80" s="189" t="s">
        <v>1</v>
      </c>
      <c r="BZ80" s="190" t="s">
        <v>1</v>
      </c>
      <c r="CA80" s="189" t="s">
        <v>1</v>
      </c>
      <c r="CB80" s="191" t="s">
        <v>1</v>
      </c>
      <c r="CC80" s="189" t="s">
        <v>1</v>
      </c>
      <c r="CD80" s="293" t="s">
        <v>1</v>
      </c>
      <c r="CE80" s="189" t="s">
        <v>1</v>
      </c>
      <c r="CF80" s="108" t="s">
        <v>1</v>
      </c>
    </row>
    <row r="81" ht="28" customHeight="1" spans="1:84">
      <c r="A81" s="107">
        <v>45184</v>
      </c>
      <c r="B81" s="118" t="s">
        <v>1</v>
      </c>
      <c r="C81" s="92" t="s">
        <v>71</v>
      </c>
      <c r="D81" s="30" t="s">
        <v>1</v>
      </c>
      <c r="E81" s="30" t="s">
        <v>1</v>
      </c>
      <c r="F81" s="109" t="str">
        <f t="shared" si="3"/>
        <v/>
      </c>
      <c r="G81" s="109" t="s">
        <v>1</v>
      </c>
      <c r="H81" s="108" t="s">
        <v>1</v>
      </c>
      <c r="I81" s="109" t="s">
        <v>1</v>
      </c>
      <c r="J81" s="141" t="str">
        <f t="shared" si="4"/>
        <v/>
      </c>
      <c r="K81" s="211" t="s">
        <v>1</v>
      </c>
      <c r="L81" s="30">
        <v>37669</v>
      </c>
      <c r="M81" s="242" t="s">
        <v>72</v>
      </c>
      <c r="N81" s="109" t="s">
        <v>1</v>
      </c>
      <c r="O81" s="32" t="s">
        <v>1</v>
      </c>
      <c r="P81" s="109" t="s">
        <v>1</v>
      </c>
      <c r="Q81" s="141" t="e">
        <f t="shared" si="2"/>
        <v>#VALUE!</v>
      </c>
      <c r="R81" s="109" t="s">
        <v>1</v>
      </c>
      <c r="S81" s="109" t="s">
        <v>1</v>
      </c>
      <c r="T81" s="109" t="s">
        <v>1</v>
      </c>
      <c r="U81" s="109" t="s">
        <v>1</v>
      </c>
      <c r="V81" s="92" t="s">
        <v>1</v>
      </c>
      <c r="W81" s="92" t="s">
        <v>72</v>
      </c>
      <c r="X81" s="92" t="s">
        <v>1</v>
      </c>
      <c r="Y81" s="92" t="s">
        <v>72</v>
      </c>
      <c r="Z81" s="92" t="s">
        <v>1</v>
      </c>
      <c r="AA81" s="236" t="s">
        <v>72</v>
      </c>
      <c r="AB81" s="92" t="s">
        <v>1</v>
      </c>
      <c r="AC81" s="92" t="s">
        <v>72</v>
      </c>
      <c r="AD81" s="92" t="s">
        <v>1</v>
      </c>
      <c r="AE81" s="92" t="s">
        <v>72</v>
      </c>
      <c r="AF81" s="92" t="s">
        <v>1</v>
      </c>
      <c r="AG81" s="92" t="s">
        <v>72</v>
      </c>
      <c r="AH81" s="125">
        <v>5243</v>
      </c>
      <c r="AI81" s="125" t="s">
        <v>72</v>
      </c>
      <c r="AJ81" s="125">
        <v>528</v>
      </c>
      <c r="AK81" s="125" t="s">
        <v>72</v>
      </c>
      <c r="AL81" s="125">
        <v>150</v>
      </c>
      <c r="AM81" s="125" t="s">
        <v>72</v>
      </c>
      <c r="AN81" s="125">
        <v>1374</v>
      </c>
      <c r="AO81" s="125" t="s">
        <v>72</v>
      </c>
      <c r="AP81" s="125">
        <v>3459</v>
      </c>
      <c r="AQ81" s="125" t="s">
        <v>72</v>
      </c>
      <c r="AR81" s="125">
        <v>461</v>
      </c>
      <c r="AS81" s="92" t="s">
        <v>72</v>
      </c>
      <c r="AT81" s="200" t="s">
        <v>1</v>
      </c>
      <c r="AU81" s="109" t="s">
        <v>1</v>
      </c>
      <c r="AV81" s="198">
        <v>416</v>
      </c>
      <c r="AW81" s="109" t="s">
        <v>1</v>
      </c>
      <c r="AX81" s="141" t="s">
        <v>1</v>
      </c>
      <c r="AY81" s="200" t="s">
        <v>1</v>
      </c>
      <c r="AZ81" s="108">
        <v>26</v>
      </c>
      <c r="BA81" s="109" t="s">
        <v>1</v>
      </c>
      <c r="BB81" s="141">
        <v>0.0625</v>
      </c>
      <c r="BC81" s="200" t="s">
        <v>1</v>
      </c>
      <c r="BD81" s="200" t="s">
        <v>1</v>
      </c>
      <c r="BE81" s="109" t="s">
        <v>1</v>
      </c>
      <c r="BF81" s="109" t="s">
        <v>1</v>
      </c>
      <c r="BG81" s="200" t="s">
        <v>1</v>
      </c>
      <c r="BH81" s="200" t="s">
        <v>1</v>
      </c>
      <c r="BI81" s="92" t="s">
        <v>102</v>
      </c>
      <c r="BJ81" s="92">
        <v>14</v>
      </c>
      <c r="BK81" s="92">
        <v>4466</v>
      </c>
      <c r="BL81" s="92" t="s">
        <v>72</v>
      </c>
      <c r="BM81" s="92" t="s">
        <v>73</v>
      </c>
      <c r="BN81" s="92">
        <v>88</v>
      </c>
      <c r="BO81" s="125">
        <v>1403</v>
      </c>
      <c r="BP81" s="92" t="s">
        <v>72</v>
      </c>
      <c r="BQ81" s="108" t="s">
        <v>1</v>
      </c>
      <c r="BR81" s="108" t="s">
        <v>1</v>
      </c>
      <c r="BS81" s="108" t="s">
        <v>1</v>
      </c>
      <c r="BT81" s="108" t="s">
        <v>1</v>
      </c>
      <c r="BU81" s="108" t="s">
        <v>1</v>
      </c>
      <c r="BV81" s="189" t="s">
        <v>1</v>
      </c>
      <c r="BW81" s="189" t="s">
        <v>1</v>
      </c>
      <c r="BX81" s="190" t="s">
        <v>1</v>
      </c>
      <c r="BY81" s="189" t="s">
        <v>1</v>
      </c>
      <c r="BZ81" s="190" t="s">
        <v>1</v>
      </c>
      <c r="CA81" s="189" t="s">
        <v>1</v>
      </c>
      <c r="CB81" s="191" t="s">
        <v>1</v>
      </c>
      <c r="CC81" s="189" t="s">
        <v>1</v>
      </c>
      <c r="CD81" s="293" t="s">
        <v>1</v>
      </c>
      <c r="CE81" s="189" t="s">
        <v>1</v>
      </c>
      <c r="CF81" s="108" t="s">
        <v>1</v>
      </c>
    </row>
    <row r="82" ht="28" customHeight="1" spans="1:84">
      <c r="A82" s="107">
        <v>45185</v>
      </c>
      <c r="B82" s="7" t="s">
        <v>89</v>
      </c>
      <c r="C82" s="92" t="s">
        <v>71</v>
      </c>
      <c r="D82" s="30" t="s">
        <v>1</v>
      </c>
      <c r="E82" s="30" t="s">
        <v>1</v>
      </c>
      <c r="F82" s="109" t="str">
        <f t="shared" si="3"/>
        <v/>
      </c>
      <c r="G82" s="109" t="s">
        <v>1</v>
      </c>
      <c r="H82" s="108" t="s">
        <v>1</v>
      </c>
      <c r="I82" s="109" t="s">
        <v>1</v>
      </c>
      <c r="J82" s="141" t="str">
        <f t="shared" si="4"/>
        <v/>
      </c>
      <c r="K82" s="211" t="s">
        <v>1</v>
      </c>
      <c r="L82" s="30">
        <v>12307</v>
      </c>
      <c r="M82" s="242" t="s">
        <v>72</v>
      </c>
      <c r="N82" s="109" t="s">
        <v>1</v>
      </c>
      <c r="O82" s="32" t="s">
        <v>1</v>
      </c>
      <c r="P82" s="109" t="s">
        <v>1</v>
      </c>
      <c r="Q82" s="141" t="e">
        <f t="shared" si="2"/>
        <v>#VALUE!</v>
      </c>
      <c r="R82" s="109" t="s">
        <v>1</v>
      </c>
      <c r="S82" s="109" t="s">
        <v>1</v>
      </c>
      <c r="T82" s="109" t="s">
        <v>1</v>
      </c>
      <c r="U82" s="109" t="s">
        <v>1</v>
      </c>
      <c r="V82" s="92" t="s">
        <v>1</v>
      </c>
      <c r="W82" s="92" t="s">
        <v>72</v>
      </c>
      <c r="X82" s="92" t="s">
        <v>1</v>
      </c>
      <c r="Y82" s="92" t="s">
        <v>72</v>
      </c>
      <c r="Z82" s="92" t="s">
        <v>1</v>
      </c>
      <c r="AA82" s="236" t="s">
        <v>72</v>
      </c>
      <c r="AB82" s="92" t="s">
        <v>1</v>
      </c>
      <c r="AC82" s="92" t="s">
        <v>72</v>
      </c>
      <c r="AD82" s="92" t="s">
        <v>1</v>
      </c>
      <c r="AE82" s="92" t="s">
        <v>72</v>
      </c>
      <c r="AF82" s="92" t="s">
        <v>1</v>
      </c>
      <c r="AG82" s="92" t="s">
        <v>72</v>
      </c>
      <c r="AH82" s="125">
        <v>5961</v>
      </c>
      <c r="AI82" s="125" t="s">
        <v>72</v>
      </c>
      <c r="AJ82" s="125">
        <v>505</v>
      </c>
      <c r="AK82" s="125" t="s">
        <v>72</v>
      </c>
      <c r="AL82" s="125">
        <v>159</v>
      </c>
      <c r="AM82" s="125" t="s">
        <v>72</v>
      </c>
      <c r="AN82" s="125">
        <v>1473</v>
      </c>
      <c r="AO82" s="125" t="s">
        <v>72</v>
      </c>
      <c r="AP82" s="125">
        <v>3926</v>
      </c>
      <c r="AQ82" s="125" t="s">
        <v>72</v>
      </c>
      <c r="AR82" s="125">
        <v>632</v>
      </c>
      <c r="AS82" s="92" t="s">
        <v>72</v>
      </c>
      <c r="AT82" s="200" t="s">
        <v>1</v>
      </c>
      <c r="AU82" s="109" t="s">
        <v>1</v>
      </c>
      <c r="AV82" s="198">
        <v>489</v>
      </c>
      <c r="AW82" s="109" t="s">
        <v>1</v>
      </c>
      <c r="AX82" s="141" t="s">
        <v>1</v>
      </c>
      <c r="AY82" s="200" t="s">
        <v>1</v>
      </c>
      <c r="AZ82" s="108">
        <v>46</v>
      </c>
      <c r="BA82" s="109" t="s">
        <v>1</v>
      </c>
      <c r="BB82" s="141">
        <v>0.0940695296523517</v>
      </c>
      <c r="BC82" s="200" t="s">
        <v>1</v>
      </c>
      <c r="BD82" s="200" t="s">
        <v>1</v>
      </c>
      <c r="BE82" s="109" t="s">
        <v>1</v>
      </c>
      <c r="BF82" s="109" t="s">
        <v>1</v>
      </c>
      <c r="BG82" s="200" t="s">
        <v>1</v>
      </c>
      <c r="BH82" s="200" t="s">
        <v>1</v>
      </c>
      <c r="BI82" s="92" t="s">
        <v>176</v>
      </c>
      <c r="BJ82" s="92">
        <v>8</v>
      </c>
      <c r="BK82" s="92">
        <v>6169</v>
      </c>
      <c r="BL82" s="92" t="s">
        <v>72</v>
      </c>
      <c r="BM82" s="92" t="s">
        <v>73</v>
      </c>
      <c r="BN82" s="92">
        <v>62</v>
      </c>
      <c r="BO82" s="125">
        <v>2090</v>
      </c>
      <c r="BP82" s="92" t="s">
        <v>72</v>
      </c>
      <c r="BQ82" s="108" t="s">
        <v>1</v>
      </c>
      <c r="BR82" s="108" t="s">
        <v>1</v>
      </c>
      <c r="BS82" s="108" t="s">
        <v>1</v>
      </c>
      <c r="BT82" s="108" t="s">
        <v>1</v>
      </c>
      <c r="BU82" s="108" t="s">
        <v>1</v>
      </c>
      <c r="BV82" s="189" t="s">
        <v>1</v>
      </c>
      <c r="BW82" s="189" t="s">
        <v>1</v>
      </c>
      <c r="BX82" s="190" t="s">
        <v>1</v>
      </c>
      <c r="BY82" s="189" t="s">
        <v>1</v>
      </c>
      <c r="BZ82" s="190" t="s">
        <v>1</v>
      </c>
      <c r="CA82" s="189" t="s">
        <v>1</v>
      </c>
      <c r="CB82" s="191" t="s">
        <v>1</v>
      </c>
      <c r="CC82" s="189" t="s">
        <v>1</v>
      </c>
      <c r="CD82" s="293" t="s">
        <v>1</v>
      </c>
      <c r="CE82" s="189" t="s">
        <v>1</v>
      </c>
      <c r="CF82" s="108" t="s">
        <v>1</v>
      </c>
    </row>
    <row r="83" ht="28" customHeight="1" spans="1:84">
      <c r="A83" s="107">
        <v>45186</v>
      </c>
      <c r="B83" s="7" t="s">
        <v>89</v>
      </c>
      <c r="C83" s="92" t="s">
        <v>71</v>
      </c>
      <c r="D83" s="30" t="s">
        <v>1</v>
      </c>
      <c r="E83" s="30" t="s">
        <v>1</v>
      </c>
      <c r="F83" s="109" t="str">
        <f t="shared" si="3"/>
        <v/>
      </c>
      <c r="G83" s="109" t="s">
        <v>1</v>
      </c>
      <c r="H83" s="108" t="s">
        <v>1</v>
      </c>
      <c r="I83" s="109" t="s">
        <v>1</v>
      </c>
      <c r="J83" s="141" t="str">
        <f t="shared" si="4"/>
        <v/>
      </c>
      <c r="K83" s="211" t="s">
        <v>1</v>
      </c>
      <c r="L83" s="172">
        <v>11609</v>
      </c>
      <c r="M83" s="242" t="s">
        <v>72</v>
      </c>
      <c r="N83" s="109" t="s">
        <v>1</v>
      </c>
      <c r="O83" s="32" t="s">
        <v>1</v>
      </c>
      <c r="P83" s="109" t="s">
        <v>1</v>
      </c>
      <c r="Q83" s="141" t="e">
        <f t="shared" si="2"/>
        <v>#VALUE!</v>
      </c>
      <c r="R83" s="109" t="s">
        <v>1</v>
      </c>
      <c r="S83" s="109" t="s">
        <v>1</v>
      </c>
      <c r="T83" s="109" t="s">
        <v>1</v>
      </c>
      <c r="U83" s="109" t="s">
        <v>1</v>
      </c>
      <c r="V83" s="92" t="s">
        <v>1</v>
      </c>
      <c r="W83" s="92" t="s">
        <v>72</v>
      </c>
      <c r="X83" s="92" t="s">
        <v>1</v>
      </c>
      <c r="Y83" s="92" t="s">
        <v>72</v>
      </c>
      <c r="Z83" s="92" t="s">
        <v>1</v>
      </c>
      <c r="AA83" s="236" t="s">
        <v>72</v>
      </c>
      <c r="AB83" s="92" t="s">
        <v>1</v>
      </c>
      <c r="AC83" s="92" t="s">
        <v>72</v>
      </c>
      <c r="AD83" s="92" t="s">
        <v>1</v>
      </c>
      <c r="AE83" s="92" t="s">
        <v>72</v>
      </c>
      <c r="AF83" s="92" t="s">
        <v>1</v>
      </c>
      <c r="AG83" s="92" t="s">
        <v>72</v>
      </c>
      <c r="AH83" s="125">
        <v>6731</v>
      </c>
      <c r="AI83" s="125" t="s">
        <v>72</v>
      </c>
      <c r="AJ83" s="125">
        <v>741</v>
      </c>
      <c r="AK83" s="125" t="s">
        <v>72</v>
      </c>
      <c r="AL83" s="125">
        <v>179</v>
      </c>
      <c r="AM83" s="125" t="s">
        <v>72</v>
      </c>
      <c r="AN83" s="125">
        <v>1205</v>
      </c>
      <c r="AO83" s="125" t="s">
        <v>72</v>
      </c>
      <c r="AP83" s="125">
        <v>4445</v>
      </c>
      <c r="AQ83" s="125" t="s">
        <v>72</v>
      </c>
      <c r="AR83" s="125">
        <v>707</v>
      </c>
      <c r="AS83" s="92" t="s">
        <v>72</v>
      </c>
      <c r="AT83" s="200" t="s">
        <v>1</v>
      </c>
      <c r="AU83" s="109" t="s">
        <v>1</v>
      </c>
      <c r="AV83" s="198">
        <v>535</v>
      </c>
      <c r="AW83" s="109" t="s">
        <v>1</v>
      </c>
      <c r="AX83" s="141" t="s">
        <v>1</v>
      </c>
      <c r="AY83" s="200" t="s">
        <v>1</v>
      </c>
      <c r="AZ83" s="108">
        <v>43</v>
      </c>
      <c r="BA83" s="109" t="s">
        <v>1</v>
      </c>
      <c r="BB83" s="141">
        <v>0.0803738317757009</v>
      </c>
      <c r="BC83" s="200" t="s">
        <v>1</v>
      </c>
      <c r="BD83" s="200" t="s">
        <v>1</v>
      </c>
      <c r="BE83" s="109" t="s">
        <v>1</v>
      </c>
      <c r="BF83" s="109" t="s">
        <v>1</v>
      </c>
      <c r="BG83" s="200" t="s">
        <v>1</v>
      </c>
      <c r="BH83" s="200" t="s">
        <v>1</v>
      </c>
      <c r="BI83" s="92" t="s">
        <v>176</v>
      </c>
      <c r="BJ83" s="92">
        <v>9</v>
      </c>
      <c r="BK83" s="92">
        <v>6889</v>
      </c>
      <c r="BL83" s="92" t="s">
        <v>72</v>
      </c>
      <c r="BM83" s="92" t="s">
        <v>73</v>
      </c>
      <c r="BN83" s="92">
        <v>66</v>
      </c>
      <c r="BO83" s="125">
        <v>2191</v>
      </c>
      <c r="BP83" s="92" t="s">
        <v>72</v>
      </c>
      <c r="BQ83" s="108" t="s">
        <v>1</v>
      </c>
      <c r="BR83" s="108" t="s">
        <v>1</v>
      </c>
      <c r="BS83" s="108" t="s">
        <v>1</v>
      </c>
      <c r="BT83" s="108" t="s">
        <v>1</v>
      </c>
      <c r="BU83" s="108" t="s">
        <v>1</v>
      </c>
      <c r="BV83" s="189" t="s">
        <v>1</v>
      </c>
      <c r="BW83" s="189" t="s">
        <v>1</v>
      </c>
      <c r="BX83" s="190" t="s">
        <v>1</v>
      </c>
      <c r="BY83" s="189" t="s">
        <v>1</v>
      </c>
      <c r="BZ83" s="190" t="s">
        <v>1</v>
      </c>
      <c r="CA83" s="189" t="s">
        <v>1</v>
      </c>
      <c r="CB83" s="191" t="s">
        <v>1</v>
      </c>
      <c r="CC83" s="189" t="s">
        <v>1</v>
      </c>
      <c r="CD83" s="293" t="s">
        <v>1</v>
      </c>
      <c r="CE83" s="189" t="s">
        <v>1</v>
      </c>
      <c r="CF83" s="108" t="s">
        <v>1</v>
      </c>
    </row>
    <row r="84" ht="28" customHeight="1" spans="1:84">
      <c r="A84" s="107">
        <v>45187</v>
      </c>
      <c r="B84" s="7" t="s">
        <v>89</v>
      </c>
      <c r="C84" s="92" t="s">
        <v>71</v>
      </c>
      <c r="D84" s="30" t="s">
        <v>1</v>
      </c>
      <c r="E84" s="30" t="s">
        <v>1</v>
      </c>
      <c r="F84" s="109" t="str">
        <f t="shared" si="3"/>
        <v/>
      </c>
      <c r="G84" s="109" t="s">
        <v>1</v>
      </c>
      <c r="H84" s="108" t="s">
        <v>1</v>
      </c>
      <c r="I84" s="109" t="s">
        <v>1</v>
      </c>
      <c r="J84" s="141" t="str">
        <f t="shared" si="4"/>
        <v/>
      </c>
      <c r="K84" s="211" t="s">
        <v>1</v>
      </c>
      <c r="L84" s="172">
        <v>15947</v>
      </c>
      <c r="M84" s="242" t="s">
        <v>72</v>
      </c>
      <c r="N84" s="109" t="s">
        <v>1</v>
      </c>
      <c r="O84" s="32" t="s">
        <v>1</v>
      </c>
      <c r="P84" s="109" t="s">
        <v>1</v>
      </c>
      <c r="Q84" s="141" t="e">
        <f t="shared" si="2"/>
        <v>#VALUE!</v>
      </c>
      <c r="R84" s="109" t="s">
        <v>1</v>
      </c>
      <c r="S84" s="109" t="s">
        <v>1</v>
      </c>
      <c r="T84" s="109" t="s">
        <v>1</v>
      </c>
      <c r="U84" s="109" t="s">
        <v>1</v>
      </c>
      <c r="V84" s="92" t="s">
        <v>1</v>
      </c>
      <c r="W84" s="92" t="s">
        <v>72</v>
      </c>
      <c r="X84" s="92" t="s">
        <v>1</v>
      </c>
      <c r="Y84" s="92" t="s">
        <v>72</v>
      </c>
      <c r="Z84" s="92" t="s">
        <v>1</v>
      </c>
      <c r="AA84" s="236" t="s">
        <v>72</v>
      </c>
      <c r="AB84" s="92" t="s">
        <v>1</v>
      </c>
      <c r="AC84" s="92" t="s">
        <v>72</v>
      </c>
      <c r="AD84" s="92" t="s">
        <v>1</v>
      </c>
      <c r="AE84" s="92" t="s">
        <v>72</v>
      </c>
      <c r="AF84" s="92" t="s">
        <v>1</v>
      </c>
      <c r="AG84" s="92" t="s">
        <v>72</v>
      </c>
      <c r="AH84" s="125">
        <v>6241</v>
      </c>
      <c r="AI84" s="125" t="s">
        <v>72</v>
      </c>
      <c r="AJ84" s="125">
        <v>919</v>
      </c>
      <c r="AK84" s="125" t="s">
        <v>72</v>
      </c>
      <c r="AL84" s="125">
        <v>269</v>
      </c>
      <c r="AM84" s="125" t="s">
        <v>72</v>
      </c>
      <c r="AN84" s="125">
        <v>1323</v>
      </c>
      <c r="AO84" s="125" t="s">
        <v>72</v>
      </c>
      <c r="AP84" s="125">
        <v>3988</v>
      </c>
      <c r="AQ84" s="125" t="s">
        <v>72</v>
      </c>
      <c r="AR84" s="125">
        <v>736</v>
      </c>
      <c r="AS84" s="92" t="s">
        <v>72</v>
      </c>
      <c r="AT84" s="200" t="s">
        <v>1</v>
      </c>
      <c r="AU84" s="109" t="s">
        <v>1</v>
      </c>
      <c r="AV84" s="198">
        <v>477</v>
      </c>
      <c r="AW84" s="109" t="s">
        <v>1</v>
      </c>
      <c r="AX84" s="141" t="s">
        <v>1</v>
      </c>
      <c r="AY84" s="200" t="s">
        <v>1</v>
      </c>
      <c r="AZ84" s="108">
        <v>44</v>
      </c>
      <c r="BA84" s="109" t="s">
        <v>1</v>
      </c>
      <c r="BB84" s="141">
        <v>0.0922431865828092</v>
      </c>
      <c r="BC84" s="200" t="s">
        <v>1</v>
      </c>
      <c r="BD84" s="200" t="s">
        <v>1</v>
      </c>
      <c r="BE84" s="109" t="s">
        <v>1</v>
      </c>
      <c r="BF84" s="109" t="s">
        <v>1</v>
      </c>
      <c r="BG84" s="200" t="s">
        <v>1</v>
      </c>
      <c r="BH84" s="200" t="s">
        <v>1</v>
      </c>
      <c r="BI84" s="92" t="s">
        <v>176</v>
      </c>
      <c r="BJ84" s="92">
        <v>9</v>
      </c>
      <c r="BK84" s="92">
        <v>6058</v>
      </c>
      <c r="BL84" s="92" t="s">
        <v>72</v>
      </c>
      <c r="BM84" s="92" t="s">
        <v>73</v>
      </c>
      <c r="BN84" s="92">
        <v>67</v>
      </c>
      <c r="BO84" s="125">
        <v>2047</v>
      </c>
      <c r="BP84" s="92" t="s">
        <v>72</v>
      </c>
      <c r="BQ84" s="108" t="s">
        <v>1</v>
      </c>
      <c r="BR84" s="108" t="s">
        <v>1</v>
      </c>
      <c r="BS84" s="108" t="s">
        <v>1</v>
      </c>
      <c r="BT84" s="108" t="s">
        <v>1</v>
      </c>
      <c r="BU84" s="108" t="s">
        <v>1</v>
      </c>
      <c r="BV84" s="189" t="s">
        <v>1</v>
      </c>
      <c r="BW84" s="189" t="s">
        <v>1</v>
      </c>
      <c r="BX84" s="190" t="s">
        <v>1</v>
      </c>
      <c r="BY84" s="189" t="s">
        <v>1</v>
      </c>
      <c r="BZ84" s="190" t="s">
        <v>1</v>
      </c>
      <c r="CA84" s="189" t="s">
        <v>1</v>
      </c>
      <c r="CB84" s="191" t="s">
        <v>1</v>
      </c>
      <c r="CC84" s="189" t="s">
        <v>1</v>
      </c>
      <c r="CD84" s="293" t="s">
        <v>1</v>
      </c>
      <c r="CE84" s="189" t="s">
        <v>1</v>
      </c>
      <c r="CF84" s="108" t="s">
        <v>1</v>
      </c>
    </row>
    <row r="85" ht="28" customHeight="1" spans="1:84">
      <c r="A85" s="107">
        <v>45188</v>
      </c>
      <c r="B85" s="7" t="s">
        <v>126</v>
      </c>
      <c r="C85" s="92" t="s">
        <v>71</v>
      </c>
      <c r="D85" s="30" t="s">
        <v>1</v>
      </c>
      <c r="E85" s="30" t="s">
        <v>1</v>
      </c>
      <c r="F85" s="109" t="str">
        <f t="shared" si="3"/>
        <v/>
      </c>
      <c r="G85" s="109" t="s">
        <v>1</v>
      </c>
      <c r="H85" s="108" t="s">
        <v>1</v>
      </c>
      <c r="I85" s="109" t="s">
        <v>1</v>
      </c>
      <c r="J85" s="141" t="str">
        <f t="shared" si="4"/>
        <v/>
      </c>
      <c r="K85" s="211" t="s">
        <v>1</v>
      </c>
      <c r="L85" s="172">
        <v>145299</v>
      </c>
      <c r="M85" s="242" t="s">
        <v>72</v>
      </c>
      <c r="N85" s="109" t="s">
        <v>1</v>
      </c>
      <c r="O85" s="32" t="s">
        <v>1</v>
      </c>
      <c r="P85" s="109" t="s">
        <v>1</v>
      </c>
      <c r="Q85" s="141" t="e">
        <f t="shared" si="2"/>
        <v>#VALUE!</v>
      </c>
      <c r="R85" s="109" t="s">
        <v>1</v>
      </c>
      <c r="S85" s="109" t="s">
        <v>1</v>
      </c>
      <c r="T85" s="109" t="s">
        <v>1</v>
      </c>
      <c r="U85" s="109" t="s">
        <v>1</v>
      </c>
      <c r="V85" s="92" t="s">
        <v>1</v>
      </c>
      <c r="W85" s="92" t="s">
        <v>72</v>
      </c>
      <c r="X85" s="92" t="s">
        <v>1</v>
      </c>
      <c r="Y85" s="92" t="s">
        <v>72</v>
      </c>
      <c r="Z85" s="92" t="s">
        <v>1</v>
      </c>
      <c r="AA85" s="236" t="s">
        <v>72</v>
      </c>
      <c r="AB85" s="92" t="s">
        <v>1</v>
      </c>
      <c r="AC85" s="92" t="s">
        <v>72</v>
      </c>
      <c r="AD85" s="92" t="s">
        <v>1</v>
      </c>
      <c r="AE85" s="92" t="s">
        <v>72</v>
      </c>
      <c r="AF85" s="92" t="s">
        <v>1</v>
      </c>
      <c r="AG85" s="92" t="s">
        <v>72</v>
      </c>
      <c r="AH85" s="125">
        <v>6553</v>
      </c>
      <c r="AI85" s="125" t="s">
        <v>72</v>
      </c>
      <c r="AJ85" s="125">
        <v>719</v>
      </c>
      <c r="AK85" s="125" t="s">
        <v>72</v>
      </c>
      <c r="AL85" s="125">
        <v>229</v>
      </c>
      <c r="AM85" s="125" t="s">
        <v>72</v>
      </c>
      <c r="AN85" s="125">
        <v>1443</v>
      </c>
      <c r="AO85" s="125" t="s">
        <v>72</v>
      </c>
      <c r="AP85" s="125">
        <v>4080</v>
      </c>
      <c r="AQ85" s="125" t="s">
        <v>72</v>
      </c>
      <c r="AR85" s="125">
        <v>805</v>
      </c>
      <c r="AS85" s="92" t="s">
        <v>72</v>
      </c>
      <c r="AT85" s="200" t="s">
        <v>1</v>
      </c>
      <c r="AU85" s="109" t="s">
        <v>1</v>
      </c>
      <c r="AV85" s="198">
        <v>578</v>
      </c>
      <c r="AW85" s="109" t="s">
        <v>1</v>
      </c>
      <c r="AX85" s="141" t="s">
        <v>1</v>
      </c>
      <c r="AY85" s="200" t="s">
        <v>1</v>
      </c>
      <c r="AZ85" s="108">
        <v>66</v>
      </c>
      <c r="BA85" s="109" t="s">
        <v>1</v>
      </c>
      <c r="BB85" s="141">
        <v>0.114186851211073</v>
      </c>
      <c r="BC85" s="200" t="s">
        <v>1</v>
      </c>
      <c r="BD85" s="200" t="s">
        <v>1</v>
      </c>
      <c r="BE85" s="109" t="s">
        <v>1</v>
      </c>
      <c r="BF85" s="109" t="s">
        <v>1</v>
      </c>
      <c r="BG85" s="200" t="s">
        <v>1</v>
      </c>
      <c r="BH85" s="200" t="s">
        <v>1</v>
      </c>
      <c r="BI85" s="92" t="s">
        <v>176</v>
      </c>
      <c r="BJ85" s="92">
        <v>8</v>
      </c>
      <c r="BK85" s="92">
        <v>6284</v>
      </c>
      <c r="BL85" s="92" t="s">
        <v>72</v>
      </c>
      <c r="BM85" s="92" t="s">
        <v>73</v>
      </c>
      <c r="BN85" s="92">
        <v>58</v>
      </c>
      <c r="BO85" s="125">
        <v>2036</v>
      </c>
      <c r="BP85" s="92" t="s">
        <v>72</v>
      </c>
      <c r="BQ85" s="108" t="s">
        <v>1</v>
      </c>
      <c r="BR85" s="108" t="s">
        <v>1</v>
      </c>
      <c r="BS85" s="108" t="s">
        <v>1</v>
      </c>
      <c r="BT85" s="108" t="s">
        <v>1</v>
      </c>
      <c r="BU85" s="108" t="s">
        <v>1</v>
      </c>
      <c r="BV85" s="108" t="s">
        <v>1</v>
      </c>
      <c r="BW85" s="108" t="s">
        <v>1</v>
      </c>
      <c r="BX85" s="108" t="s">
        <v>1</v>
      </c>
      <c r="BY85" s="108" t="s">
        <v>1</v>
      </c>
      <c r="BZ85" s="108" t="s">
        <v>1</v>
      </c>
      <c r="CA85" s="108" t="s">
        <v>1</v>
      </c>
      <c r="CB85" s="108" t="s">
        <v>1</v>
      </c>
      <c r="CC85" s="108" t="s">
        <v>1</v>
      </c>
      <c r="CD85" s="108" t="s">
        <v>1</v>
      </c>
      <c r="CE85" s="108" t="s">
        <v>1</v>
      </c>
      <c r="CF85" s="108" t="s">
        <v>1</v>
      </c>
    </row>
    <row r="86" ht="28" customHeight="1" spans="1:84">
      <c r="A86" s="107">
        <v>45189</v>
      </c>
      <c r="B86" s="7" t="s">
        <v>125</v>
      </c>
      <c r="C86" s="92" t="s">
        <v>71</v>
      </c>
      <c r="D86" s="30" t="s">
        <v>1</v>
      </c>
      <c r="E86" s="30" t="s">
        <v>1</v>
      </c>
      <c r="F86" s="109" t="str">
        <f t="shared" si="3"/>
        <v/>
      </c>
      <c r="G86" s="109" t="s">
        <v>1</v>
      </c>
      <c r="H86" s="108" t="s">
        <v>1</v>
      </c>
      <c r="I86" s="109" t="s">
        <v>1</v>
      </c>
      <c r="J86" s="141" t="str">
        <f t="shared" si="4"/>
        <v/>
      </c>
      <c r="K86" s="211" t="s">
        <v>1</v>
      </c>
      <c r="L86" s="172">
        <v>92045.05</v>
      </c>
      <c r="M86" s="242" t="s">
        <v>72</v>
      </c>
      <c r="N86" s="109" t="s">
        <v>1</v>
      </c>
      <c r="O86" s="32" t="s">
        <v>1</v>
      </c>
      <c r="P86" s="109" t="s">
        <v>1</v>
      </c>
      <c r="Q86" s="141" t="e">
        <f t="shared" si="2"/>
        <v>#VALUE!</v>
      </c>
      <c r="R86" s="109" t="s">
        <v>1</v>
      </c>
      <c r="S86" s="109" t="s">
        <v>1</v>
      </c>
      <c r="T86" s="109" t="s">
        <v>1</v>
      </c>
      <c r="U86" s="109" t="s">
        <v>1</v>
      </c>
      <c r="V86" s="92" t="s">
        <v>1</v>
      </c>
      <c r="W86" s="92" t="s">
        <v>72</v>
      </c>
      <c r="X86" s="92" t="s">
        <v>1</v>
      </c>
      <c r="Y86" s="92" t="s">
        <v>72</v>
      </c>
      <c r="Z86" s="92" t="s">
        <v>1</v>
      </c>
      <c r="AA86" s="236" t="s">
        <v>72</v>
      </c>
      <c r="AB86" s="92" t="s">
        <v>1</v>
      </c>
      <c r="AC86" s="92" t="s">
        <v>72</v>
      </c>
      <c r="AD86" s="92" t="s">
        <v>1</v>
      </c>
      <c r="AE86" s="92" t="s">
        <v>72</v>
      </c>
      <c r="AF86" s="92" t="s">
        <v>1</v>
      </c>
      <c r="AG86" s="92" t="s">
        <v>72</v>
      </c>
      <c r="AH86" s="125">
        <v>6698</v>
      </c>
      <c r="AI86" s="125" t="s">
        <v>72</v>
      </c>
      <c r="AJ86" s="125">
        <v>609</v>
      </c>
      <c r="AK86" s="125" t="s">
        <v>72</v>
      </c>
      <c r="AL86" s="125">
        <v>182</v>
      </c>
      <c r="AM86" s="125" t="s">
        <v>72</v>
      </c>
      <c r="AN86" s="125">
        <v>1232</v>
      </c>
      <c r="AO86" s="125" t="s">
        <v>72</v>
      </c>
      <c r="AP86" s="125">
        <v>3713</v>
      </c>
      <c r="AQ86" s="125" t="s">
        <v>72</v>
      </c>
      <c r="AR86" s="125">
        <v>744</v>
      </c>
      <c r="AS86" s="92" t="s">
        <v>72</v>
      </c>
      <c r="AT86" s="200" t="s">
        <v>1</v>
      </c>
      <c r="AU86" s="109" t="s">
        <v>1</v>
      </c>
      <c r="AV86" s="198">
        <v>508</v>
      </c>
      <c r="AW86" s="109" t="s">
        <v>1</v>
      </c>
      <c r="AX86" s="141" t="s">
        <v>1</v>
      </c>
      <c r="AY86" s="200" t="s">
        <v>1</v>
      </c>
      <c r="AZ86" s="108">
        <v>57</v>
      </c>
      <c r="BA86" s="109" t="s">
        <v>1</v>
      </c>
      <c r="BB86" s="141">
        <v>0.112204724409449</v>
      </c>
      <c r="BC86" s="200" t="s">
        <v>1</v>
      </c>
      <c r="BD86" s="200" t="s">
        <v>1</v>
      </c>
      <c r="BE86" s="109" t="s">
        <v>1</v>
      </c>
      <c r="BF86" s="109" t="s">
        <v>1</v>
      </c>
      <c r="BG86" s="200" t="s">
        <v>1</v>
      </c>
      <c r="BH86" s="200" t="s">
        <v>1</v>
      </c>
      <c r="BI86" s="92" t="s">
        <v>176</v>
      </c>
      <c r="BJ86" s="92">
        <v>10</v>
      </c>
      <c r="BK86" s="92">
        <v>5374</v>
      </c>
      <c r="BL86" s="92" t="s">
        <v>72</v>
      </c>
      <c r="BM86" s="92" t="s">
        <v>73</v>
      </c>
      <c r="BN86" s="92">
        <v>66</v>
      </c>
      <c r="BO86" s="125">
        <v>1725</v>
      </c>
      <c r="BP86" s="92" t="s">
        <v>72</v>
      </c>
      <c r="BQ86" s="108" t="s">
        <v>1</v>
      </c>
      <c r="BR86" s="108" t="s">
        <v>1</v>
      </c>
      <c r="BS86" s="108" t="s">
        <v>1</v>
      </c>
      <c r="BT86" s="108" t="s">
        <v>1</v>
      </c>
      <c r="BU86" s="108" t="s">
        <v>1</v>
      </c>
      <c r="BV86" s="108" t="s">
        <v>1</v>
      </c>
      <c r="BW86" s="108" t="s">
        <v>1</v>
      </c>
      <c r="BX86" s="108" t="s">
        <v>1</v>
      </c>
      <c r="BY86" s="108" t="s">
        <v>1</v>
      </c>
      <c r="BZ86" s="108" t="s">
        <v>1</v>
      </c>
      <c r="CA86" s="108" t="s">
        <v>1</v>
      </c>
      <c r="CB86" s="108" t="s">
        <v>1</v>
      </c>
      <c r="CC86" s="108" t="s">
        <v>1</v>
      </c>
      <c r="CD86" s="108" t="s">
        <v>1</v>
      </c>
      <c r="CE86" s="108" t="s">
        <v>1</v>
      </c>
      <c r="CF86" s="108" t="s">
        <v>1</v>
      </c>
    </row>
    <row r="87" ht="28" customHeight="1" spans="1:84">
      <c r="A87" s="107">
        <v>45190</v>
      </c>
      <c r="B87" s="7" t="s">
        <v>89</v>
      </c>
      <c r="C87" s="92" t="s">
        <v>71</v>
      </c>
      <c r="D87" s="30" t="s">
        <v>1</v>
      </c>
      <c r="E87" s="30" t="s">
        <v>1</v>
      </c>
      <c r="F87" s="109" t="str">
        <f t="shared" si="3"/>
        <v/>
      </c>
      <c r="G87" s="109" t="s">
        <v>1</v>
      </c>
      <c r="H87" s="108" t="s">
        <v>1</v>
      </c>
      <c r="I87" s="109" t="s">
        <v>1</v>
      </c>
      <c r="J87" s="141" t="str">
        <f t="shared" si="4"/>
        <v/>
      </c>
      <c r="K87" s="211" t="s">
        <v>1</v>
      </c>
      <c r="L87" s="172">
        <v>68858</v>
      </c>
      <c r="M87" s="242" t="s">
        <v>72</v>
      </c>
      <c r="N87" s="109" t="s">
        <v>1</v>
      </c>
      <c r="O87" s="32" t="s">
        <v>1</v>
      </c>
      <c r="P87" s="109" t="s">
        <v>1</v>
      </c>
      <c r="Q87" s="141" t="e">
        <f t="shared" si="2"/>
        <v>#VALUE!</v>
      </c>
      <c r="R87" s="109" t="s">
        <v>1</v>
      </c>
      <c r="S87" s="109" t="s">
        <v>1</v>
      </c>
      <c r="T87" s="109" t="s">
        <v>1</v>
      </c>
      <c r="U87" s="109" t="s">
        <v>1</v>
      </c>
      <c r="V87" s="92" t="s">
        <v>1</v>
      </c>
      <c r="W87" s="92">
        <v>5</v>
      </c>
      <c r="X87" s="92" t="s">
        <v>1</v>
      </c>
      <c r="Y87" s="92">
        <v>2</v>
      </c>
      <c r="Z87" s="92" t="s">
        <v>1</v>
      </c>
      <c r="AA87" s="236">
        <v>2.5</v>
      </c>
      <c r="AB87" s="92" t="s">
        <v>1</v>
      </c>
      <c r="AC87" s="92">
        <v>162.5</v>
      </c>
      <c r="AD87" s="92" t="s">
        <v>1</v>
      </c>
      <c r="AE87" s="92" t="s">
        <v>72</v>
      </c>
      <c r="AF87" s="92" t="s">
        <v>1</v>
      </c>
      <c r="AG87" s="92">
        <v>0</v>
      </c>
      <c r="AH87" s="125">
        <v>5575</v>
      </c>
      <c r="AI87" s="125">
        <v>2</v>
      </c>
      <c r="AJ87" s="125">
        <v>685</v>
      </c>
      <c r="AK87" s="125" t="s">
        <v>72</v>
      </c>
      <c r="AL87" s="125">
        <v>141</v>
      </c>
      <c r="AM87" s="125" t="s">
        <v>72</v>
      </c>
      <c r="AN87" s="125">
        <v>1537</v>
      </c>
      <c r="AO87" s="125" t="s">
        <v>72</v>
      </c>
      <c r="AP87" s="125">
        <v>3284</v>
      </c>
      <c r="AQ87" s="125" t="s">
        <v>72</v>
      </c>
      <c r="AR87" s="125">
        <v>527</v>
      </c>
      <c r="AS87" s="92" t="s">
        <v>72</v>
      </c>
      <c r="AT87" s="200" t="s">
        <v>1</v>
      </c>
      <c r="AU87" s="109" t="s">
        <v>1</v>
      </c>
      <c r="AV87" s="198">
        <v>452</v>
      </c>
      <c r="AW87" s="109" t="s">
        <v>1</v>
      </c>
      <c r="AX87" s="141" t="s">
        <v>1</v>
      </c>
      <c r="AY87" s="200" t="s">
        <v>1</v>
      </c>
      <c r="AZ87" s="108">
        <v>40</v>
      </c>
      <c r="BA87" s="109" t="s">
        <v>1</v>
      </c>
      <c r="BB87" s="141">
        <v>0.0884955752212389</v>
      </c>
      <c r="BC87" s="200" t="s">
        <v>1</v>
      </c>
      <c r="BD87" s="200" t="s">
        <v>1</v>
      </c>
      <c r="BE87" s="109" t="s">
        <v>1</v>
      </c>
      <c r="BF87" s="109" t="s">
        <v>1</v>
      </c>
      <c r="BG87" s="200" t="s">
        <v>1</v>
      </c>
      <c r="BH87" s="200" t="s">
        <v>1</v>
      </c>
      <c r="BI87" s="92" t="s">
        <v>176</v>
      </c>
      <c r="BJ87" s="92">
        <v>9</v>
      </c>
      <c r="BK87" s="92">
        <v>5385</v>
      </c>
      <c r="BL87" s="92" t="s">
        <v>72</v>
      </c>
      <c r="BM87" s="92" t="s">
        <v>73</v>
      </c>
      <c r="BN87" s="92">
        <v>93</v>
      </c>
      <c r="BO87" s="125">
        <v>1434</v>
      </c>
      <c r="BP87" s="92" t="s">
        <v>72</v>
      </c>
      <c r="BQ87" s="108" t="s">
        <v>1</v>
      </c>
      <c r="BR87" s="108" t="s">
        <v>1</v>
      </c>
      <c r="BS87" s="108" t="s">
        <v>1</v>
      </c>
      <c r="BT87" s="108" t="s">
        <v>1</v>
      </c>
      <c r="BU87" s="108" t="s">
        <v>1</v>
      </c>
      <c r="BV87" s="108" t="s">
        <v>1</v>
      </c>
      <c r="BW87" s="108" t="s">
        <v>1</v>
      </c>
      <c r="BX87" s="108" t="s">
        <v>1</v>
      </c>
      <c r="BY87" s="108" t="s">
        <v>1</v>
      </c>
      <c r="BZ87" s="108" t="s">
        <v>1</v>
      </c>
      <c r="CA87" s="108" t="s">
        <v>1</v>
      </c>
      <c r="CB87" s="108" t="s">
        <v>1</v>
      </c>
      <c r="CC87" s="108" t="s">
        <v>1</v>
      </c>
      <c r="CD87" s="108" t="s">
        <v>1</v>
      </c>
      <c r="CE87" s="108" t="s">
        <v>1</v>
      </c>
      <c r="CF87" s="108" t="s">
        <v>1</v>
      </c>
    </row>
    <row r="88" ht="28" customHeight="1" spans="1:84">
      <c r="A88" s="107">
        <v>45191</v>
      </c>
      <c r="B88" s="7" t="s">
        <v>89</v>
      </c>
      <c r="C88" s="92" t="s">
        <v>71</v>
      </c>
      <c r="D88" s="30" t="s">
        <v>1</v>
      </c>
      <c r="E88" s="30" t="s">
        <v>1</v>
      </c>
      <c r="F88" s="109" t="str">
        <f t="shared" si="3"/>
        <v/>
      </c>
      <c r="G88" s="109" t="s">
        <v>1</v>
      </c>
      <c r="H88" s="108" t="s">
        <v>1</v>
      </c>
      <c r="I88" s="109" t="s">
        <v>1</v>
      </c>
      <c r="J88" s="141" t="str">
        <f t="shared" si="4"/>
        <v/>
      </c>
      <c r="K88" s="211" t="s">
        <v>1</v>
      </c>
      <c r="L88" s="30">
        <v>82093</v>
      </c>
      <c r="M88" s="242" t="s">
        <v>72</v>
      </c>
      <c r="N88" s="109" t="s">
        <v>1</v>
      </c>
      <c r="O88" s="32" t="s">
        <v>1</v>
      </c>
      <c r="P88" s="109" t="s">
        <v>1</v>
      </c>
      <c r="Q88" s="141" t="e">
        <f t="shared" si="2"/>
        <v>#VALUE!</v>
      </c>
      <c r="R88" s="109" t="s">
        <v>1</v>
      </c>
      <c r="S88" s="109" t="s">
        <v>1</v>
      </c>
      <c r="T88" s="109" t="s">
        <v>1</v>
      </c>
      <c r="U88" s="109" t="s">
        <v>1</v>
      </c>
      <c r="V88" s="92" t="s">
        <v>1</v>
      </c>
      <c r="W88" s="92">
        <v>11</v>
      </c>
      <c r="X88" s="92" t="s">
        <v>1</v>
      </c>
      <c r="Y88" s="92">
        <v>6</v>
      </c>
      <c r="Z88" s="92" t="s">
        <v>1</v>
      </c>
      <c r="AA88" s="236">
        <v>1.83</v>
      </c>
      <c r="AB88" s="92" t="s">
        <v>1</v>
      </c>
      <c r="AC88" s="92">
        <v>248.67</v>
      </c>
      <c r="AD88" s="92" t="s">
        <v>1</v>
      </c>
      <c r="AE88" s="92" t="s">
        <v>72</v>
      </c>
      <c r="AF88" s="92" t="s">
        <v>1</v>
      </c>
      <c r="AG88" s="92">
        <v>0</v>
      </c>
      <c r="AH88" s="125">
        <v>4939</v>
      </c>
      <c r="AI88" s="125">
        <v>6</v>
      </c>
      <c r="AJ88" s="125">
        <v>767</v>
      </c>
      <c r="AK88" s="125" t="s">
        <v>72</v>
      </c>
      <c r="AL88" s="125">
        <v>173</v>
      </c>
      <c r="AM88" s="125" t="s">
        <v>72</v>
      </c>
      <c r="AN88" s="125">
        <v>1458</v>
      </c>
      <c r="AO88" s="125">
        <v>1</v>
      </c>
      <c r="AP88" s="125">
        <v>2790</v>
      </c>
      <c r="AQ88" s="125" t="s">
        <v>72</v>
      </c>
      <c r="AR88" s="125">
        <v>627</v>
      </c>
      <c r="AS88" s="92" t="s">
        <v>72</v>
      </c>
      <c r="AT88" s="200" t="s">
        <v>1</v>
      </c>
      <c r="AU88" s="109" t="s">
        <v>1</v>
      </c>
      <c r="AV88" s="198">
        <v>425</v>
      </c>
      <c r="AW88" s="109" t="s">
        <v>1</v>
      </c>
      <c r="AX88" s="141" t="s">
        <v>1</v>
      </c>
      <c r="AY88" s="200" t="s">
        <v>1</v>
      </c>
      <c r="AZ88" s="108">
        <v>32</v>
      </c>
      <c r="BA88" s="109" t="s">
        <v>1</v>
      </c>
      <c r="BB88" s="141">
        <v>0.0752941176470588</v>
      </c>
      <c r="BC88" s="200" t="s">
        <v>1</v>
      </c>
      <c r="BD88" s="200" t="s">
        <v>1</v>
      </c>
      <c r="BE88" s="109" t="s">
        <v>1</v>
      </c>
      <c r="BF88" s="109" t="s">
        <v>1</v>
      </c>
      <c r="BG88" s="200" t="s">
        <v>1</v>
      </c>
      <c r="BH88" s="200" t="s">
        <v>1</v>
      </c>
      <c r="BI88" s="92" t="s">
        <v>102</v>
      </c>
      <c r="BJ88" s="92">
        <v>11</v>
      </c>
      <c r="BK88" s="92">
        <v>4703</v>
      </c>
      <c r="BL88" s="92" t="s">
        <v>72</v>
      </c>
      <c r="BM88" s="92" t="s">
        <v>74</v>
      </c>
      <c r="BN88" s="92">
        <v>114</v>
      </c>
      <c r="BO88" s="125">
        <v>1092</v>
      </c>
      <c r="BP88" s="92" t="s">
        <v>72</v>
      </c>
      <c r="BQ88" s="108" t="s">
        <v>1</v>
      </c>
      <c r="BR88" s="108" t="s">
        <v>1</v>
      </c>
      <c r="BS88" s="108" t="s">
        <v>1</v>
      </c>
      <c r="BT88" s="108" t="s">
        <v>1</v>
      </c>
      <c r="BU88" s="108" t="s">
        <v>1</v>
      </c>
      <c r="BV88" s="108" t="s">
        <v>1</v>
      </c>
      <c r="BW88" s="108" t="s">
        <v>1</v>
      </c>
      <c r="BX88" s="108" t="s">
        <v>1</v>
      </c>
      <c r="BY88" s="108" t="s">
        <v>1</v>
      </c>
      <c r="BZ88" s="108" t="s">
        <v>1</v>
      </c>
      <c r="CA88" s="108" t="s">
        <v>1</v>
      </c>
      <c r="CB88" s="108" t="s">
        <v>1</v>
      </c>
      <c r="CC88" s="108" t="s">
        <v>1</v>
      </c>
      <c r="CD88" s="108" t="s">
        <v>1</v>
      </c>
      <c r="CE88" s="108" t="s">
        <v>1</v>
      </c>
      <c r="CF88" s="108" t="s">
        <v>1</v>
      </c>
    </row>
    <row r="89" ht="28" customHeight="1" spans="1:84">
      <c r="A89" s="107">
        <v>45192</v>
      </c>
      <c r="B89" s="7" t="s">
        <v>89</v>
      </c>
      <c r="C89" s="92" t="s">
        <v>71</v>
      </c>
      <c r="D89" s="30" t="s">
        <v>1</v>
      </c>
      <c r="E89" s="30" t="s">
        <v>1</v>
      </c>
      <c r="F89" s="109" t="str">
        <f t="shared" si="3"/>
        <v/>
      </c>
      <c r="G89" s="109" t="s">
        <v>1</v>
      </c>
      <c r="H89" s="108" t="s">
        <v>1</v>
      </c>
      <c r="I89" s="109" t="s">
        <v>1</v>
      </c>
      <c r="J89" s="141" t="str">
        <f t="shared" si="4"/>
        <v/>
      </c>
      <c r="K89" s="211" t="s">
        <v>1</v>
      </c>
      <c r="L89" s="30">
        <v>102768</v>
      </c>
      <c r="M89" s="242" t="s">
        <v>72</v>
      </c>
      <c r="N89" s="109" t="s">
        <v>1</v>
      </c>
      <c r="O89" s="32" t="s">
        <v>1</v>
      </c>
      <c r="P89" s="109" t="s">
        <v>1</v>
      </c>
      <c r="Q89" s="141" t="e">
        <f t="shared" si="2"/>
        <v>#VALUE!</v>
      </c>
      <c r="R89" s="109" t="s">
        <v>1</v>
      </c>
      <c r="S89" s="109" t="s">
        <v>1</v>
      </c>
      <c r="T89" s="109" t="s">
        <v>1</v>
      </c>
      <c r="U89" s="109" t="s">
        <v>1</v>
      </c>
      <c r="V89" s="92" t="s">
        <v>1</v>
      </c>
      <c r="W89" s="92">
        <v>14</v>
      </c>
      <c r="X89" s="92" t="s">
        <v>1</v>
      </c>
      <c r="Y89" s="92">
        <v>6</v>
      </c>
      <c r="Z89" s="92" t="s">
        <v>1</v>
      </c>
      <c r="AA89" s="236">
        <v>2.33</v>
      </c>
      <c r="AB89" s="92" t="s">
        <v>1</v>
      </c>
      <c r="AC89" s="92">
        <v>217.5</v>
      </c>
      <c r="AD89" s="92" t="s">
        <v>1</v>
      </c>
      <c r="AE89" s="92" t="s">
        <v>72</v>
      </c>
      <c r="AF89" s="92" t="s">
        <v>1</v>
      </c>
      <c r="AG89" s="92">
        <v>0</v>
      </c>
      <c r="AH89" s="125">
        <v>5883</v>
      </c>
      <c r="AI89" s="125">
        <v>6</v>
      </c>
      <c r="AJ89" s="125">
        <v>965</v>
      </c>
      <c r="AK89" s="125" t="s">
        <v>72</v>
      </c>
      <c r="AL89" s="125">
        <v>194</v>
      </c>
      <c r="AM89" s="125" t="s">
        <v>72</v>
      </c>
      <c r="AN89" s="125">
        <v>1161</v>
      </c>
      <c r="AO89" s="125" t="s">
        <v>72</v>
      </c>
      <c r="AP89" s="125">
        <v>3479</v>
      </c>
      <c r="AQ89" s="125" t="s">
        <v>72</v>
      </c>
      <c r="AR89" s="125">
        <v>978</v>
      </c>
      <c r="AS89" s="92" t="s">
        <v>72</v>
      </c>
      <c r="AT89" s="200" t="s">
        <v>1</v>
      </c>
      <c r="AU89" s="109" t="s">
        <v>1</v>
      </c>
      <c r="AV89" s="198">
        <v>467</v>
      </c>
      <c r="AW89" s="109" t="s">
        <v>1</v>
      </c>
      <c r="AX89" s="141" t="s">
        <v>1</v>
      </c>
      <c r="AY89" s="200" t="s">
        <v>1</v>
      </c>
      <c r="AZ89" s="108">
        <v>44</v>
      </c>
      <c r="BA89" s="109" t="s">
        <v>1</v>
      </c>
      <c r="BB89" s="141">
        <v>0.0942184154175589</v>
      </c>
      <c r="BC89" s="200" t="s">
        <v>1</v>
      </c>
      <c r="BD89" s="200" t="s">
        <v>1</v>
      </c>
      <c r="BE89" s="109" t="s">
        <v>1</v>
      </c>
      <c r="BF89" s="109" t="s">
        <v>1</v>
      </c>
      <c r="BG89" s="200" t="s">
        <v>1</v>
      </c>
      <c r="BH89" s="200" t="s">
        <v>1</v>
      </c>
      <c r="BI89" s="92" t="s">
        <v>102</v>
      </c>
      <c r="BJ89" s="92">
        <v>13</v>
      </c>
      <c r="BK89" s="92">
        <v>5032</v>
      </c>
      <c r="BL89" s="92" t="s">
        <v>72</v>
      </c>
      <c r="BM89" s="92" t="s">
        <v>73</v>
      </c>
      <c r="BN89" s="92">
        <v>85</v>
      </c>
      <c r="BO89" s="125">
        <v>1560</v>
      </c>
      <c r="BP89" s="92" t="s">
        <v>72</v>
      </c>
      <c r="BQ89" s="108" t="s">
        <v>1</v>
      </c>
      <c r="BR89" s="108" t="s">
        <v>1</v>
      </c>
      <c r="BS89" s="108" t="s">
        <v>1</v>
      </c>
      <c r="BT89" s="108" t="s">
        <v>1</v>
      </c>
      <c r="BU89" s="108" t="s">
        <v>1</v>
      </c>
      <c r="BV89" s="108" t="s">
        <v>1</v>
      </c>
      <c r="BW89" s="108" t="s">
        <v>1</v>
      </c>
      <c r="BX89" s="108" t="s">
        <v>1</v>
      </c>
      <c r="BY89" s="108" t="s">
        <v>1</v>
      </c>
      <c r="BZ89" s="108" t="s">
        <v>1</v>
      </c>
      <c r="CA89" s="108" t="s">
        <v>1</v>
      </c>
      <c r="CB89" s="108" t="s">
        <v>1</v>
      </c>
      <c r="CC89" s="108" t="s">
        <v>1</v>
      </c>
      <c r="CD89" s="108" t="s">
        <v>1</v>
      </c>
      <c r="CE89" s="108" t="s">
        <v>1</v>
      </c>
      <c r="CF89" s="108" t="s">
        <v>1</v>
      </c>
    </row>
    <row r="90" ht="28" customHeight="1" spans="1:84">
      <c r="A90" s="107">
        <v>45193</v>
      </c>
      <c r="B90" s="7" t="s">
        <v>126</v>
      </c>
      <c r="C90" s="92" t="s">
        <v>71</v>
      </c>
      <c r="D90" s="30" t="s">
        <v>1</v>
      </c>
      <c r="E90" s="30" t="s">
        <v>1</v>
      </c>
      <c r="F90" s="109" t="str">
        <f t="shared" si="3"/>
        <v/>
      </c>
      <c r="G90" s="109" t="s">
        <v>1</v>
      </c>
      <c r="H90" s="108" t="s">
        <v>1</v>
      </c>
      <c r="I90" s="109" t="s">
        <v>1</v>
      </c>
      <c r="J90" s="141" t="str">
        <f t="shared" si="4"/>
        <v/>
      </c>
      <c r="K90" s="211" t="s">
        <v>1</v>
      </c>
      <c r="L90" s="172">
        <v>145253</v>
      </c>
      <c r="M90" s="244" t="s">
        <v>72</v>
      </c>
      <c r="N90" s="109" t="s">
        <v>1</v>
      </c>
      <c r="O90" s="32" t="s">
        <v>1</v>
      </c>
      <c r="P90" s="109" t="s">
        <v>1</v>
      </c>
      <c r="Q90" s="141" t="e">
        <f t="shared" si="2"/>
        <v>#VALUE!</v>
      </c>
      <c r="R90" s="109" t="s">
        <v>1</v>
      </c>
      <c r="S90" s="109" t="s">
        <v>1</v>
      </c>
      <c r="T90" s="109" t="s">
        <v>1</v>
      </c>
      <c r="U90" s="109" t="s">
        <v>1</v>
      </c>
      <c r="V90" s="92" t="s">
        <v>1</v>
      </c>
      <c r="W90" s="92">
        <v>1</v>
      </c>
      <c r="X90" s="92" t="s">
        <v>1</v>
      </c>
      <c r="Y90" s="92">
        <v>1</v>
      </c>
      <c r="Z90" s="92" t="s">
        <v>1</v>
      </c>
      <c r="AA90" s="236">
        <v>1</v>
      </c>
      <c r="AB90" s="92" t="s">
        <v>1</v>
      </c>
      <c r="AC90" s="92">
        <v>12</v>
      </c>
      <c r="AD90" s="92" t="s">
        <v>1</v>
      </c>
      <c r="AE90" s="92" t="s">
        <v>72</v>
      </c>
      <c r="AF90" s="92" t="s">
        <v>1</v>
      </c>
      <c r="AG90" s="92">
        <v>2</v>
      </c>
      <c r="AH90" s="125">
        <v>7332</v>
      </c>
      <c r="AI90" s="125">
        <v>1</v>
      </c>
      <c r="AJ90" s="125">
        <v>1081</v>
      </c>
      <c r="AK90" s="125" t="s">
        <v>72</v>
      </c>
      <c r="AL90" s="125">
        <v>203</v>
      </c>
      <c r="AM90" s="125" t="s">
        <v>72</v>
      </c>
      <c r="AN90" s="125">
        <v>1343</v>
      </c>
      <c r="AO90" s="125" t="s">
        <v>72</v>
      </c>
      <c r="AP90" s="125">
        <v>4430</v>
      </c>
      <c r="AQ90" s="125" t="s">
        <v>72</v>
      </c>
      <c r="AR90" s="125">
        <v>1163</v>
      </c>
      <c r="AS90" s="92" t="s">
        <v>72</v>
      </c>
      <c r="AT90" s="200" t="s">
        <v>1</v>
      </c>
      <c r="AU90" s="109" t="s">
        <v>1</v>
      </c>
      <c r="AV90" s="198">
        <v>563</v>
      </c>
      <c r="AW90" s="109" t="s">
        <v>1</v>
      </c>
      <c r="AX90" s="141" t="s">
        <v>1</v>
      </c>
      <c r="AY90" s="200" t="s">
        <v>1</v>
      </c>
      <c r="AZ90" s="108">
        <v>54</v>
      </c>
      <c r="BA90" s="109" t="s">
        <v>1</v>
      </c>
      <c r="BB90" s="141">
        <v>0.0959147424511545</v>
      </c>
      <c r="BC90" s="200" t="s">
        <v>1</v>
      </c>
      <c r="BD90" s="200" t="s">
        <v>1</v>
      </c>
      <c r="BE90" s="109" t="s">
        <v>1</v>
      </c>
      <c r="BF90" s="109" t="s">
        <v>1</v>
      </c>
      <c r="BG90" s="200" t="s">
        <v>1</v>
      </c>
      <c r="BH90" s="200" t="s">
        <v>1</v>
      </c>
      <c r="BI90" s="92" t="s">
        <v>176</v>
      </c>
      <c r="BJ90" s="92">
        <v>9</v>
      </c>
      <c r="BK90" s="92">
        <v>6695</v>
      </c>
      <c r="BL90" s="92" t="s">
        <v>72</v>
      </c>
      <c r="BM90" s="92" t="s">
        <v>73</v>
      </c>
      <c r="BN90" s="92">
        <v>70</v>
      </c>
      <c r="BO90" s="125">
        <v>2244</v>
      </c>
      <c r="BP90" s="92" t="s">
        <v>72</v>
      </c>
      <c r="BQ90" s="108" t="s">
        <v>1</v>
      </c>
      <c r="BR90" s="108" t="s">
        <v>1</v>
      </c>
      <c r="BS90" s="108" t="s">
        <v>1</v>
      </c>
      <c r="BT90" s="108" t="s">
        <v>1</v>
      </c>
      <c r="BU90" s="108" t="s">
        <v>1</v>
      </c>
      <c r="BV90" s="108" t="s">
        <v>1</v>
      </c>
      <c r="BW90" s="108" t="s">
        <v>1</v>
      </c>
      <c r="BX90" s="108" t="s">
        <v>1</v>
      </c>
      <c r="BY90" s="108" t="s">
        <v>1</v>
      </c>
      <c r="BZ90" s="108" t="s">
        <v>1</v>
      </c>
      <c r="CA90" s="108" t="s">
        <v>1</v>
      </c>
      <c r="CB90" s="108" t="s">
        <v>1</v>
      </c>
      <c r="CC90" s="108" t="s">
        <v>1</v>
      </c>
      <c r="CD90" s="108" t="s">
        <v>1</v>
      </c>
      <c r="CE90" s="108" t="s">
        <v>1</v>
      </c>
      <c r="CF90" s="108" t="s">
        <v>1</v>
      </c>
    </row>
    <row r="91" ht="28" customHeight="1" spans="1:84">
      <c r="A91" s="107">
        <v>45194</v>
      </c>
      <c r="B91" s="7" t="s">
        <v>125</v>
      </c>
      <c r="C91" s="109" t="s">
        <v>89</v>
      </c>
      <c r="D91" s="30" t="s">
        <v>1</v>
      </c>
      <c r="E91" s="30" t="s">
        <v>1</v>
      </c>
      <c r="F91" s="109" t="str">
        <f t="shared" si="3"/>
        <v/>
      </c>
      <c r="G91" s="109" t="s">
        <v>1</v>
      </c>
      <c r="H91" s="108" t="s">
        <v>1</v>
      </c>
      <c r="I91" s="109" t="s">
        <v>1</v>
      </c>
      <c r="J91" s="141" t="str">
        <f t="shared" si="4"/>
        <v/>
      </c>
      <c r="K91" s="211" t="s">
        <v>1</v>
      </c>
      <c r="L91" s="30">
        <v>91704</v>
      </c>
      <c r="M91" s="204">
        <v>0</v>
      </c>
      <c r="N91" s="242" t="s">
        <v>1</v>
      </c>
      <c r="O91" s="32" t="s">
        <v>1</v>
      </c>
      <c r="P91" s="109" t="s">
        <v>1</v>
      </c>
      <c r="Q91" s="141" t="e">
        <f t="shared" si="2"/>
        <v>#VALUE!</v>
      </c>
      <c r="R91" s="109" t="s">
        <v>1</v>
      </c>
      <c r="S91" s="109" t="s">
        <v>1</v>
      </c>
      <c r="T91" s="109" t="s">
        <v>1</v>
      </c>
      <c r="U91" s="109" t="s">
        <v>1</v>
      </c>
      <c r="V91" s="92" t="s">
        <v>1</v>
      </c>
      <c r="W91" s="92">
        <v>32</v>
      </c>
      <c r="X91" s="92" t="s">
        <v>1</v>
      </c>
      <c r="Y91" s="92">
        <v>18</v>
      </c>
      <c r="Z91" s="92" t="s">
        <v>1</v>
      </c>
      <c r="AA91" s="236">
        <v>1.78</v>
      </c>
      <c r="AB91" s="92" t="s">
        <v>1</v>
      </c>
      <c r="AC91" s="92">
        <v>50.94</v>
      </c>
      <c r="AD91" s="92" t="s">
        <v>1</v>
      </c>
      <c r="AE91" s="92" t="s">
        <v>72</v>
      </c>
      <c r="AF91" s="92" t="s">
        <v>1</v>
      </c>
      <c r="AG91" s="92">
        <v>0</v>
      </c>
      <c r="AH91" s="125">
        <v>6891</v>
      </c>
      <c r="AI91" s="125">
        <v>13</v>
      </c>
      <c r="AJ91" s="125">
        <v>638</v>
      </c>
      <c r="AK91" s="125">
        <v>6</v>
      </c>
      <c r="AL91" s="125">
        <v>1150</v>
      </c>
      <c r="AM91" s="125">
        <v>1</v>
      </c>
      <c r="AN91" s="125">
        <v>167</v>
      </c>
      <c r="AO91" s="125" t="s">
        <v>72</v>
      </c>
      <c r="AP91" s="125">
        <v>4047</v>
      </c>
      <c r="AQ91" s="125">
        <v>2</v>
      </c>
      <c r="AR91" s="125">
        <v>887</v>
      </c>
      <c r="AS91" s="92" t="s">
        <v>72</v>
      </c>
      <c r="AT91" s="200" t="s">
        <v>1</v>
      </c>
      <c r="AU91" s="109" t="s">
        <v>1</v>
      </c>
      <c r="AV91" s="198">
        <v>525</v>
      </c>
      <c r="AW91" s="109" t="s">
        <v>1</v>
      </c>
      <c r="AX91" s="141" t="s">
        <v>1</v>
      </c>
      <c r="AY91" s="200" t="s">
        <v>1</v>
      </c>
      <c r="AZ91" s="108">
        <v>45</v>
      </c>
      <c r="BA91" s="109" t="s">
        <v>1</v>
      </c>
      <c r="BB91" s="141">
        <v>0.0857142857142857</v>
      </c>
      <c r="BC91" s="200" t="s">
        <v>1</v>
      </c>
      <c r="BD91" s="200" t="s">
        <v>1</v>
      </c>
      <c r="BE91" s="109" t="s">
        <v>1</v>
      </c>
      <c r="BF91" s="109" t="s">
        <v>1</v>
      </c>
      <c r="BG91" s="200" t="s">
        <v>1</v>
      </c>
      <c r="BH91" s="200" t="s">
        <v>1</v>
      </c>
      <c r="BI91" s="92" t="s">
        <v>102</v>
      </c>
      <c r="BJ91" s="92">
        <v>11</v>
      </c>
      <c r="BK91" s="92">
        <v>6168</v>
      </c>
      <c r="BL91" s="92" t="s">
        <v>72</v>
      </c>
      <c r="BM91" s="92" t="s">
        <v>73</v>
      </c>
      <c r="BN91" s="92">
        <v>70</v>
      </c>
      <c r="BO91" s="125">
        <v>1999</v>
      </c>
      <c r="BP91" s="92" t="s">
        <v>72</v>
      </c>
      <c r="BQ91" s="108" t="s">
        <v>1</v>
      </c>
      <c r="BR91" s="108" t="s">
        <v>1</v>
      </c>
      <c r="BS91" s="108" t="s">
        <v>1</v>
      </c>
      <c r="BT91" s="108" t="s">
        <v>1</v>
      </c>
      <c r="BU91" s="108" t="s">
        <v>1</v>
      </c>
      <c r="BV91" s="108" t="s">
        <v>1</v>
      </c>
      <c r="BW91" s="108" t="s">
        <v>1</v>
      </c>
      <c r="BX91" s="108" t="s">
        <v>1</v>
      </c>
      <c r="BY91" s="108" t="s">
        <v>1</v>
      </c>
      <c r="BZ91" s="108" t="s">
        <v>1</v>
      </c>
      <c r="CA91" s="108" t="s">
        <v>1</v>
      </c>
      <c r="CB91" s="108" t="s">
        <v>1</v>
      </c>
      <c r="CC91" s="108" t="s">
        <v>1</v>
      </c>
      <c r="CD91" s="108" t="s">
        <v>1</v>
      </c>
      <c r="CE91" s="108" t="s">
        <v>1</v>
      </c>
      <c r="CF91" s="108" t="s">
        <v>1</v>
      </c>
    </row>
    <row r="92" ht="28" customHeight="1" spans="1:84">
      <c r="A92" s="107">
        <v>45195</v>
      </c>
      <c r="B92" s="7" t="s">
        <v>89</v>
      </c>
      <c r="C92" s="109" t="s">
        <v>89</v>
      </c>
      <c r="D92" s="30" t="s">
        <v>1</v>
      </c>
      <c r="E92" s="30" t="s">
        <v>1</v>
      </c>
      <c r="F92" s="109" t="str">
        <f t="shared" si="3"/>
        <v/>
      </c>
      <c r="G92" s="109" t="s">
        <v>1</v>
      </c>
      <c r="H92" s="108" t="s">
        <v>1</v>
      </c>
      <c r="I92" s="109" t="s">
        <v>1</v>
      </c>
      <c r="J92" s="141" t="str">
        <f t="shared" si="4"/>
        <v/>
      </c>
      <c r="K92" s="211" t="s">
        <v>1</v>
      </c>
      <c r="L92" s="172">
        <v>11296</v>
      </c>
      <c r="M92" s="204">
        <v>3599</v>
      </c>
      <c r="N92" s="242" t="s">
        <v>1</v>
      </c>
      <c r="O92" s="32" t="s">
        <v>1</v>
      </c>
      <c r="P92" s="109" t="s">
        <v>1</v>
      </c>
      <c r="Q92" s="141" t="e">
        <f t="shared" si="2"/>
        <v>#VALUE!</v>
      </c>
      <c r="R92" s="109" t="s">
        <v>1</v>
      </c>
      <c r="S92" s="109" t="s">
        <v>1</v>
      </c>
      <c r="T92" s="109" t="s">
        <v>1</v>
      </c>
      <c r="U92" s="109" t="s">
        <v>1</v>
      </c>
      <c r="V92" s="92" t="s">
        <v>1</v>
      </c>
      <c r="W92" s="92">
        <v>325</v>
      </c>
      <c r="X92" s="92" t="s">
        <v>1</v>
      </c>
      <c r="Y92" s="92">
        <v>156</v>
      </c>
      <c r="Z92" s="92" t="s">
        <v>1</v>
      </c>
      <c r="AA92" s="236">
        <v>2.08</v>
      </c>
      <c r="AB92" s="92" t="s">
        <v>1</v>
      </c>
      <c r="AC92" s="92">
        <v>94.16</v>
      </c>
      <c r="AD92" s="92" t="s">
        <v>1</v>
      </c>
      <c r="AE92" s="92" t="s">
        <v>72</v>
      </c>
      <c r="AF92" s="92" t="s">
        <v>1</v>
      </c>
      <c r="AG92" s="92">
        <v>0</v>
      </c>
      <c r="AH92" s="125">
        <v>5609</v>
      </c>
      <c r="AI92" s="125">
        <v>114</v>
      </c>
      <c r="AJ92" s="125">
        <v>659</v>
      </c>
      <c r="AK92" s="125">
        <v>60</v>
      </c>
      <c r="AL92" s="125">
        <v>1254</v>
      </c>
      <c r="AM92" s="125">
        <v>3</v>
      </c>
      <c r="AN92" s="125">
        <v>163</v>
      </c>
      <c r="AO92" s="125" t="s">
        <v>72</v>
      </c>
      <c r="AP92" s="125">
        <v>3319</v>
      </c>
      <c r="AQ92" s="125">
        <v>31</v>
      </c>
      <c r="AR92" s="125">
        <v>782</v>
      </c>
      <c r="AS92" s="92">
        <v>1</v>
      </c>
      <c r="AT92" s="200" t="s">
        <v>1</v>
      </c>
      <c r="AU92" s="109" t="s">
        <v>1</v>
      </c>
      <c r="AV92" s="198">
        <v>483</v>
      </c>
      <c r="AW92" s="109" t="s">
        <v>1</v>
      </c>
      <c r="AX92" s="141" t="s">
        <v>1</v>
      </c>
      <c r="AY92" s="200" t="s">
        <v>1</v>
      </c>
      <c r="AZ92" s="108">
        <v>0</v>
      </c>
      <c r="BA92" s="109" t="s">
        <v>1</v>
      </c>
      <c r="BB92" s="141">
        <v>0</v>
      </c>
      <c r="BC92" s="200" t="s">
        <v>1</v>
      </c>
      <c r="BD92" s="200" t="s">
        <v>1</v>
      </c>
      <c r="BE92" s="109" t="s">
        <v>1</v>
      </c>
      <c r="BF92" s="109" t="s">
        <v>1</v>
      </c>
      <c r="BG92" s="200" t="s">
        <v>1</v>
      </c>
      <c r="BH92" s="200" t="s">
        <v>1</v>
      </c>
      <c r="BI92" s="92" t="s">
        <v>102</v>
      </c>
      <c r="BJ92" s="92">
        <v>16</v>
      </c>
      <c r="BK92" s="92">
        <v>3997</v>
      </c>
      <c r="BL92" s="92" t="s">
        <v>72</v>
      </c>
      <c r="BM92" s="92" t="s">
        <v>74</v>
      </c>
      <c r="BN92" s="92">
        <v>107</v>
      </c>
      <c r="BO92" s="125">
        <v>1257</v>
      </c>
      <c r="BP92" s="92" t="s">
        <v>72</v>
      </c>
      <c r="BQ92" s="108" t="s">
        <v>1</v>
      </c>
      <c r="BR92" s="108" t="s">
        <v>1</v>
      </c>
      <c r="BS92" s="108" t="s">
        <v>1</v>
      </c>
      <c r="BT92" s="108" t="s">
        <v>1</v>
      </c>
      <c r="BU92" s="108" t="s">
        <v>1</v>
      </c>
      <c r="BV92" s="108" t="s">
        <v>1</v>
      </c>
      <c r="BW92" s="108" t="s">
        <v>1</v>
      </c>
      <c r="BX92" s="108" t="s">
        <v>1</v>
      </c>
      <c r="BY92" s="108" t="s">
        <v>1</v>
      </c>
      <c r="BZ92" s="108" t="s">
        <v>1</v>
      </c>
      <c r="CA92" s="108" t="s">
        <v>1</v>
      </c>
      <c r="CB92" s="108" t="s">
        <v>1</v>
      </c>
      <c r="CC92" s="108" t="s">
        <v>1</v>
      </c>
      <c r="CD92" s="108" t="s">
        <v>1</v>
      </c>
      <c r="CE92" s="108" t="s">
        <v>1</v>
      </c>
      <c r="CF92" s="108" t="s">
        <v>1</v>
      </c>
    </row>
    <row r="93" ht="28" customHeight="1" spans="1:84">
      <c r="A93" s="107">
        <v>45196</v>
      </c>
      <c r="B93" s="7" t="s">
        <v>89</v>
      </c>
      <c r="C93" s="109" t="s">
        <v>89</v>
      </c>
      <c r="D93" s="30" t="s">
        <v>1</v>
      </c>
      <c r="E93" s="30" t="s">
        <v>1</v>
      </c>
      <c r="F93" s="109" t="str">
        <f t="shared" si="3"/>
        <v/>
      </c>
      <c r="G93" s="109" t="s">
        <v>1</v>
      </c>
      <c r="H93" s="108" t="s">
        <v>1</v>
      </c>
      <c r="I93" s="109" t="s">
        <v>1</v>
      </c>
      <c r="J93" s="141" t="str">
        <f t="shared" si="4"/>
        <v/>
      </c>
      <c r="K93" s="211" t="s">
        <v>1</v>
      </c>
      <c r="L93" s="172">
        <v>8998</v>
      </c>
      <c r="M93" s="204">
        <v>6798</v>
      </c>
      <c r="N93" s="242" t="s">
        <v>1</v>
      </c>
      <c r="O93" s="32" t="s">
        <v>1</v>
      </c>
      <c r="P93" s="109" t="s">
        <v>1</v>
      </c>
      <c r="Q93" s="141" t="e">
        <f t="shared" si="2"/>
        <v>#VALUE!</v>
      </c>
      <c r="R93" s="109" t="s">
        <v>1</v>
      </c>
      <c r="S93" s="109" t="s">
        <v>1</v>
      </c>
      <c r="T93" s="109" t="s">
        <v>1</v>
      </c>
      <c r="U93" s="109" t="s">
        <v>1</v>
      </c>
      <c r="V93" s="92" t="s">
        <v>1</v>
      </c>
      <c r="W93" s="92">
        <v>702</v>
      </c>
      <c r="X93" s="92" t="s">
        <v>1</v>
      </c>
      <c r="Y93" s="92">
        <v>355</v>
      </c>
      <c r="Z93" s="92" t="s">
        <v>1</v>
      </c>
      <c r="AA93" s="236">
        <v>1.98</v>
      </c>
      <c r="AB93" s="92" t="s">
        <v>1</v>
      </c>
      <c r="AC93" s="92">
        <v>74.68</v>
      </c>
      <c r="AD93" s="92" t="s">
        <v>1</v>
      </c>
      <c r="AE93" s="92" t="s">
        <v>72</v>
      </c>
      <c r="AF93" s="92" t="s">
        <v>1</v>
      </c>
      <c r="AG93" s="92">
        <v>0</v>
      </c>
      <c r="AH93" s="125">
        <v>5281</v>
      </c>
      <c r="AI93" s="125">
        <v>257</v>
      </c>
      <c r="AJ93" s="125">
        <v>858</v>
      </c>
      <c r="AK93" s="125">
        <v>137</v>
      </c>
      <c r="AL93" s="125">
        <v>1140</v>
      </c>
      <c r="AM93" s="125">
        <v>4</v>
      </c>
      <c r="AN93" s="125">
        <v>182</v>
      </c>
      <c r="AO93" s="125">
        <v>5</v>
      </c>
      <c r="AP93" s="125">
        <v>2992</v>
      </c>
      <c r="AQ93" s="125">
        <v>84</v>
      </c>
      <c r="AR93" s="125">
        <v>677</v>
      </c>
      <c r="AS93" s="92">
        <v>25</v>
      </c>
      <c r="AT93" s="200" t="s">
        <v>1</v>
      </c>
      <c r="AU93" s="109" t="s">
        <v>1</v>
      </c>
      <c r="AV93" s="198">
        <v>391</v>
      </c>
      <c r="AW93" s="109" t="s">
        <v>1</v>
      </c>
      <c r="AX93" s="141" t="s">
        <v>1</v>
      </c>
      <c r="AY93" s="200" t="s">
        <v>1</v>
      </c>
      <c r="AZ93" s="108">
        <v>39</v>
      </c>
      <c r="BA93" s="109" t="s">
        <v>1</v>
      </c>
      <c r="BB93" s="141">
        <v>0.0997442455242967</v>
      </c>
      <c r="BC93" s="200" t="s">
        <v>1</v>
      </c>
      <c r="BD93" s="200" t="s">
        <v>1</v>
      </c>
      <c r="BE93" s="109" t="s">
        <v>1</v>
      </c>
      <c r="BF93" s="109" t="s">
        <v>1</v>
      </c>
      <c r="BG93" s="200" t="s">
        <v>1</v>
      </c>
      <c r="BH93" s="200" t="s">
        <v>1</v>
      </c>
      <c r="BI93" s="92" t="s">
        <v>102</v>
      </c>
      <c r="BJ93" s="92">
        <v>14</v>
      </c>
      <c r="BK93" s="92">
        <v>4421</v>
      </c>
      <c r="BL93" s="92" t="s">
        <v>72</v>
      </c>
      <c r="BM93" s="92" t="s">
        <v>73</v>
      </c>
      <c r="BN93" s="92">
        <v>93</v>
      </c>
      <c r="BO93" s="125">
        <v>1422</v>
      </c>
      <c r="BP93" s="92" t="s">
        <v>72</v>
      </c>
      <c r="BQ93" s="108" t="s">
        <v>1</v>
      </c>
      <c r="BR93" s="108" t="s">
        <v>1</v>
      </c>
      <c r="BS93" s="108" t="s">
        <v>1</v>
      </c>
      <c r="BT93" s="108" t="s">
        <v>1</v>
      </c>
      <c r="BU93" s="108" t="s">
        <v>1</v>
      </c>
      <c r="BV93" s="108" t="s">
        <v>1</v>
      </c>
      <c r="BW93" s="108" t="s">
        <v>1</v>
      </c>
      <c r="BX93" s="108" t="s">
        <v>1</v>
      </c>
      <c r="BY93" s="108" t="s">
        <v>1</v>
      </c>
      <c r="BZ93" s="108" t="s">
        <v>1</v>
      </c>
      <c r="CA93" s="108" t="s">
        <v>1</v>
      </c>
      <c r="CB93" s="108" t="s">
        <v>1</v>
      </c>
      <c r="CC93" s="108" t="s">
        <v>1</v>
      </c>
      <c r="CD93" s="108" t="s">
        <v>1</v>
      </c>
      <c r="CE93" s="108" t="s">
        <v>1</v>
      </c>
      <c r="CF93" s="108" t="s">
        <v>1</v>
      </c>
    </row>
    <row r="94" ht="28" customHeight="1" spans="1:84">
      <c r="A94" s="107">
        <v>45197</v>
      </c>
      <c r="B94" s="7" t="s">
        <v>126</v>
      </c>
      <c r="C94" s="109" t="s">
        <v>89</v>
      </c>
      <c r="D94" s="30" t="s">
        <v>1</v>
      </c>
      <c r="E94" s="30" t="s">
        <v>1</v>
      </c>
      <c r="F94" s="109" t="str">
        <f t="shared" si="3"/>
        <v/>
      </c>
      <c r="G94" s="109" t="s">
        <v>1</v>
      </c>
      <c r="H94" s="108" t="s">
        <v>1</v>
      </c>
      <c r="I94" s="109" t="s">
        <v>1</v>
      </c>
      <c r="J94" s="141" t="str">
        <f t="shared" si="4"/>
        <v/>
      </c>
      <c r="K94" s="211" t="s">
        <v>1</v>
      </c>
      <c r="L94" s="30">
        <v>128758</v>
      </c>
      <c r="M94" s="204">
        <v>21765</v>
      </c>
      <c r="N94" s="242" t="s">
        <v>1</v>
      </c>
      <c r="O94" s="32" t="s">
        <v>1</v>
      </c>
      <c r="P94" s="109" t="s">
        <v>1</v>
      </c>
      <c r="Q94" s="141" t="e">
        <f t="shared" si="2"/>
        <v>#VALUE!</v>
      </c>
      <c r="R94" s="109" t="s">
        <v>1</v>
      </c>
      <c r="S94" s="109" t="s">
        <v>1</v>
      </c>
      <c r="T94" s="109" t="s">
        <v>1</v>
      </c>
      <c r="U94" s="109" t="s">
        <v>1</v>
      </c>
      <c r="V94" s="92" t="s">
        <v>1</v>
      </c>
      <c r="W94" s="92">
        <v>2198</v>
      </c>
      <c r="X94" s="92" t="s">
        <v>1</v>
      </c>
      <c r="Y94" s="92">
        <v>1170</v>
      </c>
      <c r="Z94" s="92" t="s">
        <v>1</v>
      </c>
      <c r="AA94" s="236">
        <v>1.88</v>
      </c>
      <c r="AB94" s="92" t="s">
        <v>1</v>
      </c>
      <c r="AC94" s="92">
        <v>65.46</v>
      </c>
      <c r="AD94" s="92" t="s">
        <v>1</v>
      </c>
      <c r="AE94" s="92" t="s">
        <v>72</v>
      </c>
      <c r="AF94" s="92" t="s">
        <v>1</v>
      </c>
      <c r="AG94" s="92">
        <v>0</v>
      </c>
      <c r="AH94" s="125">
        <v>4771</v>
      </c>
      <c r="AI94" s="125">
        <v>517</v>
      </c>
      <c r="AJ94" s="125">
        <v>827</v>
      </c>
      <c r="AK94" s="125">
        <v>446</v>
      </c>
      <c r="AL94" s="125">
        <v>1446</v>
      </c>
      <c r="AM94" s="125">
        <v>17</v>
      </c>
      <c r="AN94" s="125">
        <v>180</v>
      </c>
      <c r="AO94" s="125">
        <v>426</v>
      </c>
      <c r="AP94" s="125">
        <v>2663</v>
      </c>
      <c r="AQ94" s="125">
        <v>169</v>
      </c>
      <c r="AR94" s="125">
        <v>591</v>
      </c>
      <c r="AS94" s="92">
        <v>105</v>
      </c>
      <c r="AT94" s="200" t="s">
        <v>1</v>
      </c>
      <c r="AU94" s="109" t="s">
        <v>1</v>
      </c>
      <c r="AV94" s="198">
        <v>428</v>
      </c>
      <c r="AW94" s="109" t="s">
        <v>1</v>
      </c>
      <c r="AX94" s="141" t="s">
        <v>1</v>
      </c>
      <c r="AY94" s="200" t="s">
        <v>1</v>
      </c>
      <c r="AZ94" s="108">
        <v>56</v>
      </c>
      <c r="BA94" s="109" t="s">
        <v>1</v>
      </c>
      <c r="BB94" s="141">
        <v>0.130841121495327</v>
      </c>
      <c r="BC94" s="200" t="s">
        <v>1</v>
      </c>
      <c r="BD94" s="200" t="s">
        <v>1</v>
      </c>
      <c r="BE94" s="109" t="s">
        <v>1</v>
      </c>
      <c r="BF94" s="109" t="s">
        <v>1</v>
      </c>
      <c r="BG94" s="200" t="s">
        <v>1</v>
      </c>
      <c r="BH94" s="200" t="s">
        <v>1</v>
      </c>
      <c r="BI94" s="92" t="s">
        <v>102</v>
      </c>
      <c r="BJ94" s="92">
        <v>14</v>
      </c>
      <c r="BK94" s="92">
        <v>3818</v>
      </c>
      <c r="BL94" s="92" t="s">
        <v>72</v>
      </c>
      <c r="BM94" s="92" t="s">
        <v>74</v>
      </c>
      <c r="BN94" s="92">
        <v>116</v>
      </c>
      <c r="BO94" s="125">
        <v>1160</v>
      </c>
      <c r="BP94" s="92" t="s">
        <v>72</v>
      </c>
      <c r="BQ94" s="108" t="s">
        <v>1</v>
      </c>
      <c r="BR94" s="108" t="s">
        <v>1</v>
      </c>
      <c r="BS94" s="108" t="s">
        <v>1</v>
      </c>
      <c r="BT94" s="108" t="s">
        <v>1</v>
      </c>
      <c r="BU94" s="108" t="s">
        <v>1</v>
      </c>
      <c r="BV94" s="108" t="s">
        <v>1</v>
      </c>
      <c r="BW94" s="108" t="s">
        <v>1</v>
      </c>
      <c r="BX94" s="108" t="s">
        <v>1</v>
      </c>
      <c r="BY94" s="108" t="s">
        <v>1</v>
      </c>
      <c r="BZ94" s="108" t="s">
        <v>1</v>
      </c>
      <c r="CA94" s="108" t="s">
        <v>1</v>
      </c>
      <c r="CB94" s="108" t="s">
        <v>1</v>
      </c>
      <c r="CC94" s="108" t="s">
        <v>1</v>
      </c>
      <c r="CD94" s="108" t="s">
        <v>1</v>
      </c>
      <c r="CE94" s="108" t="s">
        <v>1</v>
      </c>
      <c r="CF94" s="108" t="s">
        <v>1</v>
      </c>
    </row>
    <row r="95" ht="28" customHeight="1" spans="1:84">
      <c r="A95" s="107">
        <v>45198</v>
      </c>
      <c r="B95" s="7" t="s">
        <v>125</v>
      </c>
      <c r="C95" s="109" t="s">
        <v>89</v>
      </c>
      <c r="D95" s="30" t="s">
        <v>1</v>
      </c>
      <c r="E95" s="30" t="s">
        <v>1</v>
      </c>
      <c r="F95" s="109" t="str">
        <f t="shared" si="3"/>
        <v/>
      </c>
      <c r="G95" s="109" t="s">
        <v>1</v>
      </c>
      <c r="H95" s="108" t="s">
        <v>1</v>
      </c>
      <c r="I95" s="109" t="s">
        <v>1</v>
      </c>
      <c r="J95" s="141" t="str">
        <f t="shared" si="4"/>
        <v/>
      </c>
      <c r="K95" s="211" t="s">
        <v>1</v>
      </c>
      <c r="L95" s="30">
        <v>124609</v>
      </c>
      <c r="M95" s="204">
        <v>5849</v>
      </c>
      <c r="N95" s="242" t="s">
        <v>1</v>
      </c>
      <c r="O95" s="32" t="s">
        <v>1</v>
      </c>
      <c r="P95" s="109" t="s">
        <v>1</v>
      </c>
      <c r="Q95" s="141" t="e">
        <f t="shared" si="2"/>
        <v>#VALUE!</v>
      </c>
      <c r="R95" s="109" t="s">
        <v>1</v>
      </c>
      <c r="S95" s="109" t="s">
        <v>1</v>
      </c>
      <c r="T95" s="109" t="s">
        <v>1</v>
      </c>
      <c r="U95" s="109" t="s">
        <v>1</v>
      </c>
      <c r="V95" s="92" t="s">
        <v>1</v>
      </c>
      <c r="W95" s="92">
        <v>4449</v>
      </c>
      <c r="X95" s="92" t="s">
        <v>1</v>
      </c>
      <c r="Y95" s="92">
        <v>2544</v>
      </c>
      <c r="Z95" s="92" t="s">
        <v>1</v>
      </c>
      <c r="AA95" s="236">
        <v>1.75</v>
      </c>
      <c r="AB95" s="92" t="s">
        <v>1</v>
      </c>
      <c r="AC95" s="92">
        <v>70.47</v>
      </c>
      <c r="AD95" s="92" t="s">
        <v>1</v>
      </c>
      <c r="AE95" s="92" t="s">
        <v>72</v>
      </c>
      <c r="AF95" s="92" t="s">
        <v>1</v>
      </c>
      <c r="AG95" s="92">
        <v>0</v>
      </c>
      <c r="AH95" s="125">
        <v>4803</v>
      </c>
      <c r="AI95" s="125">
        <v>859</v>
      </c>
      <c r="AJ95" s="125">
        <v>936</v>
      </c>
      <c r="AK95" s="125">
        <v>789</v>
      </c>
      <c r="AL95" s="125">
        <v>1712</v>
      </c>
      <c r="AM95" s="125">
        <v>24</v>
      </c>
      <c r="AN95" s="125">
        <v>97</v>
      </c>
      <c r="AO95" s="125">
        <v>1376</v>
      </c>
      <c r="AP95" s="125">
        <v>2693</v>
      </c>
      <c r="AQ95" s="125">
        <v>243</v>
      </c>
      <c r="AR95" s="125">
        <v>632</v>
      </c>
      <c r="AS95" s="92">
        <v>180</v>
      </c>
      <c r="AT95" s="200" t="s">
        <v>1</v>
      </c>
      <c r="AU95" s="109" t="s">
        <v>1</v>
      </c>
      <c r="AV95" s="198">
        <v>366</v>
      </c>
      <c r="AW95" s="109" t="s">
        <v>1</v>
      </c>
      <c r="AX95" s="141" t="s">
        <v>1</v>
      </c>
      <c r="AY95" s="200" t="s">
        <v>1</v>
      </c>
      <c r="AZ95" s="108">
        <v>55</v>
      </c>
      <c r="BA95" s="109" t="s">
        <v>1</v>
      </c>
      <c r="BB95" s="141">
        <v>0.150273224043716</v>
      </c>
      <c r="BC95" s="200" t="s">
        <v>1</v>
      </c>
      <c r="BD95" s="200" t="s">
        <v>1</v>
      </c>
      <c r="BE95" s="109" t="s">
        <v>1</v>
      </c>
      <c r="BF95" s="109" t="s">
        <v>1</v>
      </c>
      <c r="BG95" s="200" t="s">
        <v>1</v>
      </c>
      <c r="BH95" s="200" t="s">
        <v>1</v>
      </c>
      <c r="BI95" s="92" t="s">
        <v>102</v>
      </c>
      <c r="BJ95" s="92">
        <v>14</v>
      </c>
      <c r="BK95" s="92">
        <v>4109</v>
      </c>
      <c r="BL95" s="92" t="s">
        <v>72</v>
      </c>
      <c r="BM95" s="92" t="s">
        <v>73</v>
      </c>
      <c r="BN95" s="92">
        <v>95</v>
      </c>
      <c r="BO95" s="125">
        <v>1706</v>
      </c>
      <c r="BP95" s="92" t="s">
        <v>72</v>
      </c>
      <c r="BQ95" s="108" t="s">
        <v>1</v>
      </c>
      <c r="BR95" s="108" t="s">
        <v>1</v>
      </c>
      <c r="BS95" s="108" t="s">
        <v>1</v>
      </c>
      <c r="BT95" s="108" t="s">
        <v>1</v>
      </c>
      <c r="BU95" s="108" t="s">
        <v>1</v>
      </c>
      <c r="BV95" s="108" t="s">
        <v>1</v>
      </c>
      <c r="BW95" s="108" t="s">
        <v>1</v>
      </c>
      <c r="BX95" s="108" t="s">
        <v>1</v>
      </c>
      <c r="BY95" s="108" t="s">
        <v>1</v>
      </c>
      <c r="BZ95" s="108" t="s">
        <v>1</v>
      </c>
      <c r="CA95" s="108" t="s">
        <v>1</v>
      </c>
      <c r="CB95" s="108" t="s">
        <v>1</v>
      </c>
      <c r="CC95" s="108" t="s">
        <v>1</v>
      </c>
      <c r="CD95" s="108" t="s">
        <v>1</v>
      </c>
      <c r="CE95" s="108" t="s">
        <v>1</v>
      </c>
      <c r="CF95" s="108" t="s">
        <v>1</v>
      </c>
    </row>
    <row r="96" ht="28" customHeight="1" spans="1:84">
      <c r="A96" s="107">
        <v>45199</v>
      </c>
      <c r="B96" s="7" t="s">
        <v>125</v>
      </c>
      <c r="C96" s="109" t="s">
        <v>126</v>
      </c>
      <c r="D96" s="30" t="s">
        <v>1</v>
      </c>
      <c r="E96" s="30" t="s">
        <v>1</v>
      </c>
      <c r="F96" s="109" t="str">
        <f t="shared" si="3"/>
        <v/>
      </c>
      <c r="G96" s="109" t="s">
        <v>1</v>
      </c>
      <c r="H96" s="108" t="s">
        <v>1</v>
      </c>
      <c r="I96" s="109" t="s">
        <v>1</v>
      </c>
      <c r="J96" s="141" t="str">
        <f t="shared" si="4"/>
        <v/>
      </c>
      <c r="K96" s="211" t="s">
        <v>1</v>
      </c>
      <c r="L96" s="30">
        <v>96365</v>
      </c>
      <c r="M96" s="205">
        <v>163189</v>
      </c>
      <c r="N96" s="242" t="s">
        <v>1</v>
      </c>
      <c r="O96" s="32" t="s">
        <v>1</v>
      </c>
      <c r="P96" s="109" t="s">
        <v>1</v>
      </c>
      <c r="Q96" s="141" t="e">
        <f t="shared" si="2"/>
        <v>#VALUE!</v>
      </c>
      <c r="R96" s="109" t="s">
        <v>1</v>
      </c>
      <c r="S96" s="109" t="s">
        <v>1</v>
      </c>
      <c r="T96" s="109" t="s">
        <v>1</v>
      </c>
      <c r="U96" s="109" t="s">
        <v>1</v>
      </c>
      <c r="V96" s="92" t="s">
        <v>1</v>
      </c>
      <c r="W96" s="92">
        <v>4822</v>
      </c>
      <c r="X96" s="92" t="s">
        <v>1</v>
      </c>
      <c r="Y96" s="92">
        <v>2290</v>
      </c>
      <c r="Z96" s="92" t="s">
        <v>1</v>
      </c>
      <c r="AA96" s="236">
        <v>2.11</v>
      </c>
      <c r="AB96" s="92" t="s">
        <v>1</v>
      </c>
      <c r="AC96" s="92">
        <v>74.44</v>
      </c>
      <c r="AD96" s="92" t="s">
        <v>1</v>
      </c>
      <c r="AE96" s="92" t="s">
        <v>72</v>
      </c>
      <c r="AF96" s="92" t="s">
        <v>1</v>
      </c>
      <c r="AG96" s="92">
        <v>46</v>
      </c>
      <c r="AH96" s="125">
        <v>6015</v>
      </c>
      <c r="AI96" s="125">
        <v>1105</v>
      </c>
      <c r="AJ96" s="125">
        <v>1013</v>
      </c>
      <c r="AK96" s="125">
        <v>931</v>
      </c>
      <c r="AL96" s="125">
        <v>1932</v>
      </c>
      <c r="AM96" s="125">
        <v>18</v>
      </c>
      <c r="AN96" s="125">
        <v>123</v>
      </c>
      <c r="AO96" s="125">
        <v>726</v>
      </c>
      <c r="AP96" s="125">
        <v>3383</v>
      </c>
      <c r="AQ96" s="125">
        <v>411</v>
      </c>
      <c r="AR96" s="125">
        <v>750</v>
      </c>
      <c r="AS96" s="92">
        <v>207</v>
      </c>
      <c r="AT96" s="200" t="s">
        <v>1</v>
      </c>
      <c r="AU96" s="109" t="s">
        <v>1</v>
      </c>
      <c r="AV96" s="198">
        <v>423</v>
      </c>
      <c r="AW96" s="109" t="s">
        <v>1</v>
      </c>
      <c r="AX96" s="141" t="s">
        <v>1</v>
      </c>
      <c r="AY96" s="200" t="s">
        <v>1</v>
      </c>
      <c r="AZ96" s="108">
        <v>39</v>
      </c>
      <c r="BA96" s="109" t="s">
        <v>1</v>
      </c>
      <c r="BB96" s="141">
        <v>0.0921985815602837</v>
      </c>
      <c r="BC96" s="200" t="s">
        <v>1</v>
      </c>
      <c r="BD96" s="200" t="s">
        <v>1</v>
      </c>
      <c r="BE96" s="109" t="s">
        <v>1</v>
      </c>
      <c r="BF96" s="109" t="s">
        <v>1</v>
      </c>
      <c r="BG96" s="200" t="s">
        <v>1</v>
      </c>
      <c r="BH96" s="200" t="s">
        <v>1</v>
      </c>
      <c r="BI96" s="92" t="s">
        <v>102</v>
      </c>
      <c r="BJ96" s="92">
        <v>11</v>
      </c>
      <c r="BK96" s="92">
        <v>4977</v>
      </c>
      <c r="BL96" s="92" t="s">
        <v>72</v>
      </c>
      <c r="BM96" s="92" t="s">
        <v>73</v>
      </c>
      <c r="BN96" s="92">
        <v>96</v>
      </c>
      <c r="BO96" s="125">
        <v>1833</v>
      </c>
      <c r="BP96" s="92" t="s">
        <v>72</v>
      </c>
      <c r="BQ96" s="108" t="s">
        <v>1</v>
      </c>
      <c r="BR96" s="108" t="s">
        <v>1</v>
      </c>
      <c r="BS96" s="108" t="s">
        <v>1</v>
      </c>
      <c r="BT96" s="108" t="s">
        <v>1</v>
      </c>
      <c r="BU96" s="108" t="s">
        <v>1</v>
      </c>
      <c r="BV96" s="108" t="s">
        <v>1</v>
      </c>
      <c r="BW96" s="108" t="s">
        <v>1</v>
      </c>
      <c r="BX96" s="108" t="s">
        <v>1</v>
      </c>
      <c r="BY96" s="108" t="s">
        <v>1</v>
      </c>
      <c r="BZ96" s="108" t="s">
        <v>1</v>
      </c>
      <c r="CA96" s="108" t="s">
        <v>1</v>
      </c>
      <c r="CB96" s="108" t="s">
        <v>1</v>
      </c>
      <c r="CC96" s="108" t="s">
        <v>1</v>
      </c>
      <c r="CD96" s="108" t="s">
        <v>1</v>
      </c>
      <c r="CE96" s="108" t="s">
        <v>1</v>
      </c>
      <c r="CF96" s="108" t="s">
        <v>1</v>
      </c>
    </row>
    <row r="97" ht="28" customHeight="1" spans="1:84">
      <c r="A97" s="107">
        <v>45200</v>
      </c>
      <c r="B97" s="108" t="s">
        <v>125</v>
      </c>
      <c r="C97" s="109" t="s">
        <v>1</v>
      </c>
      <c r="D97" s="30" t="s">
        <v>1</v>
      </c>
      <c r="E97" s="30" t="s">
        <v>1</v>
      </c>
      <c r="F97" s="109" t="str">
        <f t="shared" si="3"/>
        <v/>
      </c>
      <c r="G97" s="109" t="s">
        <v>1</v>
      </c>
      <c r="H97" s="108" t="s">
        <v>1</v>
      </c>
      <c r="I97" s="109" t="s">
        <v>1</v>
      </c>
      <c r="J97" s="141" t="str">
        <f t="shared" si="4"/>
        <v/>
      </c>
      <c r="K97" s="211" t="s">
        <v>1</v>
      </c>
      <c r="L97" s="215">
        <v>128824</v>
      </c>
      <c r="M97" s="30">
        <v>151802</v>
      </c>
      <c r="N97" s="242" t="s">
        <v>1</v>
      </c>
      <c r="O97" s="32" t="s">
        <v>1</v>
      </c>
      <c r="P97" s="109" t="s">
        <v>1</v>
      </c>
      <c r="Q97" s="141" t="e">
        <f t="shared" si="2"/>
        <v>#VALUE!</v>
      </c>
      <c r="R97" s="109" t="s">
        <v>1</v>
      </c>
      <c r="S97" s="109" t="s">
        <v>1</v>
      </c>
      <c r="T97" s="109" t="s">
        <v>1</v>
      </c>
      <c r="U97" s="109" t="s">
        <v>1</v>
      </c>
      <c r="V97" s="92" t="s">
        <v>1</v>
      </c>
      <c r="W97" s="92">
        <v>4079</v>
      </c>
      <c r="X97" s="92" t="s">
        <v>1</v>
      </c>
      <c r="Y97" s="92">
        <v>2093</v>
      </c>
      <c r="Z97" s="92" t="s">
        <v>1</v>
      </c>
      <c r="AA97" s="236">
        <v>1.95</v>
      </c>
      <c r="AB97" s="92" t="s">
        <v>1</v>
      </c>
      <c r="AC97" s="92">
        <v>68.84</v>
      </c>
      <c r="AD97" s="92" t="s">
        <v>1</v>
      </c>
      <c r="AE97" s="92" t="s">
        <v>72</v>
      </c>
      <c r="AF97" s="92" t="s">
        <v>1</v>
      </c>
      <c r="AG97" s="92">
        <v>89</v>
      </c>
      <c r="AH97" s="125">
        <v>5765</v>
      </c>
      <c r="AI97" s="125">
        <v>1046</v>
      </c>
      <c r="AJ97" s="125">
        <v>939</v>
      </c>
      <c r="AK97" s="125">
        <v>709</v>
      </c>
      <c r="AL97" s="125">
        <v>1797</v>
      </c>
      <c r="AM97" s="125">
        <v>8</v>
      </c>
      <c r="AN97" s="125">
        <v>116</v>
      </c>
      <c r="AO97" s="125">
        <v>732</v>
      </c>
      <c r="AP97" s="125">
        <v>3281</v>
      </c>
      <c r="AQ97" s="125">
        <v>491</v>
      </c>
      <c r="AR97" s="125">
        <v>757</v>
      </c>
      <c r="AS97" s="92">
        <v>177</v>
      </c>
      <c r="AT97" s="200" t="s">
        <v>1</v>
      </c>
      <c r="AU97" s="109" t="s">
        <v>1</v>
      </c>
      <c r="AV97" s="198">
        <v>0</v>
      </c>
      <c r="AW97" s="109" t="s">
        <v>1</v>
      </c>
      <c r="AX97" s="141" t="s">
        <v>1</v>
      </c>
      <c r="AY97" s="200" t="s">
        <v>1</v>
      </c>
      <c r="AZ97" s="108">
        <v>0</v>
      </c>
      <c r="BA97" s="109" t="s">
        <v>1</v>
      </c>
      <c r="BB97" s="141" t="s">
        <v>103</v>
      </c>
      <c r="BC97" s="200" t="s">
        <v>1</v>
      </c>
      <c r="BD97" s="200" t="s">
        <v>1</v>
      </c>
      <c r="BE97" s="109" t="s">
        <v>1</v>
      </c>
      <c r="BF97" s="109" t="s">
        <v>1</v>
      </c>
      <c r="BG97" s="200" t="s">
        <v>1</v>
      </c>
      <c r="BH97" s="200" t="s">
        <v>1</v>
      </c>
      <c r="BI97" s="92" t="s">
        <v>102</v>
      </c>
      <c r="BJ97" s="92">
        <v>16</v>
      </c>
      <c r="BK97" s="92">
        <v>4053</v>
      </c>
      <c r="BL97" s="92">
        <v>642</v>
      </c>
      <c r="BM97" s="92" t="s">
        <v>74</v>
      </c>
      <c r="BN97" s="92">
        <v>133</v>
      </c>
      <c r="BO97" s="125">
        <v>1326</v>
      </c>
      <c r="BP97" s="92">
        <v>228</v>
      </c>
      <c r="BQ97" s="108" t="s">
        <v>1</v>
      </c>
      <c r="BR97" s="108" t="s">
        <v>1</v>
      </c>
      <c r="BS97" s="108" t="s">
        <v>1</v>
      </c>
      <c r="BT97" s="108" t="s">
        <v>1</v>
      </c>
      <c r="BU97" s="108" t="s">
        <v>1</v>
      </c>
      <c r="BV97" s="108" t="s">
        <v>1</v>
      </c>
      <c r="BW97" s="108" t="s">
        <v>1</v>
      </c>
      <c r="BX97" s="108" t="s">
        <v>1</v>
      </c>
      <c r="BY97" s="108" t="s">
        <v>1</v>
      </c>
      <c r="BZ97" s="108" t="s">
        <v>1</v>
      </c>
      <c r="CA97" s="108" t="s">
        <v>1</v>
      </c>
      <c r="CB97" s="108" t="s">
        <v>1</v>
      </c>
      <c r="CC97" s="108" t="s">
        <v>1</v>
      </c>
      <c r="CD97" s="108" t="s">
        <v>1</v>
      </c>
      <c r="CE97" s="108" t="s">
        <v>1</v>
      </c>
      <c r="CF97" s="108" t="s">
        <v>1</v>
      </c>
    </row>
    <row r="98" ht="28" customHeight="1" spans="1:84">
      <c r="A98" s="107">
        <v>45201</v>
      </c>
      <c r="B98" s="108" t="s">
        <v>125</v>
      </c>
      <c r="C98" s="109" t="s">
        <v>1</v>
      </c>
      <c r="D98" s="30" t="s">
        <v>1</v>
      </c>
      <c r="E98" s="30" t="s">
        <v>1</v>
      </c>
      <c r="F98" s="109" t="str">
        <f t="shared" si="3"/>
        <v/>
      </c>
      <c r="G98" s="109" t="s">
        <v>1</v>
      </c>
      <c r="H98" s="108" t="s">
        <v>1</v>
      </c>
      <c r="I98" s="109" t="s">
        <v>1</v>
      </c>
      <c r="J98" s="141" t="str">
        <f t="shared" si="4"/>
        <v/>
      </c>
      <c r="K98" s="211" t="s">
        <v>1</v>
      </c>
      <c r="L98" s="215">
        <v>117401</v>
      </c>
      <c r="M98" s="30">
        <v>37621</v>
      </c>
      <c r="N98" s="242" t="s">
        <v>1</v>
      </c>
      <c r="O98" s="32" t="s">
        <v>1</v>
      </c>
      <c r="P98" s="109" t="s">
        <v>1</v>
      </c>
      <c r="Q98" s="141" t="e">
        <f t="shared" si="2"/>
        <v>#VALUE!</v>
      </c>
      <c r="R98" s="109" t="s">
        <v>1</v>
      </c>
      <c r="S98" s="109" t="s">
        <v>1</v>
      </c>
      <c r="T98" s="109" t="s">
        <v>1</v>
      </c>
      <c r="U98" s="109" t="s">
        <v>1</v>
      </c>
      <c r="V98" s="92" t="s">
        <v>1</v>
      </c>
      <c r="W98" s="92">
        <v>1536</v>
      </c>
      <c r="X98" s="92" t="s">
        <v>1</v>
      </c>
      <c r="Y98" s="92">
        <v>722</v>
      </c>
      <c r="Z98" s="92" t="s">
        <v>1</v>
      </c>
      <c r="AA98" s="236">
        <v>2.13</v>
      </c>
      <c r="AB98" s="92" t="s">
        <v>1</v>
      </c>
      <c r="AC98" s="92">
        <v>60.79</v>
      </c>
      <c r="AD98" s="92" t="s">
        <v>1</v>
      </c>
      <c r="AE98" s="92" t="s">
        <v>72</v>
      </c>
      <c r="AF98" s="92" t="s">
        <v>1</v>
      </c>
      <c r="AG98" s="92">
        <v>35</v>
      </c>
      <c r="AH98" s="125">
        <v>5659</v>
      </c>
      <c r="AI98" s="125">
        <v>541</v>
      </c>
      <c r="AJ98" s="125">
        <v>781</v>
      </c>
      <c r="AK98" s="125">
        <v>249</v>
      </c>
      <c r="AL98" s="125">
        <v>1311</v>
      </c>
      <c r="AM98" s="125">
        <v>5</v>
      </c>
      <c r="AN98" s="125">
        <v>153</v>
      </c>
      <c r="AO98" s="125">
        <v>27</v>
      </c>
      <c r="AP98" s="125">
        <v>3333</v>
      </c>
      <c r="AQ98" s="125">
        <v>296</v>
      </c>
      <c r="AR98" s="125">
        <v>729</v>
      </c>
      <c r="AS98" s="125">
        <v>76</v>
      </c>
      <c r="AT98" s="200" t="s">
        <v>1</v>
      </c>
      <c r="AU98" s="109" t="s">
        <v>1</v>
      </c>
      <c r="AV98" s="198">
        <v>0</v>
      </c>
      <c r="AW98" s="109" t="s">
        <v>1</v>
      </c>
      <c r="AX98" s="141" t="s">
        <v>1</v>
      </c>
      <c r="AY98" s="200" t="s">
        <v>1</v>
      </c>
      <c r="AZ98" s="108">
        <v>0</v>
      </c>
      <c r="BA98" s="109" t="s">
        <v>1</v>
      </c>
      <c r="BB98" s="141" t="s">
        <v>103</v>
      </c>
      <c r="BC98" s="200" t="s">
        <v>1</v>
      </c>
      <c r="BD98" s="200" t="s">
        <v>1</v>
      </c>
      <c r="BE98" s="109" t="s">
        <v>1</v>
      </c>
      <c r="BF98" s="109" t="s">
        <v>1</v>
      </c>
      <c r="BG98" s="200" t="s">
        <v>1</v>
      </c>
      <c r="BH98" s="200" t="s">
        <v>1</v>
      </c>
      <c r="BI98" s="92" t="s">
        <v>102</v>
      </c>
      <c r="BJ98" s="92">
        <v>14</v>
      </c>
      <c r="BK98" s="92">
        <v>4334</v>
      </c>
      <c r="BL98" s="92">
        <v>255</v>
      </c>
      <c r="BM98" s="92" t="s">
        <v>74</v>
      </c>
      <c r="BN98" s="92">
        <v>102</v>
      </c>
      <c r="BO98" s="125">
        <v>1484</v>
      </c>
      <c r="BP98" s="92">
        <v>116</v>
      </c>
      <c r="BQ98" s="108" t="s">
        <v>1</v>
      </c>
      <c r="BR98" s="108" t="s">
        <v>1</v>
      </c>
      <c r="BS98" s="108" t="s">
        <v>1</v>
      </c>
      <c r="BT98" s="108" t="s">
        <v>1</v>
      </c>
      <c r="BU98" s="108" t="s">
        <v>1</v>
      </c>
      <c r="BV98" s="108" t="s">
        <v>1</v>
      </c>
      <c r="BW98" s="108" t="s">
        <v>1</v>
      </c>
      <c r="BX98" s="108" t="s">
        <v>1</v>
      </c>
      <c r="BY98" s="108" t="s">
        <v>1</v>
      </c>
      <c r="BZ98" s="108" t="s">
        <v>1</v>
      </c>
      <c r="CA98" s="108" t="s">
        <v>1</v>
      </c>
      <c r="CB98" s="108" t="s">
        <v>1</v>
      </c>
      <c r="CC98" s="108" t="s">
        <v>1</v>
      </c>
      <c r="CD98" s="108" t="s">
        <v>1</v>
      </c>
      <c r="CE98" s="108" t="s">
        <v>1</v>
      </c>
      <c r="CF98" s="108" t="s">
        <v>1</v>
      </c>
    </row>
    <row r="99" ht="28" customHeight="1" spans="1:84">
      <c r="A99" s="107">
        <v>45202</v>
      </c>
      <c r="B99" s="108" t="s">
        <v>125</v>
      </c>
      <c r="C99" s="109" t="s">
        <v>1</v>
      </c>
      <c r="D99" s="30" t="s">
        <v>1</v>
      </c>
      <c r="E99" s="30" t="s">
        <v>1</v>
      </c>
      <c r="F99" s="109" t="str">
        <f t="shared" si="3"/>
        <v/>
      </c>
      <c r="G99" s="109" t="s">
        <v>1</v>
      </c>
      <c r="H99" s="108" t="s">
        <v>1</v>
      </c>
      <c r="I99" s="109" t="s">
        <v>1</v>
      </c>
      <c r="J99" s="141" t="str">
        <f t="shared" si="4"/>
        <v/>
      </c>
      <c r="K99" s="211" t="s">
        <v>1</v>
      </c>
      <c r="L99" s="215">
        <v>96547</v>
      </c>
      <c r="M99" s="30">
        <v>36828</v>
      </c>
      <c r="N99" s="242" t="s">
        <v>1</v>
      </c>
      <c r="O99" s="32" t="s">
        <v>1</v>
      </c>
      <c r="P99" s="109" t="s">
        <v>1</v>
      </c>
      <c r="Q99" s="141" t="e">
        <f t="shared" si="2"/>
        <v>#VALUE!</v>
      </c>
      <c r="R99" s="109" t="s">
        <v>1</v>
      </c>
      <c r="S99" s="109" t="s">
        <v>1</v>
      </c>
      <c r="T99" s="109" t="s">
        <v>1</v>
      </c>
      <c r="U99" s="109" t="s">
        <v>1</v>
      </c>
      <c r="V99" s="92" t="s">
        <v>1</v>
      </c>
      <c r="W99" s="92">
        <v>1727</v>
      </c>
      <c r="X99" s="92" t="s">
        <v>1</v>
      </c>
      <c r="Y99" s="92">
        <v>825</v>
      </c>
      <c r="Z99" s="92" t="s">
        <v>1</v>
      </c>
      <c r="AA99" s="236">
        <v>2.09</v>
      </c>
      <c r="AB99" s="92" t="s">
        <v>1</v>
      </c>
      <c r="AC99" s="92">
        <v>72.02</v>
      </c>
      <c r="AD99" s="92" t="s">
        <v>1</v>
      </c>
      <c r="AE99" s="92" t="s">
        <v>72</v>
      </c>
      <c r="AF99" s="92" t="s">
        <v>1</v>
      </c>
      <c r="AG99" s="92">
        <v>51</v>
      </c>
      <c r="AH99" s="125">
        <v>5966</v>
      </c>
      <c r="AI99" s="125">
        <v>577</v>
      </c>
      <c r="AJ99" s="125">
        <v>686</v>
      </c>
      <c r="AK99" s="125">
        <v>313</v>
      </c>
      <c r="AL99" s="125">
        <v>1217</v>
      </c>
      <c r="AM99" s="125">
        <v>17</v>
      </c>
      <c r="AN99" s="125">
        <v>176</v>
      </c>
      <c r="AO99" s="125">
        <v>13</v>
      </c>
      <c r="AP99" s="125">
        <v>3608</v>
      </c>
      <c r="AQ99" s="125">
        <v>285</v>
      </c>
      <c r="AR99" s="125">
        <v>644</v>
      </c>
      <c r="AS99" s="125">
        <v>69</v>
      </c>
      <c r="AT99" s="200" t="s">
        <v>1</v>
      </c>
      <c r="AU99" s="109" t="s">
        <v>1</v>
      </c>
      <c r="AV99" s="198">
        <v>0</v>
      </c>
      <c r="AW99" s="109" t="s">
        <v>1</v>
      </c>
      <c r="AX99" s="141" t="s">
        <v>1</v>
      </c>
      <c r="AY99" s="200" t="s">
        <v>1</v>
      </c>
      <c r="AZ99" s="108">
        <v>0</v>
      </c>
      <c r="BA99" s="109" t="s">
        <v>1</v>
      </c>
      <c r="BB99" s="141" t="s">
        <v>103</v>
      </c>
      <c r="BC99" s="200" t="s">
        <v>1</v>
      </c>
      <c r="BD99" s="200" t="s">
        <v>1</v>
      </c>
      <c r="BE99" s="109" t="s">
        <v>1</v>
      </c>
      <c r="BF99" s="109" t="s">
        <v>1</v>
      </c>
      <c r="BG99" s="200" t="s">
        <v>1</v>
      </c>
      <c r="BH99" s="200" t="s">
        <v>1</v>
      </c>
      <c r="BI99" s="92" t="s">
        <v>102</v>
      </c>
      <c r="BJ99" s="92">
        <v>15</v>
      </c>
      <c r="BK99" s="92">
        <v>4467</v>
      </c>
      <c r="BL99" s="92">
        <v>258</v>
      </c>
      <c r="BM99" s="92" t="s">
        <v>73</v>
      </c>
      <c r="BN99" s="92">
        <v>90</v>
      </c>
      <c r="BO99" s="125">
        <v>1579</v>
      </c>
      <c r="BP99" s="92">
        <v>94</v>
      </c>
      <c r="BQ99" s="108" t="s">
        <v>1</v>
      </c>
      <c r="BR99" s="108" t="s">
        <v>1</v>
      </c>
      <c r="BS99" s="108" t="s">
        <v>1</v>
      </c>
      <c r="BT99" s="108" t="s">
        <v>1</v>
      </c>
      <c r="BU99" s="108" t="s">
        <v>1</v>
      </c>
      <c r="BV99" s="108" t="s">
        <v>1</v>
      </c>
      <c r="BW99" s="108" t="s">
        <v>1</v>
      </c>
      <c r="BX99" s="108" t="s">
        <v>1</v>
      </c>
      <c r="BY99" s="108" t="s">
        <v>1</v>
      </c>
      <c r="BZ99" s="108" t="s">
        <v>1</v>
      </c>
      <c r="CA99" s="108" t="s">
        <v>1</v>
      </c>
      <c r="CB99" s="108" t="s">
        <v>1</v>
      </c>
      <c r="CC99" s="108" t="s">
        <v>1</v>
      </c>
      <c r="CD99" s="108" t="s">
        <v>1</v>
      </c>
      <c r="CE99" s="108" t="s">
        <v>1</v>
      </c>
      <c r="CF99" s="108" t="s">
        <v>1</v>
      </c>
    </row>
    <row r="100" ht="28" customHeight="1" spans="1:84">
      <c r="A100" s="107">
        <v>45203</v>
      </c>
      <c r="B100" s="108" t="s">
        <v>125</v>
      </c>
      <c r="C100" s="109" t="s">
        <v>1</v>
      </c>
      <c r="D100" s="30" t="s">
        <v>1</v>
      </c>
      <c r="E100" s="30" t="s">
        <v>1</v>
      </c>
      <c r="F100" s="109" t="str">
        <f t="shared" si="3"/>
        <v/>
      </c>
      <c r="G100" s="109" t="s">
        <v>1</v>
      </c>
      <c r="H100" s="108" t="s">
        <v>1</v>
      </c>
      <c r="I100" s="109" t="s">
        <v>1</v>
      </c>
      <c r="J100" s="141" t="str">
        <f t="shared" si="4"/>
        <v/>
      </c>
      <c r="K100" s="211" t="s">
        <v>1</v>
      </c>
      <c r="L100" s="215">
        <v>68990</v>
      </c>
      <c r="M100" s="30">
        <v>2849</v>
      </c>
      <c r="N100" s="242" t="s">
        <v>1</v>
      </c>
      <c r="O100" s="32" t="s">
        <v>1</v>
      </c>
      <c r="P100" s="109" t="s">
        <v>1</v>
      </c>
      <c r="Q100" s="141" t="e">
        <f t="shared" si="2"/>
        <v>#VALUE!</v>
      </c>
      <c r="R100" s="109" t="s">
        <v>1</v>
      </c>
      <c r="S100" s="109" t="s">
        <v>1</v>
      </c>
      <c r="T100" s="109" t="s">
        <v>1</v>
      </c>
      <c r="U100" s="109" t="s">
        <v>1</v>
      </c>
      <c r="V100" s="92" t="s">
        <v>1</v>
      </c>
      <c r="W100" s="92">
        <v>1129</v>
      </c>
      <c r="X100" s="92" t="s">
        <v>1</v>
      </c>
      <c r="Y100" s="92">
        <v>565</v>
      </c>
      <c r="Z100" s="92" t="s">
        <v>1</v>
      </c>
      <c r="AA100" s="236">
        <v>2</v>
      </c>
      <c r="AB100" s="92" t="s">
        <v>1</v>
      </c>
      <c r="AC100" s="92">
        <v>66.41</v>
      </c>
      <c r="AD100" s="92" t="s">
        <v>1</v>
      </c>
      <c r="AE100" s="92" t="s">
        <v>72</v>
      </c>
      <c r="AF100" s="92" t="s">
        <v>1</v>
      </c>
      <c r="AG100" s="92">
        <v>32</v>
      </c>
      <c r="AH100" s="125">
        <v>6332</v>
      </c>
      <c r="AI100" s="125">
        <v>527</v>
      </c>
      <c r="AJ100" s="125">
        <v>517</v>
      </c>
      <c r="AK100" s="125">
        <v>33</v>
      </c>
      <c r="AL100" s="125">
        <v>1486</v>
      </c>
      <c r="AM100" s="125">
        <v>6</v>
      </c>
      <c r="AN100" s="125">
        <v>128</v>
      </c>
      <c r="AO100" s="125">
        <v>21</v>
      </c>
      <c r="AP100" s="125">
        <v>3814</v>
      </c>
      <c r="AQ100" s="125">
        <v>315</v>
      </c>
      <c r="AR100" s="125">
        <v>776</v>
      </c>
      <c r="AS100" s="125">
        <v>81</v>
      </c>
      <c r="AT100" s="200" t="s">
        <v>1</v>
      </c>
      <c r="AU100" s="109" t="s">
        <v>1</v>
      </c>
      <c r="AV100" s="198">
        <v>0</v>
      </c>
      <c r="AW100" s="109" t="s">
        <v>1</v>
      </c>
      <c r="AX100" s="141" t="s">
        <v>1</v>
      </c>
      <c r="AY100" s="200" t="s">
        <v>1</v>
      </c>
      <c r="AZ100" s="108">
        <v>0</v>
      </c>
      <c r="BA100" s="109" t="s">
        <v>1</v>
      </c>
      <c r="BB100" s="141" t="s">
        <v>103</v>
      </c>
      <c r="BC100" s="200" t="s">
        <v>1</v>
      </c>
      <c r="BD100" s="200" t="s">
        <v>1</v>
      </c>
      <c r="BE100" s="109" t="s">
        <v>1</v>
      </c>
      <c r="BF100" s="109" t="s">
        <v>1</v>
      </c>
      <c r="BG100" s="200" t="s">
        <v>1</v>
      </c>
      <c r="BH100" s="200" t="s">
        <v>1</v>
      </c>
      <c r="BI100" s="92" t="s">
        <v>102</v>
      </c>
      <c r="BJ100" s="92">
        <v>14</v>
      </c>
      <c r="BK100" s="92">
        <v>3896</v>
      </c>
      <c r="BL100" s="92">
        <v>405</v>
      </c>
      <c r="BM100" s="92" t="s">
        <v>74</v>
      </c>
      <c r="BN100" s="92">
        <v>135</v>
      </c>
      <c r="BO100" s="125">
        <v>1191</v>
      </c>
      <c r="BP100" s="92">
        <v>125</v>
      </c>
      <c r="BQ100" s="108" t="s">
        <v>1</v>
      </c>
      <c r="BR100" s="108" t="s">
        <v>1</v>
      </c>
      <c r="BS100" s="108" t="s">
        <v>1</v>
      </c>
      <c r="BT100" s="108" t="s">
        <v>1</v>
      </c>
      <c r="BU100" s="108" t="s">
        <v>1</v>
      </c>
      <c r="BV100" s="108" t="s">
        <v>1</v>
      </c>
      <c r="BW100" s="108" t="s">
        <v>1</v>
      </c>
      <c r="BX100" s="108" t="s">
        <v>1</v>
      </c>
      <c r="BY100" s="108" t="s">
        <v>1</v>
      </c>
      <c r="BZ100" s="108" t="s">
        <v>1</v>
      </c>
      <c r="CA100" s="108" t="s">
        <v>1</v>
      </c>
      <c r="CB100" s="108" t="s">
        <v>1</v>
      </c>
      <c r="CC100" s="108" t="s">
        <v>1</v>
      </c>
      <c r="CD100" s="108" t="s">
        <v>1</v>
      </c>
      <c r="CE100" s="108" t="s">
        <v>1</v>
      </c>
      <c r="CF100" s="108" t="s">
        <v>1</v>
      </c>
    </row>
    <row r="101" ht="28" customHeight="1" spans="1:84">
      <c r="A101" s="107">
        <v>45204</v>
      </c>
      <c r="B101" s="108" t="s">
        <v>125</v>
      </c>
      <c r="C101" s="109" t="s">
        <v>1</v>
      </c>
      <c r="D101" s="30" t="s">
        <v>1</v>
      </c>
      <c r="E101" s="30" t="s">
        <v>1</v>
      </c>
      <c r="F101" s="109" t="str">
        <f t="shared" si="3"/>
        <v/>
      </c>
      <c r="G101" s="109" t="s">
        <v>1</v>
      </c>
      <c r="H101" s="108" t="s">
        <v>1</v>
      </c>
      <c r="I101" s="109" t="s">
        <v>1</v>
      </c>
      <c r="J101" s="141" t="str">
        <f t="shared" si="4"/>
        <v/>
      </c>
      <c r="K101" s="211" t="s">
        <v>1</v>
      </c>
      <c r="L101" s="215">
        <v>78175</v>
      </c>
      <c r="M101" s="30">
        <v>11086</v>
      </c>
      <c r="N101" s="242" t="s">
        <v>1</v>
      </c>
      <c r="O101" s="32" t="s">
        <v>1</v>
      </c>
      <c r="P101" s="109" t="s">
        <v>1</v>
      </c>
      <c r="Q101" s="141" t="e">
        <f t="shared" si="2"/>
        <v>#VALUE!</v>
      </c>
      <c r="R101" s="109" t="s">
        <v>1</v>
      </c>
      <c r="S101" s="109" t="s">
        <v>1</v>
      </c>
      <c r="T101" s="109" t="s">
        <v>1</v>
      </c>
      <c r="U101" s="109" t="s">
        <v>1</v>
      </c>
      <c r="V101" s="92" t="s">
        <v>1</v>
      </c>
      <c r="W101" s="92">
        <v>1079</v>
      </c>
      <c r="X101" s="92" t="s">
        <v>1</v>
      </c>
      <c r="Y101" s="92">
        <v>519</v>
      </c>
      <c r="Z101" s="92" t="s">
        <v>1</v>
      </c>
      <c r="AA101" s="236">
        <v>2.08</v>
      </c>
      <c r="AB101" s="92" t="s">
        <v>1</v>
      </c>
      <c r="AC101" s="92">
        <v>67.9</v>
      </c>
      <c r="AD101" s="92" t="s">
        <v>1</v>
      </c>
      <c r="AE101" s="92" t="s">
        <v>72</v>
      </c>
      <c r="AF101" s="92" t="s">
        <v>1</v>
      </c>
      <c r="AG101" s="92">
        <v>28</v>
      </c>
      <c r="AH101" s="125">
        <v>6863</v>
      </c>
      <c r="AI101" s="125">
        <v>491</v>
      </c>
      <c r="AJ101" s="125">
        <v>622</v>
      </c>
      <c r="AK101" s="125">
        <v>31</v>
      </c>
      <c r="AL101" s="125">
        <v>143</v>
      </c>
      <c r="AM101" s="125">
        <v>9</v>
      </c>
      <c r="AN101" s="125">
        <v>1324</v>
      </c>
      <c r="AO101" s="125">
        <v>12</v>
      </c>
      <c r="AP101" s="125">
        <v>4050</v>
      </c>
      <c r="AQ101" s="125">
        <v>270</v>
      </c>
      <c r="AR101" s="125">
        <v>877</v>
      </c>
      <c r="AS101" s="125">
        <v>68</v>
      </c>
      <c r="AT101" s="200" t="s">
        <v>1</v>
      </c>
      <c r="AU101" s="109" t="s">
        <v>1</v>
      </c>
      <c r="AV101" s="198">
        <v>0</v>
      </c>
      <c r="AW101" s="109" t="s">
        <v>1</v>
      </c>
      <c r="AX101" s="141" t="s">
        <v>1</v>
      </c>
      <c r="AY101" s="200" t="s">
        <v>1</v>
      </c>
      <c r="AZ101" s="108">
        <v>0</v>
      </c>
      <c r="BA101" s="109" t="s">
        <v>1</v>
      </c>
      <c r="BB101" s="141" t="s">
        <v>103</v>
      </c>
      <c r="BC101" s="200" t="s">
        <v>1</v>
      </c>
      <c r="BD101" s="200" t="s">
        <v>1</v>
      </c>
      <c r="BE101" s="109" t="s">
        <v>1</v>
      </c>
      <c r="BF101" s="109" t="s">
        <v>1</v>
      </c>
      <c r="BG101" s="200" t="s">
        <v>1</v>
      </c>
      <c r="BH101" s="200" t="s">
        <v>1</v>
      </c>
      <c r="BI101" s="92" t="s">
        <v>102</v>
      </c>
      <c r="BJ101" s="92">
        <v>19</v>
      </c>
      <c r="BK101" s="92">
        <v>3748</v>
      </c>
      <c r="BL101" s="92">
        <v>318</v>
      </c>
      <c r="BM101" s="92" t="s">
        <v>74</v>
      </c>
      <c r="BN101" s="92">
        <v>165</v>
      </c>
      <c r="BO101" s="92">
        <v>1040</v>
      </c>
      <c r="BP101" s="92">
        <v>142</v>
      </c>
      <c r="BQ101" s="108" t="s">
        <v>1</v>
      </c>
      <c r="BR101" s="108" t="s">
        <v>1</v>
      </c>
      <c r="BS101" s="108" t="s">
        <v>1</v>
      </c>
      <c r="BT101" s="108" t="s">
        <v>1</v>
      </c>
      <c r="BU101" s="108" t="s">
        <v>1</v>
      </c>
      <c r="BV101" s="108" t="s">
        <v>1</v>
      </c>
      <c r="BW101" s="108" t="s">
        <v>1</v>
      </c>
      <c r="BX101" s="108" t="s">
        <v>1</v>
      </c>
      <c r="BY101" s="108" t="s">
        <v>1</v>
      </c>
      <c r="BZ101" s="108" t="s">
        <v>1</v>
      </c>
      <c r="CA101" s="108" t="s">
        <v>1</v>
      </c>
      <c r="CB101" s="108" t="s">
        <v>1</v>
      </c>
      <c r="CC101" s="108" t="s">
        <v>1</v>
      </c>
      <c r="CD101" s="108" t="s">
        <v>1</v>
      </c>
      <c r="CE101" s="108" t="s">
        <v>1</v>
      </c>
      <c r="CF101" s="108" t="s">
        <v>1</v>
      </c>
    </row>
    <row r="102" ht="28" customHeight="1" spans="1:84">
      <c r="A102" s="107">
        <v>45205</v>
      </c>
      <c r="B102" s="108" t="s">
        <v>125</v>
      </c>
      <c r="C102" s="109" t="s">
        <v>1</v>
      </c>
      <c r="D102" s="30" t="s">
        <v>1</v>
      </c>
      <c r="E102" s="30" t="s">
        <v>1</v>
      </c>
      <c r="F102" s="109" t="str">
        <f t="shared" si="3"/>
        <v/>
      </c>
      <c r="G102" s="109" t="s">
        <v>1</v>
      </c>
      <c r="H102" s="108" t="s">
        <v>1</v>
      </c>
      <c r="I102" s="109" t="s">
        <v>1</v>
      </c>
      <c r="J102" s="141" t="str">
        <f t="shared" si="4"/>
        <v/>
      </c>
      <c r="K102" s="211" t="s">
        <v>1</v>
      </c>
      <c r="L102" s="219">
        <v>79073</v>
      </c>
      <c r="M102" s="30">
        <v>14419.52</v>
      </c>
      <c r="N102" s="242" t="s">
        <v>1</v>
      </c>
      <c r="O102" s="32" t="s">
        <v>1</v>
      </c>
      <c r="P102" s="109" t="s">
        <v>1</v>
      </c>
      <c r="Q102" s="141" t="e">
        <f t="shared" si="2"/>
        <v>#VALUE!</v>
      </c>
      <c r="R102" s="109" t="s">
        <v>1</v>
      </c>
      <c r="S102" s="109" t="s">
        <v>1</v>
      </c>
      <c r="T102" s="109" t="s">
        <v>1</v>
      </c>
      <c r="U102" s="109" t="s">
        <v>1</v>
      </c>
      <c r="V102" s="92" t="s">
        <v>1</v>
      </c>
      <c r="W102" s="92">
        <v>1711</v>
      </c>
      <c r="X102" s="92" t="s">
        <v>1</v>
      </c>
      <c r="Y102" s="92">
        <v>756</v>
      </c>
      <c r="Z102" s="92" t="s">
        <v>1</v>
      </c>
      <c r="AA102" s="236">
        <v>2.26</v>
      </c>
      <c r="AB102" s="92" t="s">
        <v>1</v>
      </c>
      <c r="AC102" s="92">
        <v>78.66</v>
      </c>
      <c r="AD102" s="92" t="s">
        <v>1</v>
      </c>
      <c r="AE102" s="92" t="s">
        <v>72</v>
      </c>
      <c r="AF102" s="92" t="s">
        <v>1</v>
      </c>
      <c r="AG102" s="92">
        <v>53</v>
      </c>
      <c r="AH102" s="125">
        <v>7480</v>
      </c>
      <c r="AI102" s="125">
        <v>673</v>
      </c>
      <c r="AJ102" s="125">
        <v>859</v>
      </c>
      <c r="AK102" s="125">
        <v>105</v>
      </c>
      <c r="AL102" s="125">
        <v>195</v>
      </c>
      <c r="AM102" s="125">
        <v>19</v>
      </c>
      <c r="AN102" s="125">
        <v>1110</v>
      </c>
      <c r="AO102" s="125">
        <v>11</v>
      </c>
      <c r="AP102" s="125">
        <v>4348</v>
      </c>
      <c r="AQ102" s="125">
        <v>403</v>
      </c>
      <c r="AR102" s="125">
        <v>912</v>
      </c>
      <c r="AS102" s="125">
        <v>77</v>
      </c>
      <c r="AT102" s="200" t="s">
        <v>1</v>
      </c>
      <c r="AU102" s="109" t="s">
        <v>1</v>
      </c>
      <c r="AV102" s="198">
        <v>0</v>
      </c>
      <c r="AW102" s="109" t="s">
        <v>1</v>
      </c>
      <c r="AX102" s="141" t="s">
        <v>1</v>
      </c>
      <c r="AY102" s="200" t="s">
        <v>1</v>
      </c>
      <c r="AZ102" s="108">
        <v>0</v>
      </c>
      <c r="BA102" s="109" t="s">
        <v>1</v>
      </c>
      <c r="BB102" s="141" t="s">
        <v>103</v>
      </c>
      <c r="BC102" s="200" t="s">
        <v>1</v>
      </c>
      <c r="BD102" s="200" t="s">
        <v>1</v>
      </c>
      <c r="BE102" s="109" t="s">
        <v>1</v>
      </c>
      <c r="BF102" s="109" t="s">
        <v>1</v>
      </c>
      <c r="BG102" s="200" t="s">
        <v>1</v>
      </c>
      <c r="BH102" s="200" t="s">
        <v>1</v>
      </c>
      <c r="BI102" s="92" t="s">
        <v>102</v>
      </c>
      <c r="BJ102" s="92">
        <v>11</v>
      </c>
      <c r="BK102" s="92">
        <v>5302</v>
      </c>
      <c r="BL102" s="92">
        <v>468</v>
      </c>
      <c r="BM102" s="92" t="s">
        <v>73</v>
      </c>
      <c r="BN102" s="92">
        <v>79</v>
      </c>
      <c r="BO102" s="92">
        <v>1982</v>
      </c>
      <c r="BP102" s="92">
        <v>140</v>
      </c>
      <c r="BQ102" s="108" t="s">
        <v>1</v>
      </c>
      <c r="BR102" s="108" t="s">
        <v>1</v>
      </c>
      <c r="BS102" s="108" t="s">
        <v>1</v>
      </c>
      <c r="BT102" s="108" t="s">
        <v>1</v>
      </c>
      <c r="BU102" s="108" t="s">
        <v>1</v>
      </c>
      <c r="BV102" s="108" t="s">
        <v>1</v>
      </c>
      <c r="BW102" s="108" t="s">
        <v>1</v>
      </c>
      <c r="BX102" s="108" t="s">
        <v>1</v>
      </c>
      <c r="BY102" s="108" t="s">
        <v>1</v>
      </c>
      <c r="BZ102" s="108" t="s">
        <v>1</v>
      </c>
      <c r="CA102" s="108" t="s">
        <v>1</v>
      </c>
      <c r="CB102" s="108" t="s">
        <v>1</v>
      </c>
      <c r="CC102" s="108" t="s">
        <v>1</v>
      </c>
      <c r="CD102" s="108" t="s">
        <v>1</v>
      </c>
      <c r="CE102" s="108" t="s">
        <v>1</v>
      </c>
      <c r="CF102" s="108" t="s">
        <v>1</v>
      </c>
    </row>
    <row r="103" ht="28" customHeight="1" spans="1:84">
      <c r="A103" s="107">
        <v>45206</v>
      </c>
      <c r="B103" s="108" t="s">
        <v>125</v>
      </c>
      <c r="C103" s="109" t="s">
        <v>1</v>
      </c>
      <c r="D103" s="30" t="s">
        <v>1</v>
      </c>
      <c r="E103" s="30" t="s">
        <v>1</v>
      </c>
      <c r="F103" s="109" t="str">
        <f t="shared" si="3"/>
        <v/>
      </c>
      <c r="G103" s="109" t="s">
        <v>1</v>
      </c>
      <c r="H103" s="108" t="s">
        <v>1</v>
      </c>
      <c r="I103" s="109" t="s">
        <v>1</v>
      </c>
      <c r="J103" s="141" t="str">
        <f t="shared" si="4"/>
        <v/>
      </c>
      <c r="K103" s="211" t="s">
        <v>1</v>
      </c>
      <c r="L103" s="172">
        <v>174104</v>
      </c>
      <c r="M103" s="204">
        <v>2699</v>
      </c>
      <c r="N103" s="242" t="s">
        <v>1</v>
      </c>
      <c r="O103" s="32" t="s">
        <v>1</v>
      </c>
      <c r="P103" s="109" t="s">
        <v>1</v>
      </c>
      <c r="Q103" s="141" t="e">
        <f t="shared" si="2"/>
        <v>#VALUE!</v>
      </c>
      <c r="R103" s="109" t="s">
        <v>1</v>
      </c>
      <c r="S103" s="109" t="s">
        <v>1</v>
      </c>
      <c r="T103" s="109" t="s">
        <v>1</v>
      </c>
      <c r="U103" s="109" t="s">
        <v>1</v>
      </c>
      <c r="V103" s="92" t="s">
        <v>1</v>
      </c>
      <c r="W103" s="92">
        <v>2215</v>
      </c>
      <c r="X103" s="92" t="s">
        <v>1</v>
      </c>
      <c r="Y103" s="92">
        <v>909</v>
      </c>
      <c r="Z103" s="92" t="s">
        <v>1</v>
      </c>
      <c r="AA103" s="236">
        <v>2.44</v>
      </c>
      <c r="AB103" s="92" t="s">
        <v>1</v>
      </c>
      <c r="AC103" s="92">
        <v>78.02</v>
      </c>
      <c r="AD103" s="92" t="s">
        <v>1</v>
      </c>
      <c r="AE103" s="92" t="s">
        <v>72</v>
      </c>
      <c r="AF103" s="92" t="s">
        <v>1</v>
      </c>
      <c r="AG103" s="92">
        <v>59</v>
      </c>
      <c r="AH103" s="125">
        <v>7567</v>
      </c>
      <c r="AI103" s="125">
        <v>834</v>
      </c>
      <c r="AJ103" s="125">
        <v>721</v>
      </c>
      <c r="AK103" s="125">
        <v>106</v>
      </c>
      <c r="AL103" s="125">
        <v>257</v>
      </c>
      <c r="AM103" s="125">
        <v>15</v>
      </c>
      <c r="AN103" s="125">
        <v>1388</v>
      </c>
      <c r="AO103" s="125">
        <v>12</v>
      </c>
      <c r="AP103" s="125">
        <v>4681</v>
      </c>
      <c r="AQ103" s="125">
        <v>513</v>
      </c>
      <c r="AR103" s="125">
        <v>892</v>
      </c>
      <c r="AS103" s="125">
        <v>103</v>
      </c>
      <c r="AT103" s="200" t="s">
        <v>1</v>
      </c>
      <c r="AU103" s="109" t="s">
        <v>1</v>
      </c>
      <c r="AV103" s="198">
        <v>0</v>
      </c>
      <c r="AW103" s="109" t="s">
        <v>1</v>
      </c>
      <c r="AX103" s="141" t="s">
        <v>1</v>
      </c>
      <c r="AY103" s="200" t="s">
        <v>1</v>
      </c>
      <c r="AZ103" s="108">
        <v>0</v>
      </c>
      <c r="BA103" s="109" t="s">
        <v>1</v>
      </c>
      <c r="BB103" s="141" t="s">
        <v>103</v>
      </c>
      <c r="BC103" s="200" t="s">
        <v>1</v>
      </c>
      <c r="BD103" s="200" t="s">
        <v>1</v>
      </c>
      <c r="BE103" s="109" t="s">
        <v>1</v>
      </c>
      <c r="BF103" s="109" t="s">
        <v>1</v>
      </c>
      <c r="BG103" s="200" t="s">
        <v>1</v>
      </c>
      <c r="BH103" s="200" t="s">
        <v>1</v>
      </c>
      <c r="BI103" s="92" t="s">
        <v>102</v>
      </c>
      <c r="BJ103" s="92">
        <v>12</v>
      </c>
      <c r="BK103" s="92">
        <v>5444</v>
      </c>
      <c r="BL103" s="92">
        <v>680</v>
      </c>
      <c r="BM103" s="92" t="s">
        <v>73</v>
      </c>
      <c r="BN103" s="92">
        <v>96</v>
      </c>
      <c r="BO103" s="92">
        <v>1715</v>
      </c>
      <c r="BP103" s="92">
        <v>228</v>
      </c>
      <c r="BQ103" s="108" t="s">
        <v>1</v>
      </c>
      <c r="BR103" s="108" t="s">
        <v>1</v>
      </c>
      <c r="BS103" s="108" t="s">
        <v>1</v>
      </c>
      <c r="BT103" s="108" t="s">
        <v>1</v>
      </c>
      <c r="BU103" s="108" t="s">
        <v>1</v>
      </c>
      <c r="BV103" s="108" t="s">
        <v>1</v>
      </c>
      <c r="BW103" s="108" t="s">
        <v>1</v>
      </c>
      <c r="BX103" s="108" t="s">
        <v>1</v>
      </c>
      <c r="BY103" s="108" t="s">
        <v>1</v>
      </c>
      <c r="BZ103" s="108" t="s">
        <v>1</v>
      </c>
      <c r="CA103" s="108" t="s">
        <v>1</v>
      </c>
      <c r="CB103" s="108" t="s">
        <v>1</v>
      </c>
      <c r="CC103" s="108" t="s">
        <v>1</v>
      </c>
      <c r="CD103" s="108" t="s">
        <v>1</v>
      </c>
      <c r="CE103" s="108" t="s">
        <v>1</v>
      </c>
      <c r="CF103" s="108" t="s">
        <v>1</v>
      </c>
    </row>
    <row r="104" ht="28" customHeight="1" spans="1:84">
      <c r="A104" s="107">
        <v>45207</v>
      </c>
      <c r="B104" s="108" t="s">
        <v>125</v>
      </c>
      <c r="C104" s="109" t="s">
        <v>1</v>
      </c>
      <c r="D104" s="30" t="s">
        <v>1</v>
      </c>
      <c r="E104" s="30" t="s">
        <v>1</v>
      </c>
      <c r="F104" s="109" t="str">
        <f t="shared" si="3"/>
        <v/>
      </c>
      <c r="G104" s="109" t="s">
        <v>1</v>
      </c>
      <c r="H104" s="108" t="s">
        <v>1</v>
      </c>
      <c r="I104" s="109" t="s">
        <v>1</v>
      </c>
      <c r="J104" s="141" t="str">
        <f t="shared" si="4"/>
        <v/>
      </c>
      <c r="K104" s="211" t="s">
        <v>1</v>
      </c>
      <c r="L104" s="172">
        <v>83253</v>
      </c>
      <c r="M104" s="204">
        <v>14877</v>
      </c>
      <c r="N104" s="242" t="s">
        <v>1</v>
      </c>
      <c r="O104" s="32" t="s">
        <v>1</v>
      </c>
      <c r="P104" s="109" t="s">
        <v>1</v>
      </c>
      <c r="Q104" s="141" t="e">
        <f t="shared" si="2"/>
        <v>#VALUE!</v>
      </c>
      <c r="R104" s="109" t="s">
        <v>1</v>
      </c>
      <c r="S104" s="109" t="s">
        <v>1</v>
      </c>
      <c r="T104" s="109" t="s">
        <v>1</v>
      </c>
      <c r="U104" s="109" t="s">
        <v>1</v>
      </c>
      <c r="V104" s="92" t="s">
        <v>1</v>
      </c>
      <c r="W104" s="92">
        <v>1952</v>
      </c>
      <c r="X104" s="92" t="s">
        <v>1</v>
      </c>
      <c r="Y104" s="92">
        <v>781</v>
      </c>
      <c r="Z104" s="92" t="s">
        <v>1</v>
      </c>
      <c r="AA104" s="236">
        <v>2.5</v>
      </c>
      <c r="AB104" s="92" t="s">
        <v>1</v>
      </c>
      <c r="AC104" s="92">
        <v>75.35</v>
      </c>
      <c r="AD104" s="92" t="s">
        <v>1</v>
      </c>
      <c r="AE104" s="92" t="s">
        <v>72</v>
      </c>
      <c r="AF104" s="92" t="s">
        <v>1</v>
      </c>
      <c r="AG104" s="92">
        <v>45</v>
      </c>
      <c r="AH104" s="125">
        <v>7043</v>
      </c>
      <c r="AI104" s="125">
        <v>709</v>
      </c>
      <c r="AJ104" s="125">
        <v>797</v>
      </c>
      <c r="AK104" s="125">
        <v>101</v>
      </c>
      <c r="AL104" s="125">
        <v>227</v>
      </c>
      <c r="AM104" s="125">
        <v>11</v>
      </c>
      <c r="AN104" s="125">
        <v>1329</v>
      </c>
      <c r="AO104" s="125">
        <v>6</v>
      </c>
      <c r="AP104" s="125">
        <v>4360</v>
      </c>
      <c r="AQ104" s="125">
        <v>382</v>
      </c>
      <c r="AR104" s="125">
        <v>683</v>
      </c>
      <c r="AS104" s="125">
        <v>65</v>
      </c>
      <c r="AT104" s="200" t="s">
        <v>1</v>
      </c>
      <c r="AU104" s="109" t="s">
        <v>1</v>
      </c>
      <c r="AV104" s="198">
        <v>0</v>
      </c>
      <c r="AW104" s="109" t="s">
        <v>1</v>
      </c>
      <c r="AX104" s="141" t="s">
        <v>1</v>
      </c>
      <c r="AY104" s="200" t="s">
        <v>1</v>
      </c>
      <c r="AZ104" s="108">
        <v>0</v>
      </c>
      <c r="BA104" s="109" t="s">
        <v>1</v>
      </c>
      <c r="BB104" s="141" t="s">
        <v>103</v>
      </c>
      <c r="BC104" s="200" t="s">
        <v>1</v>
      </c>
      <c r="BD104" s="200" t="s">
        <v>1</v>
      </c>
      <c r="BE104" s="109" t="s">
        <v>1</v>
      </c>
      <c r="BF104" s="109" t="s">
        <v>1</v>
      </c>
      <c r="BG104" s="200" t="s">
        <v>1</v>
      </c>
      <c r="BH104" s="200" t="s">
        <v>1</v>
      </c>
      <c r="BI104" s="92" t="s">
        <v>102</v>
      </c>
      <c r="BJ104" s="92">
        <v>13</v>
      </c>
      <c r="BK104" s="92">
        <v>5574</v>
      </c>
      <c r="BL104" s="92">
        <v>574</v>
      </c>
      <c r="BM104" s="92" t="s">
        <v>73</v>
      </c>
      <c r="BN104" s="92">
        <v>99</v>
      </c>
      <c r="BO104" s="92">
        <v>1824</v>
      </c>
      <c r="BP104" s="92">
        <v>194</v>
      </c>
      <c r="BQ104" s="108" t="s">
        <v>1</v>
      </c>
      <c r="BR104" s="108" t="s">
        <v>1</v>
      </c>
      <c r="BS104" s="108" t="s">
        <v>1</v>
      </c>
      <c r="BT104" s="108" t="s">
        <v>1</v>
      </c>
      <c r="BU104" s="108" t="s">
        <v>1</v>
      </c>
      <c r="BV104" s="108" t="s">
        <v>1</v>
      </c>
      <c r="BW104" s="108" t="s">
        <v>1</v>
      </c>
      <c r="BX104" s="108" t="s">
        <v>1</v>
      </c>
      <c r="BY104" s="108" t="s">
        <v>1</v>
      </c>
      <c r="BZ104" s="108" t="s">
        <v>1</v>
      </c>
      <c r="CA104" s="108" t="s">
        <v>1</v>
      </c>
      <c r="CB104" s="108" t="s">
        <v>1</v>
      </c>
      <c r="CC104" s="108" t="s">
        <v>1</v>
      </c>
      <c r="CD104" s="108" t="s">
        <v>1</v>
      </c>
      <c r="CE104" s="108" t="s">
        <v>1</v>
      </c>
      <c r="CF104" s="108" t="s">
        <v>1</v>
      </c>
    </row>
    <row r="105" ht="28" customHeight="1" spans="1:84">
      <c r="A105" s="107">
        <v>45208</v>
      </c>
      <c r="B105" s="108" t="s">
        <v>125</v>
      </c>
      <c r="C105" s="109" t="s">
        <v>1</v>
      </c>
      <c r="D105" s="30" t="s">
        <v>1</v>
      </c>
      <c r="E105" s="30" t="s">
        <v>1</v>
      </c>
      <c r="F105" s="109" t="str">
        <f t="shared" si="3"/>
        <v/>
      </c>
      <c r="G105" s="109" t="s">
        <v>1</v>
      </c>
      <c r="H105" s="108" t="s">
        <v>1</v>
      </c>
      <c r="I105" s="109" t="s">
        <v>1</v>
      </c>
      <c r="J105" s="141" t="str">
        <f t="shared" si="4"/>
        <v/>
      </c>
      <c r="K105" s="211" t="s">
        <v>1</v>
      </c>
      <c r="L105" s="172">
        <v>83719</v>
      </c>
      <c r="M105" s="204">
        <v>7599</v>
      </c>
      <c r="N105" s="242" t="s">
        <v>1</v>
      </c>
      <c r="O105" s="32" t="s">
        <v>1</v>
      </c>
      <c r="P105" s="109" t="s">
        <v>1</v>
      </c>
      <c r="Q105" s="141" t="e">
        <f t="shared" si="2"/>
        <v>#VALUE!</v>
      </c>
      <c r="R105" s="109" t="s">
        <v>1</v>
      </c>
      <c r="S105" s="109" t="s">
        <v>1</v>
      </c>
      <c r="T105" s="109" t="s">
        <v>1</v>
      </c>
      <c r="U105" s="109" t="s">
        <v>1</v>
      </c>
      <c r="V105" s="92" t="s">
        <v>1</v>
      </c>
      <c r="W105" s="92">
        <v>1977</v>
      </c>
      <c r="X105" s="92" t="s">
        <v>1</v>
      </c>
      <c r="Y105" s="92">
        <v>845</v>
      </c>
      <c r="Z105" s="92" t="s">
        <v>1</v>
      </c>
      <c r="AA105" s="236">
        <v>2.34</v>
      </c>
      <c r="AB105" s="92" t="s">
        <v>1</v>
      </c>
      <c r="AC105" s="92">
        <v>76.2</v>
      </c>
      <c r="AD105" s="92" t="s">
        <v>1</v>
      </c>
      <c r="AE105" s="92" t="s">
        <v>72</v>
      </c>
      <c r="AF105" s="92" t="s">
        <v>1</v>
      </c>
      <c r="AG105" s="92">
        <v>63</v>
      </c>
      <c r="AH105" s="125" t="s">
        <v>1</v>
      </c>
      <c r="AI105" s="125">
        <v>801</v>
      </c>
      <c r="AJ105" s="125" t="s">
        <v>1</v>
      </c>
      <c r="AK105" s="125">
        <v>46</v>
      </c>
      <c r="AL105" s="125" t="s">
        <v>1</v>
      </c>
      <c r="AM105" s="125">
        <v>16</v>
      </c>
      <c r="AN105" s="125" t="s">
        <v>1</v>
      </c>
      <c r="AO105" s="125">
        <v>10</v>
      </c>
      <c r="AP105" s="125" t="s">
        <v>1</v>
      </c>
      <c r="AQ105" s="125">
        <v>523</v>
      </c>
      <c r="AR105" s="125" t="s">
        <v>1</v>
      </c>
      <c r="AS105" s="125">
        <v>64</v>
      </c>
      <c r="AT105" s="200" t="s">
        <v>1</v>
      </c>
      <c r="AU105" s="109" t="s">
        <v>1</v>
      </c>
      <c r="AV105" s="198">
        <v>0</v>
      </c>
      <c r="AW105" s="109" t="s">
        <v>1</v>
      </c>
      <c r="AX105" s="141" t="s">
        <v>1</v>
      </c>
      <c r="AY105" s="200" t="s">
        <v>1</v>
      </c>
      <c r="AZ105" s="108">
        <v>0</v>
      </c>
      <c r="BA105" s="109" t="s">
        <v>1</v>
      </c>
      <c r="BB105" s="141" t="s">
        <v>103</v>
      </c>
      <c r="BC105" s="200" t="s">
        <v>1</v>
      </c>
      <c r="BD105" s="200" t="s">
        <v>1</v>
      </c>
      <c r="BE105" s="109" t="s">
        <v>1</v>
      </c>
      <c r="BF105" s="109" t="s">
        <v>1</v>
      </c>
      <c r="BG105" s="200" t="s">
        <v>1</v>
      </c>
      <c r="BH105" s="200" t="s">
        <v>1</v>
      </c>
      <c r="BI105" s="92" t="s">
        <v>102</v>
      </c>
      <c r="BJ105" s="92">
        <v>13</v>
      </c>
      <c r="BK105" s="92">
        <v>5311</v>
      </c>
      <c r="BL105" s="92">
        <v>709</v>
      </c>
      <c r="BM105" s="92" t="s">
        <v>74</v>
      </c>
      <c r="BN105" s="92">
        <v>103</v>
      </c>
      <c r="BO105" s="92">
        <v>1667</v>
      </c>
      <c r="BP105" s="92">
        <v>230</v>
      </c>
      <c r="BQ105" s="108" t="s">
        <v>1</v>
      </c>
      <c r="BR105" s="108" t="s">
        <v>1</v>
      </c>
      <c r="BS105" s="108" t="s">
        <v>1</v>
      </c>
      <c r="BT105" s="108" t="s">
        <v>1</v>
      </c>
      <c r="BU105" s="108" t="s">
        <v>1</v>
      </c>
      <c r="BV105" s="108" t="s">
        <v>1</v>
      </c>
      <c r="BW105" s="108" t="s">
        <v>1</v>
      </c>
      <c r="BX105" s="108" t="s">
        <v>1</v>
      </c>
      <c r="BY105" s="108" t="s">
        <v>1</v>
      </c>
      <c r="BZ105" s="108" t="s">
        <v>1</v>
      </c>
      <c r="CA105" s="108" t="s">
        <v>1</v>
      </c>
      <c r="CB105" s="108" t="s">
        <v>1</v>
      </c>
      <c r="CC105" s="108" t="s">
        <v>1</v>
      </c>
      <c r="CD105" s="108" t="s">
        <v>1</v>
      </c>
      <c r="CE105" s="108" t="s">
        <v>1</v>
      </c>
      <c r="CF105" s="108" t="s">
        <v>1</v>
      </c>
    </row>
    <row r="106" ht="28" customHeight="1" spans="1:84">
      <c r="A106" s="107">
        <v>45209</v>
      </c>
      <c r="B106" s="108" t="s">
        <v>125</v>
      </c>
      <c r="C106" s="109" t="s">
        <v>1</v>
      </c>
      <c r="D106" s="30" t="s">
        <v>1</v>
      </c>
      <c r="E106" s="30" t="s">
        <v>1</v>
      </c>
      <c r="F106" s="109" t="str">
        <f t="shared" si="3"/>
        <v/>
      </c>
      <c r="G106" s="109" t="s">
        <v>1</v>
      </c>
      <c r="H106" s="108" t="s">
        <v>1</v>
      </c>
      <c r="I106" s="109" t="s">
        <v>1</v>
      </c>
      <c r="J106" s="141" t="str">
        <f t="shared" si="4"/>
        <v/>
      </c>
      <c r="K106" s="211" t="s">
        <v>1</v>
      </c>
      <c r="L106" s="30">
        <v>66210</v>
      </c>
      <c r="M106" s="204">
        <v>7698</v>
      </c>
      <c r="N106" s="242" t="s">
        <v>1</v>
      </c>
      <c r="O106" s="32" t="s">
        <v>1</v>
      </c>
      <c r="P106" s="109" t="s">
        <v>1</v>
      </c>
      <c r="Q106" s="141" t="e">
        <f t="shared" si="2"/>
        <v>#VALUE!</v>
      </c>
      <c r="R106" s="109" t="s">
        <v>1</v>
      </c>
      <c r="S106" s="109" t="s">
        <v>1</v>
      </c>
      <c r="T106" s="109" t="s">
        <v>1</v>
      </c>
      <c r="U106" s="109" t="s">
        <v>1</v>
      </c>
      <c r="V106" s="92" t="s">
        <v>1</v>
      </c>
      <c r="W106" s="92">
        <v>1822</v>
      </c>
      <c r="X106" s="92" t="s">
        <v>1</v>
      </c>
      <c r="Y106" s="92">
        <v>779</v>
      </c>
      <c r="Z106" s="92" t="s">
        <v>1</v>
      </c>
      <c r="AA106" s="236">
        <v>2.34</v>
      </c>
      <c r="AB106" s="92" t="s">
        <v>1</v>
      </c>
      <c r="AC106" s="92">
        <v>77.32</v>
      </c>
      <c r="AD106" s="92" t="s">
        <v>1</v>
      </c>
      <c r="AE106" s="92" t="s">
        <v>72</v>
      </c>
      <c r="AF106" s="92" t="s">
        <v>1</v>
      </c>
      <c r="AG106" s="92">
        <v>38</v>
      </c>
      <c r="AH106" s="125" t="s">
        <v>1</v>
      </c>
      <c r="AI106" s="125">
        <v>730</v>
      </c>
      <c r="AJ106" s="125" t="s">
        <v>1</v>
      </c>
      <c r="AK106" s="125">
        <v>40</v>
      </c>
      <c r="AL106" s="125" t="s">
        <v>1</v>
      </c>
      <c r="AM106" s="125">
        <v>31</v>
      </c>
      <c r="AN106" s="125" t="s">
        <v>1</v>
      </c>
      <c r="AO106" s="125">
        <v>12</v>
      </c>
      <c r="AP106" s="125" t="s">
        <v>1</v>
      </c>
      <c r="AQ106" s="125">
        <v>433</v>
      </c>
      <c r="AR106" s="125" t="s">
        <v>1</v>
      </c>
      <c r="AS106" s="125">
        <v>69</v>
      </c>
      <c r="AT106" s="200" t="s">
        <v>1</v>
      </c>
      <c r="AU106" s="109" t="s">
        <v>1</v>
      </c>
      <c r="AV106" s="198">
        <v>0</v>
      </c>
      <c r="AW106" s="109" t="s">
        <v>1</v>
      </c>
      <c r="AX106" s="141" t="s">
        <v>1</v>
      </c>
      <c r="AY106" s="200" t="s">
        <v>1</v>
      </c>
      <c r="AZ106" s="108">
        <v>0</v>
      </c>
      <c r="BA106" s="109" t="s">
        <v>1</v>
      </c>
      <c r="BB106" s="141" t="s">
        <v>103</v>
      </c>
      <c r="BC106" s="200" t="s">
        <v>1</v>
      </c>
      <c r="BD106" s="200" t="s">
        <v>1</v>
      </c>
      <c r="BE106" s="109" t="s">
        <v>1</v>
      </c>
      <c r="BF106" s="109" t="s">
        <v>1</v>
      </c>
      <c r="BG106" s="200" t="s">
        <v>1</v>
      </c>
      <c r="BH106" s="200" t="s">
        <v>1</v>
      </c>
      <c r="BI106" s="92" t="s">
        <v>102</v>
      </c>
      <c r="BJ106" s="92">
        <v>16</v>
      </c>
      <c r="BK106" s="92">
        <v>4516</v>
      </c>
      <c r="BL106" s="92">
        <v>527</v>
      </c>
      <c r="BM106" s="92" t="s">
        <v>73</v>
      </c>
      <c r="BN106" s="92">
        <v>91</v>
      </c>
      <c r="BO106" s="92">
        <v>1788</v>
      </c>
      <c r="BP106" s="92">
        <v>168</v>
      </c>
      <c r="BQ106" s="108" t="s">
        <v>1</v>
      </c>
      <c r="BR106" s="108" t="s">
        <v>1</v>
      </c>
      <c r="BS106" s="108" t="s">
        <v>1</v>
      </c>
      <c r="BT106" s="108" t="s">
        <v>1</v>
      </c>
      <c r="BU106" s="108" t="s">
        <v>1</v>
      </c>
      <c r="BV106" s="108" t="s">
        <v>1</v>
      </c>
      <c r="BW106" s="108" t="s">
        <v>1</v>
      </c>
      <c r="BX106" s="108" t="s">
        <v>1</v>
      </c>
      <c r="BY106" s="108" t="s">
        <v>1</v>
      </c>
      <c r="BZ106" s="108" t="s">
        <v>1</v>
      </c>
      <c r="CA106" s="108" t="s">
        <v>1</v>
      </c>
      <c r="CB106" s="108" t="s">
        <v>1</v>
      </c>
      <c r="CC106" s="108" t="s">
        <v>1</v>
      </c>
      <c r="CD106" s="108" t="s">
        <v>1</v>
      </c>
      <c r="CE106" s="108" t="s">
        <v>1</v>
      </c>
      <c r="CF106" s="108" t="s">
        <v>1</v>
      </c>
    </row>
    <row r="107" ht="28" customHeight="1" spans="1:84">
      <c r="A107" s="107">
        <v>45210</v>
      </c>
      <c r="B107" s="108" t="s">
        <v>125</v>
      </c>
      <c r="C107" s="109" t="s">
        <v>1</v>
      </c>
      <c r="D107" s="30" t="s">
        <v>1</v>
      </c>
      <c r="E107" s="30" t="s">
        <v>1</v>
      </c>
      <c r="F107" s="109" t="str">
        <f t="shared" si="3"/>
        <v/>
      </c>
      <c r="G107" s="109" t="s">
        <v>1</v>
      </c>
      <c r="H107" s="108" t="s">
        <v>1</v>
      </c>
      <c r="I107" s="109" t="s">
        <v>1</v>
      </c>
      <c r="J107" s="141" t="str">
        <f t="shared" si="4"/>
        <v/>
      </c>
      <c r="K107" s="211" t="s">
        <v>1</v>
      </c>
      <c r="L107" s="220">
        <v>91071</v>
      </c>
      <c r="M107" s="30">
        <v>3599</v>
      </c>
      <c r="N107" s="242" t="s">
        <v>1</v>
      </c>
      <c r="O107" s="32" t="s">
        <v>1</v>
      </c>
      <c r="P107" s="109" t="s">
        <v>1</v>
      </c>
      <c r="Q107" s="141" t="e">
        <f t="shared" si="2"/>
        <v>#VALUE!</v>
      </c>
      <c r="R107" s="109" t="s">
        <v>1</v>
      </c>
      <c r="S107" s="109" t="s">
        <v>1</v>
      </c>
      <c r="T107" s="109" t="s">
        <v>1</v>
      </c>
      <c r="U107" s="109" t="s">
        <v>1</v>
      </c>
      <c r="V107" s="92" t="s">
        <v>1</v>
      </c>
      <c r="W107" s="92">
        <v>1823</v>
      </c>
      <c r="X107" s="92" t="s">
        <v>1</v>
      </c>
      <c r="Y107" s="92">
        <v>719</v>
      </c>
      <c r="Z107" s="92" t="s">
        <v>1</v>
      </c>
      <c r="AA107" s="236">
        <v>2.54</v>
      </c>
      <c r="AB107" s="92" t="s">
        <v>1</v>
      </c>
      <c r="AC107" s="92">
        <v>75.33</v>
      </c>
      <c r="AD107" s="92" t="s">
        <v>1</v>
      </c>
      <c r="AE107" s="92" t="s">
        <v>72</v>
      </c>
      <c r="AF107" s="92" t="s">
        <v>1</v>
      </c>
      <c r="AG107" s="92">
        <v>45</v>
      </c>
      <c r="AH107" s="125" t="s">
        <v>1</v>
      </c>
      <c r="AI107" s="125">
        <v>687</v>
      </c>
      <c r="AJ107" s="125" t="s">
        <v>1</v>
      </c>
      <c r="AK107" s="125">
        <v>34</v>
      </c>
      <c r="AL107" s="125" t="s">
        <v>1</v>
      </c>
      <c r="AM107" s="125">
        <v>20</v>
      </c>
      <c r="AN107" s="125" t="s">
        <v>1</v>
      </c>
      <c r="AO107" s="125">
        <v>6</v>
      </c>
      <c r="AP107" s="125" t="s">
        <v>1</v>
      </c>
      <c r="AQ107" s="125">
        <v>399</v>
      </c>
      <c r="AR107" s="125" t="s">
        <v>1</v>
      </c>
      <c r="AS107" s="125">
        <v>62</v>
      </c>
      <c r="AT107" s="200" t="s">
        <v>1</v>
      </c>
      <c r="AU107" s="109" t="s">
        <v>1</v>
      </c>
      <c r="AV107" s="198">
        <v>0</v>
      </c>
      <c r="AW107" s="109" t="s">
        <v>1</v>
      </c>
      <c r="AX107" s="141" t="s">
        <v>1</v>
      </c>
      <c r="AY107" s="200" t="s">
        <v>1</v>
      </c>
      <c r="AZ107" s="108">
        <v>0</v>
      </c>
      <c r="BA107" s="109" t="s">
        <v>1</v>
      </c>
      <c r="BB107" s="141" t="s">
        <v>103</v>
      </c>
      <c r="BC107" s="200" t="s">
        <v>1</v>
      </c>
      <c r="BD107" s="200" t="s">
        <v>1</v>
      </c>
      <c r="BE107" s="109" t="s">
        <v>1</v>
      </c>
      <c r="BF107" s="109" t="s">
        <v>1</v>
      </c>
      <c r="BG107" s="200" t="s">
        <v>1</v>
      </c>
      <c r="BH107" s="200" t="s">
        <v>1</v>
      </c>
      <c r="BI107" s="92" t="s">
        <v>102</v>
      </c>
      <c r="BJ107" s="92">
        <v>15</v>
      </c>
      <c r="BK107" s="92">
        <v>4192</v>
      </c>
      <c r="BL107" s="92">
        <v>491</v>
      </c>
      <c r="BM107" s="92" t="s">
        <v>74</v>
      </c>
      <c r="BN107" s="92">
        <v>104</v>
      </c>
      <c r="BO107" s="92">
        <v>1511</v>
      </c>
      <c r="BP107" s="92">
        <v>192</v>
      </c>
      <c r="BQ107" s="108" t="s">
        <v>1</v>
      </c>
      <c r="BR107" s="108" t="s">
        <v>1</v>
      </c>
      <c r="BS107" s="108" t="s">
        <v>1</v>
      </c>
      <c r="BT107" s="108" t="s">
        <v>1</v>
      </c>
      <c r="BU107" s="108" t="s">
        <v>1</v>
      </c>
      <c r="BV107" s="108" t="s">
        <v>1</v>
      </c>
      <c r="BW107" s="108" t="s">
        <v>1</v>
      </c>
      <c r="BX107" s="108" t="s">
        <v>1</v>
      </c>
      <c r="BY107" s="108" t="s">
        <v>1</v>
      </c>
      <c r="BZ107" s="108" t="s">
        <v>1</v>
      </c>
      <c r="CA107" s="108" t="s">
        <v>1</v>
      </c>
      <c r="CB107" s="108" t="s">
        <v>1</v>
      </c>
      <c r="CC107" s="108" t="s">
        <v>1</v>
      </c>
      <c r="CD107" s="108" t="s">
        <v>1</v>
      </c>
      <c r="CE107" s="108" t="s">
        <v>1</v>
      </c>
      <c r="CF107" s="108" t="s">
        <v>1</v>
      </c>
    </row>
    <row r="108" ht="28" customHeight="1" spans="1:84">
      <c r="A108" s="107">
        <v>45211</v>
      </c>
      <c r="B108" s="108" t="s">
        <v>125</v>
      </c>
      <c r="C108" s="109" t="s">
        <v>1</v>
      </c>
      <c r="D108" s="30" t="s">
        <v>1</v>
      </c>
      <c r="E108" s="30" t="s">
        <v>1</v>
      </c>
      <c r="F108" s="109" t="str">
        <f t="shared" si="3"/>
        <v/>
      </c>
      <c r="G108" s="109" t="s">
        <v>1</v>
      </c>
      <c r="H108" s="108" t="s">
        <v>1</v>
      </c>
      <c r="I108" s="109" t="s">
        <v>1</v>
      </c>
      <c r="J108" s="141" t="str">
        <f t="shared" si="4"/>
        <v/>
      </c>
      <c r="K108" s="211" t="s">
        <v>1</v>
      </c>
      <c r="L108" s="172">
        <v>96659</v>
      </c>
      <c r="M108" s="204">
        <v>4880</v>
      </c>
      <c r="N108" s="242" t="s">
        <v>1</v>
      </c>
      <c r="O108" s="32" t="s">
        <v>1</v>
      </c>
      <c r="P108" s="109" t="s">
        <v>1</v>
      </c>
      <c r="Q108" s="141" t="e">
        <f t="shared" si="2"/>
        <v>#VALUE!</v>
      </c>
      <c r="R108" s="109" t="s">
        <v>1</v>
      </c>
      <c r="S108" s="109" t="s">
        <v>1</v>
      </c>
      <c r="T108" s="109" t="s">
        <v>1</v>
      </c>
      <c r="U108" s="109" t="s">
        <v>1</v>
      </c>
      <c r="V108" s="92" t="s">
        <v>1</v>
      </c>
      <c r="W108" s="92">
        <v>1928</v>
      </c>
      <c r="X108" s="92" t="s">
        <v>1</v>
      </c>
      <c r="Y108" s="92">
        <v>749</v>
      </c>
      <c r="Z108" s="92" t="s">
        <v>1</v>
      </c>
      <c r="AA108" s="236">
        <v>2.57</v>
      </c>
      <c r="AB108" s="92" t="s">
        <v>1</v>
      </c>
      <c r="AC108" s="92">
        <v>74.59</v>
      </c>
      <c r="AD108" s="92" t="s">
        <v>1</v>
      </c>
      <c r="AE108" s="92" t="s">
        <v>72</v>
      </c>
      <c r="AF108" s="92" t="s">
        <v>1</v>
      </c>
      <c r="AG108" s="92">
        <v>45</v>
      </c>
      <c r="AH108" s="125" t="s">
        <v>1</v>
      </c>
      <c r="AI108" s="125">
        <v>697</v>
      </c>
      <c r="AJ108" s="125" t="s">
        <v>1</v>
      </c>
      <c r="AK108" s="125">
        <v>75</v>
      </c>
      <c r="AL108" s="125" t="s">
        <v>1</v>
      </c>
      <c r="AM108" s="125">
        <v>16</v>
      </c>
      <c r="AN108" s="125" t="s">
        <v>1</v>
      </c>
      <c r="AO108" s="125">
        <v>9</v>
      </c>
      <c r="AP108" s="125" t="s">
        <v>1</v>
      </c>
      <c r="AQ108" s="125">
        <v>370</v>
      </c>
      <c r="AR108" s="125" t="s">
        <v>1</v>
      </c>
      <c r="AS108" s="125">
        <v>53</v>
      </c>
      <c r="AT108" s="200" t="s">
        <v>1</v>
      </c>
      <c r="AU108" s="109" t="s">
        <v>1</v>
      </c>
      <c r="AV108" s="198">
        <v>0</v>
      </c>
      <c r="AW108" s="109" t="s">
        <v>1</v>
      </c>
      <c r="AX108" s="141" t="s">
        <v>1</v>
      </c>
      <c r="AY108" s="200" t="s">
        <v>1</v>
      </c>
      <c r="AZ108" s="108">
        <v>0</v>
      </c>
      <c r="BA108" s="109" t="s">
        <v>1</v>
      </c>
      <c r="BB108" s="141" t="s">
        <v>103</v>
      </c>
      <c r="BC108" s="200" t="s">
        <v>1</v>
      </c>
      <c r="BD108" s="200" t="s">
        <v>1</v>
      </c>
      <c r="BE108" s="109" t="s">
        <v>1</v>
      </c>
      <c r="BF108" s="109" t="s">
        <v>1</v>
      </c>
      <c r="BG108" s="200" t="s">
        <v>1</v>
      </c>
      <c r="BH108" s="200" t="s">
        <v>1</v>
      </c>
      <c r="BI108" s="92" t="s">
        <v>102</v>
      </c>
      <c r="BJ108" s="92">
        <v>18</v>
      </c>
      <c r="BK108" s="92">
        <v>3651</v>
      </c>
      <c r="BL108" s="92">
        <v>376</v>
      </c>
      <c r="BM108" s="92" t="s">
        <v>74</v>
      </c>
      <c r="BN108" s="92">
        <v>116</v>
      </c>
      <c r="BO108" s="92">
        <v>1232</v>
      </c>
      <c r="BP108" s="92">
        <v>118</v>
      </c>
      <c r="BQ108" s="108" t="s">
        <v>1</v>
      </c>
      <c r="BR108" s="108" t="s">
        <v>1</v>
      </c>
      <c r="BS108" s="108" t="s">
        <v>1</v>
      </c>
      <c r="BT108" s="108" t="s">
        <v>1</v>
      </c>
      <c r="BU108" s="108" t="s">
        <v>1</v>
      </c>
      <c r="BV108" s="108" t="s">
        <v>1</v>
      </c>
      <c r="BW108" s="108" t="s">
        <v>1</v>
      </c>
      <c r="BX108" s="108" t="s">
        <v>1</v>
      </c>
      <c r="BY108" s="108" t="s">
        <v>1</v>
      </c>
      <c r="BZ108" s="108" t="s">
        <v>1</v>
      </c>
      <c r="CA108" s="108" t="s">
        <v>1</v>
      </c>
      <c r="CB108" s="108" t="s">
        <v>1</v>
      </c>
      <c r="CC108" s="108" t="s">
        <v>1</v>
      </c>
      <c r="CD108" s="108" t="s">
        <v>1</v>
      </c>
      <c r="CE108" s="108" t="s">
        <v>1</v>
      </c>
      <c r="CF108" s="108" t="s">
        <v>1</v>
      </c>
    </row>
    <row r="109" ht="28" customHeight="1" spans="1:84">
      <c r="A109" s="107">
        <v>45212</v>
      </c>
      <c r="B109" s="108" t="s">
        <v>125</v>
      </c>
      <c r="C109" s="109" t="s">
        <v>1</v>
      </c>
      <c r="D109" s="30" t="s">
        <v>1</v>
      </c>
      <c r="E109" s="30" t="s">
        <v>1</v>
      </c>
      <c r="F109" s="109" t="str">
        <f t="shared" si="3"/>
        <v/>
      </c>
      <c r="G109" s="109" t="s">
        <v>1</v>
      </c>
      <c r="H109" s="108" t="s">
        <v>1</v>
      </c>
      <c r="I109" s="109" t="s">
        <v>1</v>
      </c>
      <c r="J109" s="141" t="str">
        <f t="shared" si="4"/>
        <v/>
      </c>
      <c r="K109" s="211" t="s">
        <v>1</v>
      </c>
      <c r="L109" s="30">
        <v>86007.6</v>
      </c>
      <c r="M109" s="204">
        <v>0</v>
      </c>
      <c r="N109" s="242" t="s">
        <v>1</v>
      </c>
      <c r="O109" s="32" t="s">
        <v>1</v>
      </c>
      <c r="P109" s="109" t="s">
        <v>1</v>
      </c>
      <c r="Q109" s="141" t="e">
        <f t="shared" ref="Q109:Q127" si="5">O109/E109</f>
        <v>#VALUE!</v>
      </c>
      <c r="R109" s="109" t="s">
        <v>1</v>
      </c>
      <c r="S109" s="109" t="s">
        <v>1</v>
      </c>
      <c r="T109" s="109" t="s">
        <v>1</v>
      </c>
      <c r="U109" s="109" t="s">
        <v>1</v>
      </c>
      <c r="V109" s="92" t="s">
        <v>1</v>
      </c>
      <c r="W109" s="92">
        <v>1881</v>
      </c>
      <c r="X109" s="92" t="s">
        <v>1</v>
      </c>
      <c r="Y109" s="92">
        <v>720</v>
      </c>
      <c r="Z109" s="92" t="s">
        <v>1</v>
      </c>
      <c r="AA109" s="236">
        <v>2.61</v>
      </c>
      <c r="AB109" s="92" t="s">
        <v>1</v>
      </c>
      <c r="AC109" s="92">
        <v>74.4</v>
      </c>
      <c r="AD109" s="92" t="s">
        <v>1</v>
      </c>
      <c r="AE109" s="92" t="s">
        <v>72</v>
      </c>
      <c r="AF109" s="92" t="s">
        <v>1</v>
      </c>
      <c r="AG109" s="92">
        <v>43</v>
      </c>
      <c r="AH109" s="125" t="s">
        <v>1</v>
      </c>
      <c r="AI109" s="125">
        <v>671</v>
      </c>
      <c r="AJ109" s="125" t="s">
        <v>1</v>
      </c>
      <c r="AK109" s="125">
        <v>63</v>
      </c>
      <c r="AL109" s="125" t="s">
        <v>1</v>
      </c>
      <c r="AM109" s="125">
        <v>18</v>
      </c>
      <c r="AN109" s="125" t="s">
        <v>1</v>
      </c>
      <c r="AO109" s="125">
        <v>6</v>
      </c>
      <c r="AP109" s="125" t="s">
        <v>1</v>
      </c>
      <c r="AQ109" s="125">
        <v>344</v>
      </c>
      <c r="AR109" s="125" t="s">
        <v>1</v>
      </c>
      <c r="AS109" s="125">
        <v>51</v>
      </c>
      <c r="AT109" s="200" t="s">
        <v>1</v>
      </c>
      <c r="AU109" s="109" t="s">
        <v>1</v>
      </c>
      <c r="AV109" s="198">
        <v>0</v>
      </c>
      <c r="AW109" s="109" t="s">
        <v>1</v>
      </c>
      <c r="AX109" s="141" t="s">
        <v>1</v>
      </c>
      <c r="AY109" s="200" t="s">
        <v>1</v>
      </c>
      <c r="AZ109" s="108">
        <v>0</v>
      </c>
      <c r="BA109" s="109" t="s">
        <v>1</v>
      </c>
      <c r="BB109" s="141" t="s">
        <v>103</v>
      </c>
      <c r="BC109" s="200" t="s">
        <v>1</v>
      </c>
      <c r="BD109" s="200" t="s">
        <v>1</v>
      </c>
      <c r="BE109" s="109" t="s">
        <v>1</v>
      </c>
      <c r="BF109" s="109" t="s">
        <v>1</v>
      </c>
      <c r="BG109" s="200" t="s">
        <v>1</v>
      </c>
      <c r="BH109" s="200" t="s">
        <v>1</v>
      </c>
      <c r="BI109" s="92" t="s">
        <v>102</v>
      </c>
      <c r="BJ109" s="92">
        <v>13</v>
      </c>
      <c r="BK109" s="92">
        <v>4392</v>
      </c>
      <c r="BL109" s="92">
        <v>505</v>
      </c>
      <c r="BM109" s="92" t="s">
        <v>73</v>
      </c>
      <c r="BN109" s="92">
        <v>100</v>
      </c>
      <c r="BO109" s="92">
        <v>1415</v>
      </c>
      <c r="BP109" s="92">
        <v>146</v>
      </c>
      <c r="BQ109" s="108" t="s">
        <v>1</v>
      </c>
      <c r="BR109" s="108" t="s">
        <v>1</v>
      </c>
      <c r="BS109" s="108" t="s">
        <v>1</v>
      </c>
      <c r="BT109" s="108" t="s">
        <v>1</v>
      </c>
      <c r="BU109" s="108" t="s">
        <v>1</v>
      </c>
      <c r="BV109" s="108" t="s">
        <v>1</v>
      </c>
      <c r="BW109" s="108" t="s">
        <v>1</v>
      </c>
      <c r="BX109" s="108" t="s">
        <v>1</v>
      </c>
      <c r="BY109" s="108" t="s">
        <v>1</v>
      </c>
      <c r="BZ109" s="108" t="s">
        <v>1</v>
      </c>
      <c r="CA109" s="108" t="s">
        <v>1</v>
      </c>
      <c r="CB109" s="108" t="s">
        <v>1</v>
      </c>
      <c r="CC109" s="108" t="s">
        <v>1</v>
      </c>
      <c r="CD109" s="108" t="s">
        <v>1</v>
      </c>
      <c r="CE109" s="108" t="s">
        <v>1</v>
      </c>
      <c r="CF109" s="108" t="s">
        <v>1</v>
      </c>
    </row>
    <row r="110" ht="28" customHeight="1" spans="1:84">
      <c r="A110" s="107">
        <v>45213</v>
      </c>
      <c r="B110" s="7" t="s">
        <v>125</v>
      </c>
      <c r="C110" s="109" t="s">
        <v>1</v>
      </c>
      <c r="D110" s="30" t="s">
        <v>1</v>
      </c>
      <c r="E110" s="30" t="s">
        <v>1</v>
      </c>
      <c r="F110" s="109" t="str">
        <f t="shared" si="3"/>
        <v/>
      </c>
      <c r="G110" s="109" t="s">
        <v>1</v>
      </c>
      <c r="H110" s="108" t="s">
        <v>1</v>
      </c>
      <c r="I110" s="109" t="s">
        <v>1</v>
      </c>
      <c r="J110" s="141" t="str">
        <f t="shared" si="4"/>
        <v/>
      </c>
      <c r="K110" s="211" t="s">
        <v>1</v>
      </c>
      <c r="L110" s="172">
        <v>44078.03</v>
      </c>
      <c r="M110" s="204">
        <v>24943</v>
      </c>
      <c r="N110" s="242" t="s">
        <v>1</v>
      </c>
      <c r="O110" s="32" t="s">
        <v>1</v>
      </c>
      <c r="P110" s="109" t="s">
        <v>1</v>
      </c>
      <c r="Q110" s="141" t="e">
        <f t="shared" si="5"/>
        <v>#VALUE!</v>
      </c>
      <c r="R110" s="109" t="s">
        <v>1</v>
      </c>
      <c r="S110" s="109" t="s">
        <v>1</v>
      </c>
      <c r="T110" s="109" t="s">
        <v>1</v>
      </c>
      <c r="U110" s="109" t="s">
        <v>1</v>
      </c>
      <c r="V110" s="92" t="s">
        <v>1</v>
      </c>
      <c r="W110" s="92">
        <v>2729</v>
      </c>
      <c r="X110" s="92" t="s">
        <v>1</v>
      </c>
      <c r="Y110" s="92">
        <v>898</v>
      </c>
      <c r="Z110" s="92" t="s">
        <v>1</v>
      </c>
      <c r="AA110" s="236">
        <v>3.04</v>
      </c>
      <c r="AB110" s="92" t="s">
        <v>1</v>
      </c>
      <c r="AC110" s="92">
        <v>86.63</v>
      </c>
      <c r="AD110" s="92" t="s">
        <v>1</v>
      </c>
      <c r="AE110" s="92" t="s">
        <v>72</v>
      </c>
      <c r="AF110" s="92" t="s">
        <v>1</v>
      </c>
      <c r="AG110" s="92">
        <v>57</v>
      </c>
      <c r="AH110" s="125" t="s">
        <v>1</v>
      </c>
      <c r="AI110" s="125">
        <v>857</v>
      </c>
      <c r="AJ110" s="125" t="s">
        <v>1</v>
      </c>
      <c r="AK110" s="125">
        <v>46</v>
      </c>
      <c r="AL110" s="125" t="s">
        <v>1</v>
      </c>
      <c r="AM110" s="125">
        <v>23</v>
      </c>
      <c r="AN110" s="125" t="s">
        <v>1</v>
      </c>
      <c r="AO110" s="125">
        <v>7</v>
      </c>
      <c r="AP110" s="125" t="s">
        <v>1</v>
      </c>
      <c r="AQ110" s="125">
        <v>420</v>
      </c>
      <c r="AR110" s="125" t="s">
        <v>1</v>
      </c>
      <c r="AS110" s="125">
        <v>110</v>
      </c>
      <c r="AT110" s="200" t="s">
        <v>1</v>
      </c>
      <c r="AU110" s="109" t="s">
        <v>1</v>
      </c>
      <c r="AV110" s="198">
        <v>0</v>
      </c>
      <c r="AW110" s="109" t="s">
        <v>1</v>
      </c>
      <c r="AX110" s="141" t="s">
        <v>1</v>
      </c>
      <c r="AY110" s="200" t="s">
        <v>1</v>
      </c>
      <c r="AZ110" s="108">
        <v>0</v>
      </c>
      <c r="BA110" s="109" t="s">
        <v>1</v>
      </c>
      <c r="BB110" s="141" t="s">
        <v>103</v>
      </c>
      <c r="BC110" s="200" t="s">
        <v>1</v>
      </c>
      <c r="BD110" s="200" t="s">
        <v>1</v>
      </c>
      <c r="BE110" s="109" t="s">
        <v>1</v>
      </c>
      <c r="BF110" s="109" t="s">
        <v>1</v>
      </c>
      <c r="BG110" s="200" t="s">
        <v>1</v>
      </c>
      <c r="BH110" s="200" t="s">
        <v>1</v>
      </c>
      <c r="BI110" s="92" t="s">
        <v>102</v>
      </c>
      <c r="BJ110" s="92">
        <v>19</v>
      </c>
      <c r="BK110" s="92">
        <v>4012</v>
      </c>
      <c r="BL110" s="92">
        <v>401</v>
      </c>
      <c r="BM110" s="92" t="s">
        <v>74</v>
      </c>
      <c r="BN110" s="92">
        <v>114</v>
      </c>
      <c r="BO110" s="92">
        <v>1305</v>
      </c>
      <c r="BP110" s="92">
        <v>199</v>
      </c>
      <c r="BQ110" s="108" t="s">
        <v>1</v>
      </c>
      <c r="BR110" s="108" t="s">
        <v>1</v>
      </c>
      <c r="BS110" s="108" t="s">
        <v>1</v>
      </c>
      <c r="BT110" s="108" t="s">
        <v>1</v>
      </c>
      <c r="BU110" s="108" t="s">
        <v>1</v>
      </c>
      <c r="BV110" s="108" t="s">
        <v>1</v>
      </c>
      <c r="BW110" s="108" t="s">
        <v>1</v>
      </c>
      <c r="BX110" s="108" t="s">
        <v>1</v>
      </c>
      <c r="BY110" s="108" t="s">
        <v>1</v>
      </c>
      <c r="BZ110" s="108" t="s">
        <v>1</v>
      </c>
      <c r="CA110" s="108" t="s">
        <v>1</v>
      </c>
      <c r="CB110" s="108" t="s">
        <v>1</v>
      </c>
      <c r="CC110" s="108" t="s">
        <v>1</v>
      </c>
      <c r="CD110" s="108" t="s">
        <v>1</v>
      </c>
      <c r="CE110" s="108" t="s">
        <v>1</v>
      </c>
      <c r="CF110" s="108" t="s">
        <v>1</v>
      </c>
    </row>
    <row r="111" ht="28" customHeight="1" spans="1:84">
      <c r="A111" s="107">
        <v>45214</v>
      </c>
      <c r="B111" s="7" t="s">
        <v>125</v>
      </c>
      <c r="C111" s="109" t="s">
        <v>1</v>
      </c>
      <c r="D111" s="30" t="s">
        <v>1</v>
      </c>
      <c r="E111" s="30" t="s">
        <v>1</v>
      </c>
      <c r="F111" s="109" t="str">
        <f t="shared" si="3"/>
        <v/>
      </c>
      <c r="G111" s="109" t="s">
        <v>1</v>
      </c>
      <c r="H111" s="108" t="s">
        <v>1</v>
      </c>
      <c r="I111" s="109" t="s">
        <v>1</v>
      </c>
      <c r="J111" s="141" t="str">
        <f t="shared" si="4"/>
        <v/>
      </c>
      <c r="K111" s="211" t="s">
        <v>1</v>
      </c>
      <c r="L111" s="30">
        <v>61083</v>
      </c>
      <c r="M111" s="204">
        <v>3599</v>
      </c>
      <c r="N111" s="242" t="s">
        <v>1</v>
      </c>
      <c r="O111" s="32" t="s">
        <v>1</v>
      </c>
      <c r="P111" s="109" t="s">
        <v>1</v>
      </c>
      <c r="Q111" s="141" t="e">
        <f t="shared" si="5"/>
        <v>#VALUE!</v>
      </c>
      <c r="R111" s="109" t="s">
        <v>1</v>
      </c>
      <c r="S111" s="109" t="s">
        <v>1</v>
      </c>
      <c r="T111" s="109" t="s">
        <v>1</v>
      </c>
      <c r="U111" s="109" t="s">
        <v>1</v>
      </c>
      <c r="V111" s="92" t="s">
        <v>1</v>
      </c>
      <c r="W111" s="92">
        <v>2445</v>
      </c>
      <c r="X111" s="92" t="s">
        <v>1</v>
      </c>
      <c r="Y111" s="92">
        <v>925</v>
      </c>
      <c r="Z111" s="92" t="s">
        <v>1</v>
      </c>
      <c r="AA111" s="236">
        <v>2.64</v>
      </c>
      <c r="AB111" s="92" t="s">
        <v>1</v>
      </c>
      <c r="AC111" s="92">
        <v>71.4</v>
      </c>
      <c r="AD111" s="92" t="s">
        <v>1</v>
      </c>
      <c r="AE111" s="92" t="s">
        <v>72</v>
      </c>
      <c r="AF111" s="92" t="s">
        <v>1</v>
      </c>
      <c r="AG111" s="92">
        <v>61</v>
      </c>
      <c r="AH111" s="125" t="s">
        <v>1</v>
      </c>
      <c r="AI111" s="125">
        <v>889</v>
      </c>
      <c r="AJ111" s="125" t="s">
        <v>1</v>
      </c>
      <c r="AK111" s="125">
        <v>45</v>
      </c>
      <c r="AL111" s="125" t="s">
        <v>1</v>
      </c>
      <c r="AM111" s="125">
        <v>16</v>
      </c>
      <c r="AN111" s="125" t="s">
        <v>1</v>
      </c>
      <c r="AO111" s="125">
        <v>6</v>
      </c>
      <c r="AP111" s="125" t="s">
        <v>1</v>
      </c>
      <c r="AQ111" s="125">
        <v>530</v>
      </c>
      <c r="AR111" s="125" t="s">
        <v>1</v>
      </c>
      <c r="AS111" s="125">
        <v>85</v>
      </c>
      <c r="AT111" s="200" t="s">
        <v>1</v>
      </c>
      <c r="AU111" s="109" t="s">
        <v>1</v>
      </c>
      <c r="AV111" s="198">
        <v>0</v>
      </c>
      <c r="AW111" s="109" t="s">
        <v>1</v>
      </c>
      <c r="AX111" s="141" t="s">
        <v>1</v>
      </c>
      <c r="AY111" s="200" t="s">
        <v>1</v>
      </c>
      <c r="AZ111" s="108">
        <v>0</v>
      </c>
      <c r="BA111" s="109" t="s">
        <v>1</v>
      </c>
      <c r="BB111" s="141" t="s">
        <v>103</v>
      </c>
      <c r="BC111" s="200" t="s">
        <v>1</v>
      </c>
      <c r="BD111" s="200" t="s">
        <v>1</v>
      </c>
      <c r="BE111" s="109" t="s">
        <v>1</v>
      </c>
      <c r="BF111" s="109" t="s">
        <v>1</v>
      </c>
      <c r="BG111" s="200" t="s">
        <v>1</v>
      </c>
      <c r="BH111" s="200" t="s">
        <v>1</v>
      </c>
      <c r="BI111" s="92" t="s">
        <v>102</v>
      </c>
      <c r="BJ111" s="92">
        <v>13</v>
      </c>
      <c r="BK111" s="92">
        <v>5506</v>
      </c>
      <c r="BL111" s="92">
        <v>655</v>
      </c>
      <c r="BM111" s="92" t="s">
        <v>73</v>
      </c>
      <c r="BN111" s="92">
        <v>87</v>
      </c>
      <c r="BO111" s="92">
        <v>1829</v>
      </c>
      <c r="BP111" s="92">
        <v>197</v>
      </c>
      <c r="BQ111" s="108" t="s">
        <v>1</v>
      </c>
      <c r="BR111" s="108" t="s">
        <v>1</v>
      </c>
      <c r="BS111" s="108" t="s">
        <v>1</v>
      </c>
      <c r="BT111" s="108" t="s">
        <v>1</v>
      </c>
      <c r="BU111" s="108" t="s">
        <v>1</v>
      </c>
      <c r="BV111" s="108" t="s">
        <v>1</v>
      </c>
      <c r="BW111" s="108" t="s">
        <v>1</v>
      </c>
      <c r="BX111" s="108" t="s">
        <v>1</v>
      </c>
      <c r="BY111" s="108" t="s">
        <v>1</v>
      </c>
      <c r="BZ111" s="108" t="s">
        <v>1</v>
      </c>
      <c r="CA111" s="108" t="s">
        <v>1</v>
      </c>
      <c r="CB111" s="108" t="s">
        <v>1</v>
      </c>
      <c r="CC111" s="108" t="s">
        <v>1</v>
      </c>
      <c r="CD111" s="108" t="s">
        <v>1</v>
      </c>
      <c r="CE111" s="108" t="s">
        <v>1</v>
      </c>
      <c r="CF111" s="108" t="s">
        <v>1</v>
      </c>
    </row>
    <row r="112" ht="28" customHeight="1" spans="1:84">
      <c r="A112" s="107">
        <v>45215</v>
      </c>
      <c r="B112" s="7" t="s">
        <v>125</v>
      </c>
      <c r="C112" s="109" t="s">
        <v>1</v>
      </c>
      <c r="D112" s="30" t="s">
        <v>1</v>
      </c>
      <c r="E112" s="30" t="s">
        <v>1</v>
      </c>
      <c r="F112" s="109" t="str">
        <f t="shared" si="3"/>
        <v/>
      </c>
      <c r="G112" s="109" t="s">
        <v>1</v>
      </c>
      <c r="H112" s="108" t="s">
        <v>1</v>
      </c>
      <c r="I112" s="109" t="s">
        <v>1</v>
      </c>
      <c r="J112" s="141" t="str">
        <f t="shared" si="4"/>
        <v/>
      </c>
      <c r="K112" s="211" t="s">
        <v>1</v>
      </c>
      <c r="L112" s="30">
        <v>64269</v>
      </c>
      <c r="M112" s="204">
        <v>0</v>
      </c>
      <c r="N112" s="242" t="s">
        <v>1</v>
      </c>
      <c r="O112" s="32" t="s">
        <v>1</v>
      </c>
      <c r="P112" s="109" t="s">
        <v>1</v>
      </c>
      <c r="Q112" s="141" t="e">
        <f t="shared" si="5"/>
        <v>#VALUE!</v>
      </c>
      <c r="R112" s="109" t="s">
        <v>1</v>
      </c>
      <c r="S112" s="109" t="s">
        <v>1</v>
      </c>
      <c r="T112" s="109" t="s">
        <v>1</v>
      </c>
      <c r="U112" s="109" t="s">
        <v>1</v>
      </c>
      <c r="V112" s="92" t="s">
        <v>1</v>
      </c>
      <c r="W112" s="92">
        <v>2617</v>
      </c>
      <c r="X112" s="92" t="s">
        <v>1</v>
      </c>
      <c r="Y112" s="92">
        <v>830</v>
      </c>
      <c r="Z112" s="92" t="s">
        <v>1</v>
      </c>
      <c r="AA112" s="236">
        <v>3.15</v>
      </c>
      <c r="AB112" s="92" t="s">
        <v>1</v>
      </c>
      <c r="AC112" s="92">
        <v>93.73</v>
      </c>
      <c r="AD112" s="92" t="s">
        <v>1</v>
      </c>
      <c r="AE112" s="92" t="s">
        <v>72</v>
      </c>
      <c r="AF112" s="92" t="s">
        <v>1</v>
      </c>
      <c r="AG112" s="92">
        <v>59</v>
      </c>
      <c r="AH112" s="125" t="s">
        <v>1</v>
      </c>
      <c r="AI112" s="125">
        <v>790</v>
      </c>
      <c r="AJ112" s="125" t="s">
        <v>1</v>
      </c>
      <c r="AK112" s="125">
        <v>44</v>
      </c>
      <c r="AL112" s="125" t="s">
        <v>1</v>
      </c>
      <c r="AM112" s="125">
        <v>24</v>
      </c>
      <c r="AN112" s="125" t="s">
        <v>1</v>
      </c>
      <c r="AO112" s="125">
        <v>9</v>
      </c>
      <c r="AP112" s="125" t="s">
        <v>1</v>
      </c>
      <c r="AQ112" s="125">
        <v>368</v>
      </c>
      <c r="AR112" s="125" t="s">
        <v>1</v>
      </c>
      <c r="AS112" s="125">
        <v>87</v>
      </c>
      <c r="AT112" s="200" t="s">
        <v>1</v>
      </c>
      <c r="AU112" s="109" t="s">
        <v>1</v>
      </c>
      <c r="AV112" s="198">
        <v>0</v>
      </c>
      <c r="AW112" s="109" t="s">
        <v>1</v>
      </c>
      <c r="AX112" s="141" t="s">
        <v>1</v>
      </c>
      <c r="AY112" s="200" t="s">
        <v>1</v>
      </c>
      <c r="AZ112" s="108">
        <v>18</v>
      </c>
      <c r="BA112" s="109" t="s">
        <v>1</v>
      </c>
      <c r="BB112" s="141" t="s">
        <v>103</v>
      </c>
      <c r="BC112" s="200" t="s">
        <v>1</v>
      </c>
      <c r="BD112" s="200" t="s">
        <v>1</v>
      </c>
      <c r="BE112" s="109" t="s">
        <v>1</v>
      </c>
      <c r="BF112" s="109" t="s">
        <v>1</v>
      </c>
      <c r="BG112" s="200" t="s">
        <v>1</v>
      </c>
      <c r="BH112" s="200" t="s">
        <v>1</v>
      </c>
      <c r="BI112" s="92" t="s">
        <v>102</v>
      </c>
      <c r="BJ112" s="92">
        <v>13</v>
      </c>
      <c r="BK112" s="92">
        <v>5142</v>
      </c>
      <c r="BL112" s="92">
        <v>406</v>
      </c>
      <c r="BM112" s="92" t="s">
        <v>73</v>
      </c>
      <c r="BN112" s="92">
        <v>79</v>
      </c>
      <c r="BO112" s="92">
        <v>1850</v>
      </c>
      <c r="BP112" s="92" t="s">
        <v>1</v>
      </c>
      <c r="BQ112" s="108" t="s">
        <v>1</v>
      </c>
      <c r="BR112" s="108" t="s">
        <v>1</v>
      </c>
      <c r="BS112" s="108" t="s">
        <v>1</v>
      </c>
      <c r="BT112" s="108" t="s">
        <v>1</v>
      </c>
      <c r="BU112" s="108" t="s">
        <v>1</v>
      </c>
      <c r="BV112" s="108" t="s">
        <v>1</v>
      </c>
      <c r="BW112" s="108" t="s">
        <v>1</v>
      </c>
      <c r="BX112" s="108" t="s">
        <v>1</v>
      </c>
      <c r="BY112" s="108" t="s">
        <v>1</v>
      </c>
      <c r="BZ112" s="108" t="s">
        <v>1</v>
      </c>
      <c r="CA112" s="108" t="s">
        <v>1</v>
      </c>
      <c r="CB112" s="108" t="s">
        <v>1</v>
      </c>
      <c r="CC112" s="108" t="s">
        <v>1</v>
      </c>
      <c r="CD112" s="108" t="s">
        <v>1</v>
      </c>
      <c r="CE112" s="108" t="s">
        <v>1</v>
      </c>
      <c r="CF112" s="108" t="s">
        <v>1</v>
      </c>
    </row>
    <row r="113" ht="28" customHeight="1" spans="1:84">
      <c r="A113" s="107">
        <v>45216</v>
      </c>
      <c r="B113" s="7" t="s">
        <v>89</v>
      </c>
      <c r="C113" s="109" t="s">
        <v>1</v>
      </c>
      <c r="D113" s="30" t="s">
        <v>1</v>
      </c>
      <c r="E113" s="30" t="s">
        <v>1</v>
      </c>
      <c r="F113" s="109" t="str">
        <f t="shared" si="3"/>
        <v/>
      </c>
      <c r="G113" s="109" t="s">
        <v>1</v>
      </c>
      <c r="H113" s="108" t="s">
        <v>1</v>
      </c>
      <c r="I113" s="109" t="s">
        <v>1</v>
      </c>
      <c r="J113" s="141" t="str">
        <f t="shared" si="4"/>
        <v/>
      </c>
      <c r="K113" s="211" t="s">
        <v>1</v>
      </c>
      <c r="L113" s="30">
        <v>78636</v>
      </c>
      <c r="M113" s="204">
        <v>169751</v>
      </c>
      <c r="N113" s="242" t="s">
        <v>1</v>
      </c>
      <c r="O113" s="32" t="s">
        <v>1</v>
      </c>
      <c r="P113" s="109" t="s">
        <v>1</v>
      </c>
      <c r="Q113" s="141" t="e">
        <f t="shared" si="5"/>
        <v>#VALUE!</v>
      </c>
      <c r="R113" s="109" t="s">
        <v>1</v>
      </c>
      <c r="S113" s="109" t="s">
        <v>1</v>
      </c>
      <c r="T113" s="109" t="s">
        <v>1</v>
      </c>
      <c r="U113" s="109" t="s">
        <v>1</v>
      </c>
      <c r="V113" s="92" t="s">
        <v>1</v>
      </c>
      <c r="W113" s="92">
        <v>2998</v>
      </c>
      <c r="X113" s="92" t="s">
        <v>1</v>
      </c>
      <c r="Y113" s="92">
        <v>1033</v>
      </c>
      <c r="Z113" s="92" t="s">
        <v>1</v>
      </c>
      <c r="AA113" s="236">
        <v>2.9</v>
      </c>
      <c r="AB113" s="92" t="s">
        <v>1</v>
      </c>
      <c r="AC113" s="92">
        <v>72.56</v>
      </c>
      <c r="AD113" s="92" t="s">
        <v>1</v>
      </c>
      <c r="AE113" s="92" t="s">
        <v>72</v>
      </c>
      <c r="AF113" s="92" t="s">
        <v>1</v>
      </c>
      <c r="AG113" s="92">
        <v>67</v>
      </c>
      <c r="AH113" s="125" t="s">
        <v>1</v>
      </c>
      <c r="AI113" s="125">
        <v>975</v>
      </c>
      <c r="AJ113" s="125" t="s">
        <v>1</v>
      </c>
      <c r="AK113" s="125">
        <v>77</v>
      </c>
      <c r="AL113" s="125" t="s">
        <v>1</v>
      </c>
      <c r="AM113" s="125">
        <v>24</v>
      </c>
      <c r="AN113" s="125" t="s">
        <v>1</v>
      </c>
      <c r="AO113" s="125">
        <v>7</v>
      </c>
      <c r="AP113" s="125" t="s">
        <v>1</v>
      </c>
      <c r="AQ113" s="125">
        <v>545</v>
      </c>
      <c r="AR113" s="125" t="s">
        <v>1</v>
      </c>
      <c r="AS113" s="125">
        <v>93</v>
      </c>
      <c r="AT113" s="200" t="s">
        <v>1</v>
      </c>
      <c r="AU113" s="109" t="s">
        <v>1</v>
      </c>
      <c r="AV113" s="198">
        <v>0</v>
      </c>
      <c r="AW113" s="109" t="s">
        <v>1</v>
      </c>
      <c r="AX113" s="141" t="s">
        <v>1</v>
      </c>
      <c r="AY113" s="200" t="s">
        <v>1</v>
      </c>
      <c r="AZ113" s="108">
        <v>0</v>
      </c>
      <c r="BA113" s="109" t="s">
        <v>1</v>
      </c>
      <c r="BB113" s="141" t="s">
        <v>103</v>
      </c>
      <c r="BC113" s="200" t="s">
        <v>1</v>
      </c>
      <c r="BD113" s="200" t="s">
        <v>1</v>
      </c>
      <c r="BE113" s="109" t="s">
        <v>1</v>
      </c>
      <c r="BF113" s="109" t="s">
        <v>1</v>
      </c>
      <c r="BG113" s="200" t="s">
        <v>1</v>
      </c>
      <c r="BH113" s="200" t="s">
        <v>1</v>
      </c>
      <c r="BI113" s="92" t="s">
        <v>102</v>
      </c>
      <c r="BJ113" s="92">
        <v>16</v>
      </c>
      <c r="BK113" s="92">
        <v>4954</v>
      </c>
      <c r="BL113" s="92">
        <v>875</v>
      </c>
      <c r="BM113" s="92" t="s">
        <v>73</v>
      </c>
      <c r="BN113" s="92">
        <v>85</v>
      </c>
      <c r="BO113" s="92">
        <v>1662</v>
      </c>
      <c r="BP113" s="92" t="s">
        <v>1</v>
      </c>
      <c r="BQ113" s="108" t="s">
        <v>1</v>
      </c>
      <c r="BR113" s="108" t="s">
        <v>1</v>
      </c>
      <c r="BS113" s="108" t="s">
        <v>1</v>
      </c>
      <c r="BT113" s="108" t="s">
        <v>1</v>
      </c>
      <c r="BU113" s="108" t="s">
        <v>1</v>
      </c>
      <c r="BV113" s="108" t="s">
        <v>1</v>
      </c>
      <c r="BW113" s="108" t="s">
        <v>1</v>
      </c>
      <c r="BX113" s="108" t="s">
        <v>1</v>
      </c>
      <c r="BY113" s="108" t="s">
        <v>1</v>
      </c>
      <c r="BZ113" s="108" t="s">
        <v>1</v>
      </c>
      <c r="CA113" s="108" t="s">
        <v>1</v>
      </c>
      <c r="CB113" s="108" t="s">
        <v>1</v>
      </c>
      <c r="CC113" s="108" t="s">
        <v>1</v>
      </c>
      <c r="CD113" s="108" t="s">
        <v>1</v>
      </c>
      <c r="CE113" s="108" t="s">
        <v>1</v>
      </c>
      <c r="CF113" s="108" t="s">
        <v>1</v>
      </c>
    </row>
    <row r="114" ht="28" customHeight="1" spans="1:84">
      <c r="A114" s="107">
        <v>45217</v>
      </c>
      <c r="B114" s="7" t="s">
        <v>89</v>
      </c>
      <c r="C114" s="109" t="s">
        <v>1</v>
      </c>
      <c r="D114" s="30" t="s">
        <v>1</v>
      </c>
      <c r="E114" s="30" t="s">
        <v>1</v>
      </c>
      <c r="F114" s="109" t="str">
        <f t="shared" si="3"/>
        <v/>
      </c>
      <c r="G114" s="109" t="s">
        <v>1</v>
      </c>
      <c r="H114" s="108" t="s">
        <v>1</v>
      </c>
      <c r="I114" s="109" t="s">
        <v>1</v>
      </c>
      <c r="J114" s="141" t="str">
        <f t="shared" si="4"/>
        <v/>
      </c>
      <c r="K114" s="211" t="s">
        <v>1</v>
      </c>
      <c r="L114" s="172">
        <v>16605</v>
      </c>
      <c r="M114" s="204">
        <v>67856</v>
      </c>
      <c r="N114" s="242" t="s">
        <v>1</v>
      </c>
      <c r="O114" s="32" t="s">
        <v>1</v>
      </c>
      <c r="P114" s="109" t="s">
        <v>1</v>
      </c>
      <c r="Q114" s="141" t="e">
        <f t="shared" si="5"/>
        <v>#VALUE!</v>
      </c>
      <c r="R114" s="109" t="s">
        <v>1</v>
      </c>
      <c r="S114" s="109" t="s">
        <v>1</v>
      </c>
      <c r="T114" s="109" t="s">
        <v>1</v>
      </c>
      <c r="U114" s="109" t="s">
        <v>1</v>
      </c>
      <c r="V114" s="92" t="s">
        <v>1</v>
      </c>
      <c r="W114" s="92">
        <v>2828</v>
      </c>
      <c r="X114" s="92" t="s">
        <v>1</v>
      </c>
      <c r="Y114" s="92">
        <v>1082</v>
      </c>
      <c r="Z114" s="92" t="s">
        <v>1</v>
      </c>
      <c r="AA114" s="236">
        <v>2.61</v>
      </c>
      <c r="AB114" s="92" t="s">
        <v>1</v>
      </c>
      <c r="AC114" s="92">
        <v>72.04</v>
      </c>
      <c r="AD114" s="92" t="s">
        <v>1</v>
      </c>
      <c r="AE114" s="92" t="s">
        <v>72</v>
      </c>
      <c r="AF114" s="92" t="s">
        <v>1</v>
      </c>
      <c r="AG114" s="92">
        <v>61</v>
      </c>
      <c r="AH114" s="125" t="s">
        <v>1</v>
      </c>
      <c r="AI114" s="125">
        <v>1025</v>
      </c>
      <c r="AJ114" s="125" t="s">
        <v>1</v>
      </c>
      <c r="AK114" s="125">
        <v>64</v>
      </c>
      <c r="AL114" s="125" t="s">
        <v>1</v>
      </c>
      <c r="AM114" s="125">
        <v>21</v>
      </c>
      <c r="AN114" s="125" t="s">
        <v>1</v>
      </c>
      <c r="AO114" s="125">
        <v>8</v>
      </c>
      <c r="AP114" s="125" t="s">
        <v>1</v>
      </c>
      <c r="AQ114" s="125">
        <v>591</v>
      </c>
      <c r="AR114" s="125" t="s">
        <v>1</v>
      </c>
      <c r="AS114" s="125">
        <v>92</v>
      </c>
      <c r="AT114" s="200" t="s">
        <v>1</v>
      </c>
      <c r="AU114" s="109" t="s">
        <v>1</v>
      </c>
      <c r="AV114" s="198">
        <v>0</v>
      </c>
      <c r="AW114" s="109" t="s">
        <v>1</v>
      </c>
      <c r="AX114" s="141" t="s">
        <v>1</v>
      </c>
      <c r="AY114" s="200" t="s">
        <v>1</v>
      </c>
      <c r="AZ114" s="108">
        <v>109</v>
      </c>
      <c r="BA114" s="109" t="s">
        <v>1</v>
      </c>
      <c r="BB114" s="141" t="s">
        <v>103</v>
      </c>
      <c r="BC114" s="200" t="s">
        <v>1</v>
      </c>
      <c r="BD114" s="200" t="s">
        <v>1</v>
      </c>
      <c r="BE114" s="109" t="s">
        <v>1</v>
      </c>
      <c r="BF114" s="109" t="s">
        <v>1</v>
      </c>
      <c r="BG114" s="200" t="s">
        <v>1</v>
      </c>
      <c r="BH114" s="200" t="s">
        <v>1</v>
      </c>
      <c r="BI114" s="92" t="s">
        <v>102</v>
      </c>
      <c r="BJ114" s="92">
        <v>16</v>
      </c>
      <c r="BK114" s="92">
        <v>4367</v>
      </c>
      <c r="BL114" s="92">
        <v>660</v>
      </c>
      <c r="BM114" s="92" t="s">
        <v>73</v>
      </c>
      <c r="BN114" s="92">
        <v>92</v>
      </c>
      <c r="BO114" s="92">
        <v>1504</v>
      </c>
      <c r="BP114" s="92" t="s">
        <v>1</v>
      </c>
      <c r="BQ114" s="108" t="s">
        <v>1</v>
      </c>
      <c r="BR114" s="108" t="s">
        <v>1</v>
      </c>
      <c r="BS114" s="108" t="s">
        <v>1</v>
      </c>
      <c r="BT114" s="108" t="s">
        <v>1</v>
      </c>
      <c r="BU114" s="108" t="s">
        <v>1</v>
      </c>
      <c r="BV114" s="108" t="s">
        <v>1</v>
      </c>
      <c r="BW114" s="108" t="s">
        <v>1</v>
      </c>
      <c r="BX114" s="108" t="s">
        <v>1</v>
      </c>
      <c r="BY114" s="108" t="s">
        <v>1</v>
      </c>
      <c r="BZ114" s="108" t="s">
        <v>1</v>
      </c>
      <c r="CA114" s="108" t="s">
        <v>1</v>
      </c>
      <c r="CB114" s="108" t="s">
        <v>1</v>
      </c>
      <c r="CC114" s="108" t="s">
        <v>1</v>
      </c>
      <c r="CD114" s="108" t="s">
        <v>1</v>
      </c>
      <c r="CE114" s="108" t="s">
        <v>1</v>
      </c>
      <c r="CF114" s="108" t="s">
        <v>1</v>
      </c>
    </row>
    <row r="115" ht="28" customHeight="1" spans="1:84">
      <c r="A115" s="107">
        <v>45218</v>
      </c>
      <c r="B115" s="7" t="s">
        <v>89</v>
      </c>
      <c r="C115" s="109" t="s">
        <v>1</v>
      </c>
      <c r="D115" s="30" t="s">
        <v>1</v>
      </c>
      <c r="E115" s="30" t="s">
        <v>1</v>
      </c>
      <c r="F115" s="109" t="str">
        <f t="shared" si="3"/>
        <v/>
      </c>
      <c r="G115" s="109" t="s">
        <v>1</v>
      </c>
      <c r="H115" s="108" t="s">
        <v>1</v>
      </c>
      <c r="I115" s="109" t="s">
        <v>1</v>
      </c>
      <c r="J115" s="141" t="str">
        <f t="shared" si="4"/>
        <v/>
      </c>
      <c r="K115" s="211" t="s">
        <v>1</v>
      </c>
      <c r="L115" s="30">
        <v>21059</v>
      </c>
      <c r="M115" s="204">
        <v>114586</v>
      </c>
      <c r="N115" s="242" t="s">
        <v>1</v>
      </c>
      <c r="O115" s="32" t="s">
        <v>1</v>
      </c>
      <c r="P115" s="109" t="s">
        <v>1</v>
      </c>
      <c r="Q115" s="141" t="e">
        <f t="shared" si="5"/>
        <v>#VALUE!</v>
      </c>
      <c r="R115" s="109" t="s">
        <v>1</v>
      </c>
      <c r="S115" s="109" t="s">
        <v>1</v>
      </c>
      <c r="T115" s="109" t="s">
        <v>1</v>
      </c>
      <c r="U115" s="109" t="s">
        <v>1</v>
      </c>
      <c r="V115" s="92" t="s">
        <v>1</v>
      </c>
      <c r="W115" s="92">
        <v>5352</v>
      </c>
      <c r="X115" s="92" t="s">
        <v>1</v>
      </c>
      <c r="Y115" s="92">
        <v>1530</v>
      </c>
      <c r="Z115" s="92" t="s">
        <v>1</v>
      </c>
      <c r="AA115" s="236">
        <v>3.5</v>
      </c>
      <c r="AB115" s="92" t="s">
        <v>1</v>
      </c>
      <c r="AC115" s="92">
        <v>94.7</v>
      </c>
      <c r="AD115" s="92" t="s">
        <v>1</v>
      </c>
      <c r="AE115" s="92" t="s">
        <v>72</v>
      </c>
      <c r="AF115" s="92" t="s">
        <v>1</v>
      </c>
      <c r="AG115" s="92">
        <v>129</v>
      </c>
      <c r="AH115" s="125" t="s">
        <v>1</v>
      </c>
      <c r="AI115" s="125">
        <v>1481</v>
      </c>
      <c r="AJ115" s="125" t="s">
        <v>1</v>
      </c>
      <c r="AK115" s="125">
        <v>51</v>
      </c>
      <c r="AL115" s="125" t="s">
        <v>1</v>
      </c>
      <c r="AM115" s="125">
        <v>23</v>
      </c>
      <c r="AN115" s="125" t="s">
        <v>1</v>
      </c>
      <c r="AO115" s="125">
        <v>20</v>
      </c>
      <c r="AP115" s="125" t="s">
        <v>1</v>
      </c>
      <c r="AQ115" s="125">
        <v>878</v>
      </c>
      <c r="AR115" s="125" t="s">
        <v>1</v>
      </c>
      <c r="AS115" s="125">
        <v>180</v>
      </c>
      <c r="AT115" s="200" t="s">
        <v>1</v>
      </c>
      <c r="AU115" s="109" t="s">
        <v>1</v>
      </c>
      <c r="AV115" s="198">
        <v>0</v>
      </c>
      <c r="AW115" s="109" t="s">
        <v>1</v>
      </c>
      <c r="AX115" s="141" t="s">
        <v>1</v>
      </c>
      <c r="AY115" s="200" t="s">
        <v>1</v>
      </c>
      <c r="AZ115" s="108">
        <v>127</v>
      </c>
      <c r="BA115" s="109" t="s">
        <v>1</v>
      </c>
      <c r="BB115" s="141" t="s">
        <v>103</v>
      </c>
      <c r="BC115" s="200" t="s">
        <v>1</v>
      </c>
      <c r="BD115" s="200" t="s">
        <v>1</v>
      </c>
      <c r="BE115" s="109" t="s">
        <v>1</v>
      </c>
      <c r="BF115" s="109" t="s">
        <v>1</v>
      </c>
      <c r="BG115" s="200" t="s">
        <v>1</v>
      </c>
      <c r="BH115" s="200" t="s">
        <v>1</v>
      </c>
      <c r="BI115" s="92" t="s">
        <v>176</v>
      </c>
      <c r="BJ115" s="92">
        <v>9</v>
      </c>
      <c r="BK115" s="92">
        <v>5397</v>
      </c>
      <c r="BL115" s="92">
        <v>1172</v>
      </c>
      <c r="BM115" s="92" t="s">
        <v>73</v>
      </c>
      <c r="BN115" s="92">
        <v>72</v>
      </c>
      <c r="BO115" s="92">
        <v>1789</v>
      </c>
      <c r="BP115" s="92" t="s">
        <v>1</v>
      </c>
      <c r="BQ115" s="108" t="s">
        <v>1</v>
      </c>
      <c r="BR115" s="108" t="s">
        <v>1</v>
      </c>
      <c r="BS115" s="108" t="s">
        <v>1</v>
      </c>
      <c r="BT115" s="108" t="s">
        <v>1</v>
      </c>
      <c r="BU115" s="108" t="s">
        <v>1</v>
      </c>
      <c r="BV115" s="108" t="s">
        <v>1</v>
      </c>
      <c r="BW115" s="108" t="s">
        <v>1</v>
      </c>
      <c r="BX115" s="108" t="s">
        <v>1</v>
      </c>
      <c r="BY115" s="108" t="s">
        <v>1</v>
      </c>
      <c r="BZ115" s="108" t="s">
        <v>1</v>
      </c>
      <c r="CA115" s="108" t="s">
        <v>1</v>
      </c>
      <c r="CB115" s="108" t="s">
        <v>1</v>
      </c>
      <c r="CC115" s="108" t="s">
        <v>1</v>
      </c>
      <c r="CD115" s="108" t="s">
        <v>1</v>
      </c>
      <c r="CE115" s="108" t="s">
        <v>1</v>
      </c>
      <c r="CF115" s="108" t="s">
        <v>1</v>
      </c>
    </row>
    <row r="116" ht="28" customHeight="1" spans="1:84">
      <c r="A116" s="107">
        <v>45219</v>
      </c>
      <c r="B116" s="7" t="s">
        <v>89</v>
      </c>
      <c r="C116" s="109" t="s">
        <v>1</v>
      </c>
      <c r="D116" s="30" t="s">
        <v>1</v>
      </c>
      <c r="E116" s="30" t="s">
        <v>1</v>
      </c>
      <c r="F116" s="109" t="str">
        <f t="shared" si="3"/>
        <v/>
      </c>
      <c r="G116" s="109" t="s">
        <v>1</v>
      </c>
      <c r="H116" s="108" t="s">
        <v>1</v>
      </c>
      <c r="I116" s="109" t="s">
        <v>1</v>
      </c>
      <c r="J116" s="141" t="str">
        <f t="shared" si="4"/>
        <v/>
      </c>
      <c r="K116" s="211" t="s">
        <v>1</v>
      </c>
      <c r="L116" s="294" t="s">
        <v>1</v>
      </c>
      <c r="M116" s="30">
        <v>30850</v>
      </c>
      <c r="N116" s="242" t="s">
        <v>1</v>
      </c>
      <c r="O116" s="32" t="s">
        <v>1</v>
      </c>
      <c r="P116" s="109" t="s">
        <v>1</v>
      </c>
      <c r="Q116" s="141" t="e">
        <f t="shared" si="5"/>
        <v>#VALUE!</v>
      </c>
      <c r="R116" s="109" t="s">
        <v>1</v>
      </c>
      <c r="S116" s="109" t="s">
        <v>1</v>
      </c>
      <c r="T116" s="109" t="s">
        <v>1</v>
      </c>
      <c r="U116" s="109" t="s">
        <v>1</v>
      </c>
      <c r="V116" s="92" t="s">
        <v>1</v>
      </c>
      <c r="W116" s="92">
        <v>7461</v>
      </c>
      <c r="X116" s="92" t="s">
        <v>1</v>
      </c>
      <c r="Y116" s="92">
        <v>2328</v>
      </c>
      <c r="Z116" s="92" t="s">
        <v>1</v>
      </c>
      <c r="AA116" s="236">
        <v>3.2</v>
      </c>
      <c r="AB116" s="92" t="s">
        <v>1</v>
      </c>
      <c r="AC116" s="92">
        <v>87.98</v>
      </c>
      <c r="AD116" s="92" t="s">
        <v>1</v>
      </c>
      <c r="AE116" s="92" t="s">
        <v>72</v>
      </c>
      <c r="AF116" s="92" t="s">
        <v>1</v>
      </c>
      <c r="AG116" s="92">
        <v>151</v>
      </c>
      <c r="AH116" s="125" t="s">
        <v>1</v>
      </c>
      <c r="AI116" s="125">
        <v>1834</v>
      </c>
      <c r="AJ116" s="125" t="s">
        <v>1</v>
      </c>
      <c r="AK116" s="125">
        <v>753</v>
      </c>
      <c r="AL116" s="125" t="s">
        <v>1</v>
      </c>
      <c r="AM116" s="125">
        <v>58</v>
      </c>
      <c r="AN116" s="125" t="s">
        <v>1</v>
      </c>
      <c r="AO116" s="125">
        <v>24</v>
      </c>
      <c r="AP116" s="125" t="s">
        <v>1</v>
      </c>
      <c r="AQ116" s="125">
        <v>852</v>
      </c>
      <c r="AR116" s="125" t="s">
        <v>1</v>
      </c>
      <c r="AS116" s="125">
        <v>164</v>
      </c>
      <c r="AT116" s="200" t="s">
        <v>1</v>
      </c>
      <c r="AU116" s="109" t="s">
        <v>1</v>
      </c>
      <c r="AV116" s="198">
        <v>833</v>
      </c>
      <c r="AW116" s="109" t="s">
        <v>1</v>
      </c>
      <c r="AX116" s="141" t="s">
        <v>1</v>
      </c>
      <c r="AY116" s="200" t="s">
        <v>1</v>
      </c>
      <c r="AZ116" s="108">
        <v>124</v>
      </c>
      <c r="BA116" s="109" t="s">
        <v>1</v>
      </c>
      <c r="BB116" s="141">
        <v>0.148859543817527</v>
      </c>
      <c r="BC116" s="200" t="s">
        <v>1</v>
      </c>
      <c r="BD116" s="200" t="s">
        <v>1</v>
      </c>
      <c r="BE116" s="109" t="s">
        <v>1</v>
      </c>
      <c r="BF116" s="109" t="s">
        <v>1</v>
      </c>
      <c r="BG116" s="200" t="s">
        <v>1</v>
      </c>
      <c r="BH116" s="200" t="s">
        <v>1</v>
      </c>
      <c r="BI116" s="92" t="s">
        <v>102</v>
      </c>
      <c r="BJ116" s="92">
        <v>11</v>
      </c>
      <c r="BK116" s="92">
        <v>5502</v>
      </c>
      <c r="BL116" s="92">
        <v>1203</v>
      </c>
      <c r="BM116" s="92" t="s">
        <v>73</v>
      </c>
      <c r="BN116" s="92">
        <v>71</v>
      </c>
      <c r="BO116" s="92">
        <v>1963</v>
      </c>
      <c r="BP116" s="92" t="s">
        <v>1</v>
      </c>
      <c r="BQ116" s="108" t="s">
        <v>1</v>
      </c>
      <c r="BR116" s="108" t="s">
        <v>1</v>
      </c>
      <c r="BS116" s="108" t="s">
        <v>1</v>
      </c>
      <c r="BT116" s="108" t="s">
        <v>1</v>
      </c>
      <c r="BU116" s="108" t="s">
        <v>1</v>
      </c>
      <c r="BV116" s="108" t="s">
        <v>1</v>
      </c>
      <c r="BW116" s="108" t="s">
        <v>1</v>
      </c>
      <c r="BX116" s="108" t="s">
        <v>1</v>
      </c>
      <c r="BY116" s="108" t="s">
        <v>1</v>
      </c>
      <c r="BZ116" s="108" t="s">
        <v>1</v>
      </c>
      <c r="CA116" s="108" t="s">
        <v>1</v>
      </c>
      <c r="CB116" s="108" t="s">
        <v>1</v>
      </c>
      <c r="CC116" s="108" t="s">
        <v>1</v>
      </c>
      <c r="CD116" s="108" t="s">
        <v>1</v>
      </c>
      <c r="CE116" s="108" t="s">
        <v>1</v>
      </c>
      <c r="CF116" s="108" t="s">
        <v>1</v>
      </c>
    </row>
    <row r="117" ht="28" customHeight="1" spans="1:84">
      <c r="A117" s="107">
        <v>45220</v>
      </c>
      <c r="B117" s="7" t="s">
        <v>89</v>
      </c>
      <c r="C117" s="109" t="s">
        <v>1</v>
      </c>
      <c r="D117" s="30" t="s">
        <v>1</v>
      </c>
      <c r="E117" s="30" t="s">
        <v>1</v>
      </c>
      <c r="F117" s="109" t="str">
        <f t="shared" si="3"/>
        <v/>
      </c>
      <c r="G117" s="109" t="s">
        <v>1</v>
      </c>
      <c r="H117" s="108" t="s">
        <v>1</v>
      </c>
      <c r="I117" s="109" t="s">
        <v>1</v>
      </c>
      <c r="J117" s="141" t="str">
        <f t="shared" si="4"/>
        <v/>
      </c>
      <c r="K117" s="211" t="s">
        <v>1</v>
      </c>
      <c r="L117" s="294" t="s">
        <v>1</v>
      </c>
      <c r="M117" s="30">
        <v>48890.01</v>
      </c>
      <c r="N117" s="242" t="s">
        <v>1</v>
      </c>
      <c r="O117" s="32" t="s">
        <v>1</v>
      </c>
      <c r="P117" s="109" t="s">
        <v>1</v>
      </c>
      <c r="Q117" s="141" t="e">
        <f t="shared" si="5"/>
        <v>#VALUE!</v>
      </c>
      <c r="R117" s="109" t="s">
        <v>1</v>
      </c>
      <c r="S117" s="109" t="s">
        <v>1</v>
      </c>
      <c r="T117" s="109" t="s">
        <v>1</v>
      </c>
      <c r="U117" s="109" t="s">
        <v>1</v>
      </c>
      <c r="V117" s="92" t="s">
        <v>1</v>
      </c>
      <c r="W117" s="92">
        <v>6997</v>
      </c>
      <c r="X117" s="92" t="s">
        <v>1</v>
      </c>
      <c r="Y117" s="92">
        <v>2221</v>
      </c>
      <c r="Z117" s="92" t="s">
        <v>1</v>
      </c>
      <c r="AA117" s="236">
        <v>3.15</v>
      </c>
      <c r="AB117" s="92" t="s">
        <v>1</v>
      </c>
      <c r="AC117" s="92">
        <v>86.62</v>
      </c>
      <c r="AD117" s="92" t="s">
        <v>1</v>
      </c>
      <c r="AE117" s="92" t="s">
        <v>72</v>
      </c>
      <c r="AF117" s="92" t="s">
        <v>1</v>
      </c>
      <c r="AG117" s="92">
        <v>113</v>
      </c>
      <c r="AH117" s="125" t="s">
        <v>1</v>
      </c>
      <c r="AI117" s="125">
        <v>1689</v>
      </c>
      <c r="AJ117" s="125" t="s">
        <v>1</v>
      </c>
      <c r="AK117" s="125">
        <v>794</v>
      </c>
      <c r="AL117" s="125" t="s">
        <v>1</v>
      </c>
      <c r="AM117" s="125">
        <v>46</v>
      </c>
      <c r="AN117" s="125" t="s">
        <v>1</v>
      </c>
      <c r="AO117" s="125">
        <v>34</v>
      </c>
      <c r="AP117" s="125" t="s">
        <v>1</v>
      </c>
      <c r="AQ117" s="125">
        <v>671</v>
      </c>
      <c r="AR117" s="125" t="s">
        <v>1</v>
      </c>
      <c r="AS117" s="125">
        <v>155</v>
      </c>
      <c r="AT117" s="200" t="s">
        <v>1</v>
      </c>
      <c r="AU117" s="109" t="s">
        <v>1</v>
      </c>
      <c r="AV117" s="198">
        <v>878</v>
      </c>
      <c r="AW117" s="109" t="s">
        <v>1</v>
      </c>
      <c r="AX117" s="141" t="s">
        <v>1</v>
      </c>
      <c r="AY117" s="200" t="s">
        <v>1</v>
      </c>
      <c r="AZ117" s="108">
        <v>134</v>
      </c>
      <c r="BA117" s="109" t="s">
        <v>1</v>
      </c>
      <c r="BB117" s="141">
        <v>0.152619589977221</v>
      </c>
      <c r="BC117" s="200" t="s">
        <v>1</v>
      </c>
      <c r="BD117" s="200" t="s">
        <v>1</v>
      </c>
      <c r="BE117" s="109" t="s">
        <v>1</v>
      </c>
      <c r="BF117" s="109" t="s">
        <v>1</v>
      </c>
      <c r="BG117" s="200" t="s">
        <v>1</v>
      </c>
      <c r="BH117" s="200" t="s">
        <v>1</v>
      </c>
      <c r="BI117" s="92" t="s">
        <v>102</v>
      </c>
      <c r="BJ117" s="92">
        <v>12</v>
      </c>
      <c r="BK117" s="92">
        <v>5837</v>
      </c>
      <c r="BL117" s="92">
        <v>824</v>
      </c>
      <c r="BM117" s="92" t="s">
        <v>73</v>
      </c>
      <c r="BN117" s="92">
        <v>71</v>
      </c>
      <c r="BO117" s="92">
        <v>2294</v>
      </c>
      <c r="BP117" s="92" t="s">
        <v>1</v>
      </c>
      <c r="BQ117" s="108" t="s">
        <v>1</v>
      </c>
      <c r="BR117" s="108" t="s">
        <v>1</v>
      </c>
      <c r="BS117" s="108" t="s">
        <v>1</v>
      </c>
      <c r="BT117" s="108" t="s">
        <v>1</v>
      </c>
      <c r="BU117" s="108" t="s">
        <v>1</v>
      </c>
      <c r="BV117" s="108" t="s">
        <v>1</v>
      </c>
      <c r="BW117" s="108" t="s">
        <v>1</v>
      </c>
      <c r="BX117" s="108" t="s">
        <v>1</v>
      </c>
      <c r="BY117" s="108" t="s">
        <v>1</v>
      </c>
      <c r="BZ117" s="108" t="s">
        <v>1</v>
      </c>
      <c r="CA117" s="108" t="s">
        <v>1</v>
      </c>
      <c r="CB117" s="108" t="s">
        <v>1</v>
      </c>
      <c r="CC117" s="108" t="s">
        <v>1</v>
      </c>
      <c r="CD117" s="108" t="s">
        <v>1</v>
      </c>
      <c r="CE117" s="108" t="s">
        <v>1</v>
      </c>
      <c r="CF117" s="108" t="s">
        <v>1</v>
      </c>
    </row>
    <row r="118" ht="28" customHeight="1" spans="1:84">
      <c r="A118" s="107">
        <v>45221</v>
      </c>
      <c r="B118" s="7" t="s">
        <v>89</v>
      </c>
      <c r="C118" s="109" t="s">
        <v>1</v>
      </c>
      <c r="D118" s="30" t="s">
        <v>1</v>
      </c>
      <c r="E118" s="30" t="s">
        <v>1</v>
      </c>
      <c r="F118" s="109" t="str">
        <f t="shared" si="3"/>
        <v/>
      </c>
      <c r="G118" s="109" t="s">
        <v>1</v>
      </c>
      <c r="H118" s="108" t="s">
        <v>1</v>
      </c>
      <c r="I118" s="109" t="s">
        <v>1</v>
      </c>
      <c r="J118" s="141" t="str">
        <f t="shared" si="4"/>
        <v/>
      </c>
      <c r="K118" s="211" t="s">
        <v>1</v>
      </c>
      <c r="L118" s="294" t="s">
        <v>1</v>
      </c>
      <c r="M118" s="30">
        <v>53832</v>
      </c>
      <c r="N118" s="242" t="s">
        <v>1</v>
      </c>
      <c r="O118" s="32" t="s">
        <v>1</v>
      </c>
      <c r="P118" s="109" t="s">
        <v>1</v>
      </c>
      <c r="Q118" s="141" t="e">
        <f t="shared" si="5"/>
        <v>#VALUE!</v>
      </c>
      <c r="R118" s="109" t="s">
        <v>1</v>
      </c>
      <c r="S118" s="109" t="s">
        <v>1</v>
      </c>
      <c r="T118" s="109" t="s">
        <v>1</v>
      </c>
      <c r="U118" s="109" t="s">
        <v>1</v>
      </c>
      <c r="V118" s="92" t="s">
        <v>1</v>
      </c>
      <c r="W118" s="92">
        <v>7335</v>
      </c>
      <c r="X118" s="92" t="s">
        <v>1</v>
      </c>
      <c r="Y118" s="92">
        <v>2564</v>
      </c>
      <c r="Z118" s="92" t="s">
        <v>1</v>
      </c>
      <c r="AA118" s="236">
        <v>2.86</v>
      </c>
      <c r="AB118" s="92" t="s">
        <v>1</v>
      </c>
      <c r="AC118" s="92">
        <v>74.08</v>
      </c>
      <c r="AD118" s="92" t="s">
        <v>1</v>
      </c>
      <c r="AE118" s="92" t="s">
        <v>72</v>
      </c>
      <c r="AF118" s="92" t="s">
        <v>1</v>
      </c>
      <c r="AG118" s="92">
        <v>105</v>
      </c>
      <c r="AH118" s="125" t="s">
        <v>1</v>
      </c>
      <c r="AI118" s="125">
        <v>1964</v>
      </c>
      <c r="AJ118" s="125" t="s">
        <v>1</v>
      </c>
      <c r="AK118" s="125">
        <v>879</v>
      </c>
      <c r="AL118" s="125" t="s">
        <v>1</v>
      </c>
      <c r="AM118" s="125">
        <v>48</v>
      </c>
      <c r="AN118" s="125" t="s">
        <v>1</v>
      </c>
      <c r="AO118" s="125">
        <v>74</v>
      </c>
      <c r="AP118" s="125" t="s">
        <v>1</v>
      </c>
      <c r="AQ118" s="125">
        <v>938</v>
      </c>
      <c r="AR118" s="125" t="s">
        <v>1</v>
      </c>
      <c r="AS118" s="125">
        <v>173</v>
      </c>
      <c r="AT118" s="200" t="s">
        <v>1</v>
      </c>
      <c r="AU118" s="109" t="s">
        <v>1</v>
      </c>
      <c r="AV118" s="198">
        <v>1003</v>
      </c>
      <c r="AW118" s="109" t="s">
        <v>1</v>
      </c>
      <c r="AX118" s="141" t="s">
        <v>1</v>
      </c>
      <c r="AY118" s="200" t="s">
        <v>1</v>
      </c>
      <c r="AZ118" s="108">
        <v>156</v>
      </c>
      <c r="BA118" s="109" t="s">
        <v>1</v>
      </c>
      <c r="BB118" s="141">
        <v>0.155533399800598</v>
      </c>
      <c r="BC118" s="200" t="s">
        <v>1</v>
      </c>
      <c r="BD118" s="200" t="s">
        <v>1</v>
      </c>
      <c r="BE118" s="109" t="s">
        <v>1</v>
      </c>
      <c r="BF118" s="109" t="s">
        <v>1</v>
      </c>
      <c r="BG118" s="200" t="s">
        <v>1</v>
      </c>
      <c r="BH118" s="200" t="s">
        <v>1</v>
      </c>
      <c r="BI118" s="92" t="s">
        <v>176</v>
      </c>
      <c r="BJ118" s="92">
        <v>7</v>
      </c>
      <c r="BK118" s="92">
        <v>7088</v>
      </c>
      <c r="BL118" s="92">
        <v>1132</v>
      </c>
      <c r="BM118" s="92" t="s">
        <v>73</v>
      </c>
      <c r="BN118" s="92">
        <v>71</v>
      </c>
      <c r="BO118" s="92">
        <v>2725</v>
      </c>
      <c r="BP118" s="92" t="s">
        <v>1</v>
      </c>
      <c r="BQ118" s="108" t="s">
        <v>1</v>
      </c>
      <c r="BR118" s="108" t="s">
        <v>1</v>
      </c>
      <c r="BS118" s="108" t="s">
        <v>1</v>
      </c>
      <c r="BT118" s="108" t="s">
        <v>1</v>
      </c>
      <c r="BU118" s="108" t="s">
        <v>1</v>
      </c>
      <c r="BV118" s="108" t="s">
        <v>1</v>
      </c>
      <c r="BW118" s="108" t="s">
        <v>1</v>
      </c>
      <c r="BX118" s="108" t="s">
        <v>1</v>
      </c>
      <c r="BY118" s="108" t="s">
        <v>1</v>
      </c>
      <c r="BZ118" s="108" t="s">
        <v>1</v>
      </c>
      <c r="CA118" s="108" t="s">
        <v>1</v>
      </c>
      <c r="CB118" s="108" t="s">
        <v>1</v>
      </c>
      <c r="CC118" s="108" t="s">
        <v>1</v>
      </c>
      <c r="CD118" s="108" t="s">
        <v>1</v>
      </c>
      <c r="CE118" s="108" t="s">
        <v>1</v>
      </c>
      <c r="CF118" s="108" t="s">
        <v>1</v>
      </c>
    </row>
    <row r="119" ht="28" customHeight="1" spans="1:84">
      <c r="A119" s="107">
        <v>45222</v>
      </c>
      <c r="B119" s="108" t="s">
        <v>126</v>
      </c>
      <c r="C119" s="109" t="s">
        <v>1</v>
      </c>
      <c r="D119" s="30" t="s">
        <v>1</v>
      </c>
      <c r="E119" s="30" t="s">
        <v>1</v>
      </c>
      <c r="F119" s="109" t="str">
        <f t="shared" si="3"/>
        <v/>
      </c>
      <c r="G119" s="109" t="s">
        <v>1</v>
      </c>
      <c r="H119" s="108" t="s">
        <v>1</v>
      </c>
      <c r="I119" s="109" t="s">
        <v>1</v>
      </c>
      <c r="J119" s="141" t="str">
        <f t="shared" si="4"/>
        <v/>
      </c>
      <c r="K119" s="211" t="s">
        <v>1</v>
      </c>
      <c r="L119" s="294" t="s">
        <v>1</v>
      </c>
      <c r="M119" s="30">
        <v>37595</v>
      </c>
      <c r="N119" s="242" t="s">
        <v>1</v>
      </c>
      <c r="O119" s="32" t="s">
        <v>1</v>
      </c>
      <c r="P119" s="109" t="s">
        <v>1</v>
      </c>
      <c r="Q119" s="141" t="e">
        <f t="shared" si="5"/>
        <v>#VALUE!</v>
      </c>
      <c r="R119" s="109" t="s">
        <v>1</v>
      </c>
      <c r="S119" s="109" t="s">
        <v>1</v>
      </c>
      <c r="T119" s="109" t="s">
        <v>1</v>
      </c>
      <c r="U119" s="109" t="s">
        <v>1</v>
      </c>
      <c r="V119" s="92" t="s">
        <v>1</v>
      </c>
      <c r="W119" s="92">
        <v>9943</v>
      </c>
      <c r="X119" s="92" t="s">
        <v>1</v>
      </c>
      <c r="Y119" s="92">
        <v>4009</v>
      </c>
      <c r="Z119" s="92" t="s">
        <v>1</v>
      </c>
      <c r="AA119" s="236">
        <v>2.48</v>
      </c>
      <c r="AB119" s="92" t="s">
        <v>1</v>
      </c>
      <c r="AC119" s="92">
        <v>59.18</v>
      </c>
      <c r="AD119" s="92" t="s">
        <v>1</v>
      </c>
      <c r="AE119" s="92" t="s">
        <v>72</v>
      </c>
      <c r="AF119" s="92" t="s">
        <v>1</v>
      </c>
      <c r="AG119" s="92">
        <v>140</v>
      </c>
      <c r="AH119" s="125" t="s">
        <v>1</v>
      </c>
      <c r="AI119" s="125">
        <v>3244</v>
      </c>
      <c r="AJ119" s="125" t="s">
        <v>1</v>
      </c>
      <c r="AK119" s="125">
        <v>1104</v>
      </c>
      <c r="AL119" s="125" t="s">
        <v>1</v>
      </c>
      <c r="AM119" s="125">
        <v>62</v>
      </c>
      <c r="AN119" s="125" t="s">
        <v>1</v>
      </c>
      <c r="AO119" s="125">
        <v>75</v>
      </c>
      <c r="AP119" s="125" t="s">
        <v>1</v>
      </c>
      <c r="AQ119" s="125">
        <v>1059</v>
      </c>
      <c r="AR119" s="125" t="s">
        <v>1</v>
      </c>
      <c r="AS119" s="125">
        <v>202</v>
      </c>
      <c r="AT119" s="200" t="s">
        <v>1</v>
      </c>
      <c r="AU119" s="109" t="s">
        <v>1</v>
      </c>
      <c r="AV119" s="198">
        <v>2058</v>
      </c>
      <c r="AW119" s="109" t="s">
        <v>1</v>
      </c>
      <c r="AX119" s="141" t="s">
        <v>1</v>
      </c>
      <c r="AY119" s="200" t="s">
        <v>1</v>
      </c>
      <c r="AZ119" s="108">
        <v>510</v>
      </c>
      <c r="BA119" s="109" t="s">
        <v>1</v>
      </c>
      <c r="BB119" s="141">
        <v>0.247813411078717</v>
      </c>
      <c r="BC119" s="200" t="s">
        <v>1</v>
      </c>
      <c r="BD119" s="200" t="s">
        <v>1</v>
      </c>
      <c r="BE119" s="109" t="s">
        <v>1</v>
      </c>
      <c r="BF119" s="109" t="s">
        <v>1</v>
      </c>
      <c r="BG119" s="200" t="s">
        <v>1</v>
      </c>
      <c r="BH119" s="200" t="s">
        <v>1</v>
      </c>
      <c r="BI119" s="92" t="s">
        <v>176</v>
      </c>
      <c r="BJ119" s="92">
        <v>6</v>
      </c>
      <c r="BK119" s="92">
        <v>10491</v>
      </c>
      <c r="BL119" s="92">
        <v>1401</v>
      </c>
      <c r="BM119" s="92" t="s">
        <v>94</v>
      </c>
      <c r="BN119" s="92">
        <v>50</v>
      </c>
      <c r="BO119" s="92">
        <v>4334</v>
      </c>
      <c r="BP119" s="92" t="s">
        <v>1</v>
      </c>
      <c r="BQ119" s="108" t="s">
        <v>1</v>
      </c>
      <c r="BR119" s="108" t="s">
        <v>1</v>
      </c>
      <c r="BS119" s="108" t="s">
        <v>1</v>
      </c>
      <c r="BT119" s="108" t="s">
        <v>1</v>
      </c>
      <c r="BU119" s="108" t="s">
        <v>1</v>
      </c>
      <c r="BV119" s="108" t="s">
        <v>1</v>
      </c>
      <c r="BW119" s="108" t="s">
        <v>1</v>
      </c>
      <c r="BX119" s="108" t="s">
        <v>1</v>
      </c>
      <c r="BY119" s="108" t="s">
        <v>1</v>
      </c>
      <c r="BZ119" s="108" t="s">
        <v>1</v>
      </c>
      <c r="CA119" s="108" t="s">
        <v>1</v>
      </c>
      <c r="CB119" s="108" t="s">
        <v>1</v>
      </c>
      <c r="CC119" s="108" t="s">
        <v>1</v>
      </c>
      <c r="CD119" s="108" t="s">
        <v>1</v>
      </c>
      <c r="CE119" s="108" t="s">
        <v>1</v>
      </c>
      <c r="CF119" s="108" t="s">
        <v>1</v>
      </c>
    </row>
    <row r="120" ht="28" customHeight="1" spans="1:84">
      <c r="A120" s="107">
        <v>45223</v>
      </c>
      <c r="B120" s="7" t="s">
        <v>125</v>
      </c>
      <c r="C120" s="109" t="s">
        <v>1</v>
      </c>
      <c r="D120" s="30" t="s">
        <v>1</v>
      </c>
      <c r="E120" s="30" t="s">
        <v>1</v>
      </c>
      <c r="F120" s="109" t="str">
        <f t="shared" si="3"/>
        <v/>
      </c>
      <c r="G120" s="109" t="s">
        <v>1</v>
      </c>
      <c r="H120" s="108" t="s">
        <v>1</v>
      </c>
      <c r="I120" s="109" t="s">
        <v>1</v>
      </c>
      <c r="J120" s="141" t="str">
        <f t="shared" si="4"/>
        <v/>
      </c>
      <c r="K120" s="211" t="s">
        <v>1</v>
      </c>
      <c r="L120" s="294" t="s">
        <v>1</v>
      </c>
      <c r="M120" s="30">
        <v>269553.97</v>
      </c>
      <c r="N120" s="242" t="s">
        <v>1</v>
      </c>
      <c r="O120" s="32" t="s">
        <v>1</v>
      </c>
      <c r="P120" s="109" t="s">
        <v>1</v>
      </c>
      <c r="Q120" s="141" t="e">
        <f t="shared" si="5"/>
        <v>#VALUE!</v>
      </c>
      <c r="R120" s="109" t="s">
        <v>1</v>
      </c>
      <c r="S120" s="109" t="s">
        <v>1</v>
      </c>
      <c r="T120" s="109" t="s">
        <v>1</v>
      </c>
      <c r="U120" s="109" t="s">
        <v>1</v>
      </c>
      <c r="V120" s="92" t="s">
        <v>1</v>
      </c>
      <c r="W120" s="92">
        <v>12986</v>
      </c>
      <c r="X120" s="92" t="s">
        <v>1</v>
      </c>
      <c r="Y120" s="92">
        <v>4978</v>
      </c>
      <c r="Z120" s="92" t="s">
        <v>1</v>
      </c>
      <c r="AA120" s="236">
        <v>2.61</v>
      </c>
      <c r="AB120" s="92" t="s">
        <v>1</v>
      </c>
      <c r="AC120" s="92">
        <v>64.07</v>
      </c>
      <c r="AD120" s="92" t="s">
        <v>1</v>
      </c>
      <c r="AE120" s="92" t="s">
        <v>72</v>
      </c>
      <c r="AF120" s="92" t="s">
        <v>1</v>
      </c>
      <c r="AG120" s="92">
        <v>180</v>
      </c>
      <c r="AH120" s="125" t="s">
        <v>1</v>
      </c>
      <c r="AI120" s="125">
        <v>4263</v>
      </c>
      <c r="AJ120" s="125" t="s">
        <v>1</v>
      </c>
      <c r="AK120" s="125">
        <v>1038</v>
      </c>
      <c r="AL120" s="125" t="s">
        <v>1</v>
      </c>
      <c r="AM120" s="125">
        <v>102</v>
      </c>
      <c r="AN120" s="125" t="s">
        <v>1</v>
      </c>
      <c r="AO120" s="125">
        <v>77</v>
      </c>
      <c r="AP120" s="125" t="s">
        <v>1</v>
      </c>
      <c r="AQ120" s="125">
        <v>1646</v>
      </c>
      <c r="AR120" s="125" t="s">
        <v>1</v>
      </c>
      <c r="AS120" s="125">
        <v>382</v>
      </c>
      <c r="AT120" s="200" t="s">
        <v>1</v>
      </c>
      <c r="AU120" s="109" t="s">
        <v>1</v>
      </c>
      <c r="AV120" s="198">
        <v>1430</v>
      </c>
      <c r="AW120" s="109" t="s">
        <v>1</v>
      </c>
      <c r="AX120" s="141" t="s">
        <v>1</v>
      </c>
      <c r="AY120" s="200" t="s">
        <v>1</v>
      </c>
      <c r="AZ120" s="108">
        <v>220</v>
      </c>
      <c r="BA120" s="109" t="s">
        <v>1</v>
      </c>
      <c r="BB120" s="141">
        <v>0.153846153846154</v>
      </c>
      <c r="BC120" s="200" t="s">
        <v>1</v>
      </c>
      <c r="BD120" s="200" t="s">
        <v>1</v>
      </c>
      <c r="BE120" s="109" t="s">
        <v>1</v>
      </c>
      <c r="BF120" s="109" t="s">
        <v>1</v>
      </c>
      <c r="BG120" s="200" t="s">
        <v>1</v>
      </c>
      <c r="BH120" s="200" t="s">
        <v>1</v>
      </c>
      <c r="BI120" s="92" t="s">
        <v>70</v>
      </c>
      <c r="BJ120" s="92">
        <v>4</v>
      </c>
      <c r="BK120" s="92">
        <v>11334</v>
      </c>
      <c r="BL120" s="92">
        <v>2000</v>
      </c>
      <c r="BM120" s="92" t="s">
        <v>94</v>
      </c>
      <c r="BN120" s="92">
        <v>41</v>
      </c>
      <c r="BO120" s="92">
        <v>4759</v>
      </c>
      <c r="BP120" s="92" t="s">
        <v>1</v>
      </c>
      <c r="BQ120" s="108" t="s">
        <v>1</v>
      </c>
      <c r="BR120" s="108" t="s">
        <v>1</v>
      </c>
      <c r="BS120" s="108" t="s">
        <v>1</v>
      </c>
      <c r="BT120" s="108" t="s">
        <v>1</v>
      </c>
      <c r="BU120" s="108" t="s">
        <v>1</v>
      </c>
      <c r="BV120" s="108" t="s">
        <v>1</v>
      </c>
      <c r="BW120" s="108" t="s">
        <v>1</v>
      </c>
      <c r="BX120" s="108" t="s">
        <v>1</v>
      </c>
      <c r="BY120" s="108" t="s">
        <v>1</v>
      </c>
      <c r="BZ120" s="108" t="s">
        <v>1</v>
      </c>
      <c r="CA120" s="108" t="s">
        <v>1</v>
      </c>
      <c r="CB120" s="108" t="s">
        <v>1</v>
      </c>
      <c r="CC120" s="108" t="s">
        <v>1</v>
      </c>
      <c r="CD120" s="108" t="s">
        <v>1</v>
      </c>
      <c r="CE120" s="108" t="s">
        <v>1</v>
      </c>
      <c r="CF120" s="108" t="s">
        <v>1</v>
      </c>
    </row>
    <row r="121" ht="28" customHeight="1" spans="1:84">
      <c r="A121" s="107">
        <v>45224</v>
      </c>
      <c r="B121" s="7" t="s">
        <v>89</v>
      </c>
      <c r="C121" s="109" t="s">
        <v>1</v>
      </c>
      <c r="D121" s="30" t="s">
        <v>1</v>
      </c>
      <c r="E121" s="30" t="s">
        <v>1</v>
      </c>
      <c r="F121" s="109" t="str">
        <f t="shared" si="3"/>
        <v/>
      </c>
      <c r="G121" s="109" t="s">
        <v>1</v>
      </c>
      <c r="H121" s="108" t="s">
        <v>1</v>
      </c>
      <c r="I121" s="109" t="s">
        <v>1</v>
      </c>
      <c r="J121" s="141" t="str">
        <f t="shared" si="4"/>
        <v/>
      </c>
      <c r="K121" s="211" t="s">
        <v>1</v>
      </c>
      <c r="L121" s="294" t="s">
        <v>1</v>
      </c>
      <c r="M121" s="30">
        <v>155390</v>
      </c>
      <c r="N121" s="242" t="s">
        <v>1</v>
      </c>
      <c r="O121" s="32" t="s">
        <v>1</v>
      </c>
      <c r="P121" s="109" t="s">
        <v>1</v>
      </c>
      <c r="Q121" s="141" t="e">
        <f t="shared" si="5"/>
        <v>#VALUE!</v>
      </c>
      <c r="R121" s="109" t="s">
        <v>1</v>
      </c>
      <c r="S121" s="109" t="s">
        <v>1</v>
      </c>
      <c r="T121" s="109" t="s">
        <v>1</v>
      </c>
      <c r="U121" s="109" t="s">
        <v>1</v>
      </c>
      <c r="V121" s="92" t="s">
        <v>1</v>
      </c>
      <c r="W121" s="92">
        <v>10757</v>
      </c>
      <c r="X121" s="92" t="s">
        <v>1</v>
      </c>
      <c r="Y121" s="92">
        <v>4076</v>
      </c>
      <c r="Z121" s="92" t="s">
        <v>1</v>
      </c>
      <c r="AA121" s="236">
        <v>2.64</v>
      </c>
      <c r="AB121" s="92" t="s">
        <v>1</v>
      </c>
      <c r="AC121" s="92">
        <v>68.76</v>
      </c>
      <c r="AD121" s="92" t="s">
        <v>1</v>
      </c>
      <c r="AE121" s="92" t="s">
        <v>72</v>
      </c>
      <c r="AF121" s="92" t="s">
        <v>1</v>
      </c>
      <c r="AG121" s="92">
        <v>181</v>
      </c>
      <c r="AH121" s="125" t="s">
        <v>1</v>
      </c>
      <c r="AI121" s="125">
        <v>3435</v>
      </c>
      <c r="AJ121" s="125" t="s">
        <v>1</v>
      </c>
      <c r="AK121" s="125">
        <v>963</v>
      </c>
      <c r="AL121" s="125" t="s">
        <v>1</v>
      </c>
      <c r="AM121" s="125">
        <v>86</v>
      </c>
      <c r="AN121" s="125" t="s">
        <v>1</v>
      </c>
      <c r="AO121" s="125">
        <v>65</v>
      </c>
      <c r="AP121" s="125" t="s">
        <v>1</v>
      </c>
      <c r="AQ121" s="125">
        <v>1473</v>
      </c>
      <c r="AR121" s="125" t="s">
        <v>1</v>
      </c>
      <c r="AS121" s="125">
        <v>282</v>
      </c>
      <c r="AT121" s="200" t="s">
        <v>1</v>
      </c>
      <c r="AU121" s="109" t="s">
        <v>1</v>
      </c>
      <c r="AV121" s="198">
        <v>975</v>
      </c>
      <c r="AW121" s="109" t="s">
        <v>1</v>
      </c>
      <c r="AX121" s="141" t="s">
        <v>1</v>
      </c>
      <c r="AY121" s="200" t="s">
        <v>1</v>
      </c>
      <c r="AZ121" s="108">
        <v>130</v>
      </c>
      <c r="BA121" s="109" t="s">
        <v>1</v>
      </c>
      <c r="BB121" s="141">
        <v>0.133333333333333</v>
      </c>
      <c r="BC121" s="200" t="s">
        <v>1</v>
      </c>
      <c r="BD121" s="200" t="s">
        <v>1</v>
      </c>
      <c r="BE121" s="109" t="s">
        <v>1</v>
      </c>
      <c r="BF121" s="109" t="s">
        <v>1</v>
      </c>
      <c r="BG121" s="200" t="s">
        <v>1</v>
      </c>
      <c r="BH121" s="200" t="s">
        <v>1</v>
      </c>
      <c r="BI121" s="92" t="s">
        <v>102</v>
      </c>
      <c r="BJ121" s="92">
        <v>11</v>
      </c>
      <c r="BK121" s="92">
        <v>6914</v>
      </c>
      <c r="BL121" s="92">
        <v>1703</v>
      </c>
      <c r="BM121" s="92" t="s">
        <v>73</v>
      </c>
      <c r="BN121" s="92">
        <v>68</v>
      </c>
      <c r="BO121" s="92">
        <v>2796</v>
      </c>
      <c r="BP121" s="92" t="s">
        <v>1</v>
      </c>
      <c r="BQ121" s="108" t="s">
        <v>1</v>
      </c>
      <c r="BR121" s="108" t="s">
        <v>1</v>
      </c>
      <c r="BS121" s="108" t="s">
        <v>1</v>
      </c>
      <c r="BT121" s="108" t="s">
        <v>1</v>
      </c>
      <c r="BU121" s="108" t="s">
        <v>1</v>
      </c>
      <c r="BV121" s="108" t="s">
        <v>1</v>
      </c>
      <c r="BW121" s="108" t="s">
        <v>1</v>
      </c>
      <c r="BX121" s="108" t="s">
        <v>1</v>
      </c>
      <c r="BY121" s="108" t="s">
        <v>1</v>
      </c>
      <c r="BZ121" s="108" t="s">
        <v>1</v>
      </c>
      <c r="CA121" s="108" t="s">
        <v>1</v>
      </c>
      <c r="CB121" s="108" t="s">
        <v>1</v>
      </c>
      <c r="CC121" s="108" t="s">
        <v>1</v>
      </c>
      <c r="CD121" s="108" t="s">
        <v>1</v>
      </c>
      <c r="CE121" s="108" t="s">
        <v>1</v>
      </c>
      <c r="CF121" s="108" t="s">
        <v>1</v>
      </c>
    </row>
    <row r="122" ht="28" customHeight="1" spans="1:84">
      <c r="A122" s="107">
        <v>45225</v>
      </c>
      <c r="B122" s="7" t="s">
        <v>89</v>
      </c>
      <c r="C122" s="109" t="s">
        <v>1</v>
      </c>
      <c r="D122" s="30" t="s">
        <v>1</v>
      </c>
      <c r="E122" s="30" t="s">
        <v>1</v>
      </c>
      <c r="F122" s="109" t="str">
        <f t="shared" si="3"/>
        <v/>
      </c>
      <c r="G122" s="109" t="s">
        <v>1</v>
      </c>
      <c r="H122" s="108" t="s">
        <v>1</v>
      </c>
      <c r="I122" s="109" t="s">
        <v>1</v>
      </c>
      <c r="J122" s="141" t="str">
        <f t="shared" si="4"/>
        <v/>
      </c>
      <c r="K122" s="211" t="s">
        <v>1</v>
      </c>
      <c r="L122" s="294" t="s">
        <v>1</v>
      </c>
      <c r="M122" s="30">
        <v>80458</v>
      </c>
      <c r="N122" s="242" t="s">
        <v>1</v>
      </c>
      <c r="O122" s="32" t="s">
        <v>1</v>
      </c>
      <c r="P122" s="109" t="s">
        <v>1</v>
      </c>
      <c r="Q122" s="141" t="e">
        <f t="shared" si="5"/>
        <v>#VALUE!</v>
      </c>
      <c r="R122" s="109" t="s">
        <v>1</v>
      </c>
      <c r="S122" s="109" t="s">
        <v>1</v>
      </c>
      <c r="T122" s="109" t="s">
        <v>1</v>
      </c>
      <c r="U122" s="109" t="s">
        <v>1</v>
      </c>
      <c r="V122" s="92" t="s">
        <v>1</v>
      </c>
      <c r="W122" s="92">
        <v>9219</v>
      </c>
      <c r="X122" s="92" t="s">
        <v>1</v>
      </c>
      <c r="Y122" s="92">
        <v>3858</v>
      </c>
      <c r="Z122" s="92" t="s">
        <v>1</v>
      </c>
      <c r="AA122" s="236">
        <v>2.39</v>
      </c>
      <c r="AB122" s="92" t="s">
        <v>1</v>
      </c>
      <c r="AC122" s="92">
        <v>59.79</v>
      </c>
      <c r="AD122" s="92" t="s">
        <v>1</v>
      </c>
      <c r="AE122" s="92" t="s">
        <v>72</v>
      </c>
      <c r="AF122" s="92" t="s">
        <v>1</v>
      </c>
      <c r="AG122" s="92">
        <v>143</v>
      </c>
      <c r="AH122" s="125" t="s">
        <v>1</v>
      </c>
      <c r="AI122" s="125">
        <v>3072</v>
      </c>
      <c r="AJ122" s="125" t="s">
        <v>1</v>
      </c>
      <c r="AK122" s="125">
        <v>1125</v>
      </c>
      <c r="AL122" s="125" t="s">
        <v>1</v>
      </c>
      <c r="AM122" s="125">
        <v>67</v>
      </c>
      <c r="AN122" s="125" t="s">
        <v>1</v>
      </c>
      <c r="AO122" s="125">
        <v>51</v>
      </c>
      <c r="AP122" s="125" t="s">
        <v>1</v>
      </c>
      <c r="AQ122" s="125">
        <v>1186</v>
      </c>
      <c r="AR122" s="125" t="s">
        <v>1</v>
      </c>
      <c r="AS122" s="125">
        <v>197</v>
      </c>
      <c r="AT122" s="200" t="s">
        <v>1</v>
      </c>
      <c r="AU122" s="109" t="s">
        <v>1</v>
      </c>
      <c r="AV122" s="198">
        <v>899</v>
      </c>
      <c r="AW122" s="109" t="s">
        <v>1</v>
      </c>
      <c r="AX122" s="141" t="s">
        <v>1</v>
      </c>
      <c r="AY122" s="200" t="s">
        <v>1</v>
      </c>
      <c r="AZ122" s="108">
        <v>95</v>
      </c>
      <c r="BA122" s="109" t="s">
        <v>1</v>
      </c>
      <c r="BB122" s="141">
        <v>0.10567296996663</v>
      </c>
      <c r="BC122" s="200" t="s">
        <v>1</v>
      </c>
      <c r="BD122" s="200" t="s">
        <v>1</v>
      </c>
      <c r="BE122" s="109" t="s">
        <v>1</v>
      </c>
      <c r="BF122" s="109" t="s">
        <v>1</v>
      </c>
      <c r="BG122" s="200" t="s">
        <v>1</v>
      </c>
      <c r="BH122" s="200" t="s">
        <v>1</v>
      </c>
      <c r="BI122" s="92" t="s">
        <v>102</v>
      </c>
      <c r="BJ122" s="92">
        <v>13</v>
      </c>
      <c r="BK122" s="92">
        <v>5594</v>
      </c>
      <c r="BL122" s="92">
        <v>1286</v>
      </c>
      <c r="BM122" s="92" t="s">
        <v>73</v>
      </c>
      <c r="BN122" s="92">
        <v>79</v>
      </c>
      <c r="BO122" s="92">
        <v>2228</v>
      </c>
      <c r="BP122" s="92" t="s">
        <v>1</v>
      </c>
      <c r="BQ122" s="108" t="s">
        <v>1</v>
      </c>
      <c r="BR122" s="108" t="s">
        <v>1</v>
      </c>
      <c r="BS122" s="108" t="s">
        <v>1</v>
      </c>
      <c r="BT122" s="108" t="s">
        <v>1</v>
      </c>
      <c r="BU122" s="108" t="s">
        <v>1</v>
      </c>
      <c r="BV122" s="108" t="s">
        <v>1</v>
      </c>
      <c r="BW122" s="108" t="s">
        <v>1</v>
      </c>
      <c r="BX122" s="108" t="s">
        <v>1</v>
      </c>
      <c r="BY122" s="108" t="s">
        <v>1</v>
      </c>
      <c r="BZ122" s="108" t="s">
        <v>1</v>
      </c>
      <c r="CA122" s="108" t="s">
        <v>1</v>
      </c>
      <c r="CB122" s="108" t="s">
        <v>1</v>
      </c>
      <c r="CC122" s="108" t="s">
        <v>1</v>
      </c>
      <c r="CD122" s="108" t="s">
        <v>1</v>
      </c>
      <c r="CE122" s="108" t="s">
        <v>1</v>
      </c>
      <c r="CF122" s="108" t="s">
        <v>1</v>
      </c>
    </row>
    <row r="123" ht="28" customHeight="1" spans="1:84">
      <c r="A123" s="107">
        <v>45226</v>
      </c>
      <c r="B123" s="7" t="s">
        <v>89</v>
      </c>
      <c r="C123" s="109" t="s">
        <v>1</v>
      </c>
      <c r="D123" s="30" t="s">
        <v>1</v>
      </c>
      <c r="E123" s="30" t="s">
        <v>1</v>
      </c>
      <c r="F123" s="109" t="str">
        <f t="shared" si="3"/>
        <v/>
      </c>
      <c r="G123" s="109" t="s">
        <v>1</v>
      </c>
      <c r="H123" s="108" t="s">
        <v>1</v>
      </c>
      <c r="I123" s="109" t="s">
        <v>1</v>
      </c>
      <c r="J123" s="141" t="str">
        <f t="shared" si="4"/>
        <v/>
      </c>
      <c r="K123" s="211" t="s">
        <v>1</v>
      </c>
      <c r="L123" s="294" t="s">
        <v>1</v>
      </c>
      <c r="M123" s="30">
        <v>31663</v>
      </c>
      <c r="N123" s="242" t="s">
        <v>1</v>
      </c>
      <c r="O123" s="32" t="s">
        <v>1</v>
      </c>
      <c r="P123" s="109" t="s">
        <v>1</v>
      </c>
      <c r="Q123" s="141" t="e">
        <f t="shared" si="5"/>
        <v>#VALUE!</v>
      </c>
      <c r="R123" s="109" t="s">
        <v>1</v>
      </c>
      <c r="S123" s="109" t="s">
        <v>1</v>
      </c>
      <c r="T123" s="109" t="s">
        <v>1</v>
      </c>
      <c r="U123" s="109" t="s">
        <v>1</v>
      </c>
      <c r="V123" s="92" t="s">
        <v>1</v>
      </c>
      <c r="W123" s="92">
        <v>7766</v>
      </c>
      <c r="X123" s="92" t="s">
        <v>1</v>
      </c>
      <c r="Y123" s="92">
        <v>3221</v>
      </c>
      <c r="Z123" s="92" t="s">
        <v>1</v>
      </c>
      <c r="AA123" s="236">
        <v>2.41</v>
      </c>
      <c r="AB123" s="92" t="s">
        <v>1</v>
      </c>
      <c r="AC123" s="92">
        <v>57.6</v>
      </c>
      <c r="AD123" s="92" t="s">
        <v>1</v>
      </c>
      <c r="AE123" s="92" t="s">
        <v>72</v>
      </c>
      <c r="AF123" s="92" t="s">
        <v>1</v>
      </c>
      <c r="AG123" s="92">
        <v>85</v>
      </c>
      <c r="AH123" s="125" t="s">
        <v>1</v>
      </c>
      <c r="AI123" s="125">
        <v>2510</v>
      </c>
      <c r="AJ123" s="125" t="s">
        <v>1</v>
      </c>
      <c r="AK123" s="125">
        <v>965</v>
      </c>
      <c r="AL123" s="125" t="s">
        <v>1</v>
      </c>
      <c r="AM123" s="125">
        <v>56</v>
      </c>
      <c r="AN123" s="125" t="s">
        <v>1</v>
      </c>
      <c r="AO123" s="125">
        <v>78</v>
      </c>
      <c r="AP123" s="125" t="s">
        <v>1</v>
      </c>
      <c r="AQ123" s="125">
        <v>761</v>
      </c>
      <c r="AR123" s="125" t="s">
        <v>1</v>
      </c>
      <c r="AS123" s="125">
        <v>221</v>
      </c>
      <c r="AT123" s="200" t="s">
        <v>1</v>
      </c>
      <c r="AU123" s="109" t="s">
        <v>1</v>
      </c>
      <c r="AV123" s="198">
        <v>842</v>
      </c>
      <c r="AW123" s="109" t="s">
        <v>1</v>
      </c>
      <c r="AX123" s="141" t="s">
        <v>1</v>
      </c>
      <c r="AY123" s="200" t="s">
        <v>1</v>
      </c>
      <c r="AZ123" s="108">
        <v>101</v>
      </c>
      <c r="BA123" s="109" t="s">
        <v>1</v>
      </c>
      <c r="BB123" s="141">
        <v>0.119952494061758</v>
      </c>
      <c r="BC123" s="200" t="s">
        <v>1</v>
      </c>
      <c r="BD123" s="200" t="s">
        <v>1</v>
      </c>
      <c r="BE123" s="109" t="s">
        <v>1</v>
      </c>
      <c r="BF123" s="109" t="s">
        <v>1</v>
      </c>
      <c r="BG123" s="200" t="s">
        <v>1</v>
      </c>
      <c r="BH123" s="200" t="s">
        <v>1</v>
      </c>
      <c r="BI123" s="92" t="s">
        <v>102</v>
      </c>
      <c r="BJ123" s="92">
        <v>13</v>
      </c>
      <c r="BK123" s="92">
        <v>5662</v>
      </c>
      <c r="BL123" s="92">
        <v>807</v>
      </c>
      <c r="BM123" s="92" t="s">
        <v>73</v>
      </c>
      <c r="BN123" s="92">
        <v>63</v>
      </c>
      <c r="BO123" s="92">
        <v>2523</v>
      </c>
      <c r="BP123" s="92" t="s">
        <v>1</v>
      </c>
      <c r="BQ123" s="108" t="s">
        <v>1</v>
      </c>
      <c r="BR123" s="108" t="s">
        <v>1</v>
      </c>
      <c r="BS123" s="108" t="s">
        <v>1</v>
      </c>
      <c r="BT123" s="108" t="s">
        <v>1</v>
      </c>
      <c r="BU123" s="108" t="s">
        <v>1</v>
      </c>
      <c r="BV123" s="108" t="s">
        <v>1</v>
      </c>
      <c r="BW123" s="108" t="s">
        <v>1</v>
      </c>
      <c r="BX123" s="108" t="s">
        <v>1</v>
      </c>
      <c r="BY123" s="108" t="s">
        <v>1</v>
      </c>
      <c r="BZ123" s="108" t="s">
        <v>1</v>
      </c>
      <c r="CA123" s="108" t="s">
        <v>1</v>
      </c>
      <c r="CB123" s="108" t="s">
        <v>1</v>
      </c>
      <c r="CC123" s="108" t="s">
        <v>1</v>
      </c>
      <c r="CD123" s="108" t="s">
        <v>1</v>
      </c>
      <c r="CE123" s="108" t="s">
        <v>1</v>
      </c>
      <c r="CF123" s="108" t="s">
        <v>1</v>
      </c>
    </row>
    <row r="124" ht="28" customHeight="1" spans="1:84">
      <c r="A124" s="107">
        <v>45227</v>
      </c>
      <c r="B124" s="7" t="s">
        <v>89</v>
      </c>
      <c r="C124" s="109" t="s">
        <v>1</v>
      </c>
      <c r="D124" s="30" t="s">
        <v>1</v>
      </c>
      <c r="E124" s="30" t="s">
        <v>1</v>
      </c>
      <c r="F124" s="109" t="str">
        <f t="shared" si="3"/>
        <v/>
      </c>
      <c r="G124" s="109" t="s">
        <v>1</v>
      </c>
      <c r="H124" s="108" t="s">
        <v>1</v>
      </c>
      <c r="I124" s="109" t="s">
        <v>1</v>
      </c>
      <c r="J124" s="141" t="str">
        <f t="shared" si="4"/>
        <v/>
      </c>
      <c r="K124" s="211" t="s">
        <v>1</v>
      </c>
      <c r="L124" s="294" t="s">
        <v>1</v>
      </c>
      <c r="M124" s="30">
        <v>35995</v>
      </c>
      <c r="N124" s="242" t="s">
        <v>1</v>
      </c>
      <c r="O124" s="32" t="s">
        <v>1</v>
      </c>
      <c r="P124" s="109" t="s">
        <v>1</v>
      </c>
      <c r="Q124" s="141" t="e">
        <f t="shared" si="5"/>
        <v>#VALUE!</v>
      </c>
      <c r="R124" s="109" t="s">
        <v>1</v>
      </c>
      <c r="S124" s="109" t="s">
        <v>1</v>
      </c>
      <c r="T124" s="109" t="s">
        <v>1</v>
      </c>
      <c r="U124" s="109" t="s">
        <v>1</v>
      </c>
      <c r="V124" s="92" t="s">
        <v>1</v>
      </c>
      <c r="W124" s="92">
        <v>7038</v>
      </c>
      <c r="X124" s="92" t="s">
        <v>1</v>
      </c>
      <c r="Y124" s="92">
        <v>2859</v>
      </c>
      <c r="Z124" s="92" t="s">
        <v>1</v>
      </c>
      <c r="AA124" s="236">
        <v>2.46</v>
      </c>
      <c r="AB124" s="92" t="s">
        <v>1</v>
      </c>
      <c r="AC124" s="92">
        <v>67.95</v>
      </c>
      <c r="AD124" s="92" t="s">
        <v>1</v>
      </c>
      <c r="AE124" s="92" t="s">
        <v>72</v>
      </c>
      <c r="AF124" s="92" t="s">
        <v>1</v>
      </c>
      <c r="AG124" s="92">
        <v>77</v>
      </c>
      <c r="AH124" s="125" t="s">
        <v>1</v>
      </c>
      <c r="AI124" s="125">
        <v>2040</v>
      </c>
      <c r="AJ124" s="125" t="s">
        <v>1</v>
      </c>
      <c r="AK124" s="125">
        <v>1110</v>
      </c>
      <c r="AL124" s="125" t="s">
        <v>1</v>
      </c>
      <c r="AM124" s="125">
        <v>65</v>
      </c>
      <c r="AN124" s="125" t="s">
        <v>1</v>
      </c>
      <c r="AO124" s="125">
        <v>72</v>
      </c>
      <c r="AP124" s="125" t="s">
        <v>1</v>
      </c>
      <c r="AQ124" s="125">
        <v>944</v>
      </c>
      <c r="AR124" s="125" t="s">
        <v>1</v>
      </c>
      <c r="AS124" s="125">
        <v>228</v>
      </c>
      <c r="AT124" s="200" t="s">
        <v>1</v>
      </c>
      <c r="AU124" s="109" t="s">
        <v>1</v>
      </c>
      <c r="AV124" s="198">
        <v>803</v>
      </c>
      <c r="AW124" s="109" t="s">
        <v>1</v>
      </c>
      <c r="AX124" s="141" t="s">
        <v>1</v>
      </c>
      <c r="AY124" s="200" t="s">
        <v>1</v>
      </c>
      <c r="AZ124" s="108">
        <v>107</v>
      </c>
      <c r="BA124" s="109" t="s">
        <v>1</v>
      </c>
      <c r="BB124" s="141">
        <v>0.133250311332503</v>
      </c>
      <c r="BC124" s="200" t="s">
        <v>1</v>
      </c>
      <c r="BD124" s="200" t="s">
        <v>1</v>
      </c>
      <c r="BE124" s="109" t="s">
        <v>1</v>
      </c>
      <c r="BF124" s="109" t="s">
        <v>1</v>
      </c>
      <c r="BG124" s="200" t="s">
        <v>1</v>
      </c>
      <c r="BH124" s="200" t="s">
        <v>1</v>
      </c>
      <c r="BI124" s="92" t="s">
        <v>176</v>
      </c>
      <c r="BJ124" s="92">
        <v>8</v>
      </c>
      <c r="BK124" s="92">
        <v>7323</v>
      </c>
      <c r="BL124" s="92">
        <v>877</v>
      </c>
      <c r="BM124" s="92" t="s">
        <v>94</v>
      </c>
      <c r="BN124" s="92">
        <v>50</v>
      </c>
      <c r="BO124" s="92">
        <v>3387</v>
      </c>
      <c r="BP124" s="92" t="s">
        <v>1</v>
      </c>
      <c r="BQ124" s="108" t="s">
        <v>1</v>
      </c>
      <c r="BR124" s="108" t="s">
        <v>1</v>
      </c>
      <c r="BS124" s="108" t="s">
        <v>1</v>
      </c>
      <c r="BT124" s="108" t="s">
        <v>1</v>
      </c>
      <c r="BU124" s="108" t="s">
        <v>1</v>
      </c>
      <c r="BV124" s="108" t="s">
        <v>1</v>
      </c>
      <c r="BW124" s="108" t="s">
        <v>1</v>
      </c>
      <c r="BX124" s="108" t="s">
        <v>1</v>
      </c>
      <c r="BY124" s="108" t="s">
        <v>1</v>
      </c>
      <c r="BZ124" s="108" t="s">
        <v>1</v>
      </c>
      <c r="CA124" s="108" t="s">
        <v>1</v>
      </c>
      <c r="CB124" s="108" t="s">
        <v>1</v>
      </c>
      <c r="CC124" s="108" t="s">
        <v>1</v>
      </c>
      <c r="CD124" s="108" t="s">
        <v>1</v>
      </c>
      <c r="CE124" s="108" t="s">
        <v>1</v>
      </c>
      <c r="CF124" s="108" t="s">
        <v>1</v>
      </c>
    </row>
    <row r="125" ht="28" customHeight="1" spans="1:84">
      <c r="A125" s="107">
        <v>45228</v>
      </c>
      <c r="B125" s="7" t="s">
        <v>89</v>
      </c>
      <c r="C125" s="109" t="s">
        <v>1</v>
      </c>
      <c r="D125" s="30" t="s">
        <v>1</v>
      </c>
      <c r="E125" s="30" t="s">
        <v>1</v>
      </c>
      <c r="F125" s="109" t="str">
        <f t="shared" si="3"/>
        <v/>
      </c>
      <c r="G125" s="109" t="s">
        <v>1</v>
      </c>
      <c r="H125" s="108" t="s">
        <v>1</v>
      </c>
      <c r="I125" s="109" t="s">
        <v>1</v>
      </c>
      <c r="J125" s="141" t="str">
        <f t="shared" si="4"/>
        <v/>
      </c>
      <c r="K125" s="211" t="s">
        <v>1</v>
      </c>
      <c r="L125" s="294" t="s">
        <v>1</v>
      </c>
      <c r="M125" s="30">
        <v>39195</v>
      </c>
      <c r="N125" s="242" t="s">
        <v>1</v>
      </c>
      <c r="O125" s="32" t="s">
        <v>1</v>
      </c>
      <c r="P125" s="109" t="s">
        <v>1</v>
      </c>
      <c r="Q125" s="141" t="e">
        <f t="shared" si="5"/>
        <v>#VALUE!</v>
      </c>
      <c r="R125" s="109" t="s">
        <v>1</v>
      </c>
      <c r="S125" s="109" t="s">
        <v>1</v>
      </c>
      <c r="T125" s="109" t="s">
        <v>1</v>
      </c>
      <c r="U125" s="109" t="s">
        <v>1</v>
      </c>
      <c r="V125" s="92" t="s">
        <v>1</v>
      </c>
      <c r="W125" s="92">
        <v>7085</v>
      </c>
      <c r="X125" s="92" t="s">
        <v>1</v>
      </c>
      <c r="Y125" s="92">
        <v>2819</v>
      </c>
      <c r="Z125" s="92" t="s">
        <v>1</v>
      </c>
      <c r="AA125" s="236">
        <v>2.51</v>
      </c>
      <c r="AB125" s="92" t="s">
        <v>1</v>
      </c>
      <c r="AC125" s="92">
        <v>71.47</v>
      </c>
      <c r="AD125" s="92" t="s">
        <v>1</v>
      </c>
      <c r="AE125" s="92" t="s">
        <v>72</v>
      </c>
      <c r="AF125" s="92" t="s">
        <v>1</v>
      </c>
      <c r="AG125" s="92">
        <v>88</v>
      </c>
      <c r="AH125" s="125" t="s">
        <v>1</v>
      </c>
      <c r="AI125" s="125">
        <v>2132</v>
      </c>
      <c r="AJ125" s="125" t="s">
        <v>1</v>
      </c>
      <c r="AK125" s="125">
        <v>918</v>
      </c>
      <c r="AL125" s="125" t="s">
        <v>1</v>
      </c>
      <c r="AM125" s="125">
        <v>53</v>
      </c>
      <c r="AN125" s="125" t="s">
        <v>1</v>
      </c>
      <c r="AO125" s="125">
        <v>49</v>
      </c>
      <c r="AP125" s="125" t="s">
        <v>1</v>
      </c>
      <c r="AQ125" s="125">
        <v>1053</v>
      </c>
      <c r="AR125" s="125" t="s">
        <v>1</v>
      </c>
      <c r="AS125" s="125">
        <v>244</v>
      </c>
      <c r="AT125" s="200" t="s">
        <v>1</v>
      </c>
      <c r="AU125" s="109" t="s">
        <v>1</v>
      </c>
      <c r="AV125" s="198" t="s">
        <v>1</v>
      </c>
      <c r="AW125" s="109" t="s">
        <v>1</v>
      </c>
      <c r="AX125" s="141" t="s">
        <v>1</v>
      </c>
      <c r="AY125" s="200" t="s">
        <v>1</v>
      </c>
      <c r="AZ125" s="108" t="s">
        <v>1</v>
      </c>
      <c r="BA125" s="109" t="s">
        <v>1</v>
      </c>
      <c r="BB125" s="141" t="e">
        <f>AZ125/AV125</f>
        <v>#VALUE!</v>
      </c>
      <c r="BC125" s="200" t="s">
        <v>1</v>
      </c>
      <c r="BD125" s="200" t="s">
        <v>1</v>
      </c>
      <c r="BE125" s="109" t="s">
        <v>1</v>
      </c>
      <c r="BF125" s="109" t="s">
        <v>1</v>
      </c>
      <c r="BG125" s="200" t="s">
        <v>1</v>
      </c>
      <c r="BH125" s="200" t="s">
        <v>1</v>
      </c>
      <c r="BI125" s="92" t="s">
        <v>176</v>
      </c>
      <c r="BJ125" s="92">
        <v>6</v>
      </c>
      <c r="BK125" s="92">
        <v>8674</v>
      </c>
      <c r="BL125" s="92">
        <v>969</v>
      </c>
      <c r="BM125" s="92" t="s">
        <v>73</v>
      </c>
      <c r="BN125" s="92">
        <v>54</v>
      </c>
      <c r="BO125" s="92">
        <v>3628</v>
      </c>
      <c r="BP125" s="92" t="s">
        <v>1</v>
      </c>
      <c r="BQ125" s="108" t="s">
        <v>1</v>
      </c>
      <c r="BR125" s="108" t="s">
        <v>1</v>
      </c>
      <c r="BS125" s="108" t="s">
        <v>1</v>
      </c>
      <c r="BT125" s="108" t="s">
        <v>1</v>
      </c>
      <c r="BU125" s="108" t="s">
        <v>1</v>
      </c>
      <c r="BV125" s="108" t="s">
        <v>1</v>
      </c>
      <c r="BW125" s="108" t="s">
        <v>1</v>
      </c>
      <c r="BX125" s="108" t="s">
        <v>1</v>
      </c>
      <c r="BY125" s="108" t="s">
        <v>1</v>
      </c>
      <c r="BZ125" s="108" t="s">
        <v>1</v>
      </c>
      <c r="CA125" s="108" t="s">
        <v>1</v>
      </c>
      <c r="CB125" s="108" t="s">
        <v>1</v>
      </c>
      <c r="CC125" s="108" t="s">
        <v>1</v>
      </c>
      <c r="CD125" s="108" t="s">
        <v>1</v>
      </c>
      <c r="CE125" s="108" t="s">
        <v>1</v>
      </c>
      <c r="CF125" s="108" t="s">
        <v>1</v>
      </c>
    </row>
    <row r="126" ht="28" customHeight="1" spans="1:84">
      <c r="A126" s="107">
        <v>45229</v>
      </c>
      <c r="B126" s="7" t="s">
        <v>89</v>
      </c>
      <c r="C126" s="109" t="s">
        <v>1</v>
      </c>
      <c r="D126" s="30" t="s">
        <v>1</v>
      </c>
      <c r="E126" s="30" t="s">
        <v>1</v>
      </c>
      <c r="F126" s="109" t="str">
        <f t="shared" si="3"/>
        <v/>
      </c>
      <c r="G126" s="109" t="s">
        <v>1</v>
      </c>
      <c r="H126" s="108" t="s">
        <v>1</v>
      </c>
      <c r="I126" s="109" t="s">
        <v>1</v>
      </c>
      <c r="J126" s="141" t="str">
        <f t="shared" si="4"/>
        <v/>
      </c>
      <c r="K126" s="211" t="s">
        <v>1</v>
      </c>
      <c r="L126" s="294" t="s">
        <v>1</v>
      </c>
      <c r="M126" s="30">
        <v>51095</v>
      </c>
      <c r="N126" s="242" t="s">
        <v>1</v>
      </c>
      <c r="O126" s="32" t="s">
        <v>1</v>
      </c>
      <c r="P126" s="109" t="s">
        <v>1</v>
      </c>
      <c r="Q126" s="141" t="e">
        <f t="shared" si="5"/>
        <v>#VALUE!</v>
      </c>
      <c r="R126" s="109" t="s">
        <v>1</v>
      </c>
      <c r="S126" s="109" t="s">
        <v>1</v>
      </c>
      <c r="T126" s="109" t="s">
        <v>1</v>
      </c>
      <c r="U126" s="109" t="s">
        <v>1</v>
      </c>
      <c r="V126" s="92" t="s">
        <v>1</v>
      </c>
      <c r="W126" s="92">
        <v>8075</v>
      </c>
      <c r="X126" s="92" t="s">
        <v>1</v>
      </c>
      <c r="Y126" s="92">
        <v>3196</v>
      </c>
      <c r="Z126" s="92" t="s">
        <v>1</v>
      </c>
      <c r="AA126" s="236">
        <v>2.53</v>
      </c>
      <c r="AB126" s="92" t="s">
        <v>1</v>
      </c>
      <c r="AC126" s="92">
        <v>65.44</v>
      </c>
      <c r="AD126" s="92" t="s">
        <v>1</v>
      </c>
      <c r="AE126" s="92" t="s">
        <v>72</v>
      </c>
      <c r="AF126" s="92" t="s">
        <v>1</v>
      </c>
      <c r="AG126" s="92">
        <v>78</v>
      </c>
      <c r="AH126" s="125" t="s">
        <v>1</v>
      </c>
      <c r="AI126" s="125">
        <v>2248</v>
      </c>
      <c r="AJ126" s="125" t="s">
        <v>1</v>
      </c>
      <c r="AK126" s="125">
        <v>1289</v>
      </c>
      <c r="AL126" s="125" t="s">
        <v>1</v>
      </c>
      <c r="AM126" s="125">
        <v>58</v>
      </c>
      <c r="AN126" s="125" t="s">
        <v>1</v>
      </c>
      <c r="AO126" s="125">
        <v>61</v>
      </c>
      <c r="AP126" s="125" t="s">
        <v>1</v>
      </c>
      <c r="AQ126" s="125">
        <v>959</v>
      </c>
      <c r="AR126" s="125" t="s">
        <v>1</v>
      </c>
      <c r="AS126" s="125">
        <v>275</v>
      </c>
      <c r="AT126" s="200" t="s">
        <v>1</v>
      </c>
      <c r="AU126" s="109" t="s">
        <v>1</v>
      </c>
      <c r="AV126" s="198" t="s">
        <v>1</v>
      </c>
      <c r="AW126" s="109" t="s">
        <v>1</v>
      </c>
      <c r="AX126" s="141" t="s">
        <v>1</v>
      </c>
      <c r="AY126" s="200" t="s">
        <v>1</v>
      </c>
      <c r="AZ126" s="108" t="s">
        <v>1</v>
      </c>
      <c r="BA126" s="109" t="s">
        <v>1</v>
      </c>
      <c r="BB126" s="141" t="e">
        <f>AZ126/AV126</f>
        <v>#VALUE!</v>
      </c>
      <c r="BC126" s="200" t="s">
        <v>1</v>
      </c>
      <c r="BD126" s="200" t="s">
        <v>1</v>
      </c>
      <c r="BE126" s="109" t="s">
        <v>1</v>
      </c>
      <c r="BF126" s="109" t="s">
        <v>1</v>
      </c>
      <c r="BG126" s="200" t="s">
        <v>1</v>
      </c>
      <c r="BH126" s="200" t="s">
        <v>1</v>
      </c>
      <c r="BI126" s="92" t="s">
        <v>176</v>
      </c>
      <c r="BJ126" s="92">
        <v>6</v>
      </c>
      <c r="BK126" s="92">
        <v>8770</v>
      </c>
      <c r="BL126" s="92">
        <v>1071</v>
      </c>
      <c r="BM126" s="92" t="s">
        <v>73</v>
      </c>
      <c r="BN126" s="92">
        <v>53</v>
      </c>
      <c r="BO126" s="92">
        <v>3782</v>
      </c>
      <c r="BP126" s="92" t="s">
        <v>1</v>
      </c>
      <c r="BQ126" s="108" t="s">
        <v>1</v>
      </c>
      <c r="BR126" s="108" t="s">
        <v>1</v>
      </c>
      <c r="BS126" s="108" t="s">
        <v>1</v>
      </c>
      <c r="BT126" s="108" t="s">
        <v>1</v>
      </c>
      <c r="BU126" s="108" t="s">
        <v>1</v>
      </c>
      <c r="BV126" s="108" t="s">
        <v>1</v>
      </c>
      <c r="BW126" s="108" t="s">
        <v>1</v>
      </c>
      <c r="BX126" s="108" t="s">
        <v>1</v>
      </c>
      <c r="BY126" s="108" t="s">
        <v>1</v>
      </c>
      <c r="BZ126" s="108" t="s">
        <v>1</v>
      </c>
      <c r="CA126" s="108" t="s">
        <v>1</v>
      </c>
      <c r="CB126" s="108" t="s">
        <v>1</v>
      </c>
      <c r="CC126" s="108" t="s">
        <v>1</v>
      </c>
      <c r="CD126" s="108" t="s">
        <v>1</v>
      </c>
      <c r="CE126" s="108" t="s">
        <v>1</v>
      </c>
      <c r="CF126" s="108" t="s">
        <v>1</v>
      </c>
    </row>
    <row r="127" ht="28" customHeight="1" spans="1:84">
      <c r="A127" s="107">
        <v>45230</v>
      </c>
      <c r="B127" s="108" t="s">
        <v>126</v>
      </c>
      <c r="C127" s="109" t="s">
        <v>1</v>
      </c>
      <c r="D127" s="30" t="s">
        <v>1</v>
      </c>
      <c r="E127" s="30" t="s">
        <v>1</v>
      </c>
      <c r="F127" s="109" t="str">
        <f>E127</f>
        <v/>
      </c>
      <c r="G127" s="109" t="s">
        <v>1</v>
      </c>
      <c r="H127" s="108" t="s">
        <v>1</v>
      </c>
      <c r="I127" s="109" t="s">
        <v>1</v>
      </c>
      <c r="J127" s="141" t="str">
        <f t="shared" si="4"/>
        <v/>
      </c>
      <c r="K127" s="211" t="s">
        <v>1</v>
      </c>
      <c r="L127" s="294" t="s">
        <v>1</v>
      </c>
      <c r="M127" s="30">
        <v>1051550.53</v>
      </c>
      <c r="N127" s="242" t="s">
        <v>1</v>
      </c>
      <c r="O127" s="32" t="s">
        <v>1</v>
      </c>
      <c r="P127" s="109" t="s">
        <v>1</v>
      </c>
      <c r="Q127" s="141" t="e">
        <f t="shared" si="5"/>
        <v>#VALUE!</v>
      </c>
      <c r="R127" s="109" t="s">
        <v>1</v>
      </c>
      <c r="S127" s="109" t="s">
        <v>1</v>
      </c>
      <c r="T127" s="109" t="s">
        <v>1</v>
      </c>
      <c r="U127" s="109" t="s">
        <v>1</v>
      </c>
      <c r="V127" s="92" t="s">
        <v>1</v>
      </c>
      <c r="W127" s="92">
        <v>11374</v>
      </c>
      <c r="X127" s="92" t="s">
        <v>1</v>
      </c>
      <c r="Y127" s="92">
        <v>4224</v>
      </c>
      <c r="Z127" s="92" t="s">
        <v>1</v>
      </c>
      <c r="AA127" s="236">
        <v>2.69</v>
      </c>
      <c r="AB127" s="92" t="s">
        <v>1</v>
      </c>
      <c r="AC127" s="92">
        <v>68.76</v>
      </c>
      <c r="AD127" s="92" t="s">
        <v>1</v>
      </c>
      <c r="AE127" s="92" t="s">
        <v>72</v>
      </c>
      <c r="AF127" s="92" t="s">
        <v>1</v>
      </c>
      <c r="AG127" s="92">
        <v>91</v>
      </c>
      <c r="AH127" s="125" t="s">
        <v>1</v>
      </c>
      <c r="AI127" s="125">
        <v>3239</v>
      </c>
      <c r="AJ127" s="125" t="s">
        <v>1</v>
      </c>
      <c r="AK127" s="125">
        <v>1302</v>
      </c>
      <c r="AL127" s="125" t="s">
        <v>1</v>
      </c>
      <c r="AM127" s="125">
        <v>113</v>
      </c>
      <c r="AN127" s="125" t="s">
        <v>1</v>
      </c>
      <c r="AO127" s="125">
        <v>126</v>
      </c>
      <c r="AP127" s="125" t="s">
        <v>1</v>
      </c>
      <c r="AQ127" s="125">
        <v>1074</v>
      </c>
      <c r="AR127" s="125" t="s">
        <v>1</v>
      </c>
      <c r="AS127" s="125">
        <v>532</v>
      </c>
      <c r="AT127" s="200" t="s">
        <v>1</v>
      </c>
      <c r="AU127" s="109" t="s">
        <v>1</v>
      </c>
      <c r="AV127" s="198" t="s">
        <v>1</v>
      </c>
      <c r="AW127" s="109" t="s">
        <v>1</v>
      </c>
      <c r="AX127" s="141" t="s">
        <v>1</v>
      </c>
      <c r="AY127" s="200" t="s">
        <v>1</v>
      </c>
      <c r="AZ127" s="108" t="s">
        <v>1</v>
      </c>
      <c r="BA127" s="109" t="s">
        <v>1</v>
      </c>
      <c r="BB127" s="141" t="e">
        <f>AZ127/AV127</f>
        <v>#VALUE!</v>
      </c>
      <c r="BC127" s="200" t="s">
        <v>1</v>
      </c>
      <c r="BD127" s="200" t="s">
        <v>1</v>
      </c>
      <c r="BE127" s="109" t="s">
        <v>1</v>
      </c>
      <c r="BF127" s="109" t="s">
        <v>1</v>
      </c>
      <c r="BG127" s="200" t="s">
        <v>1</v>
      </c>
      <c r="BH127" s="200" t="s">
        <v>1</v>
      </c>
      <c r="BI127" s="92" t="s">
        <v>176</v>
      </c>
      <c r="BJ127" s="92">
        <v>8</v>
      </c>
      <c r="BK127" s="92">
        <v>11129</v>
      </c>
      <c r="BL127" s="92">
        <v>1226</v>
      </c>
      <c r="BM127" s="92" t="s">
        <v>94</v>
      </c>
      <c r="BN127" s="92">
        <v>44</v>
      </c>
      <c r="BO127" s="92">
        <v>5858</v>
      </c>
      <c r="BP127" s="92" t="s">
        <v>1</v>
      </c>
      <c r="BQ127" s="108" t="s">
        <v>1</v>
      </c>
      <c r="BR127" s="108" t="s">
        <v>1</v>
      </c>
      <c r="BS127" s="108" t="s">
        <v>1</v>
      </c>
      <c r="BT127" s="108" t="s">
        <v>1</v>
      </c>
      <c r="BU127" s="108" t="s">
        <v>1</v>
      </c>
      <c r="BV127" s="108" t="s">
        <v>1</v>
      </c>
      <c r="BW127" s="108" t="s">
        <v>1</v>
      </c>
      <c r="BX127" s="108" t="s">
        <v>1</v>
      </c>
      <c r="BY127" s="108" t="s">
        <v>1</v>
      </c>
      <c r="BZ127" s="108" t="s">
        <v>1</v>
      </c>
      <c r="CA127" s="108" t="s">
        <v>1</v>
      </c>
      <c r="CB127" s="108" t="s">
        <v>1</v>
      </c>
      <c r="CC127" s="108" t="s">
        <v>1</v>
      </c>
      <c r="CD127" s="108" t="s">
        <v>1</v>
      </c>
      <c r="CE127" s="108" t="s">
        <v>1</v>
      </c>
      <c r="CF127" s="108" t="s">
        <v>1</v>
      </c>
    </row>
    <row r="128" ht="25" customHeight="1" spans="1:84">
      <c r="A128" s="107">
        <v>45231</v>
      </c>
      <c r="B128" s="1" t="s">
        <v>1</v>
      </c>
      <c r="C128" s="1" t="s">
        <v>1</v>
      </c>
      <c r="D128" s="1" t="s">
        <v>1</v>
      </c>
      <c r="E128" s="1" t="s">
        <v>1</v>
      </c>
      <c r="F128" s="1" t="s">
        <v>1</v>
      </c>
      <c r="G128" s="130" t="s">
        <v>1</v>
      </c>
      <c r="H128" s="130" t="s">
        <v>1</v>
      </c>
      <c r="I128" s="130" t="s">
        <v>1</v>
      </c>
      <c r="J128" s="130" t="s">
        <v>1</v>
      </c>
      <c r="K128" s="130" t="s">
        <v>1</v>
      </c>
      <c r="L128" s="30" t="s">
        <v>1</v>
      </c>
      <c r="M128" s="130" t="s">
        <v>1</v>
      </c>
      <c r="N128" s="130" t="s">
        <v>1</v>
      </c>
      <c r="O128" s="130" t="s">
        <v>1</v>
      </c>
      <c r="P128" s="130" t="s">
        <v>1</v>
      </c>
      <c r="Q128" s="130" t="s">
        <v>1</v>
      </c>
      <c r="R128" s="130" t="s">
        <v>1</v>
      </c>
      <c r="S128" s="130" t="s">
        <v>1</v>
      </c>
      <c r="T128" s="130" t="s">
        <v>1</v>
      </c>
      <c r="U128" s="130" t="s">
        <v>1</v>
      </c>
      <c r="V128" s="126" t="s">
        <v>1</v>
      </c>
      <c r="W128" s="126" t="s">
        <v>1</v>
      </c>
      <c r="X128" s="126" t="s">
        <v>1</v>
      </c>
      <c r="Y128" s="126" t="s">
        <v>1</v>
      </c>
      <c r="Z128" s="126" t="s">
        <v>1</v>
      </c>
      <c r="AA128" s="126" t="s">
        <v>1</v>
      </c>
      <c r="AB128" s="126" t="s">
        <v>1</v>
      </c>
      <c r="AC128" s="126" t="s">
        <v>1</v>
      </c>
      <c r="AD128" s="126" t="s">
        <v>1</v>
      </c>
      <c r="AE128" s="126" t="s">
        <v>1</v>
      </c>
      <c r="AF128" s="126" t="s">
        <v>1</v>
      </c>
      <c r="AG128" s="126" t="s">
        <v>1</v>
      </c>
      <c r="AH128" s="126" t="s">
        <v>1</v>
      </c>
      <c r="AI128" s="126" t="s">
        <v>1</v>
      </c>
      <c r="AJ128" s="126" t="s">
        <v>1</v>
      </c>
      <c r="AK128" s="126" t="s">
        <v>1</v>
      </c>
      <c r="AL128" s="126" t="s">
        <v>1</v>
      </c>
      <c r="AM128" s="126" t="s">
        <v>1</v>
      </c>
      <c r="AN128" s="126" t="s">
        <v>1</v>
      </c>
      <c r="AO128" s="126" t="s">
        <v>1</v>
      </c>
      <c r="AP128" s="126" t="s">
        <v>1</v>
      </c>
      <c r="AQ128" s="126" t="s">
        <v>1</v>
      </c>
      <c r="AR128" s="126" t="s">
        <v>1</v>
      </c>
      <c r="AS128" s="126" t="s">
        <v>1</v>
      </c>
      <c r="AT128" s="126" t="s">
        <v>1</v>
      </c>
      <c r="AU128" s="126" t="s">
        <v>1</v>
      </c>
      <c r="AV128" s="126" t="s">
        <v>1</v>
      </c>
      <c r="AW128" s="126" t="s">
        <v>1</v>
      </c>
      <c r="AX128" s="126" t="s">
        <v>1</v>
      </c>
      <c r="AY128" s="126" t="s">
        <v>1</v>
      </c>
      <c r="AZ128" s="126" t="s">
        <v>1</v>
      </c>
      <c r="BA128" s="126" t="s">
        <v>1</v>
      </c>
      <c r="BB128" s="126" t="s">
        <v>1</v>
      </c>
      <c r="BC128" s="126" t="s">
        <v>1</v>
      </c>
      <c r="BD128" s="126" t="s">
        <v>1</v>
      </c>
      <c r="BE128" s="126" t="s">
        <v>1</v>
      </c>
      <c r="BF128" s="126" t="s">
        <v>1</v>
      </c>
      <c r="BG128" s="137" t="s">
        <v>1</v>
      </c>
      <c r="BH128" s="137" t="s">
        <v>1</v>
      </c>
      <c r="BI128" s="92" t="s">
        <v>176</v>
      </c>
      <c r="BJ128" s="92">
        <v>6</v>
      </c>
      <c r="BK128" s="92">
        <v>9493</v>
      </c>
      <c r="BL128" s="92" t="s">
        <v>1</v>
      </c>
      <c r="BM128" s="92" t="s">
        <v>94</v>
      </c>
      <c r="BN128" s="92">
        <v>46</v>
      </c>
      <c r="BO128" s="92">
        <v>4515</v>
      </c>
      <c r="BP128" s="138" t="s">
        <v>1</v>
      </c>
      <c r="BQ128" s="138" t="s">
        <v>1</v>
      </c>
      <c r="BR128" s="138" t="s">
        <v>1</v>
      </c>
      <c r="BS128" s="138" t="s">
        <v>1</v>
      </c>
      <c r="BT128" s="138" t="s">
        <v>1</v>
      </c>
      <c r="BU128" s="138" t="s">
        <v>1</v>
      </c>
      <c r="BV128" s="138" t="s">
        <v>1</v>
      </c>
      <c r="BW128" s="138" t="s">
        <v>1</v>
      </c>
      <c r="BX128" s="138" t="s">
        <v>1</v>
      </c>
      <c r="BY128" s="138" t="s">
        <v>1</v>
      </c>
      <c r="BZ128" s="138" t="s">
        <v>1</v>
      </c>
      <c r="CA128" s="138" t="s">
        <v>1</v>
      </c>
      <c r="CB128" s="138" t="s">
        <v>1</v>
      </c>
      <c r="CC128" s="138" t="s">
        <v>1</v>
      </c>
      <c r="CD128" s="138" t="s">
        <v>1</v>
      </c>
      <c r="CE128" s="138" t="s">
        <v>1</v>
      </c>
    </row>
    <row r="129" ht="25" customHeight="1" spans="1:83">
      <c r="A129" s="107">
        <v>45232</v>
      </c>
      <c r="B129" s="1" t="s">
        <v>1</v>
      </c>
      <c r="C129" s="1" t="s">
        <v>1</v>
      </c>
      <c r="D129" s="1" t="s">
        <v>1</v>
      </c>
      <c r="E129" s="1" t="s">
        <v>1</v>
      </c>
      <c r="F129" s="1" t="s">
        <v>1</v>
      </c>
      <c r="G129" s="130" t="s">
        <v>1</v>
      </c>
      <c r="H129" s="130" t="s">
        <v>1</v>
      </c>
      <c r="I129" s="130" t="s">
        <v>1</v>
      </c>
      <c r="J129" s="130" t="s">
        <v>1</v>
      </c>
      <c r="K129" s="130" t="s">
        <v>1</v>
      </c>
      <c r="L129" s="30" t="s">
        <v>1</v>
      </c>
      <c r="M129" s="130" t="s">
        <v>1</v>
      </c>
      <c r="N129" s="130" t="s">
        <v>1</v>
      </c>
      <c r="O129" s="130" t="s">
        <v>1</v>
      </c>
      <c r="P129" s="130" t="s">
        <v>1</v>
      </c>
      <c r="Q129" s="130" t="s">
        <v>1</v>
      </c>
      <c r="R129" s="130" t="s">
        <v>1</v>
      </c>
      <c r="S129" s="130" t="s">
        <v>1</v>
      </c>
      <c r="T129" s="130" t="s">
        <v>1</v>
      </c>
      <c r="U129" s="130" t="s">
        <v>1</v>
      </c>
      <c r="V129" s="126" t="s">
        <v>1</v>
      </c>
      <c r="W129" s="126" t="s">
        <v>1</v>
      </c>
      <c r="X129" s="126" t="s">
        <v>1</v>
      </c>
      <c r="Y129" s="126" t="s">
        <v>1</v>
      </c>
      <c r="Z129" s="126" t="s">
        <v>1</v>
      </c>
      <c r="AA129" s="126" t="s">
        <v>1</v>
      </c>
      <c r="AB129" s="126" t="s">
        <v>1</v>
      </c>
      <c r="AC129" s="126" t="s">
        <v>1</v>
      </c>
      <c r="AD129" s="126" t="s">
        <v>1</v>
      </c>
      <c r="AE129" s="126" t="s">
        <v>1</v>
      </c>
      <c r="AF129" s="126" t="s">
        <v>1</v>
      </c>
      <c r="AG129" s="126" t="s">
        <v>1</v>
      </c>
      <c r="AH129" s="126" t="s">
        <v>1</v>
      </c>
      <c r="AI129" s="126" t="s">
        <v>1</v>
      </c>
      <c r="AJ129" s="126" t="s">
        <v>1</v>
      </c>
      <c r="AK129" s="126" t="s">
        <v>1</v>
      </c>
      <c r="AL129" s="126" t="s">
        <v>1</v>
      </c>
      <c r="AM129" s="126" t="s">
        <v>1</v>
      </c>
      <c r="AN129" s="126" t="s">
        <v>1</v>
      </c>
      <c r="AO129" s="126" t="s">
        <v>1</v>
      </c>
      <c r="AP129" s="126" t="s">
        <v>1</v>
      </c>
      <c r="AQ129" s="126" t="s">
        <v>1</v>
      </c>
      <c r="AR129" s="126" t="s">
        <v>1</v>
      </c>
      <c r="AS129" s="126" t="s">
        <v>1</v>
      </c>
      <c r="AT129" s="126" t="s">
        <v>1</v>
      </c>
      <c r="AU129" s="126" t="s">
        <v>1</v>
      </c>
      <c r="AV129" s="126" t="s">
        <v>1</v>
      </c>
      <c r="AW129" s="126" t="s">
        <v>1</v>
      </c>
      <c r="AX129" s="126" t="s">
        <v>1</v>
      </c>
      <c r="AY129" s="126" t="s">
        <v>1</v>
      </c>
      <c r="AZ129" s="126" t="s">
        <v>1</v>
      </c>
      <c r="BA129" s="126" t="s">
        <v>1</v>
      </c>
      <c r="BB129" s="126" t="s">
        <v>1</v>
      </c>
      <c r="BC129" s="126" t="s">
        <v>1</v>
      </c>
      <c r="BD129" s="126" t="s">
        <v>1</v>
      </c>
      <c r="BE129" s="126" t="s">
        <v>1</v>
      </c>
      <c r="BF129" s="126" t="s">
        <v>1</v>
      </c>
      <c r="BG129" s="137" t="s">
        <v>1</v>
      </c>
      <c r="BH129" s="137" t="s">
        <v>1</v>
      </c>
      <c r="BI129" s="92" t="s">
        <v>70</v>
      </c>
      <c r="BJ129" s="92">
        <v>4</v>
      </c>
      <c r="BK129" s="92">
        <v>8871</v>
      </c>
      <c r="BL129" s="92" t="s">
        <v>1</v>
      </c>
      <c r="BM129" s="92" t="s">
        <v>94</v>
      </c>
      <c r="BN129" s="92">
        <v>49</v>
      </c>
      <c r="BO129" s="92">
        <v>3869</v>
      </c>
      <c r="BP129" s="138" t="s">
        <v>1</v>
      </c>
      <c r="BQ129" s="138" t="s">
        <v>1</v>
      </c>
      <c r="BR129" s="138" t="s">
        <v>1</v>
      </c>
      <c r="BS129" s="138" t="s">
        <v>1</v>
      </c>
      <c r="BT129" s="138" t="s">
        <v>1</v>
      </c>
      <c r="BU129" s="138" t="s">
        <v>1</v>
      </c>
      <c r="BV129" s="138" t="s">
        <v>1</v>
      </c>
      <c r="BW129" s="138" t="s">
        <v>1</v>
      </c>
      <c r="BX129" s="138" t="s">
        <v>1</v>
      </c>
      <c r="BY129" s="138" t="s">
        <v>1</v>
      </c>
      <c r="BZ129" s="138" t="s">
        <v>1</v>
      </c>
      <c r="CA129" s="138" t="s">
        <v>1</v>
      </c>
      <c r="CB129" s="138" t="s">
        <v>1</v>
      </c>
      <c r="CC129" s="138" t="s">
        <v>1</v>
      </c>
      <c r="CD129" s="138" t="s">
        <v>1</v>
      </c>
      <c r="CE129" s="138" t="s">
        <v>1</v>
      </c>
    </row>
    <row r="130" ht="25" customHeight="1" spans="1:83">
      <c r="A130" s="107">
        <v>45233</v>
      </c>
      <c r="B130" s="1" t="s">
        <v>1</v>
      </c>
      <c r="C130" s="1" t="s">
        <v>1</v>
      </c>
      <c r="D130" s="1" t="s">
        <v>1</v>
      </c>
      <c r="E130" s="1" t="s">
        <v>1</v>
      </c>
      <c r="F130" s="1" t="s">
        <v>1</v>
      </c>
      <c r="G130" s="130" t="s">
        <v>1</v>
      </c>
      <c r="H130" s="130" t="s">
        <v>1</v>
      </c>
      <c r="I130" s="130" t="s">
        <v>1</v>
      </c>
      <c r="J130" s="130" t="s">
        <v>1</v>
      </c>
      <c r="K130" s="130" t="s">
        <v>1</v>
      </c>
      <c r="L130" s="30" t="s">
        <v>1</v>
      </c>
      <c r="M130" s="130" t="s">
        <v>1</v>
      </c>
      <c r="N130" s="130" t="s">
        <v>1</v>
      </c>
      <c r="O130" s="130" t="s">
        <v>1</v>
      </c>
      <c r="P130" s="130" t="s">
        <v>1</v>
      </c>
      <c r="Q130" s="130" t="s">
        <v>1</v>
      </c>
      <c r="R130" s="130" t="s">
        <v>1</v>
      </c>
      <c r="S130" s="130" t="s">
        <v>1</v>
      </c>
      <c r="T130" s="130" t="s">
        <v>1</v>
      </c>
      <c r="U130" s="130" t="s">
        <v>1</v>
      </c>
      <c r="V130" s="126" t="s">
        <v>1</v>
      </c>
      <c r="W130" s="126" t="s">
        <v>1</v>
      </c>
      <c r="X130" s="126" t="s">
        <v>1</v>
      </c>
      <c r="Y130" s="126" t="s">
        <v>1</v>
      </c>
      <c r="Z130" s="126" t="s">
        <v>1</v>
      </c>
      <c r="AA130" s="126" t="s">
        <v>1</v>
      </c>
      <c r="AB130" s="126" t="s">
        <v>1</v>
      </c>
      <c r="AC130" s="126" t="s">
        <v>1</v>
      </c>
      <c r="AD130" s="126" t="s">
        <v>1</v>
      </c>
      <c r="AE130" s="126" t="s">
        <v>1</v>
      </c>
      <c r="AF130" s="126" t="s">
        <v>1</v>
      </c>
      <c r="AG130" s="126" t="s">
        <v>1</v>
      </c>
      <c r="AH130" s="126" t="s">
        <v>1</v>
      </c>
      <c r="AI130" s="126" t="s">
        <v>1</v>
      </c>
      <c r="AJ130" s="126" t="s">
        <v>1</v>
      </c>
      <c r="AK130" s="126" t="s">
        <v>1</v>
      </c>
      <c r="AL130" s="126" t="s">
        <v>1</v>
      </c>
      <c r="AM130" s="126" t="s">
        <v>1</v>
      </c>
      <c r="AN130" s="126" t="s">
        <v>1</v>
      </c>
      <c r="AO130" s="126" t="s">
        <v>1</v>
      </c>
      <c r="AP130" s="126" t="s">
        <v>1</v>
      </c>
      <c r="AQ130" s="126" t="s">
        <v>1</v>
      </c>
      <c r="AR130" s="126" t="s">
        <v>1</v>
      </c>
      <c r="AS130" s="126" t="s">
        <v>1</v>
      </c>
      <c r="AT130" s="126" t="s">
        <v>1</v>
      </c>
      <c r="AU130" s="126" t="s">
        <v>1</v>
      </c>
      <c r="AV130" s="126" t="s">
        <v>1</v>
      </c>
      <c r="AW130" s="126" t="s">
        <v>1</v>
      </c>
      <c r="AX130" s="126" t="s">
        <v>1</v>
      </c>
      <c r="AY130" s="126" t="s">
        <v>1</v>
      </c>
      <c r="AZ130" s="126" t="s">
        <v>1</v>
      </c>
      <c r="BA130" s="126" t="s">
        <v>1</v>
      </c>
      <c r="BB130" s="126" t="s">
        <v>1</v>
      </c>
      <c r="BC130" s="126" t="s">
        <v>1</v>
      </c>
      <c r="BD130" s="126" t="s">
        <v>1</v>
      </c>
      <c r="BE130" s="126" t="s">
        <v>1</v>
      </c>
      <c r="BF130" s="126" t="s">
        <v>1</v>
      </c>
      <c r="BG130" s="137" t="s">
        <v>1</v>
      </c>
      <c r="BH130" s="137" t="s">
        <v>1</v>
      </c>
      <c r="BI130" s="92" t="s">
        <v>102</v>
      </c>
      <c r="BJ130" s="92">
        <v>14</v>
      </c>
      <c r="BK130" s="92">
        <v>5626</v>
      </c>
      <c r="BL130" s="92" t="s">
        <v>1</v>
      </c>
      <c r="BM130" s="92" t="s">
        <v>73</v>
      </c>
      <c r="BN130" s="92">
        <v>63</v>
      </c>
      <c r="BO130" s="92">
        <v>2617</v>
      </c>
      <c r="BP130" s="138" t="s">
        <v>1</v>
      </c>
      <c r="BQ130" s="138" t="s">
        <v>1</v>
      </c>
      <c r="BR130" s="138" t="s">
        <v>1</v>
      </c>
      <c r="BS130" s="138" t="s">
        <v>1</v>
      </c>
      <c r="BT130" s="138" t="s">
        <v>1</v>
      </c>
      <c r="BU130" s="138" t="s">
        <v>1</v>
      </c>
      <c r="BV130" s="138" t="s">
        <v>1</v>
      </c>
      <c r="BW130" s="138" t="s">
        <v>1</v>
      </c>
      <c r="BX130" s="138" t="s">
        <v>1</v>
      </c>
      <c r="BY130" s="138" t="s">
        <v>1</v>
      </c>
      <c r="BZ130" s="138" t="s">
        <v>1</v>
      </c>
      <c r="CA130" s="138" t="s">
        <v>1</v>
      </c>
      <c r="CB130" s="138" t="s">
        <v>1</v>
      </c>
      <c r="CC130" s="138" t="s">
        <v>1</v>
      </c>
      <c r="CD130" s="138" t="s">
        <v>1</v>
      </c>
      <c r="CE130" s="138" t="s">
        <v>1</v>
      </c>
    </row>
    <row r="131" ht="25" customHeight="1" spans="1:83">
      <c r="A131" s="107">
        <v>45234</v>
      </c>
      <c r="B131" s="1" t="s">
        <v>1</v>
      </c>
      <c r="C131" s="1" t="s">
        <v>1</v>
      </c>
      <c r="D131" s="1" t="s">
        <v>1</v>
      </c>
      <c r="E131" s="1" t="s">
        <v>1</v>
      </c>
      <c r="F131" s="1" t="s">
        <v>1</v>
      </c>
      <c r="G131" s="130" t="s">
        <v>1</v>
      </c>
      <c r="H131" s="130" t="s">
        <v>1</v>
      </c>
      <c r="I131" s="130" t="s">
        <v>1</v>
      </c>
      <c r="J131" s="130" t="s">
        <v>1</v>
      </c>
      <c r="K131" s="130" t="s">
        <v>1</v>
      </c>
      <c r="L131" s="30" t="s">
        <v>1</v>
      </c>
      <c r="M131" s="130" t="s">
        <v>1</v>
      </c>
      <c r="N131" s="130" t="s">
        <v>1</v>
      </c>
      <c r="O131" s="130" t="s">
        <v>1</v>
      </c>
      <c r="P131" s="130" t="s">
        <v>1</v>
      </c>
      <c r="Q131" s="130" t="s">
        <v>1</v>
      </c>
      <c r="R131" s="130" t="s">
        <v>1</v>
      </c>
      <c r="S131" s="130" t="s">
        <v>1</v>
      </c>
      <c r="T131" s="130" t="s">
        <v>1</v>
      </c>
      <c r="U131" s="130" t="s">
        <v>1</v>
      </c>
      <c r="V131" s="126" t="s">
        <v>1</v>
      </c>
      <c r="W131" s="126" t="s">
        <v>1</v>
      </c>
      <c r="X131" s="126" t="s">
        <v>1</v>
      </c>
      <c r="Y131" s="126" t="s">
        <v>1</v>
      </c>
      <c r="Z131" s="126" t="s">
        <v>1</v>
      </c>
      <c r="AA131" s="126" t="s">
        <v>1</v>
      </c>
      <c r="AB131" s="126" t="s">
        <v>1</v>
      </c>
      <c r="AC131" s="126" t="s">
        <v>1</v>
      </c>
      <c r="AD131" s="126" t="s">
        <v>1</v>
      </c>
      <c r="AE131" s="126" t="s">
        <v>1</v>
      </c>
      <c r="AF131" s="126" t="s">
        <v>1</v>
      </c>
      <c r="AG131" s="126" t="s">
        <v>1</v>
      </c>
      <c r="AH131" s="126" t="s">
        <v>1</v>
      </c>
      <c r="AI131" s="126" t="s">
        <v>1</v>
      </c>
      <c r="AJ131" s="126" t="s">
        <v>1</v>
      </c>
      <c r="AK131" s="126" t="s">
        <v>1</v>
      </c>
      <c r="AL131" s="126" t="s">
        <v>1</v>
      </c>
      <c r="AM131" s="126" t="s">
        <v>1</v>
      </c>
      <c r="AN131" s="126" t="s">
        <v>1</v>
      </c>
      <c r="AO131" s="126" t="s">
        <v>1</v>
      </c>
      <c r="AP131" s="126" t="s">
        <v>1</v>
      </c>
      <c r="AQ131" s="126" t="s">
        <v>1</v>
      </c>
      <c r="AR131" s="126" t="s">
        <v>1</v>
      </c>
      <c r="AS131" s="126" t="s">
        <v>1</v>
      </c>
      <c r="AT131" s="126" t="s">
        <v>1</v>
      </c>
      <c r="AU131" s="126" t="s">
        <v>1</v>
      </c>
      <c r="AV131" s="126" t="s">
        <v>1</v>
      </c>
      <c r="AW131" s="126" t="s">
        <v>1</v>
      </c>
      <c r="AX131" s="126" t="s">
        <v>1</v>
      </c>
      <c r="AY131" s="126" t="s">
        <v>1</v>
      </c>
      <c r="AZ131" s="126" t="s">
        <v>1</v>
      </c>
      <c r="BA131" s="126" t="s">
        <v>1</v>
      </c>
      <c r="BB131" s="126" t="s">
        <v>1</v>
      </c>
      <c r="BC131" s="126" t="s">
        <v>1</v>
      </c>
      <c r="BD131" s="126" t="s">
        <v>1</v>
      </c>
      <c r="BE131" s="126" t="s">
        <v>1</v>
      </c>
      <c r="BF131" s="126" t="s">
        <v>1</v>
      </c>
      <c r="BG131" s="137" t="s">
        <v>1</v>
      </c>
      <c r="BH131" s="137" t="s">
        <v>1</v>
      </c>
      <c r="BI131" s="92" t="s">
        <v>102</v>
      </c>
      <c r="BJ131" s="92">
        <v>14</v>
      </c>
      <c r="BK131" s="92">
        <v>5424</v>
      </c>
      <c r="BL131" s="92" t="s">
        <v>1</v>
      </c>
      <c r="BM131" s="92" t="s">
        <v>73</v>
      </c>
      <c r="BN131" s="92">
        <v>74</v>
      </c>
      <c r="BO131" s="92">
        <v>2333</v>
      </c>
      <c r="BP131" s="138" t="s">
        <v>1</v>
      </c>
      <c r="BQ131" s="138" t="s">
        <v>1</v>
      </c>
      <c r="BR131" s="138" t="s">
        <v>1</v>
      </c>
      <c r="BS131" s="138" t="s">
        <v>1</v>
      </c>
      <c r="BT131" s="138" t="s">
        <v>1</v>
      </c>
      <c r="BU131" s="138" t="s">
        <v>1</v>
      </c>
      <c r="BV131" s="138" t="s">
        <v>1</v>
      </c>
      <c r="BW131" s="138" t="s">
        <v>1</v>
      </c>
      <c r="BX131" s="138" t="s">
        <v>1</v>
      </c>
      <c r="BY131" s="138" t="s">
        <v>1</v>
      </c>
      <c r="BZ131" s="138" t="s">
        <v>1</v>
      </c>
      <c r="CA131" s="138" t="s">
        <v>1</v>
      </c>
      <c r="CB131" s="138" t="s">
        <v>1</v>
      </c>
      <c r="CC131" s="138" t="s">
        <v>1</v>
      </c>
      <c r="CD131" s="138" t="s">
        <v>1</v>
      </c>
      <c r="CE131" s="138" t="s">
        <v>1</v>
      </c>
    </row>
    <row r="132" ht="25" customHeight="1" spans="1:83">
      <c r="A132" s="107">
        <v>45235</v>
      </c>
      <c r="B132" s="1" t="s">
        <v>1</v>
      </c>
      <c r="C132" s="1" t="s">
        <v>1</v>
      </c>
      <c r="D132" s="1" t="s">
        <v>1</v>
      </c>
      <c r="E132" s="1" t="s">
        <v>1</v>
      </c>
      <c r="F132" s="1" t="s">
        <v>1</v>
      </c>
      <c r="G132" s="130" t="s">
        <v>1</v>
      </c>
      <c r="H132" s="130" t="s">
        <v>1</v>
      </c>
      <c r="I132" s="130" t="s">
        <v>1</v>
      </c>
      <c r="J132" s="130" t="s">
        <v>1</v>
      </c>
      <c r="K132" s="130" t="s">
        <v>1</v>
      </c>
      <c r="L132" s="30" t="s">
        <v>1</v>
      </c>
      <c r="M132" s="130" t="s">
        <v>1</v>
      </c>
      <c r="N132" s="130" t="s">
        <v>1</v>
      </c>
      <c r="O132" s="130" t="s">
        <v>1</v>
      </c>
      <c r="P132" s="130" t="s">
        <v>1</v>
      </c>
      <c r="Q132" s="130" t="s">
        <v>1</v>
      </c>
      <c r="R132" s="130" t="s">
        <v>1</v>
      </c>
      <c r="S132" s="130" t="s">
        <v>1</v>
      </c>
      <c r="T132" s="130" t="s">
        <v>1</v>
      </c>
      <c r="U132" s="130" t="s">
        <v>1</v>
      </c>
      <c r="V132" s="126" t="s">
        <v>1</v>
      </c>
      <c r="W132" s="126" t="s">
        <v>1</v>
      </c>
      <c r="X132" s="126" t="s">
        <v>1</v>
      </c>
      <c r="Y132" s="126" t="s">
        <v>1</v>
      </c>
      <c r="Z132" s="126" t="s">
        <v>1</v>
      </c>
      <c r="AA132" s="126" t="s">
        <v>1</v>
      </c>
      <c r="AB132" s="126" t="s">
        <v>1</v>
      </c>
      <c r="AC132" s="126" t="s">
        <v>1</v>
      </c>
      <c r="AD132" s="126" t="s">
        <v>1</v>
      </c>
      <c r="AE132" s="126" t="s">
        <v>1</v>
      </c>
      <c r="AF132" s="126" t="s">
        <v>1</v>
      </c>
      <c r="AG132" s="126" t="s">
        <v>1</v>
      </c>
      <c r="AH132" s="126" t="s">
        <v>1</v>
      </c>
      <c r="AI132" s="126" t="s">
        <v>1</v>
      </c>
      <c r="AJ132" s="126" t="s">
        <v>1</v>
      </c>
      <c r="AK132" s="126" t="s">
        <v>1</v>
      </c>
      <c r="AL132" s="126" t="s">
        <v>1</v>
      </c>
      <c r="AM132" s="126" t="s">
        <v>1</v>
      </c>
      <c r="AN132" s="126" t="s">
        <v>1</v>
      </c>
      <c r="AO132" s="126" t="s">
        <v>1</v>
      </c>
      <c r="AP132" s="126" t="s">
        <v>1</v>
      </c>
      <c r="AQ132" s="126" t="s">
        <v>1</v>
      </c>
      <c r="AR132" s="126" t="s">
        <v>1</v>
      </c>
      <c r="AS132" s="126" t="s">
        <v>1</v>
      </c>
      <c r="AT132" s="126" t="s">
        <v>1</v>
      </c>
      <c r="AU132" s="126" t="s">
        <v>1</v>
      </c>
      <c r="AV132" s="126" t="s">
        <v>1</v>
      </c>
      <c r="AW132" s="126" t="s">
        <v>1</v>
      </c>
      <c r="AX132" s="126" t="s">
        <v>1</v>
      </c>
      <c r="AY132" s="126" t="s">
        <v>1</v>
      </c>
      <c r="AZ132" s="126" t="s">
        <v>1</v>
      </c>
      <c r="BA132" s="126" t="s">
        <v>1</v>
      </c>
      <c r="BB132" s="126" t="s">
        <v>1</v>
      </c>
      <c r="BC132" s="126" t="s">
        <v>1</v>
      </c>
      <c r="BD132" s="126" t="s">
        <v>1</v>
      </c>
      <c r="BE132" s="126" t="s">
        <v>1</v>
      </c>
      <c r="BF132" s="126" t="s">
        <v>1</v>
      </c>
      <c r="BG132" s="137" t="s">
        <v>1</v>
      </c>
      <c r="BH132" s="137" t="s">
        <v>1</v>
      </c>
      <c r="BI132" s="92" t="s">
        <v>102</v>
      </c>
      <c r="BJ132" s="92">
        <v>13</v>
      </c>
      <c r="BK132" s="92">
        <v>5956</v>
      </c>
      <c r="BL132" s="92" t="s">
        <v>1</v>
      </c>
      <c r="BM132" s="92" t="s">
        <v>73</v>
      </c>
      <c r="BN132" s="92">
        <v>75</v>
      </c>
      <c r="BO132" s="92">
        <v>2423</v>
      </c>
      <c r="BP132" s="138" t="s">
        <v>1</v>
      </c>
      <c r="BQ132" s="138" t="s">
        <v>1</v>
      </c>
      <c r="BR132" s="138" t="s">
        <v>1</v>
      </c>
      <c r="BS132" s="138" t="s">
        <v>1</v>
      </c>
      <c r="BT132" s="138" t="s">
        <v>1</v>
      </c>
      <c r="BU132" s="138" t="s">
        <v>1</v>
      </c>
      <c r="BV132" s="138" t="s">
        <v>1</v>
      </c>
      <c r="BW132" s="138" t="s">
        <v>1</v>
      </c>
      <c r="BX132" s="138" t="s">
        <v>1</v>
      </c>
      <c r="BY132" s="138" t="s">
        <v>1</v>
      </c>
      <c r="BZ132" s="138" t="s">
        <v>1</v>
      </c>
      <c r="CA132" s="138" t="s">
        <v>1</v>
      </c>
      <c r="CB132" s="138" t="s">
        <v>1</v>
      </c>
      <c r="CC132" s="138" t="s">
        <v>1</v>
      </c>
      <c r="CD132" s="138" t="s">
        <v>1</v>
      </c>
      <c r="CE132" s="138" t="s">
        <v>1</v>
      </c>
    </row>
    <row r="133" ht="25" customHeight="1" spans="1:83">
      <c r="A133" s="107">
        <v>45236</v>
      </c>
      <c r="B133" s="1" t="s">
        <v>1</v>
      </c>
      <c r="C133" s="1" t="s">
        <v>1</v>
      </c>
      <c r="D133" s="1" t="s">
        <v>1</v>
      </c>
      <c r="E133" s="1" t="s">
        <v>1</v>
      </c>
      <c r="F133" s="1" t="s">
        <v>1</v>
      </c>
      <c r="G133" s="130" t="s">
        <v>1</v>
      </c>
      <c r="H133" s="130" t="s">
        <v>1</v>
      </c>
      <c r="I133" s="130" t="s">
        <v>1</v>
      </c>
      <c r="J133" s="130" t="s">
        <v>1</v>
      </c>
      <c r="K133" s="130" t="s">
        <v>1</v>
      </c>
      <c r="L133" s="30" t="s">
        <v>1</v>
      </c>
      <c r="M133" s="130" t="s">
        <v>1</v>
      </c>
      <c r="N133" s="130" t="s">
        <v>1</v>
      </c>
      <c r="O133" s="130" t="s">
        <v>1</v>
      </c>
      <c r="P133" s="130" t="s">
        <v>1</v>
      </c>
      <c r="Q133" s="130" t="s">
        <v>1</v>
      </c>
      <c r="R133" s="130" t="s">
        <v>1</v>
      </c>
      <c r="S133" s="130" t="s">
        <v>1</v>
      </c>
      <c r="T133" s="130" t="s">
        <v>1</v>
      </c>
      <c r="U133" s="130" t="s">
        <v>1</v>
      </c>
      <c r="V133" s="126" t="s">
        <v>1</v>
      </c>
      <c r="W133" s="126" t="s">
        <v>1</v>
      </c>
      <c r="X133" s="126" t="s">
        <v>1</v>
      </c>
      <c r="Y133" s="126" t="s">
        <v>1</v>
      </c>
      <c r="Z133" s="126" t="s">
        <v>1</v>
      </c>
      <c r="AA133" s="126" t="s">
        <v>1</v>
      </c>
      <c r="AB133" s="126" t="s">
        <v>1</v>
      </c>
      <c r="AC133" s="126" t="s">
        <v>1</v>
      </c>
      <c r="AD133" s="126" t="s">
        <v>1</v>
      </c>
      <c r="AE133" s="126" t="s">
        <v>1</v>
      </c>
      <c r="AF133" s="126" t="s">
        <v>1</v>
      </c>
      <c r="AG133" s="126" t="s">
        <v>1</v>
      </c>
      <c r="AH133" s="126" t="s">
        <v>1</v>
      </c>
      <c r="AI133" s="126" t="s">
        <v>1</v>
      </c>
      <c r="AJ133" s="126" t="s">
        <v>1</v>
      </c>
      <c r="AK133" s="126" t="s">
        <v>1</v>
      </c>
      <c r="AL133" s="126" t="s">
        <v>1</v>
      </c>
      <c r="AM133" s="126" t="s">
        <v>1</v>
      </c>
      <c r="AN133" s="126" t="s">
        <v>1</v>
      </c>
      <c r="AO133" s="126" t="s">
        <v>1</v>
      </c>
      <c r="AP133" s="126" t="s">
        <v>1</v>
      </c>
      <c r="AQ133" s="126" t="s">
        <v>1</v>
      </c>
      <c r="AR133" s="126" t="s">
        <v>1</v>
      </c>
      <c r="AS133" s="126" t="s">
        <v>1</v>
      </c>
      <c r="AT133" s="126" t="s">
        <v>1</v>
      </c>
      <c r="AU133" s="126" t="s">
        <v>1</v>
      </c>
      <c r="AV133" s="126" t="s">
        <v>1</v>
      </c>
      <c r="AW133" s="126" t="s">
        <v>1</v>
      </c>
      <c r="AX133" s="126" t="s">
        <v>1</v>
      </c>
      <c r="AY133" s="126" t="s">
        <v>1</v>
      </c>
      <c r="AZ133" s="126" t="s">
        <v>1</v>
      </c>
      <c r="BA133" s="126" t="s">
        <v>1</v>
      </c>
      <c r="BB133" s="126" t="s">
        <v>1</v>
      </c>
      <c r="BC133" s="126" t="s">
        <v>1</v>
      </c>
      <c r="BD133" s="126" t="s">
        <v>1</v>
      </c>
      <c r="BE133" s="126" t="s">
        <v>1</v>
      </c>
      <c r="BF133" s="126" t="s">
        <v>1</v>
      </c>
      <c r="BG133" s="137" t="s">
        <v>1</v>
      </c>
      <c r="BH133" s="137" t="s">
        <v>1</v>
      </c>
      <c r="BI133" s="92" t="s">
        <v>102</v>
      </c>
      <c r="BJ133" s="92">
        <v>12</v>
      </c>
      <c r="BK133" s="92">
        <v>7208</v>
      </c>
      <c r="BL133" s="92" t="s">
        <v>1</v>
      </c>
      <c r="BM133" s="92" t="s">
        <v>73</v>
      </c>
      <c r="BN133" s="92">
        <v>64</v>
      </c>
      <c r="BO133" s="92">
        <v>3039</v>
      </c>
      <c r="BP133" s="138" t="s">
        <v>1</v>
      </c>
      <c r="BQ133" s="138" t="s">
        <v>1</v>
      </c>
      <c r="BR133" s="138" t="s">
        <v>1</v>
      </c>
      <c r="BS133" s="138" t="s">
        <v>1</v>
      </c>
      <c r="BT133" s="138" t="s">
        <v>1</v>
      </c>
      <c r="BU133" s="138" t="s">
        <v>1</v>
      </c>
      <c r="BV133" s="138" t="s">
        <v>1</v>
      </c>
      <c r="BW133" s="138" t="s">
        <v>1</v>
      </c>
      <c r="BX133" s="138" t="s">
        <v>1</v>
      </c>
      <c r="BY133" s="138" t="s">
        <v>1</v>
      </c>
      <c r="BZ133" s="138" t="s">
        <v>1</v>
      </c>
      <c r="CA133" s="138" t="s">
        <v>1</v>
      </c>
      <c r="CB133" s="138" t="s">
        <v>1</v>
      </c>
      <c r="CC133" s="138" t="s">
        <v>1</v>
      </c>
      <c r="CD133" s="138" t="s">
        <v>1</v>
      </c>
      <c r="CE133" s="138" t="s">
        <v>1</v>
      </c>
    </row>
    <row r="134" ht="25" customHeight="1" spans="1:83">
      <c r="A134" s="107">
        <v>45237</v>
      </c>
      <c r="B134" s="1" t="s">
        <v>1</v>
      </c>
      <c r="C134" s="1" t="s">
        <v>1</v>
      </c>
      <c r="D134" s="1" t="s">
        <v>1</v>
      </c>
      <c r="E134" s="1" t="s">
        <v>1</v>
      </c>
      <c r="F134" s="1" t="s">
        <v>1</v>
      </c>
      <c r="G134" s="130" t="s">
        <v>1</v>
      </c>
      <c r="H134" s="130" t="s">
        <v>1</v>
      </c>
      <c r="I134" s="130" t="s">
        <v>1</v>
      </c>
      <c r="J134" s="130" t="s">
        <v>1</v>
      </c>
      <c r="K134" s="130" t="s">
        <v>1</v>
      </c>
      <c r="L134" s="30" t="s">
        <v>1</v>
      </c>
      <c r="M134" s="130" t="s">
        <v>1</v>
      </c>
      <c r="N134" s="130" t="s">
        <v>1</v>
      </c>
      <c r="O134" s="130" t="s">
        <v>1</v>
      </c>
      <c r="P134" s="130" t="s">
        <v>1</v>
      </c>
      <c r="Q134" s="130" t="s">
        <v>1</v>
      </c>
      <c r="R134" s="130" t="s">
        <v>1</v>
      </c>
      <c r="S134" s="130" t="s">
        <v>1</v>
      </c>
      <c r="T134" s="130" t="s">
        <v>1</v>
      </c>
      <c r="U134" s="130" t="s">
        <v>1</v>
      </c>
      <c r="V134" s="126" t="s">
        <v>1</v>
      </c>
      <c r="W134" s="126" t="s">
        <v>1</v>
      </c>
      <c r="X134" s="126" t="s">
        <v>1</v>
      </c>
      <c r="Y134" s="126" t="s">
        <v>1</v>
      </c>
      <c r="Z134" s="126" t="s">
        <v>1</v>
      </c>
      <c r="AA134" s="126" t="s">
        <v>1</v>
      </c>
      <c r="AB134" s="126" t="s">
        <v>1</v>
      </c>
      <c r="AC134" s="126" t="s">
        <v>1</v>
      </c>
      <c r="AD134" s="126" t="s">
        <v>1</v>
      </c>
      <c r="AE134" s="126" t="s">
        <v>1</v>
      </c>
      <c r="AF134" s="126" t="s">
        <v>1</v>
      </c>
      <c r="AG134" s="126" t="s">
        <v>1</v>
      </c>
      <c r="AH134" s="126" t="s">
        <v>1</v>
      </c>
      <c r="AI134" s="126" t="s">
        <v>1</v>
      </c>
      <c r="AJ134" s="126" t="s">
        <v>1</v>
      </c>
      <c r="AK134" s="126" t="s">
        <v>1</v>
      </c>
      <c r="AL134" s="126" t="s">
        <v>1</v>
      </c>
      <c r="AM134" s="126" t="s">
        <v>1</v>
      </c>
      <c r="AN134" s="126" t="s">
        <v>1</v>
      </c>
      <c r="AO134" s="126" t="s">
        <v>1</v>
      </c>
      <c r="AP134" s="126" t="s">
        <v>1</v>
      </c>
      <c r="AQ134" s="126" t="s">
        <v>1</v>
      </c>
      <c r="AR134" s="126" t="s">
        <v>1</v>
      </c>
      <c r="AS134" s="126" t="s">
        <v>1</v>
      </c>
      <c r="AT134" s="126" t="s">
        <v>1</v>
      </c>
      <c r="AU134" s="126" t="s">
        <v>1</v>
      </c>
      <c r="AV134" s="126" t="s">
        <v>1</v>
      </c>
      <c r="AW134" s="126" t="s">
        <v>1</v>
      </c>
      <c r="AX134" s="126" t="s">
        <v>1</v>
      </c>
      <c r="AY134" s="126" t="s">
        <v>1</v>
      </c>
      <c r="AZ134" s="126" t="s">
        <v>1</v>
      </c>
      <c r="BA134" s="126" t="s">
        <v>1</v>
      </c>
      <c r="BB134" s="126" t="s">
        <v>1</v>
      </c>
      <c r="BC134" s="126" t="s">
        <v>1</v>
      </c>
      <c r="BD134" s="126" t="s">
        <v>1</v>
      </c>
      <c r="BE134" s="126" t="s">
        <v>1</v>
      </c>
      <c r="BF134" s="126" t="s">
        <v>1</v>
      </c>
      <c r="BG134" s="137" t="s">
        <v>1</v>
      </c>
      <c r="BH134" s="137" t="s">
        <v>1</v>
      </c>
      <c r="BI134" s="92" t="s">
        <v>176</v>
      </c>
      <c r="BJ134" s="92">
        <v>9</v>
      </c>
      <c r="BK134" s="92">
        <v>6851</v>
      </c>
      <c r="BL134" s="92" t="s">
        <v>1</v>
      </c>
      <c r="BM134" s="92" t="s">
        <v>73</v>
      </c>
      <c r="BN134" s="92">
        <v>63</v>
      </c>
      <c r="BO134" s="92">
        <v>2837</v>
      </c>
      <c r="BP134" s="138" t="s">
        <v>1</v>
      </c>
      <c r="BQ134" s="138" t="s">
        <v>1</v>
      </c>
      <c r="BR134" s="138" t="s">
        <v>1</v>
      </c>
      <c r="BS134" s="138" t="s">
        <v>1</v>
      </c>
      <c r="BT134" s="138" t="s">
        <v>1</v>
      </c>
      <c r="BU134" s="138" t="s">
        <v>1</v>
      </c>
      <c r="BV134" s="138" t="s">
        <v>1</v>
      </c>
      <c r="BW134" s="138" t="s">
        <v>1</v>
      </c>
      <c r="BX134" s="138" t="s">
        <v>1</v>
      </c>
      <c r="BY134" s="138" t="s">
        <v>1</v>
      </c>
      <c r="BZ134" s="138" t="s">
        <v>1</v>
      </c>
      <c r="CA134" s="138" t="s">
        <v>1</v>
      </c>
      <c r="CB134" s="138" t="s">
        <v>1</v>
      </c>
      <c r="CC134" s="138" t="s">
        <v>1</v>
      </c>
      <c r="CD134" s="138" t="s">
        <v>1</v>
      </c>
      <c r="CE134" s="138" t="s">
        <v>1</v>
      </c>
    </row>
    <row r="135" ht="25" customHeight="1" spans="1:83">
      <c r="A135" s="107">
        <v>45238</v>
      </c>
      <c r="B135" s="1" t="s">
        <v>1</v>
      </c>
      <c r="C135" s="1" t="s">
        <v>1</v>
      </c>
      <c r="D135" s="1" t="s">
        <v>1</v>
      </c>
      <c r="E135" s="1" t="s">
        <v>1</v>
      </c>
      <c r="F135" s="1" t="s">
        <v>1</v>
      </c>
      <c r="G135" s="130" t="s">
        <v>1</v>
      </c>
      <c r="H135" s="130" t="s">
        <v>1</v>
      </c>
      <c r="I135" s="130" t="s">
        <v>1</v>
      </c>
      <c r="J135" s="130" t="s">
        <v>1</v>
      </c>
      <c r="K135" s="130" t="s">
        <v>1</v>
      </c>
      <c r="L135" s="30" t="s">
        <v>1</v>
      </c>
      <c r="M135" s="130" t="s">
        <v>1</v>
      </c>
      <c r="N135" s="130" t="s">
        <v>1</v>
      </c>
      <c r="O135" s="130" t="s">
        <v>1</v>
      </c>
      <c r="P135" s="130" t="s">
        <v>1</v>
      </c>
      <c r="Q135" s="130" t="s">
        <v>1</v>
      </c>
      <c r="R135" s="130" t="s">
        <v>1</v>
      </c>
      <c r="S135" s="130" t="s">
        <v>1</v>
      </c>
      <c r="T135" s="130" t="s">
        <v>1</v>
      </c>
      <c r="U135" s="130" t="s">
        <v>1</v>
      </c>
      <c r="V135" s="126" t="s">
        <v>1</v>
      </c>
      <c r="W135" s="126" t="s">
        <v>1</v>
      </c>
      <c r="X135" s="126" t="s">
        <v>1</v>
      </c>
      <c r="Y135" s="126" t="s">
        <v>1</v>
      </c>
      <c r="Z135" s="126" t="s">
        <v>1</v>
      </c>
      <c r="AA135" s="126" t="s">
        <v>1</v>
      </c>
      <c r="AB135" s="126" t="s">
        <v>1</v>
      </c>
      <c r="AC135" s="126" t="s">
        <v>1</v>
      </c>
      <c r="AD135" s="126" t="s">
        <v>1</v>
      </c>
      <c r="AE135" s="126" t="s">
        <v>1</v>
      </c>
      <c r="AF135" s="126" t="s">
        <v>1</v>
      </c>
      <c r="AG135" s="126" t="s">
        <v>1</v>
      </c>
      <c r="AH135" s="126" t="s">
        <v>1</v>
      </c>
      <c r="AI135" s="126" t="s">
        <v>1</v>
      </c>
      <c r="AJ135" s="126" t="s">
        <v>1</v>
      </c>
      <c r="AK135" s="126" t="s">
        <v>1</v>
      </c>
      <c r="AL135" s="126" t="s">
        <v>1</v>
      </c>
      <c r="AM135" s="126" t="s">
        <v>1</v>
      </c>
      <c r="AN135" s="126" t="s">
        <v>1</v>
      </c>
      <c r="AO135" s="126" t="s">
        <v>1</v>
      </c>
      <c r="AP135" s="126" t="s">
        <v>1</v>
      </c>
      <c r="AQ135" s="126" t="s">
        <v>1</v>
      </c>
      <c r="AR135" s="126" t="s">
        <v>1</v>
      </c>
      <c r="AS135" s="126" t="s">
        <v>1</v>
      </c>
      <c r="AT135" s="126" t="s">
        <v>1</v>
      </c>
      <c r="AU135" s="126" t="s">
        <v>1</v>
      </c>
      <c r="AV135" s="126" t="s">
        <v>1</v>
      </c>
      <c r="AW135" s="126" t="s">
        <v>1</v>
      </c>
      <c r="AX135" s="126" t="s">
        <v>1</v>
      </c>
      <c r="AY135" s="126" t="s">
        <v>1</v>
      </c>
      <c r="AZ135" s="126" t="s">
        <v>1</v>
      </c>
      <c r="BA135" s="126" t="s">
        <v>1</v>
      </c>
      <c r="BB135" s="126" t="s">
        <v>1</v>
      </c>
      <c r="BC135" s="126" t="s">
        <v>1</v>
      </c>
      <c r="BD135" s="126" t="s">
        <v>1</v>
      </c>
      <c r="BE135" s="126" t="s">
        <v>1</v>
      </c>
      <c r="BF135" s="126" t="s">
        <v>1</v>
      </c>
      <c r="BG135" s="137" t="s">
        <v>1</v>
      </c>
      <c r="BH135" s="137" t="s">
        <v>1</v>
      </c>
      <c r="BI135" s="137" t="s">
        <v>1</v>
      </c>
      <c r="BJ135" s="137" t="s">
        <v>1</v>
      </c>
      <c r="BK135" s="137" t="s">
        <v>1</v>
      </c>
      <c r="BL135" s="137" t="s">
        <v>1</v>
      </c>
      <c r="BM135" s="137" t="s">
        <v>1</v>
      </c>
      <c r="BN135" s="137" t="s">
        <v>1</v>
      </c>
      <c r="BO135" s="137" t="s">
        <v>1</v>
      </c>
      <c r="BP135" s="138" t="s">
        <v>1</v>
      </c>
      <c r="BQ135" s="138" t="s">
        <v>1</v>
      </c>
      <c r="BR135" s="138" t="s">
        <v>1</v>
      </c>
      <c r="BS135" s="138" t="s">
        <v>1</v>
      </c>
      <c r="BT135" s="138" t="s">
        <v>1</v>
      </c>
      <c r="BU135" s="138" t="s">
        <v>1</v>
      </c>
      <c r="BV135" s="138" t="s">
        <v>1</v>
      </c>
      <c r="BW135" s="138" t="s">
        <v>1</v>
      </c>
      <c r="BX135" s="138" t="s">
        <v>1</v>
      </c>
      <c r="BY135" s="138" t="s">
        <v>1</v>
      </c>
      <c r="BZ135" s="138" t="s">
        <v>1</v>
      </c>
      <c r="CA135" s="138" t="s">
        <v>1</v>
      </c>
      <c r="CB135" s="138" t="s">
        <v>1</v>
      </c>
      <c r="CC135" s="138" t="s">
        <v>1</v>
      </c>
      <c r="CD135" s="138" t="s">
        <v>1</v>
      </c>
      <c r="CE135" s="138" t="s">
        <v>1</v>
      </c>
    </row>
    <row r="136" ht="25" customHeight="1" spans="1:83">
      <c r="A136" s="107">
        <v>45239</v>
      </c>
      <c r="B136" s="1" t="s">
        <v>1</v>
      </c>
      <c r="C136" s="1" t="s">
        <v>1</v>
      </c>
      <c r="D136" s="1" t="s">
        <v>1</v>
      </c>
      <c r="E136" s="1" t="s">
        <v>1</v>
      </c>
      <c r="F136" s="1" t="s">
        <v>1</v>
      </c>
      <c r="G136" s="130" t="s">
        <v>1</v>
      </c>
      <c r="H136" s="130" t="s">
        <v>1</v>
      </c>
      <c r="I136" s="130" t="s">
        <v>1</v>
      </c>
      <c r="J136" s="130" t="s">
        <v>1</v>
      </c>
      <c r="K136" s="130" t="s">
        <v>1</v>
      </c>
      <c r="L136" s="30" t="s">
        <v>1</v>
      </c>
      <c r="M136" s="130" t="s">
        <v>1</v>
      </c>
      <c r="N136" s="130" t="s">
        <v>1</v>
      </c>
      <c r="O136" s="130" t="s">
        <v>1</v>
      </c>
      <c r="P136" s="130" t="s">
        <v>1</v>
      </c>
      <c r="Q136" s="130" t="s">
        <v>1</v>
      </c>
      <c r="R136" s="130" t="s">
        <v>1</v>
      </c>
      <c r="S136" s="130" t="s">
        <v>1</v>
      </c>
      <c r="T136" s="130" t="s">
        <v>1</v>
      </c>
      <c r="U136" s="130" t="s">
        <v>1</v>
      </c>
      <c r="V136" s="126" t="s">
        <v>1</v>
      </c>
      <c r="W136" s="126" t="s">
        <v>1</v>
      </c>
      <c r="X136" s="126" t="s">
        <v>1</v>
      </c>
      <c r="Y136" s="126" t="s">
        <v>1</v>
      </c>
      <c r="Z136" s="126" t="s">
        <v>1</v>
      </c>
      <c r="AA136" s="126" t="s">
        <v>1</v>
      </c>
      <c r="AB136" s="126" t="s">
        <v>1</v>
      </c>
      <c r="AC136" s="126" t="s">
        <v>1</v>
      </c>
      <c r="AD136" s="126" t="s">
        <v>1</v>
      </c>
      <c r="AE136" s="126" t="s">
        <v>1</v>
      </c>
      <c r="AF136" s="126" t="s">
        <v>1</v>
      </c>
      <c r="AG136" s="126" t="s">
        <v>1</v>
      </c>
      <c r="AH136" s="126" t="s">
        <v>1</v>
      </c>
      <c r="AI136" s="126" t="s">
        <v>1</v>
      </c>
      <c r="AJ136" s="126" t="s">
        <v>1</v>
      </c>
      <c r="AK136" s="126" t="s">
        <v>1</v>
      </c>
      <c r="AL136" s="126" t="s">
        <v>1</v>
      </c>
      <c r="AM136" s="126" t="s">
        <v>1</v>
      </c>
      <c r="AN136" s="126" t="s">
        <v>1</v>
      </c>
      <c r="AO136" s="126" t="s">
        <v>1</v>
      </c>
      <c r="AP136" s="126" t="s">
        <v>1</v>
      </c>
      <c r="AQ136" s="126" t="s">
        <v>1</v>
      </c>
      <c r="AR136" s="126" t="s">
        <v>1</v>
      </c>
      <c r="AS136" s="126" t="s">
        <v>1</v>
      </c>
      <c r="AT136" s="126" t="s">
        <v>1</v>
      </c>
      <c r="AU136" s="126" t="s">
        <v>1</v>
      </c>
      <c r="AV136" s="126" t="s">
        <v>1</v>
      </c>
      <c r="AW136" s="126" t="s">
        <v>1</v>
      </c>
      <c r="AX136" s="126" t="s">
        <v>1</v>
      </c>
      <c r="AY136" s="126" t="s">
        <v>1</v>
      </c>
      <c r="AZ136" s="126" t="s">
        <v>1</v>
      </c>
      <c r="BA136" s="126" t="s">
        <v>1</v>
      </c>
      <c r="BB136" s="126" t="s">
        <v>1</v>
      </c>
      <c r="BC136" s="126" t="s">
        <v>1</v>
      </c>
      <c r="BD136" s="126" t="s">
        <v>1</v>
      </c>
      <c r="BE136" s="126" t="s">
        <v>1</v>
      </c>
      <c r="BF136" s="126" t="s">
        <v>1</v>
      </c>
      <c r="BG136" s="137" t="s">
        <v>1</v>
      </c>
      <c r="BH136" s="137" t="s">
        <v>1</v>
      </c>
      <c r="BI136" s="137" t="s">
        <v>1</v>
      </c>
      <c r="BJ136" s="137" t="s">
        <v>1</v>
      </c>
      <c r="BK136" s="137" t="s">
        <v>1</v>
      </c>
      <c r="BL136" s="137" t="s">
        <v>1</v>
      </c>
      <c r="BM136" s="137" t="s">
        <v>1</v>
      </c>
      <c r="BN136" s="137" t="s">
        <v>1</v>
      </c>
      <c r="BO136" s="137" t="s">
        <v>1</v>
      </c>
      <c r="BP136" s="138" t="s">
        <v>1</v>
      </c>
      <c r="BQ136" s="138" t="s">
        <v>1</v>
      </c>
      <c r="BR136" s="138" t="s">
        <v>1</v>
      </c>
      <c r="BS136" s="138" t="s">
        <v>1</v>
      </c>
      <c r="BT136" s="138" t="s">
        <v>1</v>
      </c>
      <c r="BU136" s="138" t="s">
        <v>1</v>
      </c>
      <c r="BV136" s="138" t="s">
        <v>1</v>
      </c>
      <c r="BW136" s="138" t="s">
        <v>1</v>
      </c>
      <c r="BX136" s="138" t="s">
        <v>1</v>
      </c>
      <c r="BY136" s="138" t="s">
        <v>1</v>
      </c>
      <c r="BZ136" s="138" t="s">
        <v>1</v>
      </c>
      <c r="CA136" s="138" t="s">
        <v>1</v>
      </c>
      <c r="CB136" s="138" t="s">
        <v>1</v>
      </c>
      <c r="CC136" s="138" t="s">
        <v>1</v>
      </c>
      <c r="CD136" s="138" t="s">
        <v>1</v>
      </c>
      <c r="CE136" s="138" t="s">
        <v>1</v>
      </c>
    </row>
    <row r="137" ht="25" customHeight="1" spans="1:83">
      <c r="A137" s="107">
        <v>45240</v>
      </c>
      <c r="B137" s="1" t="s">
        <v>1</v>
      </c>
      <c r="C137" s="1" t="s">
        <v>1</v>
      </c>
      <c r="D137" s="1" t="s">
        <v>1</v>
      </c>
      <c r="E137" s="1" t="s">
        <v>1</v>
      </c>
      <c r="F137" s="1" t="s">
        <v>1</v>
      </c>
      <c r="G137" s="130" t="s">
        <v>1</v>
      </c>
      <c r="H137" s="130" t="s">
        <v>1</v>
      </c>
      <c r="I137" s="130" t="s">
        <v>1</v>
      </c>
      <c r="J137" s="130" t="s">
        <v>1</v>
      </c>
      <c r="K137" s="130" t="s">
        <v>1</v>
      </c>
      <c r="L137" s="30" t="s">
        <v>1</v>
      </c>
      <c r="M137" s="130" t="s">
        <v>1</v>
      </c>
      <c r="N137" s="130" t="s">
        <v>1</v>
      </c>
      <c r="O137" s="130" t="s">
        <v>1</v>
      </c>
      <c r="P137" s="130" t="s">
        <v>1</v>
      </c>
      <c r="Q137" s="130" t="s">
        <v>1</v>
      </c>
      <c r="R137" s="130" t="s">
        <v>1</v>
      </c>
      <c r="S137" s="130" t="s">
        <v>1</v>
      </c>
      <c r="T137" s="130" t="s">
        <v>1</v>
      </c>
      <c r="U137" s="130" t="s">
        <v>1</v>
      </c>
      <c r="V137" s="126" t="s">
        <v>1</v>
      </c>
      <c r="W137" s="126" t="s">
        <v>1</v>
      </c>
      <c r="X137" s="126" t="s">
        <v>1</v>
      </c>
      <c r="Y137" s="126" t="s">
        <v>1</v>
      </c>
      <c r="Z137" s="126" t="s">
        <v>1</v>
      </c>
      <c r="AA137" s="126" t="s">
        <v>1</v>
      </c>
      <c r="AB137" s="126" t="s">
        <v>1</v>
      </c>
      <c r="AC137" s="126" t="s">
        <v>1</v>
      </c>
      <c r="AD137" s="126" t="s">
        <v>1</v>
      </c>
      <c r="AE137" s="126" t="s">
        <v>1</v>
      </c>
      <c r="AF137" s="126" t="s">
        <v>1</v>
      </c>
      <c r="AG137" s="126" t="s">
        <v>1</v>
      </c>
      <c r="AH137" s="126" t="s">
        <v>1</v>
      </c>
      <c r="AI137" s="126" t="s">
        <v>1</v>
      </c>
      <c r="AJ137" s="126" t="s">
        <v>1</v>
      </c>
      <c r="AK137" s="126" t="s">
        <v>1</v>
      </c>
      <c r="AL137" s="126" t="s">
        <v>1</v>
      </c>
      <c r="AM137" s="126" t="s">
        <v>1</v>
      </c>
      <c r="AN137" s="126" t="s">
        <v>1</v>
      </c>
      <c r="AO137" s="126" t="s">
        <v>1</v>
      </c>
      <c r="AP137" s="126" t="s">
        <v>1</v>
      </c>
      <c r="AQ137" s="126" t="s">
        <v>1</v>
      </c>
      <c r="AR137" s="126" t="s">
        <v>1</v>
      </c>
      <c r="AS137" s="126" t="s">
        <v>1</v>
      </c>
      <c r="AT137" s="126" t="s">
        <v>1</v>
      </c>
      <c r="AU137" s="126" t="s">
        <v>1</v>
      </c>
      <c r="AV137" s="126" t="s">
        <v>1</v>
      </c>
      <c r="AW137" s="126" t="s">
        <v>1</v>
      </c>
      <c r="AX137" s="126" t="s">
        <v>1</v>
      </c>
      <c r="AY137" s="126" t="s">
        <v>1</v>
      </c>
      <c r="AZ137" s="126" t="s">
        <v>1</v>
      </c>
      <c r="BA137" s="126" t="s">
        <v>1</v>
      </c>
      <c r="BB137" s="126" t="s">
        <v>1</v>
      </c>
      <c r="BC137" s="126" t="s">
        <v>1</v>
      </c>
      <c r="BD137" s="126" t="s">
        <v>1</v>
      </c>
      <c r="BE137" s="126" t="s">
        <v>1</v>
      </c>
      <c r="BF137" s="126" t="s">
        <v>1</v>
      </c>
      <c r="BG137" s="137" t="s">
        <v>1</v>
      </c>
      <c r="BH137" s="137" t="s">
        <v>1</v>
      </c>
      <c r="BI137" s="137" t="s">
        <v>1</v>
      </c>
      <c r="BJ137" s="137" t="s">
        <v>1</v>
      </c>
      <c r="BK137" s="137" t="s">
        <v>1</v>
      </c>
      <c r="BL137" s="137" t="s">
        <v>1</v>
      </c>
      <c r="BM137" s="137" t="s">
        <v>1</v>
      </c>
      <c r="BN137" s="137" t="s">
        <v>1</v>
      </c>
      <c r="BO137" s="137" t="s">
        <v>1</v>
      </c>
      <c r="BP137" s="138" t="s">
        <v>1</v>
      </c>
      <c r="BQ137" s="138" t="s">
        <v>1</v>
      </c>
      <c r="BR137" s="138" t="s">
        <v>1</v>
      </c>
      <c r="BS137" s="138" t="s">
        <v>1</v>
      </c>
      <c r="BT137" s="138" t="s">
        <v>1</v>
      </c>
      <c r="BU137" s="138" t="s">
        <v>1</v>
      </c>
      <c r="BV137" s="138" t="s">
        <v>1</v>
      </c>
      <c r="BW137" s="138" t="s">
        <v>1</v>
      </c>
      <c r="BX137" s="138" t="s">
        <v>1</v>
      </c>
      <c r="BY137" s="138" t="s">
        <v>1</v>
      </c>
      <c r="BZ137" s="138" t="s">
        <v>1</v>
      </c>
      <c r="CA137" s="138" t="s">
        <v>1</v>
      </c>
      <c r="CB137" s="138" t="s">
        <v>1</v>
      </c>
      <c r="CC137" s="138" t="s">
        <v>1</v>
      </c>
      <c r="CD137" s="138" t="s">
        <v>1</v>
      </c>
      <c r="CE137" s="138" t="s">
        <v>1</v>
      </c>
    </row>
    <row r="138" ht="25" customHeight="1" spans="1:83">
      <c r="A138" s="107">
        <v>45241</v>
      </c>
      <c r="B138" s="1" t="s">
        <v>1</v>
      </c>
      <c r="C138" s="1" t="s">
        <v>1</v>
      </c>
      <c r="D138" s="1" t="s">
        <v>1</v>
      </c>
      <c r="E138" s="1" t="s">
        <v>1</v>
      </c>
      <c r="F138" s="1" t="s">
        <v>1</v>
      </c>
      <c r="G138" s="130" t="s">
        <v>1</v>
      </c>
      <c r="H138" s="130" t="s">
        <v>1</v>
      </c>
      <c r="I138" s="130" t="s">
        <v>1</v>
      </c>
      <c r="J138" s="130" t="s">
        <v>1</v>
      </c>
      <c r="K138" s="130" t="s">
        <v>1</v>
      </c>
      <c r="L138" s="30" t="s">
        <v>1</v>
      </c>
      <c r="M138" s="130" t="s">
        <v>1</v>
      </c>
      <c r="N138" s="130" t="s">
        <v>1</v>
      </c>
      <c r="O138" s="130" t="s">
        <v>1</v>
      </c>
      <c r="P138" s="130" t="s">
        <v>1</v>
      </c>
      <c r="Q138" s="130" t="s">
        <v>1</v>
      </c>
      <c r="R138" s="130" t="s">
        <v>1</v>
      </c>
      <c r="S138" s="130" t="s">
        <v>1</v>
      </c>
      <c r="T138" s="130" t="s">
        <v>1</v>
      </c>
      <c r="U138" s="130" t="s">
        <v>1</v>
      </c>
      <c r="V138" s="126" t="s">
        <v>1</v>
      </c>
      <c r="W138" s="126" t="s">
        <v>1</v>
      </c>
      <c r="X138" s="126" t="s">
        <v>1</v>
      </c>
      <c r="Y138" s="126" t="s">
        <v>1</v>
      </c>
      <c r="Z138" s="126" t="s">
        <v>1</v>
      </c>
      <c r="AA138" s="126" t="s">
        <v>1</v>
      </c>
      <c r="AB138" s="126" t="s">
        <v>1</v>
      </c>
      <c r="AC138" s="126" t="s">
        <v>1</v>
      </c>
      <c r="AD138" s="126" t="s">
        <v>1</v>
      </c>
      <c r="AE138" s="126" t="s">
        <v>1</v>
      </c>
      <c r="AF138" s="126" t="s">
        <v>1</v>
      </c>
      <c r="AG138" s="126" t="s">
        <v>1</v>
      </c>
      <c r="AH138" s="126" t="s">
        <v>1</v>
      </c>
      <c r="AI138" s="126" t="s">
        <v>1</v>
      </c>
      <c r="AJ138" s="126" t="s">
        <v>1</v>
      </c>
      <c r="AK138" s="126" t="s">
        <v>1</v>
      </c>
      <c r="AL138" s="126" t="s">
        <v>1</v>
      </c>
      <c r="AM138" s="126" t="s">
        <v>1</v>
      </c>
      <c r="AN138" s="126" t="s">
        <v>1</v>
      </c>
      <c r="AO138" s="126" t="s">
        <v>1</v>
      </c>
      <c r="AP138" s="126" t="s">
        <v>1</v>
      </c>
      <c r="AQ138" s="126" t="s">
        <v>1</v>
      </c>
      <c r="AR138" s="126" t="s">
        <v>1</v>
      </c>
      <c r="AS138" s="126" t="s">
        <v>1</v>
      </c>
      <c r="AT138" s="126" t="s">
        <v>1</v>
      </c>
      <c r="AU138" s="126" t="s">
        <v>1</v>
      </c>
      <c r="AV138" s="126" t="s">
        <v>1</v>
      </c>
      <c r="AW138" s="126" t="s">
        <v>1</v>
      </c>
      <c r="AX138" s="126" t="s">
        <v>1</v>
      </c>
      <c r="AY138" s="126" t="s">
        <v>1</v>
      </c>
      <c r="AZ138" s="126" t="s">
        <v>1</v>
      </c>
      <c r="BA138" s="126" t="s">
        <v>1</v>
      </c>
      <c r="BB138" s="126" t="s">
        <v>1</v>
      </c>
      <c r="BC138" s="126" t="s">
        <v>1</v>
      </c>
      <c r="BD138" s="126" t="s">
        <v>1</v>
      </c>
      <c r="BE138" s="126" t="s">
        <v>1</v>
      </c>
      <c r="BF138" s="126" t="s">
        <v>1</v>
      </c>
      <c r="BG138" s="137" t="s">
        <v>1</v>
      </c>
      <c r="BH138" s="137" t="s">
        <v>1</v>
      </c>
      <c r="BI138" s="137" t="s">
        <v>1</v>
      </c>
      <c r="BJ138" s="137" t="s">
        <v>1</v>
      </c>
      <c r="BK138" s="137" t="s">
        <v>1</v>
      </c>
      <c r="BL138" s="137" t="s">
        <v>1</v>
      </c>
      <c r="BM138" s="137" t="s">
        <v>1</v>
      </c>
      <c r="BN138" s="137" t="s">
        <v>1</v>
      </c>
      <c r="BO138" s="137" t="s">
        <v>1</v>
      </c>
      <c r="BP138" s="138" t="s">
        <v>1</v>
      </c>
      <c r="BQ138" s="138" t="s">
        <v>1</v>
      </c>
      <c r="BR138" s="138" t="s">
        <v>1</v>
      </c>
      <c r="BS138" s="138" t="s">
        <v>1</v>
      </c>
      <c r="BT138" s="138" t="s">
        <v>1</v>
      </c>
      <c r="BU138" s="138" t="s">
        <v>1</v>
      </c>
      <c r="BV138" s="138" t="s">
        <v>1</v>
      </c>
      <c r="BW138" s="138" t="s">
        <v>1</v>
      </c>
      <c r="BX138" s="138" t="s">
        <v>1</v>
      </c>
      <c r="BY138" s="138" t="s">
        <v>1</v>
      </c>
      <c r="BZ138" s="138" t="s">
        <v>1</v>
      </c>
      <c r="CA138" s="138" t="s">
        <v>1</v>
      </c>
      <c r="CB138" s="138" t="s">
        <v>1</v>
      </c>
      <c r="CC138" s="138" t="s">
        <v>1</v>
      </c>
      <c r="CD138" s="138" t="s">
        <v>1</v>
      </c>
      <c r="CE138" s="138" t="s">
        <v>1</v>
      </c>
    </row>
    <row r="139" ht="25" customHeight="1" spans="1:83">
      <c r="A139" s="107">
        <v>45242</v>
      </c>
      <c r="B139" s="1" t="s">
        <v>1</v>
      </c>
      <c r="C139" s="1" t="s">
        <v>1</v>
      </c>
      <c r="D139" s="1" t="s">
        <v>1</v>
      </c>
      <c r="E139" s="1" t="s">
        <v>1</v>
      </c>
      <c r="F139" s="1" t="s">
        <v>1</v>
      </c>
      <c r="G139" s="130" t="s">
        <v>1</v>
      </c>
      <c r="H139" s="130" t="s">
        <v>1</v>
      </c>
      <c r="I139" s="130" t="s">
        <v>1</v>
      </c>
      <c r="J139" s="130" t="s">
        <v>1</v>
      </c>
      <c r="K139" s="130" t="s">
        <v>1</v>
      </c>
      <c r="L139" s="30" t="s">
        <v>1</v>
      </c>
      <c r="M139" s="130" t="s">
        <v>1</v>
      </c>
      <c r="N139" s="130" t="s">
        <v>1</v>
      </c>
      <c r="O139" s="130" t="s">
        <v>1</v>
      </c>
      <c r="P139" s="130" t="s">
        <v>1</v>
      </c>
      <c r="Q139" s="130" t="s">
        <v>1</v>
      </c>
      <c r="R139" s="130" t="s">
        <v>1</v>
      </c>
      <c r="S139" s="130" t="s">
        <v>1</v>
      </c>
      <c r="T139" s="130" t="s">
        <v>1</v>
      </c>
      <c r="U139" s="130" t="s">
        <v>1</v>
      </c>
      <c r="V139" s="126" t="s">
        <v>1</v>
      </c>
      <c r="W139" s="126" t="s">
        <v>1</v>
      </c>
      <c r="X139" s="126" t="s">
        <v>1</v>
      </c>
      <c r="Y139" s="126" t="s">
        <v>1</v>
      </c>
      <c r="Z139" s="126" t="s">
        <v>1</v>
      </c>
      <c r="AA139" s="126" t="s">
        <v>1</v>
      </c>
      <c r="AB139" s="126" t="s">
        <v>1</v>
      </c>
      <c r="AC139" s="126" t="s">
        <v>1</v>
      </c>
      <c r="AD139" s="126" t="s">
        <v>1</v>
      </c>
      <c r="AE139" s="126" t="s">
        <v>1</v>
      </c>
      <c r="AF139" s="126" t="s">
        <v>1</v>
      </c>
      <c r="AG139" s="126" t="s">
        <v>1</v>
      </c>
      <c r="AH139" s="126" t="s">
        <v>1</v>
      </c>
      <c r="AI139" s="126" t="s">
        <v>1</v>
      </c>
      <c r="AJ139" s="126" t="s">
        <v>1</v>
      </c>
      <c r="AK139" s="126" t="s">
        <v>1</v>
      </c>
      <c r="AL139" s="126" t="s">
        <v>1</v>
      </c>
      <c r="AM139" s="126" t="s">
        <v>1</v>
      </c>
      <c r="AN139" s="126" t="s">
        <v>1</v>
      </c>
      <c r="AO139" s="126" t="s">
        <v>1</v>
      </c>
      <c r="AP139" s="126" t="s">
        <v>1</v>
      </c>
      <c r="AQ139" s="126" t="s">
        <v>1</v>
      </c>
      <c r="AR139" s="126" t="s">
        <v>1</v>
      </c>
      <c r="AS139" s="126" t="s">
        <v>1</v>
      </c>
      <c r="AT139" s="126" t="s">
        <v>1</v>
      </c>
      <c r="AU139" s="126" t="s">
        <v>1</v>
      </c>
      <c r="AV139" s="126" t="s">
        <v>1</v>
      </c>
      <c r="AW139" s="126" t="s">
        <v>1</v>
      </c>
      <c r="AX139" s="126" t="s">
        <v>1</v>
      </c>
      <c r="AY139" s="126" t="s">
        <v>1</v>
      </c>
      <c r="AZ139" s="126" t="s">
        <v>1</v>
      </c>
      <c r="BA139" s="126" t="s">
        <v>1</v>
      </c>
      <c r="BB139" s="126" t="s">
        <v>1</v>
      </c>
      <c r="BC139" s="126" t="s">
        <v>1</v>
      </c>
      <c r="BD139" s="126" t="s">
        <v>1</v>
      </c>
      <c r="BE139" s="126" t="s">
        <v>1</v>
      </c>
      <c r="BF139" s="126" t="s">
        <v>1</v>
      </c>
      <c r="BG139" s="137" t="s">
        <v>1</v>
      </c>
      <c r="BH139" s="137" t="s">
        <v>1</v>
      </c>
      <c r="BI139" s="137" t="s">
        <v>1</v>
      </c>
      <c r="BJ139" s="137" t="s">
        <v>1</v>
      </c>
      <c r="BK139" s="137" t="s">
        <v>1</v>
      </c>
      <c r="BL139" s="137" t="s">
        <v>1</v>
      </c>
      <c r="BM139" s="137" t="s">
        <v>1</v>
      </c>
      <c r="BN139" s="137" t="s">
        <v>1</v>
      </c>
      <c r="BO139" s="137" t="s">
        <v>1</v>
      </c>
      <c r="BP139" s="138" t="s">
        <v>1</v>
      </c>
      <c r="BQ139" s="138" t="s">
        <v>1</v>
      </c>
      <c r="BR139" s="138" t="s">
        <v>1</v>
      </c>
      <c r="BS139" s="138" t="s">
        <v>1</v>
      </c>
      <c r="BT139" s="138" t="s">
        <v>1</v>
      </c>
      <c r="BU139" s="138" t="s">
        <v>1</v>
      </c>
      <c r="BV139" s="138" t="s">
        <v>1</v>
      </c>
      <c r="BW139" s="138" t="s">
        <v>1</v>
      </c>
      <c r="BX139" s="138" t="s">
        <v>1</v>
      </c>
      <c r="BY139" s="138" t="s">
        <v>1</v>
      </c>
      <c r="BZ139" s="138" t="s">
        <v>1</v>
      </c>
      <c r="CA139" s="138" t="s">
        <v>1</v>
      </c>
      <c r="CB139" s="138" t="s">
        <v>1</v>
      </c>
      <c r="CC139" s="138" t="s">
        <v>1</v>
      </c>
      <c r="CD139" s="138" t="s">
        <v>1</v>
      </c>
      <c r="CE139" s="138" t="s">
        <v>1</v>
      </c>
    </row>
    <row r="140" ht="25" customHeight="1" spans="1:83">
      <c r="A140" s="107">
        <v>45243</v>
      </c>
      <c r="B140" s="1" t="s">
        <v>1</v>
      </c>
      <c r="C140" s="1" t="s">
        <v>1</v>
      </c>
      <c r="D140" s="1" t="s">
        <v>1</v>
      </c>
      <c r="E140" s="1" t="s">
        <v>1</v>
      </c>
      <c r="F140" s="1" t="s">
        <v>1</v>
      </c>
      <c r="G140" s="130" t="s">
        <v>1</v>
      </c>
      <c r="H140" s="130" t="s">
        <v>1</v>
      </c>
      <c r="I140" s="130" t="s">
        <v>1</v>
      </c>
      <c r="J140" s="130" t="s">
        <v>1</v>
      </c>
      <c r="K140" s="130" t="s">
        <v>1</v>
      </c>
      <c r="L140" s="30" t="s">
        <v>1</v>
      </c>
      <c r="M140" s="130" t="s">
        <v>1</v>
      </c>
      <c r="N140" s="130" t="s">
        <v>1</v>
      </c>
      <c r="O140" s="130" t="s">
        <v>1</v>
      </c>
      <c r="P140" s="130" t="s">
        <v>1</v>
      </c>
      <c r="Q140" s="130" t="s">
        <v>1</v>
      </c>
      <c r="R140" s="130" t="s">
        <v>1</v>
      </c>
      <c r="S140" s="130" t="s">
        <v>1</v>
      </c>
      <c r="T140" s="130" t="s">
        <v>1</v>
      </c>
      <c r="U140" s="130" t="s">
        <v>1</v>
      </c>
      <c r="V140" s="126" t="s">
        <v>1</v>
      </c>
      <c r="W140" s="126" t="s">
        <v>1</v>
      </c>
      <c r="X140" s="126" t="s">
        <v>1</v>
      </c>
      <c r="Y140" s="126" t="s">
        <v>1</v>
      </c>
      <c r="Z140" s="126" t="s">
        <v>1</v>
      </c>
      <c r="AA140" s="126" t="s">
        <v>1</v>
      </c>
      <c r="AB140" s="126" t="s">
        <v>1</v>
      </c>
      <c r="AC140" s="126" t="s">
        <v>1</v>
      </c>
      <c r="AD140" s="126" t="s">
        <v>1</v>
      </c>
      <c r="AE140" s="126" t="s">
        <v>1</v>
      </c>
      <c r="AF140" s="126" t="s">
        <v>1</v>
      </c>
      <c r="AG140" s="126" t="s">
        <v>1</v>
      </c>
      <c r="AH140" s="126" t="s">
        <v>1</v>
      </c>
      <c r="AI140" s="126" t="s">
        <v>1</v>
      </c>
      <c r="AJ140" s="126" t="s">
        <v>1</v>
      </c>
      <c r="AK140" s="126" t="s">
        <v>1</v>
      </c>
      <c r="AL140" s="126" t="s">
        <v>1</v>
      </c>
      <c r="AM140" s="126" t="s">
        <v>1</v>
      </c>
      <c r="AN140" s="126" t="s">
        <v>1</v>
      </c>
      <c r="AO140" s="126" t="s">
        <v>1</v>
      </c>
      <c r="AP140" s="126" t="s">
        <v>1</v>
      </c>
      <c r="AQ140" s="126" t="s">
        <v>1</v>
      </c>
      <c r="AR140" s="126" t="s">
        <v>1</v>
      </c>
      <c r="AS140" s="126" t="s">
        <v>1</v>
      </c>
      <c r="AT140" s="126" t="s">
        <v>1</v>
      </c>
      <c r="AU140" s="126" t="s">
        <v>1</v>
      </c>
      <c r="AV140" s="126" t="s">
        <v>1</v>
      </c>
      <c r="AW140" s="126" t="s">
        <v>1</v>
      </c>
      <c r="AX140" s="126" t="s">
        <v>1</v>
      </c>
      <c r="AY140" s="126" t="s">
        <v>1</v>
      </c>
      <c r="AZ140" s="126" t="s">
        <v>1</v>
      </c>
      <c r="BA140" s="126" t="s">
        <v>1</v>
      </c>
      <c r="BB140" s="126" t="s">
        <v>1</v>
      </c>
      <c r="BC140" s="126" t="s">
        <v>1</v>
      </c>
      <c r="BD140" s="126" t="s">
        <v>1</v>
      </c>
      <c r="BE140" s="126" t="s">
        <v>1</v>
      </c>
      <c r="BF140" s="126" t="s">
        <v>1</v>
      </c>
      <c r="BG140" s="137" t="s">
        <v>1</v>
      </c>
      <c r="BH140" s="137" t="s">
        <v>1</v>
      </c>
      <c r="BI140" s="137" t="s">
        <v>1</v>
      </c>
      <c r="BJ140" s="137" t="s">
        <v>1</v>
      </c>
      <c r="BK140" s="137" t="s">
        <v>1</v>
      </c>
      <c r="BL140" s="137" t="s">
        <v>1</v>
      </c>
      <c r="BM140" s="137" t="s">
        <v>1</v>
      </c>
      <c r="BN140" s="137" t="s">
        <v>1</v>
      </c>
      <c r="BO140" s="137" t="s">
        <v>1</v>
      </c>
      <c r="BP140" s="138" t="s">
        <v>1</v>
      </c>
      <c r="BQ140" s="138" t="s">
        <v>1</v>
      </c>
      <c r="BR140" s="138" t="s">
        <v>1</v>
      </c>
      <c r="BS140" s="138" t="s">
        <v>1</v>
      </c>
      <c r="BT140" s="138" t="s">
        <v>1</v>
      </c>
      <c r="BU140" s="138" t="s">
        <v>1</v>
      </c>
      <c r="BV140" s="138" t="s">
        <v>1</v>
      </c>
      <c r="BW140" s="138" t="s">
        <v>1</v>
      </c>
      <c r="BX140" s="138" t="s">
        <v>1</v>
      </c>
      <c r="BY140" s="138" t="s">
        <v>1</v>
      </c>
      <c r="BZ140" s="138" t="s">
        <v>1</v>
      </c>
      <c r="CA140" s="138" t="s">
        <v>1</v>
      </c>
      <c r="CB140" s="138" t="s">
        <v>1</v>
      </c>
      <c r="CC140" s="138" t="s">
        <v>1</v>
      </c>
      <c r="CD140" s="138" t="s">
        <v>1</v>
      </c>
      <c r="CE140" s="138" t="s">
        <v>1</v>
      </c>
    </row>
    <row r="141" ht="25" customHeight="1" spans="1:83">
      <c r="A141" s="107">
        <v>45244</v>
      </c>
      <c r="B141" s="1" t="s">
        <v>1</v>
      </c>
      <c r="C141" s="1" t="s">
        <v>1</v>
      </c>
      <c r="D141" s="1" t="s">
        <v>1</v>
      </c>
      <c r="E141" s="1" t="s">
        <v>1</v>
      </c>
      <c r="F141" s="1" t="s">
        <v>1</v>
      </c>
      <c r="G141" s="130" t="s">
        <v>1</v>
      </c>
      <c r="H141" s="130" t="s">
        <v>1</v>
      </c>
      <c r="I141" s="130" t="s">
        <v>1</v>
      </c>
      <c r="J141" s="130" t="s">
        <v>1</v>
      </c>
      <c r="K141" s="130" t="s">
        <v>1</v>
      </c>
      <c r="L141" s="30" t="s">
        <v>1</v>
      </c>
      <c r="M141" s="130" t="s">
        <v>1</v>
      </c>
      <c r="N141" s="130" t="s">
        <v>1</v>
      </c>
      <c r="O141" s="130" t="s">
        <v>1</v>
      </c>
      <c r="P141" s="130" t="s">
        <v>1</v>
      </c>
      <c r="Q141" s="130" t="s">
        <v>1</v>
      </c>
      <c r="R141" s="130" t="s">
        <v>1</v>
      </c>
      <c r="S141" s="130" t="s">
        <v>1</v>
      </c>
      <c r="T141" s="130" t="s">
        <v>1</v>
      </c>
      <c r="U141" s="130" t="s">
        <v>1</v>
      </c>
      <c r="V141" s="126" t="s">
        <v>1</v>
      </c>
      <c r="W141" s="126" t="s">
        <v>1</v>
      </c>
      <c r="X141" s="126" t="s">
        <v>1</v>
      </c>
      <c r="Y141" s="126" t="s">
        <v>1</v>
      </c>
      <c r="Z141" s="126" t="s">
        <v>1</v>
      </c>
      <c r="AA141" s="126" t="s">
        <v>1</v>
      </c>
      <c r="AB141" s="126" t="s">
        <v>1</v>
      </c>
      <c r="AC141" s="126" t="s">
        <v>1</v>
      </c>
      <c r="AD141" s="126" t="s">
        <v>1</v>
      </c>
      <c r="AE141" s="126" t="s">
        <v>1</v>
      </c>
      <c r="AF141" s="126" t="s">
        <v>1</v>
      </c>
      <c r="AG141" s="126" t="s">
        <v>1</v>
      </c>
      <c r="AH141" s="126" t="s">
        <v>1</v>
      </c>
      <c r="AI141" s="126" t="s">
        <v>1</v>
      </c>
      <c r="AJ141" s="126" t="s">
        <v>1</v>
      </c>
      <c r="AK141" s="126" t="s">
        <v>1</v>
      </c>
      <c r="AL141" s="126" t="s">
        <v>1</v>
      </c>
      <c r="AM141" s="126" t="s">
        <v>1</v>
      </c>
      <c r="AN141" s="126" t="s">
        <v>1</v>
      </c>
      <c r="AO141" s="126" t="s">
        <v>1</v>
      </c>
      <c r="AP141" s="126" t="s">
        <v>1</v>
      </c>
      <c r="AQ141" s="126" t="s">
        <v>1</v>
      </c>
      <c r="AR141" s="126" t="s">
        <v>1</v>
      </c>
      <c r="AS141" s="126" t="s">
        <v>1</v>
      </c>
      <c r="AT141" s="126" t="s">
        <v>1</v>
      </c>
      <c r="AU141" s="126" t="s">
        <v>1</v>
      </c>
      <c r="AV141" s="126" t="s">
        <v>1</v>
      </c>
      <c r="AW141" s="126" t="s">
        <v>1</v>
      </c>
      <c r="AX141" s="126" t="s">
        <v>1</v>
      </c>
      <c r="AY141" s="126" t="s">
        <v>1</v>
      </c>
      <c r="AZ141" s="126" t="s">
        <v>1</v>
      </c>
      <c r="BA141" s="126" t="s">
        <v>1</v>
      </c>
      <c r="BB141" s="126" t="s">
        <v>1</v>
      </c>
      <c r="BC141" s="126" t="s">
        <v>1</v>
      </c>
      <c r="BD141" s="126" t="s">
        <v>1</v>
      </c>
      <c r="BE141" s="126" t="s">
        <v>1</v>
      </c>
      <c r="BF141" s="126" t="s">
        <v>1</v>
      </c>
      <c r="BG141" s="137" t="s">
        <v>1</v>
      </c>
      <c r="BH141" s="137" t="s">
        <v>1</v>
      </c>
      <c r="BI141" s="137" t="s">
        <v>1</v>
      </c>
      <c r="BJ141" s="137" t="s">
        <v>1</v>
      </c>
      <c r="BK141" s="137" t="s">
        <v>1</v>
      </c>
      <c r="BL141" s="137" t="s">
        <v>1</v>
      </c>
      <c r="BM141" s="137" t="s">
        <v>1</v>
      </c>
      <c r="BN141" s="137" t="s">
        <v>1</v>
      </c>
      <c r="BO141" s="137" t="s">
        <v>1</v>
      </c>
      <c r="BP141" s="138" t="s">
        <v>1</v>
      </c>
      <c r="BQ141" s="138" t="s">
        <v>1</v>
      </c>
      <c r="BR141" s="138" t="s">
        <v>1</v>
      </c>
      <c r="BS141" s="138" t="s">
        <v>1</v>
      </c>
      <c r="BT141" s="138" t="s">
        <v>1</v>
      </c>
      <c r="BU141" s="138" t="s">
        <v>1</v>
      </c>
      <c r="BV141" s="138" t="s">
        <v>1</v>
      </c>
      <c r="BW141" s="138" t="s">
        <v>1</v>
      </c>
      <c r="BX141" s="138" t="s">
        <v>1</v>
      </c>
      <c r="BY141" s="138" t="s">
        <v>1</v>
      </c>
      <c r="BZ141" s="138" t="s">
        <v>1</v>
      </c>
      <c r="CA141" s="138" t="s">
        <v>1</v>
      </c>
      <c r="CB141" s="138" t="s">
        <v>1</v>
      </c>
      <c r="CC141" s="138" t="s">
        <v>1</v>
      </c>
      <c r="CD141" s="138" t="s">
        <v>1</v>
      </c>
      <c r="CE141" s="138" t="s">
        <v>1</v>
      </c>
    </row>
    <row r="142" ht="25" customHeight="1" spans="1:83">
      <c r="A142" s="107">
        <v>45245</v>
      </c>
      <c r="B142" s="1" t="s">
        <v>1</v>
      </c>
      <c r="C142" s="1" t="s">
        <v>1</v>
      </c>
      <c r="D142" s="1" t="s">
        <v>1</v>
      </c>
      <c r="E142" s="1" t="s">
        <v>1</v>
      </c>
      <c r="F142" s="1" t="s">
        <v>1</v>
      </c>
      <c r="G142" s="130" t="s">
        <v>1</v>
      </c>
      <c r="H142" s="130" t="s">
        <v>1</v>
      </c>
      <c r="I142" s="130" t="s">
        <v>1</v>
      </c>
      <c r="J142" s="130" t="s">
        <v>1</v>
      </c>
      <c r="K142" s="130" t="s">
        <v>1</v>
      </c>
      <c r="L142" s="30" t="s">
        <v>1</v>
      </c>
      <c r="M142" s="130" t="s">
        <v>1</v>
      </c>
      <c r="N142" s="130" t="s">
        <v>1</v>
      </c>
      <c r="O142" s="130" t="s">
        <v>1</v>
      </c>
      <c r="P142" s="130" t="s">
        <v>1</v>
      </c>
      <c r="Q142" s="130" t="s">
        <v>1</v>
      </c>
      <c r="R142" s="130" t="s">
        <v>1</v>
      </c>
      <c r="S142" s="130" t="s">
        <v>1</v>
      </c>
      <c r="T142" s="130" t="s">
        <v>1</v>
      </c>
      <c r="U142" s="130" t="s">
        <v>1</v>
      </c>
      <c r="V142" s="126" t="s">
        <v>1</v>
      </c>
      <c r="W142" s="126" t="s">
        <v>1</v>
      </c>
      <c r="X142" s="126" t="s">
        <v>1</v>
      </c>
      <c r="Y142" s="126" t="s">
        <v>1</v>
      </c>
      <c r="Z142" s="126" t="s">
        <v>1</v>
      </c>
      <c r="AA142" s="126" t="s">
        <v>1</v>
      </c>
      <c r="AB142" s="126" t="s">
        <v>1</v>
      </c>
      <c r="AC142" s="126" t="s">
        <v>1</v>
      </c>
      <c r="AD142" s="126" t="s">
        <v>1</v>
      </c>
      <c r="AE142" s="126" t="s">
        <v>1</v>
      </c>
      <c r="AF142" s="126" t="s">
        <v>1</v>
      </c>
      <c r="AG142" s="126" t="s">
        <v>1</v>
      </c>
      <c r="AH142" s="126" t="s">
        <v>1</v>
      </c>
      <c r="AI142" s="126" t="s">
        <v>1</v>
      </c>
      <c r="AJ142" s="126" t="s">
        <v>1</v>
      </c>
      <c r="AK142" s="126" t="s">
        <v>1</v>
      </c>
      <c r="AL142" s="126" t="s">
        <v>1</v>
      </c>
      <c r="AM142" s="126" t="s">
        <v>1</v>
      </c>
      <c r="AN142" s="126" t="s">
        <v>1</v>
      </c>
      <c r="AO142" s="126" t="s">
        <v>1</v>
      </c>
      <c r="AP142" s="126" t="s">
        <v>1</v>
      </c>
      <c r="AQ142" s="126" t="s">
        <v>1</v>
      </c>
      <c r="AR142" s="126" t="s">
        <v>1</v>
      </c>
      <c r="AS142" s="126" t="s">
        <v>1</v>
      </c>
      <c r="AT142" s="126" t="s">
        <v>1</v>
      </c>
      <c r="AU142" s="126" t="s">
        <v>1</v>
      </c>
      <c r="AV142" s="126" t="s">
        <v>1</v>
      </c>
      <c r="AW142" s="126" t="s">
        <v>1</v>
      </c>
      <c r="AX142" s="126" t="s">
        <v>1</v>
      </c>
      <c r="AY142" s="126" t="s">
        <v>1</v>
      </c>
      <c r="AZ142" s="126" t="s">
        <v>1</v>
      </c>
      <c r="BA142" s="126" t="s">
        <v>1</v>
      </c>
      <c r="BB142" s="126" t="s">
        <v>1</v>
      </c>
      <c r="BC142" s="126" t="s">
        <v>1</v>
      </c>
      <c r="BD142" s="126" t="s">
        <v>1</v>
      </c>
      <c r="BE142" s="126" t="s">
        <v>1</v>
      </c>
      <c r="BF142" s="126" t="s">
        <v>1</v>
      </c>
      <c r="BG142" s="137" t="s">
        <v>1</v>
      </c>
      <c r="BH142" s="137" t="s">
        <v>1</v>
      </c>
      <c r="BI142" s="137" t="s">
        <v>1</v>
      </c>
      <c r="BJ142" s="137" t="s">
        <v>1</v>
      </c>
      <c r="BK142" s="137" t="s">
        <v>1</v>
      </c>
      <c r="BL142" s="137" t="s">
        <v>1</v>
      </c>
      <c r="BM142" s="137" t="s">
        <v>1</v>
      </c>
      <c r="BN142" s="137" t="s">
        <v>1</v>
      </c>
      <c r="BO142" s="137" t="s">
        <v>1</v>
      </c>
      <c r="BP142" s="138" t="s">
        <v>1</v>
      </c>
      <c r="BQ142" s="138" t="s">
        <v>1</v>
      </c>
      <c r="BR142" s="138" t="s">
        <v>1</v>
      </c>
      <c r="BS142" s="138" t="s">
        <v>1</v>
      </c>
      <c r="BT142" s="138" t="s">
        <v>1</v>
      </c>
      <c r="BU142" s="138" t="s">
        <v>1</v>
      </c>
      <c r="BV142" s="138" t="s">
        <v>1</v>
      </c>
      <c r="BW142" s="138" t="s">
        <v>1</v>
      </c>
      <c r="BX142" s="138" t="s">
        <v>1</v>
      </c>
      <c r="BY142" s="138" t="s">
        <v>1</v>
      </c>
      <c r="BZ142" s="138" t="s">
        <v>1</v>
      </c>
      <c r="CA142" s="138" t="s">
        <v>1</v>
      </c>
      <c r="CB142" s="138" t="s">
        <v>1</v>
      </c>
      <c r="CC142" s="138" t="s">
        <v>1</v>
      </c>
      <c r="CD142" s="138" t="s">
        <v>1</v>
      </c>
      <c r="CE142" s="138" t="s">
        <v>1</v>
      </c>
    </row>
    <row r="143" ht="25" customHeight="1" spans="1:83">
      <c r="A143" s="107">
        <v>45246</v>
      </c>
      <c r="B143" s="1" t="s">
        <v>1</v>
      </c>
      <c r="C143" s="1" t="s">
        <v>1</v>
      </c>
      <c r="D143" s="1" t="s">
        <v>1</v>
      </c>
      <c r="E143" s="1" t="s">
        <v>1</v>
      </c>
      <c r="F143" s="1" t="s">
        <v>1</v>
      </c>
      <c r="G143" s="130" t="s">
        <v>1</v>
      </c>
      <c r="H143" s="130" t="s">
        <v>1</v>
      </c>
      <c r="I143" s="130" t="s">
        <v>1</v>
      </c>
      <c r="J143" s="130" t="s">
        <v>1</v>
      </c>
      <c r="K143" s="130" t="s">
        <v>1</v>
      </c>
      <c r="L143" s="30" t="s">
        <v>1</v>
      </c>
      <c r="M143" s="130" t="s">
        <v>1</v>
      </c>
      <c r="N143" s="130" t="s">
        <v>1</v>
      </c>
      <c r="O143" s="130" t="s">
        <v>1</v>
      </c>
      <c r="P143" s="130" t="s">
        <v>1</v>
      </c>
      <c r="Q143" s="130" t="s">
        <v>1</v>
      </c>
      <c r="R143" s="130" t="s">
        <v>1</v>
      </c>
      <c r="S143" s="130" t="s">
        <v>1</v>
      </c>
      <c r="T143" s="130" t="s">
        <v>1</v>
      </c>
      <c r="U143" s="130" t="s">
        <v>1</v>
      </c>
      <c r="V143" s="126" t="s">
        <v>1</v>
      </c>
      <c r="W143" s="126" t="s">
        <v>1</v>
      </c>
      <c r="X143" s="126" t="s">
        <v>1</v>
      </c>
      <c r="Y143" s="126" t="s">
        <v>1</v>
      </c>
      <c r="Z143" s="126" t="s">
        <v>1</v>
      </c>
      <c r="AA143" s="126" t="s">
        <v>1</v>
      </c>
      <c r="AB143" s="126" t="s">
        <v>1</v>
      </c>
      <c r="AC143" s="126" t="s">
        <v>1</v>
      </c>
      <c r="AD143" s="126" t="s">
        <v>1</v>
      </c>
      <c r="AE143" s="126" t="s">
        <v>1</v>
      </c>
      <c r="AF143" s="126" t="s">
        <v>1</v>
      </c>
      <c r="AG143" s="126" t="s">
        <v>1</v>
      </c>
      <c r="AH143" s="126" t="s">
        <v>1</v>
      </c>
      <c r="AI143" s="126" t="s">
        <v>1</v>
      </c>
      <c r="AJ143" s="126" t="s">
        <v>1</v>
      </c>
      <c r="AK143" s="126" t="s">
        <v>1</v>
      </c>
      <c r="AL143" s="126" t="s">
        <v>1</v>
      </c>
      <c r="AM143" s="126" t="s">
        <v>1</v>
      </c>
      <c r="AN143" s="126" t="s">
        <v>1</v>
      </c>
      <c r="AO143" s="126" t="s">
        <v>1</v>
      </c>
      <c r="AP143" s="126" t="s">
        <v>1</v>
      </c>
      <c r="AQ143" s="126" t="s">
        <v>1</v>
      </c>
      <c r="AR143" s="126" t="s">
        <v>1</v>
      </c>
      <c r="AS143" s="126" t="s">
        <v>1</v>
      </c>
      <c r="AT143" s="126" t="s">
        <v>1</v>
      </c>
      <c r="AU143" s="126" t="s">
        <v>1</v>
      </c>
      <c r="AV143" s="126" t="s">
        <v>1</v>
      </c>
      <c r="AW143" s="126" t="s">
        <v>1</v>
      </c>
      <c r="AX143" s="126" t="s">
        <v>1</v>
      </c>
      <c r="AY143" s="126" t="s">
        <v>1</v>
      </c>
      <c r="AZ143" s="126" t="s">
        <v>1</v>
      </c>
      <c r="BA143" s="126" t="s">
        <v>1</v>
      </c>
      <c r="BB143" s="126" t="s">
        <v>1</v>
      </c>
      <c r="BC143" s="126" t="s">
        <v>1</v>
      </c>
      <c r="BD143" s="126" t="s">
        <v>1</v>
      </c>
      <c r="BE143" s="126" t="s">
        <v>1</v>
      </c>
      <c r="BF143" s="126" t="s">
        <v>1</v>
      </c>
      <c r="BG143" s="137" t="s">
        <v>1</v>
      </c>
      <c r="BH143" s="137" t="s">
        <v>1</v>
      </c>
      <c r="BI143" s="137" t="s">
        <v>1</v>
      </c>
      <c r="BJ143" s="137" t="s">
        <v>1</v>
      </c>
      <c r="BK143" s="137" t="s">
        <v>1</v>
      </c>
      <c r="BL143" s="137" t="s">
        <v>1</v>
      </c>
      <c r="BM143" s="137" t="s">
        <v>1</v>
      </c>
      <c r="BN143" s="137" t="s">
        <v>1</v>
      </c>
      <c r="BO143" s="137" t="s">
        <v>1</v>
      </c>
      <c r="BP143" s="138" t="s">
        <v>1</v>
      </c>
      <c r="BQ143" s="138" t="s">
        <v>1</v>
      </c>
      <c r="BR143" s="138" t="s">
        <v>1</v>
      </c>
      <c r="BS143" s="138" t="s">
        <v>1</v>
      </c>
      <c r="BT143" s="138" t="s">
        <v>1</v>
      </c>
      <c r="BU143" s="138" t="s">
        <v>1</v>
      </c>
      <c r="BV143" s="138" t="s">
        <v>1</v>
      </c>
      <c r="BW143" s="138" t="s">
        <v>1</v>
      </c>
      <c r="BX143" s="138" t="s">
        <v>1</v>
      </c>
      <c r="BY143" s="138" t="s">
        <v>1</v>
      </c>
      <c r="BZ143" s="138" t="s">
        <v>1</v>
      </c>
      <c r="CA143" s="138" t="s">
        <v>1</v>
      </c>
      <c r="CB143" s="138" t="s">
        <v>1</v>
      </c>
      <c r="CC143" s="138" t="s">
        <v>1</v>
      </c>
      <c r="CD143" s="138" t="s">
        <v>1</v>
      </c>
      <c r="CE143" s="138" t="s">
        <v>1</v>
      </c>
    </row>
    <row r="144" ht="25" customHeight="1" spans="1:83">
      <c r="A144" s="107">
        <v>45247</v>
      </c>
      <c r="B144" s="1" t="s">
        <v>1</v>
      </c>
      <c r="C144" s="1" t="s">
        <v>1</v>
      </c>
      <c r="D144" s="1" t="s">
        <v>1</v>
      </c>
      <c r="E144" s="1" t="s">
        <v>1</v>
      </c>
      <c r="F144" s="1" t="s">
        <v>1</v>
      </c>
      <c r="G144" s="130" t="s">
        <v>1</v>
      </c>
      <c r="H144" s="130" t="s">
        <v>1</v>
      </c>
      <c r="I144" s="130" t="s">
        <v>1</v>
      </c>
      <c r="J144" s="130" t="s">
        <v>1</v>
      </c>
      <c r="K144" s="130" t="s">
        <v>1</v>
      </c>
      <c r="L144" s="30" t="s">
        <v>1</v>
      </c>
      <c r="M144" s="130" t="s">
        <v>1</v>
      </c>
      <c r="N144" s="130" t="s">
        <v>1</v>
      </c>
      <c r="O144" s="130" t="s">
        <v>1</v>
      </c>
      <c r="P144" s="130" t="s">
        <v>1</v>
      </c>
      <c r="Q144" s="130" t="s">
        <v>1</v>
      </c>
      <c r="R144" s="130" t="s">
        <v>1</v>
      </c>
      <c r="S144" s="130" t="s">
        <v>1</v>
      </c>
      <c r="T144" s="130" t="s">
        <v>1</v>
      </c>
      <c r="U144" s="130" t="s">
        <v>1</v>
      </c>
      <c r="V144" s="126" t="s">
        <v>1</v>
      </c>
      <c r="W144" s="126" t="s">
        <v>1</v>
      </c>
      <c r="X144" s="126" t="s">
        <v>1</v>
      </c>
      <c r="Y144" s="126" t="s">
        <v>1</v>
      </c>
      <c r="Z144" s="126" t="s">
        <v>1</v>
      </c>
      <c r="AA144" s="126" t="s">
        <v>1</v>
      </c>
      <c r="AB144" s="126" t="s">
        <v>1</v>
      </c>
      <c r="AC144" s="126" t="s">
        <v>1</v>
      </c>
      <c r="AD144" s="126" t="s">
        <v>1</v>
      </c>
      <c r="AE144" s="126" t="s">
        <v>1</v>
      </c>
      <c r="AF144" s="126" t="s">
        <v>1</v>
      </c>
      <c r="AG144" s="126" t="s">
        <v>1</v>
      </c>
      <c r="AH144" s="126" t="s">
        <v>1</v>
      </c>
      <c r="AI144" s="126" t="s">
        <v>1</v>
      </c>
      <c r="AJ144" s="126" t="s">
        <v>1</v>
      </c>
      <c r="AK144" s="126" t="s">
        <v>1</v>
      </c>
      <c r="AL144" s="126" t="s">
        <v>1</v>
      </c>
      <c r="AM144" s="126" t="s">
        <v>1</v>
      </c>
      <c r="AN144" s="126" t="s">
        <v>1</v>
      </c>
      <c r="AO144" s="126" t="s">
        <v>1</v>
      </c>
      <c r="AP144" s="126" t="s">
        <v>1</v>
      </c>
      <c r="AQ144" s="126" t="s">
        <v>1</v>
      </c>
      <c r="AR144" s="126" t="s">
        <v>1</v>
      </c>
      <c r="AS144" s="126" t="s">
        <v>1</v>
      </c>
      <c r="AT144" s="126" t="s">
        <v>1</v>
      </c>
      <c r="AU144" s="126" t="s">
        <v>1</v>
      </c>
      <c r="AV144" s="126" t="s">
        <v>1</v>
      </c>
      <c r="AW144" s="126" t="s">
        <v>1</v>
      </c>
      <c r="AX144" s="126" t="s">
        <v>1</v>
      </c>
      <c r="AY144" s="126" t="s">
        <v>1</v>
      </c>
      <c r="AZ144" s="126" t="s">
        <v>1</v>
      </c>
      <c r="BA144" s="126" t="s">
        <v>1</v>
      </c>
      <c r="BB144" s="126" t="s">
        <v>1</v>
      </c>
      <c r="BC144" s="126" t="s">
        <v>1</v>
      </c>
      <c r="BD144" s="126" t="s">
        <v>1</v>
      </c>
      <c r="BE144" s="126" t="s">
        <v>1</v>
      </c>
      <c r="BF144" s="126" t="s">
        <v>1</v>
      </c>
      <c r="BG144" s="137" t="s">
        <v>1</v>
      </c>
      <c r="BH144" s="137" t="s">
        <v>1</v>
      </c>
      <c r="BI144" s="137" t="s">
        <v>1</v>
      </c>
      <c r="BJ144" s="137" t="s">
        <v>1</v>
      </c>
      <c r="BK144" s="137" t="s">
        <v>1</v>
      </c>
      <c r="BL144" s="137" t="s">
        <v>1</v>
      </c>
      <c r="BM144" s="137" t="s">
        <v>1</v>
      </c>
      <c r="BN144" s="137" t="s">
        <v>1</v>
      </c>
      <c r="BO144" s="137" t="s">
        <v>1</v>
      </c>
      <c r="BP144" s="138" t="s">
        <v>1</v>
      </c>
      <c r="BQ144" s="138" t="s">
        <v>1</v>
      </c>
      <c r="BR144" s="138" t="s">
        <v>1</v>
      </c>
      <c r="BS144" s="138" t="s">
        <v>1</v>
      </c>
      <c r="BT144" s="138" t="s">
        <v>1</v>
      </c>
      <c r="BU144" s="138" t="s">
        <v>1</v>
      </c>
      <c r="BV144" s="138" t="s">
        <v>1</v>
      </c>
      <c r="BW144" s="138" t="s">
        <v>1</v>
      </c>
      <c r="BX144" s="138" t="s">
        <v>1</v>
      </c>
      <c r="BY144" s="138" t="s">
        <v>1</v>
      </c>
      <c r="BZ144" s="138" t="s">
        <v>1</v>
      </c>
      <c r="CA144" s="138" t="s">
        <v>1</v>
      </c>
      <c r="CB144" s="138" t="s">
        <v>1</v>
      </c>
      <c r="CC144" s="138" t="s">
        <v>1</v>
      </c>
      <c r="CD144" s="138" t="s">
        <v>1</v>
      </c>
      <c r="CE144" s="138" t="s">
        <v>1</v>
      </c>
    </row>
    <row r="145" ht="25" customHeight="1" spans="1:83">
      <c r="A145" s="107">
        <v>45248</v>
      </c>
      <c r="B145" s="1" t="s">
        <v>1</v>
      </c>
      <c r="C145" s="1" t="s">
        <v>1</v>
      </c>
      <c r="D145" s="1" t="s">
        <v>1</v>
      </c>
      <c r="E145" s="1" t="s">
        <v>1</v>
      </c>
      <c r="F145" s="1" t="s">
        <v>1</v>
      </c>
      <c r="G145" s="130" t="s">
        <v>1</v>
      </c>
      <c r="H145" s="130" t="s">
        <v>1</v>
      </c>
      <c r="I145" s="130" t="s">
        <v>1</v>
      </c>
      <c r="J145" s="130" t="s">
        <v>1</v>
      </c>
      <c r="K145" s="130" t="s">
        <v>1</v>
      </c>
      <c r="L145" s="30" t="s">
        <v>1</v>
      </c>
      <c r="M145" s="130" t="s">
        <v>1</v>
      </c>
      <c r="N145" s="130" t="s">
        <v>1</v>
      </c>
      <c r="O145" s="130" t="s">
        <v>1</v>
      </c>
      <c r="P145" s="130" t="s">
        <v>1</v>
      </c>
      <c r="Q145" s="130" t="s">
        <v>1</v>
      </c>
      <c r="R145" s="130" t="s">
        <v>1</v>
      </c>
      <c r="S145" s="130" t="s">
        <v>1</v>
      </c>
      <c r="T145" s="130" t="s">
        <v>1</v>
      </c>
      <c r="U145" s="130" t="s">
        <v>1</v>
      </c>
      <c r="V145" s="126" t="s">
        <v>1</v>
      </c>
      <c r="W145" s="126" t="s">
        <v>1</v>
      </c>
      <c r="X145" s="126" t="s">
        <v>1</v>
      </c>
      <c r="Y145" s="126" t="s">
        <v>1</v>
      </c>
      <c r="Z145" s="126" t="s">
        <v>1</v>
      </c>
      <c r="AA145" s="126" t="s">
        <v>1</v>
      </c>
      <c r="AB145" s="126" t="s">
        <v>1</v>
      </c>
      <c r="AC145" s="126" t="s">
        <v>1</v>
      </c>
      <c r="AD145" s="126" t="s">
        <v>1</v>
      </c>
      <c r="AE145" s="126" t="s">
        <v>1</v>
      </c>
      <c r="AF145" s="126" t="s">
        <v>1</v>
      </c>
      <c r="AG145" s="126" t="s">
        <v>1</v>
      </c>
      <c r="AH145" s="126" t="s">
        <v>1</v>
      </c>
      <c r="AI145" s="126" t="s">
        <v>1</v>
      </c>
      <c r="AJ145" s="126" t="s">
        <v>1</v>
      </c>
      <c r="AK145" s="126" t="s">
        <v>1</v>
      </c>
      <c r="AL145" s="126" t="s">
        <v>1</v>
      </c>
      <c r="AM145" s="126" t="s">
        <v>1</v>
      </c>
      <c r="AN145" s="126" t="s">
        <v>1</v>
      </c>
      <c r="AO145" s="126" t="s">
        <v>1</v>
      </c>
      <c r="AP145" s="126" t="s">
        <v>1</v>
      </c>
      <c r="AQ145" s="126" t="s">
        <v>1</v>
      </c>
      <c r="AR145" s="126" t="s">
        <v>1</v>
      </c>
      <c r="AS145" s="126" t="s">
        <v>1</v>
      </c>
      <c r="AT145" s="126" t="s">
        <v>1</v>
      </c>
      <c r="AU145" s="126" t="s">
        <v>1</v>
      </c>
      <c r="AV145" s="126" t="s">
        <v>1</v>
      </c>
      <c r="AW145" s="126" t="s">
        <v>1</v>
      </c>
      <c r="AX145" s="126" t="s">
        <v>1</v>
      </c>
      <c r="AY145" s="126" t="s">
        <v>1</v>
      </c>
      <c r="AZ145" s="126" t="s">
        <v>1</v>
      </c>
      <c r="BA145" s="126" t="s">
        <v>1</v>
      </c>
      <c r="BB145" s="126" t="s">
        <v>1</v>
      </c>
      <c r="BC145" s="126" t="s">
        <v>1</v>
      </c>
      <c r="BD145" s="126" t="s">
        <v>1</v>
      </c>
      <c r="BE145" s="126" t="s">
        <v>1</v>
      </c>
      <c r="BF145" s="126" t="s">
        <v>1</v>
      </c>
      <c r="BG145" s="137" t="s">
        <v>1</v>
      </c>
      <c r="BH145" s="137" t="s">
        <v>1</v>
      </c>
      <c r="BI145" s="137" t="s">
        <v>1</v>
      </c>
      <c r="BJ145" s="137" t="s">
        <v>1</v>
      </c>
      <c r="BK145" s="137" t="s">
        <v>1</v>
      </c>
      <c r="BL145" s="137" t="s">
        <v>1</v>
      </c>
      <c r="BM145" s="137" t="s">
        <v>1</v>
      </c>
      <c r="BN145" s="137" t="s">
        <v>1</v>
      </c>
      <c r="BO145" s="137" t="s">
        <v>1</v>
      </c>
      <c r="BP145" s="138" t="s">
        <v>1</v>
      </c>
      <c r="BQ145" s="138" t="s">
        <v>1</v>
      </c>
      <c r="BR145" s="138" t="s">
        <v>1</v>
      </c>
      <c r="BS145" s="138" t="s">
        <v>1</v>
      </c>
      <c r="BT145" s="138" t="s">
        <v>1</v>
      </c>
      <c r="BU145" s="138" t="s">
        <v>1</v>
      </c>
      <c r="BV145" s="138" t="s">
        <v>1</v>
      </c>
      <c r="BW145" s="138" t="s">
        <v>1</v>
      </c>
      <c r="BX145" s="138" t="s">
        <v>1</v>
      </c>
      <c r="BY145" s="138" t="s">
        <v>1</v>
      </c>
      <c r="BZ145" s="138" t="s">
        <v>1</v>
      </c>
      <c r="CA145" s="138" t="s">
        <v>1</v>
      </c>
      <c r="CB145" s="138" t="s">
        <v>1</v>
      </c>
      <c r="CC145" s="138" t="s">
        <v>1</v>
      </c>
      <c r="CD145" s="138" t="s">
        <v>1</v>
      </c>
      <c r="CE145" s="138" t="s">
        <v>1</v>
      </c>
    </row>
    <row r="146" ht="25" customHeight="1" spans="1:83">
      <c r="A146" s="107">
        <v>45249</v>
      </c>
      <c r="B146" s="1" t="s">
        <v>1</v>
      </c>
      <c r="C146" s="1" t="s">
        <v>1</v>
      </c>
      <c r="D146" s="1" t="s">
        <v>1</v>
      </c>
      <c r="E146" s="1" t="s">
        <v>1</v>
      </c>
      <c r="F146" s="1" t="s">
        <v>1</v>
      </c>
      <c r="G146" s="130" t="s">
        <v>1</v>
      </c>
      <c r="H146" s="130" t="s">
        <v>1</v>
      </c>
      <c r="I146" s="130" t="s">
        <v>1</v>
      </c>
      <c r="J146" s="130" t="s">
        <v>1</v>
      </c>
      <c r="K146" s="130" t="s">
        <v>1</v>
      </c>
      <c r="L146" s="30" t="s">
        <v>1</v>
      </c>
      <c r="M146" s="130" t="s">
        <v>1</v>
      </c>
      <c r="N146" s="130" t="s">
        <v>1</v>
      </c>
      <c r="O146" s="130" t="s">
        <v>1</v>
      </c>
      <c r="P146" s="130" t="s">
        <v>1</v>
      </c>
      <c r="Q146" s="130" t="s">
        <v>1</v>
      </c>
      <c r="R146" s="130" t="s">
        <v>1</v>
      </c>
      <c r="S146" s="130" t="s">
        <v>1</v>
      </c>
      <c r="T146" s="130" t="s">
        <v>1</v>
      </c>
      <c r="U146" s="130" t="s">
        <v>1</v>
      </c>
      <c r="V146" s="126" t="s">
        <v>1</v>
      </c>
      <c r="W146" s="126" t="s">
        <v>1</v>
      </c>
      <c r="X146" s="126" t="s">
        <v>1</v>
      </c>
      <c r="Y146" s="126" t="s">
        <v>1</v>
      </c>
      <c r="Z146" s="126" t="s">
        <v>1</v>
      </c>
      <c r="AA146" s="126" t="s">
        <v>1</v>
      </c>
      <c r="AB146" s="126" t="s">
        <v>1</v>
      </c>
      <c r="AC146" s="126" t="s">
        <v>1</v>
      </c>
      <c r="AD146" s="126" t="s">
        <v>1</v>
      </c>
      <c r="AE146" s="126" t="s">
        <v>1</v>
      </c>
      <c r="AF146" s="126" t="s">
        <v>1</v>
      </c>
      <c r="AG146" s="126" t="s">
        <v>1</v>
      </c>
      <c r="AH146" s="126" t="s">
        <v>1</v>
      </c>
      <c r="AI146" s="126" t="s">
        <v>1</v>
      </c>
      <c r="AJ146" s="126" t="s">
        <v>1</v>
      </c>
      <c r="AK146" s="126" t="s">
        <v>1</v>
      </c>
      <c r="AL146" s="126" t="s">
        <v>1</v>
      </c>
      <c r="AM146" s="126" t="s">
        <v>1</v>
      </c>
      <c r="AN146" s="126" t="s">
        <v>1</v>
      </c>
      <c r="AO146" s="126" t="s">
        <v>1</v>
      </c>
      <c r="AP146" s="126" t="s">
        <v>1</v>
      </c>
      <c r="AQ146" s="126" t="s">
        <v>1</v>
      </c>
      <c r="AR146" s="126" t="s">
        <v>1</v>
      </c>
      <c r="AS146" s="126" t="s">
        <v>1</v>
      </c>
      <c r="AT146" s="126" t="s">
        <v>1</v>
      </c>
      <c r="AU146" s="126" t="s">
        <v>1</v>
      </c>
      <c r="AV146" s="126" t="s">
        <v>1</v>
      </c>
      <c r="AW146" s="126" t="s">
        <v>1</v>
      </c>
      <c r="AX146" s="126" t="s">
        <v>1</v>
      </c>
      <c r="AY146" s="126" t="s">
        <v>1</v>
      </c>
      <c r="AZ146" s="126" t="s">
        <v>1</v>
      </c>
      <c r="BA146" s="126" t="s">
        <v>1</v>
      </c>
      <c r="BB146" s="126" t="s">
        <v>1</v>
      </c>
      <c r="BC146" s="126" t="s">
        <v>1</v>
      </c>
      <c r="BD146" s="126" t="s">
        <v>1</v>
      </c>
      <c r="BE146" s="126" t="s">
        <v>1</v>
      </c>
      <c r="BF146" s="126" t="s">
        <v>1</v>
      </c>
      <c r="BG146" s="137" t="s">
        <v>1</v>
      </c>
      <c r="BH146" s="137" t="s">
        <v>1</v>
      </c>
      <c r="BI146" s="137" t="s">
        <v>1</v>
      </c>
      <c r="BJ146" s="137" t="s">
        <v>1</v>
      </c>
      <c r="BK146" s="137" t="s">
        <v>1</v>
      </c>
      <c r="BL146" s="137" t="s">
        <v>1</v>
      </c>
      <c r="BM146" s="137" t="s">
        <v>1</v>
      </c>
      <c r="BN146" s="137" t="s">
        <v>1</v>
      </c>
      <c r="BO146" s="137" t="s">
        <v>1</v>
      </c>
      <c r="BP146" s="138" t="s">
        <v>1</v>
      </c>
      <c r="BQ146" s="138" t="s">
        <v>1</v>
      </c>
      <c r="BR146" s="138" t="s">
        <v>1</v>
      </c>
      <c r="BS146" s="138" t="s">
        <v>1</v>
      </c>
      <c r="BT146" s="138" t="s">
        <v>1</v>
      </c>
      <c r="BU146" s="138" t="s">
        <v>1</v>
      </c>
      <c r="BV146" s="138" t="s">
        <v>1</v>
      </c>
      <c r="BW146" s="138" t="s">
        <v>1</v>
      </c>
      <c r="BX146" s="138" t="s">
        <v>1</v>
      </c>
      <c r="BY146" s="138" t="s">
        <v>1</v>
      </c>
      <c r="BZ146" s="138" t="s">
        <v>1</v>
      </c>
      <c r="CA146" s="138" t="s">
        <v>1</v>
      </c>
      <c r="CB146" s="138" t="s">
        <v>1</v>
      </c>
      <c r="CC146" s="138" t="s">
        <v>1</v>
      </c>
      <c r="CD146" s="138" t="s">
        <v>1</v>
      </c>
      <c r="CE146" s="138" t="s">
        <v>1</v>
      </c>
    </row>
    <row r="147" ht="25" customHeight="1" spans="1:83">
      <c r="A147" s="107">
        <v>45250</v>
      </c>
      <c r="B147" s="1" t="s">
        <v>1</v>
      </c>
      <c r="C147" s="1" t="s">
        <v>1</v>
      </c>
      <c r="D147" s="1" t="s">
        <v>1</v>
      </c>
      <c r="E147" s="1" t="s">
        <v>1</v>
      </c>
      <c r="F147" s="1" t="s">
        <v>1</v>
      </c>
      <c r="G147" s="130" t="s">
        <v>1</v>
      </c>
      <c r="H147" s="130" t="s">
        <v>1</v>
      </c>
      <c r="I147" s="130" t="s">
        <v>1</v>
      </c>
      <c r="J147" s="130" t="s">
        <v>1</v>
      </c>
      <c r="K147" s="130" t="s">
        <v>1</v>
      </c>
      <c r="L147" s="30" t="s">
        <v>1</v>
      </c>
      <c r="M147" s="130" t="s">
        <v>1</v>
      </c>
      <c r="N147" s="130" t="s">
        <v>1</v>
      </c>
      <c r="O147" s="130" t="s">
        <v>1</v>
      </c>
      <c r="P147" s="130" t="s">
        <v>1</v>
      </c>
      <c r="Q147" s="130" t="s">
        <v>1</v>
      </c>
      <c r="R147" s="130" t="s">
        <v>1</v>
      </c>
      <c r="S147" s="130" t="s">
        <v>1</v>
      </c>
      <c r="T147" s="130" t="s">
        <v>1</v>
      </c>
      <c r="U147" s="130" t="s">
        <v>1</v>
      </c>
      <c r="V147" s="126" t="s">
        <v>1</v>
      </c>
      <c r="W147" s="126" t="s">
        <v>1</v>
      </c>
      <c r="X147" s="126" t="s">
        <v>1</v>
      </c>
      <c r="Y147" s="126" t="s">
        <v>1</v>
      </c>
      <c r="Z147" s="126" t="s">
        <v>1</v>
      </c>
      <c r="AA147" s="126" t="s">
        <v>1</v>
      </c>
      <c r="AB147" s="126" t="s">
        <v>1</v>
      </c>
      <c r="AC147" s="126" t="s">
        <v>1</v>
      </c>
      <c r="AD147" s="126" t="s">
        <v>1</v>
      </c>
      <c r="AE147" s="126" t="s">
        <v>1</v>
      </c>
      <c r="AF147" s="126" t="s">
        <v>1</v>
      </c>
      <c r="AG147" s="126" t="s">
        <v>1</v>
      </c>
      <c r="AH147" s="126" t="s">
        <v>1</v>
      </c>
      <c r="AI147" s="126" t="s">
        <v>1</v>
      </c>
      <c r="AJ147" s="126" t="s">
        <v>1</v>
      </c>
      <c r="AK147" s="126" t="s">
        <v>1</v>
      </c>
      <c r="AL147" s="126" t="s">
        <v>1</v>
      </c>
      <c r="AM147" s="126" t="s">
        <v>1</v>
      </c>
      <c r="AN147" s="126" t="s">
        <v>1</v>
      </c>
      <c r="AO147" s="126" t="s">
        <v>1</v>
      </c>
      <c r="AP147" s="126" t="s">
        <v>1</v>
      </c>
      <c r="AQ147" s="126" t="s">
        <v>1</v>
      </c>
      <c r="AR147" s="126" t="s">
        <v>1</v>
      </c>
      <c r="AS147" s="126" t="s">
        <v>1</v>
      </c>
      <c r="AT147" s="126" t="s">
        <v>1</v>
      </c>
      <c r="AU147" s="126" t="s">
        <v>1</v>
      </c>
      <c r="AV147" s="126" t="s">
        <v>1</v>
      </c>
      <c r="AW147" s="126" t="s">
        <v>1</v>
      </c>
      <c r="AX147" s="126" t="s">
        <v>1</v>
      </c>
      <c r="AY147" s="126" t="s">
        <v>1</v>
      </c>
      <c r="AZ147" s="126" t="s">
        <v>1</v>
      </c>
      <c r="BA147" s="126" t="s">
        <v>1</v>
      </c>
      <c r="BB147" s="126" t="s">
        <v>1</v>
      </c>
      <c r="BC147" s="126" t="s">
        <v>1</v>
      </c>
      <c r="BD147" s="126" t="s">
        <v>1</v>
      </c>
      <c r="BE147" s="126" t="s">
        <v>1</v>
      </c>
      <c r="BF147" s="126" t="s">
        <v>1</v>
      </c>
      <c r="BG147" s="137" t="s">
        <v>1</v>
      </c>
      <c r="BH147" s="137" t="s">
        <v>1</v>
      </c>
      <c r="BI147" s="137" t="s">
        <v>1</v>
      </c>
      <c r="BJ147" s="137" t="s">
        <v>1</v>
      </c>
      <c r="BK147" s="137" t="s">
        <v>1</v>
      </c>
      <c r="BL147" s="137" t="s">
        <v>1</v>
      </c>
      <c r="BM147" s="137" t="s">
        <v>1</v>
      </c>
      <c r="BN147" s="137" t="s">
        <v>1</v>
      </c>
      <c r="BO147" s="137" t="s">
        <v>1</v>
      </c>
      <c r="BP147" s="138" t="s">
        <v>1</v>
      </c>
      <c r="BQ147" s="138" t="s">
        <v>1</v>
      </c>
      <c r="BR147" s="138" t="s">
        <v>1</v>
      </c>
      <c r="BS147" s="138" t="s">
        <v>1</v>
      </c>
      <c r="BT147" s="138" t="s">
        <v>1</v>
      </c>
      <c r="BU147" s="138" t="s">
        <v>1</v>
      </c>
      <c r="BV147" s="138" t="s">
        <v>1</v>
      </c>
      <c r="BW147" s="138" t="s">
        <v>1</v>
      </c>
      <c r="BX147" s="138" t="s">
        <v>1</v>
      </c>
      <c r="BY147" s="138" t="s">
        <v>1</v>
      </c>
      <c r="BZ147" s="138" t="s">
        <v>1</v>
      </c>
      <c r="CA147" s="138" t="s">
        <v>1</v>
      </c>
      <c r="CB147" s="138" t="s">
        <v>1</v>
      </c>
      <c r="CC147" s="138" t="s">
        <v>1</v>
      </c>
      <c r="CD147" s="138" t="s">
        <v>1</v>
      </c>
      <c r="CE147" s="138" t="s">
        <v>1</v>
      </c>
    </row>
    <row r="148" ht="25" customHeight="1" spans="1:83">
      <c r="A148" s="107">
        <v>45251</v>
      </c>
      <c r="B148" s="1" t="s">
        <v>1</v>
      </c>
      <c r="C148" s="1" t="s">
        <v>1</v>
      </c>
      <c r="D148" s="1" t="s">
        <v>1</v>
      </c>
      <c r="E148" s="1" t="s">
        <v>1</v>
      </c>
      <c r="F148" s="1" t="s">
        <v>1</v>
      </c>
      <c r="G148" s="130" t="s">
        <v>1</v>
      </c>
      <c r="H148" s="130" t="s">
        <v>1</v>
      </c>
      <c r="I148" s="130" t="s">
        <v>1</v>
      </c>
      <c r="J148" s="130" t="s">
        <v>1</v>
      </c>
      <c r="K148" s="130" t="s">
        <v>1</v>
      </c>
      <c r="L148" s="30" t="s">
        <v>1</v>
      </c>
      <c r="M148" s="130" t="s">
        <v>1</v>
      </c>
      <c r="N148" s="130" t="s">
        <v>1</v>
      </c>
      <c r="O148" s="130" t="s">
        <v>1</v>
      </c>
      <c r="P148" s="130" t="s">
        <v>1</v>
      </c>
      <c r="Q148" s="130" t="s">
        <v>1</v>
      </c>
      <c r="R148" s="130" t="s">
        <v>1</v>
      </c>
      <c r="S148" s="130" t="s">
        <v>1</v>
      </c>
      <c r="T148" s="130" t="s">
        <v>1</v>
      </c>
      <c r="U148" s="130" t="s">
        <v>1</v>
      </c>
      <c r="V148" s="126" t="s">
        <v>1</v>
      </c>
      <c r="W148" s="126" t="s">
        <v>1</v>
      </c>
      <c r="X148" s="126" t="s">
        <v>1</v>
      </c>
      <c r="Y148" s="126" t="s">
        <v>1</v>
      </c>
      <c r="Z148" s="126" t="s">
        <v>1</v>
      </c>
      <c r="AA148" s="126" t="s">
        <v>1</v>
      </c>
      <c r="AB148" s="126" t="s">
        <v>1</v>
      </c>
      <c r="AC148" s="126" t="s">
        <v>1</v>
      </c>
      <c r="AD148" s="126" t="s">
        <v>1</v>
      </c>
      <c r="AE148" s="126" t="s">
        <v>1</v>
      </c>
      <c r="AF148" s="126" t="s">
        <v>1</v>
      </c>
      <c r="AG148" s="126" t="s">
        <v>1</v>
      </c>
      <c r="AH148" s="126" t="s">
        <v>1</v>
      </c>
      <c r="AI148" s="126" t="s">
        <v>1</v>
      </c>
      <c r="AJ148" s="126" t="s">
        <v>1</v>
      </c>
      <c r="AK148" s="126" t="s">
        <v>1</v>
      </c>
      <c r="AL148" s="126" t="s">
        <v>1</v>
      </c>
      <c r="AM148" s="126" t="s">
        <v>1</v>
      </c>
      <c r="AN148" s="126" t="s">
        <v>1</v>
      </c>
      <c r="AO148" s="126" t="s">
        <v>1</v>
      </c>
      <c r="AP148" s="126" t="s">
        <v>1</v>
      </c>
      <c r="AQ148" s="126" t="s">
        <v>1</v>
      </c>
      <c r="AR148" s="126" t="s">
        <v>1</v>
      </c>
      <c r="AS148" s="126" t="s">
        <v>1</v>
      </c>
      <c r="AT148" s="126" t="s">
        <v>1</v>
      </c>
      <c r="AU148" s="126" t="s">
        <v>1</v>
      </c>
      <c r="AV148" s="126" t="s">
        <v>1</v>
      </c>
      <c r="AW148" s="126" t="s">
        <v>1</v>
      </c>
      <c r="AX148" s="126" t="s">
        <v>1</v>
      </c>
      <c r="AY148" s="126" t="s">
        <v>1</v>
      </c>
      <c r="AZ148" s="126" t="s">
        <v>1</v>
      </c>
      <c r="BA148" s="126" t="s">
        <v>1</v>
      </c>
      <c r="BB148" s="126" t="s">
        <v>1</v>
      </c>
      <c r="BC148" s="126" t="s">
        <v>1</v>
      </c>
      <c r="BD148" s="126" t="s">
        <v>1</v>
      </c>
      <c r="BE148" s="126" t="s">
        <v>1</v>
      </c>
      <c r="BF148" s="126" t="s">
        <v>1</v>
      </c>
      <c r="BG148" s="137" t="s">
        <v>1</v>
      </c>
      <c r="BH148" s="137" t="s">
        <v>1</v>
      </c>
      <c r="BI148" s="137" t="s">
        <v>1</v>
      </c>
      <c r="BJ148" s="137" t="s">
        <v>1</v>
      </c>
      <c r="BK148" s="137" t="s">
        <v>1</v>
      </c>
      <c r="BL148" s="137" t="s">
        <v>1</v>
      </c>
      <c r="BM148" s="137" t="s">
        <v>1</v>
      </c>
      <c r="BN148" s="137" t="s">
        <v>1</v>
      </c>
      <c r="BO148" s="137" t="s">
        <v>1</v>
      </c>
      <c r="BP148" s="138" t="s">
        <v>1</v>
      </c>
      <c r="BQ148" s="138" t="s">
        <v>1</v>
      </c>
      <c r="BR148" s="138" t="s">
        <v>1</v>
      </c>
      <c r="BS148" s="138" t="s">
        <v>1</v>
      </c>
      <c r="BT148" s="138" t="s">
        <v>1</v>
      </c>
      <c r="BU148" s="138" t="s">
        <v>1</v>
      </c>
      <c r="BV148" s="138" t="s">
        <v>1</v>
      </c>
      <c r="BW148" s="138" t="s">
        <v>1</v>
      </c>
      <c r="BX148" s="138" t="s">
        <v>1</v>
      </c>
      <c r="BY148" s="138" t="s">
        <v>1</v>
      </c>
      <c r="BZ148" s="138" t="s">
        <v>1</v>
      </c>
      <c r="CA148" s="138" t="s">
        <v>1</v>
      </c>
      <c r="CB148" s="138" t="s">
        <v>1</v>
      </c>
      <c r="CC148" s="138" t="s">
        <v>1</v>
      </c>
      <c r="CD148" s="138" t="s">
        <v>1</v>
      </c>
      <c r="CE148" s="138" t="s">
        <v>1</v>
      </c>
    </row>
    <row r="149" ht="25" customHeight="1" spans="1:83">
      <c r="A149" s="107">
        <v>45252</v>
      </c>
      <c r="B149" s="1" t="s">
        <v>1</v>
      </c>
      <c r="C149" s="1" t="s">
        <v>1</v>
      </c>
      <c r="D149" s="1" t="s">
        <v>1</v>
      </c>
      <c r="E149" s="1" t="s">
        <v>1</v>
      </c>
      <c r="F149" s="1" t="s">
        <v>1</v>
      </c>
      <c r="G149" s="130" t="s">
        <v>1</v>
      </c>
      <c r="H149" s="130" t="s">
        <v>1</v>
      </c>
      <c r="I149" s="130" t="s">
        <v>1</v>
      </c>
      <c r="J149" s="130" t="s">
        <v>1</v>
      </c>
      <c r="K149" s="130" t="s">
        <v>1</v>
      </c>
      <c r="L149" s="30" t="s">
        <v>1</v>
      </c>
      <c r="M149" s="130" t="s">
        <v>1</v>
      </c>
      <c r="N149" s="130" t="s">
        <v>1</v>
      </c>
      <c r="O149" s="130" t="s">
        <v>1</v>
      </c>
      <c r="P149" s="130" t="s">
        <v>1</v>
      </c>
      <c r="Q149" s="130" t="s">
        <v>1</v>
      </c>
      <c r="R149" s="130" t="s">
        <v>1</v>
      </c>
      <c r="S149" s="130" t="s">
        <v>1</v>
      </c>
      <c r="T149" s="130" t="s">
        <v>1</v>
      </c>
      <c r="U149" s="130" t="s">
        <v>1</v>
      </c>
      <c r="V149" s="126" t="s">
        <v>1</v>
      </c>
      <c r="W149" s="126" t="s">
        <v>1</v>
      </c>
      <c r="X149" s="126" t="s">
        <v>1</v>
      </c>
      <c r="Y149" s="126" t="s">
        <v>1</v>
      </c>
      <c r="Z149" s="126" t="s">
        <v>1</v>
      </c>
      <c r="AA149" s="126" t="s">
        <v>1</v>
      </c>
      <c r="AB149" s="126" t="s">
        <v>1</v>
      </c>
      <c r="AC149" s="126" t="s">
        <v>1</v>
      </c>
      <c r="AD149" s="126" t="s">
        <v>1</v>
      </c>
      <c r="AE149" s="126" t="s">
        <v>1</v>
      </c>
      <c r="AF149" s="126" t="s">
        <v>1</v>
      </c>
      <c r="AG149" s="126" t="s">
        <v>1</v>
      </c>
      <c r="AH149" s="126" t="s">
        <v>1</v>
      </c>
      <c r="AI149" s="126" t="s">
        <v>1</v>
      </c>
      <c r="AJ149" s="126" t="s">
        <v>1</v>
      </c>
      <c r="AK149" s="126" t="s">
        <v>1</v>
      </c>
      <c r="AL149" s="126" t="s">
        <v>1</v>
      </c>
      <c r="AM149" s="126" t="s">
        <v>1</v>
      </c>
      <c r="AN149" s="126" t="s">
        <v>1</v>
      </c>
      <c r="AO149" s="126" t="s">
        <v>1</v>
      </c>
      <c r="AP149" s="126" t="s">
        <v>1</v>
      </c>
      <c r="AQ149" s="126" t="s">
        <v>1</v>
      </c>
      <c r="AR149" s="126" t="s">
        <v>1</v>
      </c>
      <c r="AS149" s="126" t="s">
        <v>1</v>
      </c>
      <c r="AT149" s="126" t="s">
        <v>1</v>
      </c>
      <c r="AU149" s="126" t="s">
        <v>1</v>
      </c>
      <c r="AV149" s="126" t="s">
        <v>1</v>
      </c>
      <c r="AW149" s="126" t="s">
        <v>1</v>
      </c>
      <c r="AX149" s="126" t="s">
        <v>1</v>
      </c>
      <c r="AY149" s="126" t="s">
        <v>1</v>
      </c>
      <c r="AZ149" s="126" t="s">
        <v>1</v>
      </c>
      <c r="BA149" s="126" t="s">
        <v>1</v>
      </c>
      <c r="BB149" s="126" t="s">
        <v>1</v>
      </c>
      <c r="BC149" s="126" t="s">
        <v>1</v>
      </c>
      <c r="BD149" s="126" t="s">
        <v>1</v>
      </c>
      <c r="BE149" s="126" t="s">
        <v>1</v>
      </c>
      <c r="BF149" s="126" t="s">
        <v>1</v>
      </c>
      <c r="BG149" s="137" t="s">
        <v>1</v>
      </c>
      <c r="BH149" s="137" t="s">
        <v>1</v>
      </c>
      <c r="BI149" s="137" t="s">
        <v>1</v>
      </c>
      <c r="BJ149" s="137" t="s">
        <v>1</v>
      </c>
      <c r="BK149" s="137" t="s">
        <v>1</v>
      </c>
      <c r="BL149" s="137" t="s">
        <v>1</v>
      </c>
      <c r="BM149" s="137" t="s">
        <v>1</v>
      </c>
      <c r="BN149" s="137" t="s">
        <v>1</v>
      </c>
      <c r="BO149" s="137" t="s">
        <v>1</v>
      </c>
      <c r="BP149" s="138" t="s">
        <v>1</v>
      </c>
      <c r="BQ149" s="138" t="s">
        <v>1</v>
      </c>
      <c r="BR149" s="138" t="s">
        <v>1</v>
      </c>
      <c r="BS149" s="138" t="s">
        <v>1</v>
      </c>
      <c r="BT149" s="138" t="s">
        <v>1</v>
      </c>
      <c r="BU149" s="138" t="s">
        <v>1</v>
      </c>
      <c r="BV149" s="138" t="s">
        <v>1</v>
      </c>
      <c r="BW149" s="138" t="s">
        <v>1</v>
      </c>
      <c r="BX149" s="138" t="s">
        <v>1</v>
      </c>
      <c r="BY149" s="138" t="s">
        <v>1</v>
      </c>
      <c r="BZ149" s="138" t="s">
        <v>1</v>
      </c>
      <c r="CA149" s="138" t="s">
        <v>1</v>
      </c>
      <c r="CB149" s="138" t="s">
        <v>1</v>
      </c>
      <c r="CC149" s="138" t="s">
        <v>1</v>
      </c>
      <c r="CD149" s="138" t="s">
        <v>1</v>
      </c>
      <c r="CE149" s="138" t="s">
        <v>1</v>
      </c>
    </row>
    <row r="150" ht="25" customHeight="1" spans="1:83">
      <c r="A150" s="107">
        <v>45253</v>
      </c>
      <c r="B150" s="1" t="s">
        <v>1</v>
      </c>
      <c r="C150" s="1" t="s">
        <v>1</v>
      </c>
      <c r="D150" s="1" t="s">
        <v>1</v>
      </c>
      <c r="E150" s="1" t="s">
        <v>1</v>
      </c>
      <c r="F150" s="1" t="s">
        <v>1</v>
      </c>
      <c r="G150" s="130" t="s">
        <v>1</v>
      </c>
      <c r="H150" s="130" t="s">
        <v>1</v>
      </c>
      <c r="I150" s="130" t="s">
        <v>1</v>
      </c>
      <c r="J150" s="130" t="s">
        <v>1</v>
      </c>
      <c r="K150" s="130" t="s">
        <v>1</v>
      </c>
      <c r="L150" s="30" t="s">
        <v>1</v>
      </c>
      <c r="M150" s="130" t="s">
        <v>1</v>
      </c>
      <c r="N150" s="130" t="s">
        <v>1</v>
      </c>
      <c r="O150" s="130" t="s">
        <v>1</v>
      </c>
      <c r="P150" s="130" t="s">
        <v>1</v>
      </c>
      <c r="Q150" s="130" t="s">
        <v>1</v>
      </c>
      <c r="R150" s="130" t="s">
        <v>1</v>
      </c>
      <c r="S150" s="130" t="s">
        <v>1</v>
      </c>
      <c r="T150" s="130" t="s">
        <v>1</v>
      </c>
      <c r="U150" s="130" t="s">
        <v>1</v>
      </c>
      <c r="V150" s="126" t="s">
        <v>1</v>
      </c>
      <c r="W150" s="126" t="s">
        <v>1</v>
      </c>
      <c r="X150" s="126" t="s">
        <v>1</v>
      </c>
      <c r="Y150" s="126" t="s">
        <v>1</v>
      </c>
      <c r="Z150" s="126" t="s">
        <v>1</v>
      </c>
      <c r="AA150" s="126" t="s">
        <v>1</v>
      </c>
      <c r="AB150" s="126" t="s">
        <v>1</v>
      </c>
      <c r="AC150" s="126" t="s">
        <v>1</v>
      </c>
      <c r="AD150" s="126" t="s">
        <v>1</v>
      </c>
      <c r="AE150" s="126" t="s">
        <v>1</v>
      </c>
      <c r="AF150" s="126" t="s">
        <v>1</v>
      </c>
      <c r="AG150" s="126" t="s">
        <v>1</v>
      </c>
      <c r="AH150" s="126" t="s">
        <v>1</v>
      </c>
      <c r="AI150" s="126" t="s">
        <v>1</v>
      </c>
      <c r="AJ150" s="126" t="s">
        <v>1</v>
      </c>
      <c r="AK150" s="126" t="s">
        <v>1</v>
      </c>
      <c r="AL150" s="126" t="s">
        <v>1</v>
      </c>
      <c r="AM150" s="126" t="s">
        <v>1</v>
      </c>
      <c r="AN150" s="126" t="s">
        <v>1</v>
      </c>
      <c r="AO150" s="126" t="s">
        <v>1</v>
      </c>
      <c r="AP150" s="126" t="s">
        <v>1</v>
      </c>
      <c r="AQ150" s="126" t="s">
        <v>1</v>
      </c>
      <c r="AR150" s="126" t="s">
        <v>1</v>
      </c>
      <c r="AS150" s="126" t="s">
        <v>1</v>
      </c>
      <c r="AT150" s="126" t="s">
        <v>1</v>
      </c>
      <c r="AU150" s="126" t="s">
        <v>1</v>
      </c>
      <c r="AV150" s="126" t="s">
        <v>1</v>
      </c>
      <c r="AW150" s="126" t="s">
        <v>1</v>
      </c>
      <c r="AX150" s="126" t="s">
        <v>1</v>
      </c>
      <c r="AY150" s="126" t="s">
        <v>1</v>
      </c>
      <c r="AZ150" s="126" t="s">
        <v>1</v>
      </c>
      <c r="BA150" s="126" t="s">
        <v>1</v>
      </c>
      <c r="BB150" s="126" t="s">
        <v>1</v>
      </c>
      <c r="BC150" s="126" t="s">
        <v>1</v>
      </c>
      <c r="BD150" s="126" t="s">
        <v>1</v>
      </c>
      <c r="BE150" s="126" t="s">
        <v>1</v>
      </c>
      <c r="BF150" s="126" t="s">
        <v>1</v>
      </c>
      <c r="BG150" s="137" t="s">
        <v>1</v>
      </c>
      <c r="BH150" s="137" t="s">
        <v>1</v>
      </c>
      <c r="BI150" s="137" t="s">
        <v>1</v>
      </c>
      <c r="BJ150" s="137" t="s">
        <v>1</v>
      </c>
      <c r="BK150" s="137" t="s">
        <v>1</v>
      </c>
      <c r="BL150" s="137" t="s">
        <v>1</v>
      </c>
      <c r="BM150" s="137" t="s">
        <v>1</v>
      </c>
      <c r="BN150" s="137" t="s">
        <v>1</v>
      </c>
      <c r="BO150" s="137" t="s">
        <v>1</v>
      </c>
      <c r="BP150" s="138" t="s">
        <v>1</v>
      </c>
      <c r="BQ150" s="138" t="s">
        <v>1</v>
      </c>
      <c r="BR150" s="138" t="s">
        <v>1</v>
      </c>
      <c r="BS150" s="138" t="s">
        <v>1</v>
      </c>
      <c r="BT150" s="138" t="s">
        <v>1</v>
      </c>
      <c r="BU150" s="138" t="s">
        <v>1</v>
      </c>
      <c r="BV150" s="138" t="s">
        <v>1</v>
      </c>
      <c r="BW150" s="138" t="s">
        <v>1</v>
      </c>
      <c r="BX150" s="138" t="s">
        <v>1</v>
      </c>
      <c r="BY150" s="138" t="s">
        <v>1</v>
      </c>
      <c r="BZ150" s="138" t="s">
        <v>1</v>
      </c>
      <c r="CA150" s="138" t="s">
        <v>1</v>
      </c>
      <c r="CB150" s="138" t="s">
        <v>1</v>
      </c>
      <c r="CC150" s="138" t="s">
        <v>1</v>
      </c>
      <c r="CD150" s="138" t="s">
        <v>1</v>
      </c>
      <c r="CE150" s="138" t="s">
        <v>1</v>
      </c>
    </row>
    <row r="151" ht="25" customHeight="1" spans="1:83">
      <c r="A151" s="107">
        <v>45254</v>
      </c>
      <c r="B151" s="1" t="s">
        <v>1</v>
      </c>
      <c r="C151" s="1" t="s">
        <v>1</v>
      </c>
      <c r="D151" s="1" t="s">
        <v>1</v>
      </c>
      <c r="E151" s="1" t="s">
        <v>1</v>
      </c>
      <c r="F151" s="1" t="s">
        <v>1</v>
      </c>
      <c r="G151" s="130" t="s">
        <v>1</v>
      </c>
      <c r="H151" s="130" t="s">
        <v>1</v>
      </c>
      <c r="I151" s="130" t="s">
        <v>1</v>
      </c>
      <c r="J151" s="130" t="s">
        <v>1</v>
      </c>
      <c r="K151" s="130" t="s">
        <v>1</v>
      </c>
      <c r="L151" s="30" t="s">
        <v>1</v>
      </c>
      <c r="M151" s="130" t="s">
        <v>1</v>
      </c>
      <c r="N151" s="130" t="s">
        <v>1</v>
      </c>
      <c r="O151" s="130" t="s">
        <v>1</v>
      </c>
      <c r="P151" s="130" t="s">
        <v>1</v>
      </c>
      <c r="Q151" s="130" t="s">
        <v>1</v>
      </c>
      <c r="R151" s="130" t="s">
        <v>1</v>
      </c>
      <c r="S151" s="130" t="s">
        <v>1</v>
      </c>
      <c r="T151" s="130" t="s">
        <v>1</v>
      </c>
      <c r="U151" s="130" t="s">
        <v>1</v>
      </c>
      <c r="V151" s="126" t="s">
        <v>1</v>
      </c>
      <c r="W151" s="126" t="s">
        <v>1</v>
      </c>
      <c r="X151" s="126" t="s">
        <v>1</v>
      </c>
      <c r="Y151" s="126" t="s">
        <v>1</v>
      </c>
      <c r="Z151" s="126" t="s">
        <v>1</v>
      </c>
      <c r="AA151" s="126" t="s">
        <v>1</v>
      </c>
      <c r="AB151" s="126" t="s">
        <v>1</v>
      </c>
      <c r="AC151" s="126" t="s">
        <v>1</v>
      </c>
      <c r="AD151" s="126" t="s">
        <v>1</v>
      </c>
      <c r="AE151" s="126" t="s">
        <v>1</v>
      </c>
      <c r="AF151" s="126" t="s">
        <v>1</v>
      </c>
      <c r="AG151" s="126" t="s">
        <v>1</v>
      </c>
      <c r="AH151" s="126" t="s">
        <v>1</v>
      </c>
      <c r="AI151" s="126" t="s">
        <v>1</v>
      </c>
      <c r="AJ151" s="126" t="s">
        <v>1</v>
      </c>
      <c r="AK151" s="126" t="s">
        <v>1</v>
      </c>
      <c r="AL151" s="126" t="s">
        <v>1</v>
      </c>
      <c r="AM151" s="126" t="s">
        <v>1</v>
      </c>
      <c r="AN151" s="126" t="s">
        <v>1</v>
      </c>
      <c r="AO151" s="126" t="s">
        <v>1</v>
      </c>
      <c r="AP151" s="126" t="s">
        <v>1</v>
      </c>
      <c r="AQ151" s="126" t="s">
        <v>1</v>
      </c>
      <c r="AR151" s="126" t="s">
        <v>1</v>
      </c>
      <c r="AS151" s="126" t="s">
        <v>1</v>
      </c>
      <c r="AT151" s="126" t="s">
        <v>1</v>
      </c>
      <c r="AU151" s="126" t="s">
        <v>1</v>
      </c>
      <c r="AV151" s="126" t="s">
        <v>1</v>
      </c>
      <c r="AW151" s="126" t="s">
        <v>1</v>
      </c>
      <c r="AX151" s="126" t="s">
        <v>1</v>
      </c>
      <c r="AY151" s="126" t="s">
        <v>1</v>
      </c>
      <c r="AZ151" s="126" t="s">
        <v>1</v>
      </c>
      <c r="BA151" s="126" t="s">
        <v>1</v>
      </c>
      <c r="BB151" s="126" t="s">
        <v>1</v>
      </c>
      <c r="BC151" s="126" t="s">
        <v>1</v>
      </c>
      <c r="BD151" s="126" t="s">
        <v>1</v>
      </c>
      <c r="BE151" s="126" t="s">
        <v>1</v>
      </c>
      <c r="BF151" s="126" t="s">
        <v>1</v>
      </c>
      <c r="BG151" s="137" t="s">
        <v>1</v>
      </c>
      <c r="BH151" s="137" t="s">
        <v>1</v>
      </c>
      <c r="BI151" s="137" t="s">
        <v>1</v>
      </c>
      <c r="BJ151" s="137" t="s">
        <v>1</v>
      </c>
      <c r="BK151" s="137" t="s">
        <v>1</v>
      </c>
      <c r="BL151" s="137" t="s">
        <v>1</v>
      </c>
      <c r="BM151" s="137" t="s">
        <v>1</v>
      </c>
      <c r="BN151" s="137" t="s">
        <v>1</v>
      </c>
      <c r="BO151" s="137" t="s">
        <v>1</v>
      </c>
      <c r="BP151" s="138" t="s">
        <v>1</v>
      </c>
      <c r="BQ151" s="138" t="s">
        <v>1</v>
      </c>
      <c r="BR151" s="138" t="s">
        <v>1</v>
      </c>
      <c r="BS151" s="138" t="s">
        <v>1</v>
      </c>
      <c r="BT151" s="138" t="s">
        <v>1</v>
      </c>
      <c r="BU151" s="138" t="s">
        <v>1</v>
      </c>
      <c r="BV151" s="138" t="s">
        <v>1</v>
      </c>
      <c r="BW151" s="138" t="s">
        <v>1</v>
      </c>
      <c r="BX151" s="138" t="s">
        <v>1</v>
      </c>
      <c r="BY151" s="138" t="s">
        <v>1</v>
      </c>
      <c r="BZ151" s="138" t="s">
        <v>1</v>
      </c>
      <c r="CA151" s="138" t="s">
        <v>1</v>
      </c>
      <c r="CB151" s="138" t="s">
        <v>1</v>
      </c>
      <c r="CC151" s="138" t="s">
        <v>1</v>
      </c>
      <c r="CD151" s="138" t="s">
        <v>1</v>
      </c>
      <c r="CE151" s="138" t="s">
        <v>1</v>
      </c>
    </row>
    <row r="152" ht="25" customHeight="1" spans="1:83">
      <c r="A152" s="107">
        <v>45255</v>
      </c>
      <c r="B152" s="1" t="s">
        <v>1</v>
      </c>
      <c r="C152" s="1" t="s">
        <v>1</v>
      </c>
      <c r="D152" s="1" t="s">
        <v>1</v>
      </c>
      <c r="E152" s="1" t="s">
        <v>1</v>
      </c>
      <c r="F152" s="1" t="s">
        <v>1</v>
      </c>
      <c r="G152" s="130" t="s">
        <v>1</v>
      </c>
      <c r="H152" s="130" t="s">
        <v>1</v>
      </c>
      <c r="I152" s="130" t="s">
        <v>1</v>
      </c>
      <c r="J152" s="130" t="s">
        <v>1</v>
      </c>
      <c r="K152" s="130" t="s">
        <v>1</v>
      </c>
      <c r="L152" s="30" t="s">
        <v>1</v>
      </c>
      <c r="M152" s="130" t="s">
        <v>1</v>
      </c>
      <c r="N152" s="130" t="s">
        <v>1</v>
      </c>
      <c r="O152" s="130" t="s">
        <v>1</v>
      </c>
      <c r="P152" s="130" t="s">
        <v>1</v>
      </c>
      <c r="Q152" s="130" t="s">
        <v>1</v>
      </c>
      <c r="R152" s="130" t="s">
        <v>1</v>
      </c>
      <c r="S152" s="130" t="s">
        <v>1</v>
      </c>
      <c r="T152" s="130" t="s">
        <v>1</v>
      </c>
      <c r="U152" s="130" t="s">
        <v>1</v>
      </c>
      <c r="V152" s="126" t="s">
        <v>1</v>
      </c>
      <c r="W152" s="126" t="s">
        <v>1</v>
      </c>
      <c r="X152" s="126" t="s">
        <v>1</v>
      </c>
      <c r="Y152" s="126" t="s">
        <v>1</v>
      </c>
      <c r="Z152" s="126" t="s">
        <v>1</v>
      </c>
      <c r="AA152" s="126" t="s">
        <v>1</v>
      </c>
      <c r="AB152" s="126" t="s">
        <v>1</v>
      </c>
      <c r="AC152" s="126" t="s">
        <v>1</v>
      </c>
      <c r="AD152" s="126" t="s">
        <v>1</v>
      </c>
      <c r="AE152" s="126" t="s">
        <v>1</v>
      </c>
      <c r="AF152" s="126" t="s">
        <v>1</v>
      </c>
      <c r="AG152" s="126" t="s">
        <v>1</v>
      </c>
      <c r="AH152" s="126" t="s">
        <v>1</v>
      </c>
      <c r="AI152" s="126" t="s">
        <v>1</v>
      </c>
      <c r="AJ152" s="126" t="s">
        <v>1</v>
      </c>
      <c r="AK152" s="126" t="s">
        <v>1</v>
      </c>
      <c r="AL152" s="126" t="s">
        <v>1</v>
      </c>
      <c r="AM152" s="126" t="s">
        <v>1</v>
      </c>
      <c r="AN152" s="126" t="s">
        <v>1</v>
      </c>
      <c r="AO152" s="126" t="s">
        <v>1</v>
      </c>
      <c r="AP152" s="126" t="s">
        <v>1</v>
      </c>
      <c r="AQ152" s="126" t="s">
        <v>1</v>
      </c>
      <c r="AR152" s="126" t="s">
        <v>1</v>
      </c>
      <c r="AS152" s="126" t="s">
        <v>1</v>
      </c>
      <c r="AT152" s="126" t="s">
        <v>1</v>
      </c>
      <c r="AU152" s="126" t="s">
        <v>1</v>
      </c>
      <c r="AV152" s="126" t="s">
        <v>1</v>
      </c>
      <c r="AW152" s="126" t="s">
        <v>1</v>
      </c>
      <c r="AX152" s="126" t="s">
        <v>1</v>
      </c>
      <c r="AY152" s="126" t="s">
        <v>1</v>
      </c>
      <c r="AZ152" s="126" t="s">
        <v>1</v>
      </c>
      <c r="BA152" s="126" t="s">
        <v>1</v>
      </c>
      <c r="BB152" s="126" t="s">
        <v>1</v>
      </c>
      <c r="BC152" s="126" t="s">
        <v>1</v>
      </c>
      <c r="BD152" s="126" t="s">
        <v>1</v>
      </c>
      <c r="BE152" s="126" t="s">
        <v>1</v>
      </c>
      <c r="BF152" s="126" t="s">
        <v>1</v>
      </c>
      <c r="BG152" s="137" t="s">
        <v>1</v>
      </c>
      <c r="BH152" s="137" t="s">
        <v>1</v>
      </c>
      <c r="BI152" s="137" t="s">
        <v>1</v>
      </c>
      <c r="BJ152" s="137" t="s">
        <v>1</v>
      </c>
      <c r="BK152" s="137" t="s">
        <v>1</v>
      </c>
      <c r="BL152" s="137" t="s">
        <v>1</v>
      </c>
      <c r="BM152" s="137" t="s">
        <v>1</v>
      </c>
      <c r="BN152" s="137" t="s">
        <v>1</v>
      </c>
      <c r="BO152" s="137" t="s">
        <v>1</v>
      </c>
      <c r="BP152" s="138" t="s">
        <v>1</v>
      </c>
      <c r="BQ152" s="138" t="s">
        <v>1</v>
      </c>
      <c r="BR152" s="138" t="s">
        <v>1</v>
      </c>
      <c r="BS152" s="138" t="s">
        <v>1</v>
      </c>
      <c r="BT152" s="138" t="s">
        <v>1</v>
      </c>
      <c r="BU152" s="138" t="s">
        <v>1</v>
      </c>
      <c r="BV152" s="138" t="s">
        <v>1</v>
      </c>
      <c r="BW152" s="138" t="s">
        <v>1</v>
      </c>
      <c r="BX152" s="138" t="s">
        <v>1</v>
      </c>
      <c r="BY152" s="138" t="s">
        <v>1</v>
      </c>
      <c r="BZ152" s="138" t="s">
        <v>1</v>
      </c>
      <c r="CA152" s="138" t="s">
        <v>1</v>
      </c>
      <c r="CB152" s="138" t="s">
        <v>1</v>
      </c>
      <c r="CC152" s="138" t="s">
        <v>1</v>
      </c>
      <c r="CD152" s="138" t="s">
        <v>1</v>
      </c>
      <c r="CE152" s="138" t="s">
        <v>1</v>
      </c>
    </row>
    <row r="153" ht="25" customHeight="1" spans="1:83">
      <c r="A153" s="107">
        <v>45256</v>
      </c>
      <c r="B153" s="1" t="s">
        <v>1</v>
      </c>
      <c r="C153" s="1" t="s">
        <v>1</v>
      </c>
      <c r="D153" s="1" t="s">
        <v>1</v>
      </c>
      <c r="E153" s="1" t="s">
        <v>1</v>
      </c>
      <c r="F153" s="1" t="s">
        <v>1</v>
      </c>
      <c r="G153" s="130" t="s">
        <v>1</v>
      </c>
      <c r="H153" s="130" t="s">
        <v>1</v>
      </c>
      <c r="I153" s="130" t="s">
        <v>1</v>
      </c>
      <c r="J153" s="130" t="s">
        <v>1</v>
      </c>
      <c r="K153" s="130" t="s">
        <v>1</v>
      </c>
      <c r="L153" s="30" t="s">
        <v>1</v>
      </c>
      <c r="M153" s="130" t="s">
        <v>1</v>
      </c>
      <c r="N153" s="130" t="s">
        <v>1</v>
      </c>
      <c r="O153" s="130" t="s">
        <v>1</v>
      </c>
      <c r="P153" s="130" t="s">
        <v>1</v>
      </c>
      <c r="Q153" s="130" t="s">
        <v>1</v>
      </c>
      <c r="R153" s="130" t="s">
        <v>1</v>
      </c>
      <c r="S153" s="130" t="s">
        <v>1</v>
      </c>
      <c r="T153" s="130" t="s">
        <v>1</v>
      </c>
      <c r="U153" s="130" t="s">
        <v>1</v>
      </c>
      <c r="V153" s="126" t="s">
        <v>1</v>
      </c>
      <c r="W153" s="126" t="s">
        <v>1</v>
      </c>
      <c r="X153" s="126" t="s">
        <v>1</v>
      </c>
      <c r="Y153" s="126" t="s">
        <v>1</v>
      </c>
      <c r="Z153" s="126" t="s">
        <v>1</v>
      </c>
      <c r="AA153" s="126" t="s">
        <v>1</v>
      </c>
      <c r="AB153" s="126" t="s">
        <v>1</v>
      </c>
      <c r="AC153" s="126" t="s">
        <v>1</v>
      </c>
      <c r="AD153" s="126" t="s">
        <v>1</v>
      </c>
      <c r="AE153" s="126" t="s">
        <v>1</v>
      </c>
      <c r="AF153" s="126" t="s">
        <v>1</v>
      </c>
      <c r="AG153" s="126" t="s">
        <v>1</v>
      </c>
      <c r="AH153" s="126" t="s">
        <v>1</v>
      </c>
      <c r="AI153" s="126" t="s">
        <v>1</v>
      </c>
      <c r="AJ153" s="126" t="s">
        <v>1</v>
      </c>
      <c r="AK153" s="126" t="s">
        <v>1</v>
      </c>
      <c r="AL153" s="126" t="s">
        <v>1</v>
      </c>
      <c r="AM153" s="126" t="s">
        <v>1</v>
      </c>
      <c r="AN153" s="126" t="s">
        <v>1</v>
      </c>
      <c r="AO153" s="126" t="s">
        <v>1</v>
      </c>
      <c r="AP153" s="126" t="s">
        <v>1</v>
      </c>
      <c r="AQ153" s="126" t="s">
        <v>1</v>
      </c>
      <c r="AR153" s="126" t="s">
        <v>1</v>
      </c>
      <c r="AS153" s="126" t="s">
        <v>1</v>
      </c>
      <c r="AT153" s="126" t="s">
        <v>1</v>
      </c>
      <c r="AU153" s="126" t="s">
        <v>1</v>
      </c>
      <c r="AV153" s="126" t="s">
        <v>1</v>
      </c>
      <c r="AW153" s="126" t="s">
        <v>1</v>
      </c>
      <c r="AX153" s="126" t="s">
        <v>1</v>
      </c>
      <c r="AY153" s="126" t="s">
        <v>1</v>
      </c>
      <c r="AZ153" s="126" t="s">
        <v>1</v>
      </c>
      <c r="BA153" s="126" t="s">
        <v>1</v>
      </c>
      <c r="BB153" s="126" t="s">
        <v>1</v>
      </c>
      <c r="BC153" s="126" t="s">
        <v>1</v>
      </c>
      <c r="BD153" s="126" t="s">
        <v>1</v>
      </c>
      <c r="BE153" s="126" t="s">
        <v>1</v>
      </c>
      <c r="BF153" s="126" t="s">
        <v>1</v>
      </c>
      <c r="BG153" s="137" t="s">
        <v>1</v>
      </c>
      <c r="BH153" s="137" t="s">
        <v>1</v>
      </c>
      <c r="BI153" s="137" t="s">
        <v>1</v>
      </c>
      <c r="BJ153" s="137" t="s">
        <v>1</v>
      </c>
      <c r="BK153" s="137" t="s">
        <v>1</v>
      </c>
      <c r="BL153" s="137" t="s">
        <v>1</v>
      </c>
      <c r="BM153" s="137" t="s">
        <v>1</v>
      </c>
      <c r="BN153" s="137" t="s">
        <v>1</v>
      </c>
      <c r="BO153" s="137" t="s">
        <v>1</v>
      </c>
      <c r="BP153" s="138" t="s">
        <v>1</v>
      </c>
      <c r="BQ153" s="138" t="s">
        <v>1</v>
      </c>
      <c r="BR153" s="138" t="s">
        <v>1</v>
      </c>
      <c r="BS153" s="138" t="s">
        <v>1</v>
      </c>
      <c r="BT153" s="138" t="s">
        <v>1</v>
      </c>
      <c r="BU153" s="138" t="s">
        <v>1</v>
      </c>
      <c r="BV153" s="138" t="s">
        <v>1</v>
      </c>
      <c r="BW153" s="138" t="s">
        <v>1</v>
      </c>
      <c r="BX153" s="138" t="s">
        <v>1</v>
      </c>
      <c r="BY153" s="138" t="s">
        <v>1</v>
      </c>
      <c r="BZ153" s="138" t="s">
        <v>1</v>
      </c>
      <c r="CA153" s="138" t="s">
        <v>1</v>
      </c>
      <c r="CB153" s="138" t="s">
        <v>1</v>
      </c>
      <c r="CC153" s="138" t="s">
        <v>1</v>
      </c>
      <c r="CD153" s="138" t="s">
        <v>1</v>
      </c>
      <c r="CE153" s="138" t="s">
        <v>1</v>
      </c>
    </row>
    <row r="154" ht="25" customHeight="1" spans="1:83">
      <c r="A154" s="107">
        <v>45257</v>
      </c>
      <c r="B154" s="1" t="s">
        <v>1</v>
      </c>
      <c r="C154" s="1" t="s">
        <v>1</v>
      </c>
      <c r="D154" s="1" t="s">
        <v>1</v>
      </c>
      <c r="E154" s="1" t="s">
        <v>1</v>
      </c>
      <c r="F154" s="1" t="s">
        <v>1</v>
      </c>
      <c r="G154" s="130" t="s">
        <v>1</v>
      </c>
      <c r="H154" s="130" t="s">
        <v>1</v>
      </c>
      <c r="I154" s="130" t="s">
        <v>1</v>
      </c>
      <c r="J154" s="130" t="s">
        <v>1</v>
      </c>
      <c r="K154" s="130" t="s">
        <v>1</v>
      </c>
      <c r="L154" s="30" t="s">
        <v>1</v>
      </c>
      <c r="M154" s="130" t="s">
        <v>1</v>
      </c>
      <c r="N154" s="130" t="s">
        <v>1</v>
      </c>
      <c r="O154" s="130" t="s">
        <v>1</v>
      </c>
      <c r="P154" s="130" t="s">
        <v>1</v>
      </c>
      <c r="Q154" s="130" t="s">
        <v>1</v>
      </c>
      <c r="R154" s="130" t="s">
        <v>1</v>
      </c>
      <c r="S154" s="130" t="s">
        <v>1</v>
      </c>
      <c r="T154" s="130" t="s">
        <v>1</v>
      </c>
      <c r="U154" s="130" t="s">
        <v>1</v>
      </c>
      <c r="V154" s="126" t="s">
        <v>1</v>
      </c>
      <c r="W154" s="126" t="s">
        <v>1</v>
      </c>
      <c r="X154" s="126" t="s">
        <v>1</v>
      </c>
      <c r="Y154" s="126" t="s">
        <v>1</v>
      </c>
      <c r="Z154" s="126" t="s">
        <v>1</v>
      </c>
      <c r="AA154" s="126" t="s">
        <v>1</v>
      </c>
      <c r="AB154" s="126" t="s">
        <v>1</v>
      </c>
      <c r="AC154" s="126" t="s">
        <v>1</v>
      </c>
      <c r="AD154" s="126" t="s">
        <v>1</v>
      </c>
      <c r="AE154" s="126" t="s">
        <v>1</v>
      </c>
      <c r="AF154" s="126" t="s">
        <v>1</v>
      </c>
      <c r="AG154" s="126" t="s">
        <v>1</v>
      </c>
      <c r="AH154" s="126" t="s">
        <v>1</v>
      </c>
      <c r="AI154" s="126" t="s">
        <v>1</v>
      </c>
      <c r="AJ154" s="126" t="s">
        <v>1</v>
      </c>
      <c r="AK154" s="126" t="s">
        <v>1</v>
      </c>
      <c r="AL154" s="126" t="s">
        <v>1</v>
      </c>
      <c r="AM154" s="126" t="s">
        <v>1</v>
      </c>
      <c r="AN154" s="126" t="s">
        <v>1</v>
      </c>
      <c r="AO154" s="126" t="s">
        <v>1</v>
      </c>
      <c r="AP154" s="126" t="s">
        <v>1</v>
      </c>
      <c r="AQ154" s="126" t="s">
        <v>1</v>
      </c>
      <c r="AR154" s="126" t="s">
        <v>1</v>
      </c>
      <c r="AS154" s="126" t="s">
        <v>1</v>
      </c>
      <c r="AT154" s="126" t="s">
        <v>1</v>
      </c>
      <c r="AU154" s="126" t="s">
        <v>1</v>
      </c>
      <c r="AV154" s="126" t="s">
        <v>1</v>
      </c>
      <c r="AW154" s="126" t="s">
        <v>1</v>
      </c>
      <c r="AX154" s="126" t="s">
        <v>1</v>
      </c>
      <c r="AY154" s="126" t="s">
        <v>1</v>
      </c>
      <c r="AZ154" s="126" t="s">
        <v>1</v>
      </c>
      <c r="BA154" s="126" t="s">
        <v>1</v>
      </c>
      <c r="BB154" s="126" t="s">
        <v>1</v>
      </c>
      <c r="BC154" s="126" t="s">
        <v>1</v>
      </c>
      <c r="BD154" s="126" t="s">
        <v>1</v>
      </c>
      <c r="BE154" s="126" t="s">
        <v>1</v>
      </c>
      <c r="BF154" s="126" t="s">
        <v>1</v>
      </c>
      <c r="BG154" s="137" t="s">
        <v>1</v>
      </c>
      <c r="BH154" s="137" t="s">
        <v>1</v>
      </c>
      <c r="BI154" s="137" t="s">
        <v>1</v>
      </c>
      <c r="BJ154" s="137" t="s">
        <v>1</v>
      </c>
      <c r="BK154" s="137" t="s">
        <v>1</v>
      </c>
      <c r="BL154" s="137" t="s">
        <v>1</v>
      </c>
      <c r="BM154" s="137" t="s">
        <v>1</v>
      </c>
      <c r="BN154" s="137" t="s">
        <v>1</v>
      </c>
      <c r="BO154" s="137" t="s">
        <v>1</v>
      </c>
      <c r="BP154" s="138" t="s">
        <v>1</v>
      </c>
      <c r="BQ154" s="138" t="s">
        <v>1</v>
      </c>
      <c r="BR154" s="138" t="s">
        <v>1</v>
      </c>
      <c r="BS154" s="138" t="s">
        <v>1</v>
      </c>
      <c r="BT154" s="138" t="s">
        <v>1</v>
      </c>
      <c r="BU154" s="138" t="s">
        <v>1</v>
      </c>
      <c r="BV154" s="138" t="s">
        <v>1</v>
      </c>
      <c r="BW154" s="138" t="s">
        <v>1</v>
      </c>
      <c r="BX154" s="138" t="s">
        <v>1</v>
      </c>
      <c r="BY154" s="138" t="s">
        <v>1</v>
      </c>
      <c r="BZ154" s="138" t="s">
        <v>1</v>
      </c>
      <c r="CA154" s="138" t="s">
        <v>1</v>
      </c>
      <c r="CB154" s="138" t="s">
        <v>1</v>
      </c>
      <c r="CC154" s="138" t="s">
        <v>1</v>
      </c>
      <c r="CD154" s="138" t="s">
        <v>1</v>
      </c>
      <c r="CE154" s="138" t="s">
        <v>1</v>
      </c>
    </row>
    <row r="155" ht="25" customHeight="1" spans="1:83">
      <c r="A155" s="107">
        <v>45258</v>
      </c>
      <c r="B155" s="1" t="s">
        <v>1</v>
      </c>
      <c r="C155" s="1" t="s">
        <v>1</v>
      </c>
      <c r="D155" s="1" t="s">
        <v>1</v>
      </c>
      <c r="E155" s="1" t="s">
        <v>1</v>
      </c>
      <c r="F155" s="1" t="s">
        <v>1</v>
      </c>
      <c r="G155" s="130" t="s">
        <v>1</v>
      </c>
      <c r="H155" s="130" t="s">
        <v>1</v>
      </c>
      <c r="I155" s="130" t="s">
        <v>1</v>
      </c>
      <c r="J155" s="130" t="s">
        <v>1</v>
      </c>
      <c r="K155" s="130" t="s">
        <v>1</v>
      </c>
      <c r="L155" s="30" t="s">
        <v>1</v>
      </c>
      <c r="M155" s="130" t="s">
        <v>1</v>
      </c>
      <c r="N155" s="130" t="s">
        <v>1</v>
      </c>
      <c r="O155" s="130" t="s">
        <v>1</v>
      </c>
      <c r="P155" s="130" t="s">
        <v>1</v>
      </c>
      <c r="Q155" s="130" t="s">
        <v>1</v>
      </c>
      <c r="R155" s="130" t="s">
        <v>1</v>
      </c>
      <c r="S155" s="130" t="s">
        <v>1</v>
      </c>
      <c r="T155" s="130" t="s">
        <v>1</v>
      </c>
      <c r="U155" s="130" t="s">
        <v>1</v>
      </c>
      <c r="V155" s="126" t="s">
        <v>1</v>
      </c>
      <c r="W155" s="126" t="s">
        <v>1</v>
      </c>
      <c r="X155" s="126" t="s">
        <v>1</v>
      </c>
      <c r="Y155" s="126" t="s">
        <v>1</v>
      </c>
      <c r="Z155" s="126" t="s">
        <v>1</v>
      </c>
      <c r="AA155" s="126" t="s">
        <v>1</v>
      </c>
      <c r="AB155" s="126" t="s">
        <v>1</v>
      </c>
      <c r="AC155" s="126" t="s">
        <v>1</v>
      </c>
      <c r="AD155" s="126" t="s">
        <v>1</v>
      </c>
      <c r="AE155" s="126" t="s">
        <v>1</v>
      </c>
      <c r="AF155" s="126" t="s">
        <v>1</v>
      </c>
      <c r="AG155" s="126" t="s">
        <v>1</v>
      </c>
      <c r="AH155" s="126" t="s">
        <v>1</v>
      </c>
      <c r="AI155" s="126" t="s">
        <v>1</v>
      </c>
      <c r="AJ155" s="126" t="s">
        <v>1</v>
      </c>
      <c r="AK155" s="126" t="s">
        <v>1</v>
      </c>
      <c r="AL155" s="126" t="s">
        <v>1</v>
      </c>
      <c r="AM155" s="126" t="s">
        <v>1</v>
      </c>
      <c r="AN155" s="126" t="s">
        <v>1</v>
      </c>
      <c r="AO155" s="126" t="s">
        <v>1</v>
      </c>
      <c r="AP155" s="126" t="s">
        <v>1</v>
      </c>
      <c r="AQ155" s="126" t="s">
        <v>1</v>
      </c>
      <c r="AR155" s="126" t="s">
        <v>1</v>
      </c>
      <c r="AS155" s="126" t="s">
        <v>1</v>
      </c>
      <c r="AT155" s="126" t="s">
        <v>1</v>
      </c>
      <c r="AU155" s="126" t="s">
        <v>1</v>
      </c>
      <c r="AV155" s="126" t="s">
        <v>1</v>
      </c>
      <c r="AW155" s="126" t="s">
        <v>1</v>
      </c>
      <c r="AX155" s="126" t="s">
        <v>1</v>
      </c>
      <c r="AY155" s="126" t="s">
        <v>1</v>
      </c>
      <c r="AZ155" s="126" t="s">
        <v>1</v>
      </c>
      <c r="BA155" s="126" t="s">
        <v>1</v>
      </c>
      <c r="BB155" s="126" t="s">
        <v>1</v>
      </c>
      <c r="BC155" s="126" t="s">
        <v>1</v>
      </c>
      <c r="BD155" s="126" t="s">
        <v>1</v>
      </c>
      <c r="BE155" s="126" t="s">
        <v>1</v>
      </c>
      <c r="BF155" s="126" t="s">
        <v>1</v>
      </c>
      <c r="BG155" s="137" t="s">
        <v>1</v>
      </c>
      <c r="BH155" s="137" t="s">
        <v>1</v>
      </c>
      <c r="BI155" s="137" t="s">
        <v>1</v>
      </c>
      <c r="BJ155" s="137" t="s">
        <v>1</v>
      </c>
      <c r="BK155" s="137" t="s">
        <v>1</v>
      </c>
      <c r="BL155" s="137" t="s">
        <v>1</v>
      </c>
      <c r="BM155" s="137" t="s">
        <v>1</v>
      </c>
      <c r="BN155" s="137" t="s">
        <v>1</v>
      </c>
      <c r="BO155" s="137" t="s">
        <v>1</v>
      </c>
      <c r="BP155" s="138" t="s">
        <v>1</v>
      </c>
      <c r="BQ155" s="138" t="s">
        <v>1</v>
      </c>
      <c r="BR155" s="138" t="s">
        <v>1</v>
      </c>
      <c r="BS155" s="138" t="s">
        <v>1</v>
      </c>
      <c r="BT155" s="138" t="s">
        <v>1</v>
      </c>
      <c r="BU155" s="138" t="s">
        <v>1</v>
      </c>
      <c r="BV155" s="138" t="s">
        <v>1</v>
      </c>
      <c r="BW155" s="138" t="s">
        <v>1</v>
      </c>
      <c r="BX155" s="138" t="s">
        <v>1</v>
      </c>
      <c r="BY155" s="138" t="s">
        <v>1</v>
      </c>
      <c r="BZ155" s="138" t="s">
        <v>1</v>
      </c>
      <c r="CA155" s="138" t="s">
        <v>1</v>
      </c>
      <c r="CB155" s="138" t="s">
        <v>1</v>
      </c>
      <c r="CC155" s="138" t="s">
        <v>1</v>
      </c>
      <c r="CD155" s="138" t="s">
        <v>1</v>
      </c>
      <c r="CE155" s="138" t="s">
        <v>1</v>
      </c>
    </row>
    <row r="156" ht="25" customHeight="1" spans="1:83">
      <c r="A156" s="107">
        <v>45259</v>
      </c>
      <c r="B156" s="1" t="s">
        <v>1</v>
      </c>
      <c r="C156" s="1" t="s">
        <v>1</v>
      </c>
      <c r="D156" s="1" t="s">
        <v>1</v>
      </c>
      <c r="E156" s="1" t="s">
        <v>1</v>
      </c>
      <c r="F156" s="1" t="s">
        <v>1</v>
      </c>
      <c r="G156" s="130" t="s">
        <v>1</v>
      </c>
      <c r="H156" s="130" t="s">
        <v>1</v>
      </c>
      <c r="I156" s="130" t="s">
        <v>1</v>
      </c>
      <c r="J156" s="130" t="s">
        <v>1</v>
      </c>
      <c r="K156" s="130" t="s">
        <v>1</v>
      </c>
      <c r="L156" s="30" t="s">
        <v>1</v>
      </c>
      <c r="M156" s="130" t="s">
        <v>1</v>
      </c>
      <c r="N156" s="130" t="s">
        <v>1</v>
      </c>
      <c r="O156" s="130" t="s">
        <v>1</v>
      </c>
      <c r="P156" s="130" t="s">
        <v>1</v>
      </c>
      <c r="Q156" s="130" t="s">
        <v>1</v>
      </c>
      <c r="R156" s="130" t="s">
        <v>1</v>
      </c>
      <c r="S156" s="130" t="s">
        <v>1</v>
      </c>
      <c r="T156" s="130" t="s">
        <v>1</v>
      </c>
      <c r="U156" s="130" t="s">
        <v>1</v>
      </c>
      <c r="V156" s="126" t="s">
        <v>1</v>
      </c>
      <c r="W156" s="126" t="s">
        <v>1</v>
      </c>
      <c r="X156" s="126" t="s">
        <v>1</v>
      </c>
      <c r="Y156" s="126" t="s">
        <v>1</v>
      </c>
      <c r="Z156" s="126" t="s">
        <v>1</v>
      </c>
      <c r="AA156" s="126" t="s">
        <v>1</v>
      </c>
      <c r="AB156" s="126" t="s">
        <v>1</v>
      </c>
      <c r="AC156" s="126" t="s">
        <v>1</v>
      </c>
      <c r="AD156" s="126" t="s">
        <v>1</v>
      </c>
      <c r="AE156" s="126" t="s">
        <v>1</v>
      </c>
      <c r="AF156" s="126" t="s">
        <v>1</v>
      </c>
      <c r="AG156" s="126" t="s">
        <v>1</v>
      </c>
      <c r="AH156" s="126" t="s">
        <v>1</v>
      </c>
      <c r="AI156" s="126" t="s">
        <v>1</v>
      </c>
      <c r="AJ156" s="126" t="s">
        <v>1</v>
      </c>
      <c r="AK156" s="126" t="s">
        <v>1</v>
      </c>
      <c r="AL156" s="126" t="s">
        <v>1</v>
      </c>
      <c r="AM156" s="126" t="s">
        <v>1</v>
      </c>
      <c r="AN156" s="126" t="s">
        <v>1</v>
      </c>
      <c r="AO156" s="126" t="s">
        <v>1</v>
      </c>
      <c r="AP156" s="126" t="s">
        <v>1</v>
      </c>
      <c r="AQ156" s="126" t="s">
        <v>1</v>
      </c>
      <c r="AR156" s="126" t="s">
        <v>1</v>
      </c>
      <c r="AS156" s="126" t="s">
        <v>1</v>
      </c>
      <c r="AT156" s="126" t="s">
        <v>1</v>
      </c>
      <c r="AU156" s="126" t="s">
        <v>1</v>
      </c>
      <c r="AV156" s="126" t="s">
        <v>1</v>
      </c>
      <c r="AW156" s="126" t="s">
        <v>1</v>
      </c>
      <c r="AX156" s="126" t="s">
        <v>1</v>
      </c>
      <c r="AY156" s="126" t="s">
        <v>1</v>
      </c>
      <c r="AZ156" s="126" t="s">
        <v>1</v>
      </c>
      <c r="BA156" s="126" t="s">
        <v>1</v>
      </c>
      <c r="BB156" s="126" t="s">
        <v>1</v>
      </c>
      <c r="BC156" s="126" t="s">
        <v>1</v>
      </c>
      <c r="BD156" s="126" t="s">
        <v>1</v>
      </c>
      <c r="BE156" s="126" t="s">
        <v>1</v>
      </c>
      <c r="BF156" s="126" t="s">
        <v>1</v>
      </c>
      <c r="BG156" s="137" t="s">
        <v>1</v>
      </c>
      <c r="BH156" s="137" t="s">
        <v>1</v>
      </c>
      <c r="BI156" s="137" t="s">
        <v>1</v>
      </c>
      <c r="BJ156" s="137" t="s">
        <v>1</v>
      </c>
      <c r="BK156" s="137" t="s">
        <v>1</v>
      </c>
      <c r="BL156" s="137" t="s">
        <v>1</v>
      </c>
      <c r="BM156" s="137" t="s">
        <v>1</v>
      </c>
      <c r="BN156" s="137" t="s">
        <v>1</v>
      </c>
      <c r="BO156" s="137" t="s">
        <v>1</v>
      </c>
      <c r="BP156" s="138" t="s">
        <v>1</v>
      </c>
      <c r="BQ156" s="138" t="s">
        <v>1</v>
      </c>
      <c r="BR156" s="138" t="s">
        <v>1</v>
      </c>
      <c r="BS156" s="138" t="s">
        <v>1</v>
      </c>
      <c r="BT156" s="138" t="s">
        <v>1</v>
      </c>
      <c r="BU156" s="138" t="s">
        <v>1</v>
      </c>
      <c r="BV156" s="138" t="s">
        <v>1</v>
      </c>
      <c r="BW156" s="138" t="s">
        <v>1</v>
      </c>
      <c r="BX156" s="138" t="s">
        <v>1</v>
      </c>
      <c r="BY156" s="138" t="s">
        <v>1</v>
      </c>
      <c r="BZ156" s="138" t="s">
        <v>1</v>
      </c>
      <c r="CA156" s="138" t="s">
        <v>1</v>
      </c>
      <c r="CB156" s="138" t="s">
        <v>1</v>
      </c>
      <c r="CC156" s="138" t="s">
        <v>1</v>
      </c>
      <c r="CD156" s="138" t="s">
        <v>1</v>
      </c>
      <c r="CE156" s="138" t="s">
        <v>1</v>
      </c>
    </row>
    <row r="157" ht="25" customHeight="1" spans="1:83">
      <c r="A157" s="107">
        <v>45260</v>
      </c>
      <c r="B157" s="1" t="s">
        <v>1</v>
      </c>
      <c r="C157" s="1" t="s">
        <v>1</v>
      </c>
      <c r="D157" s="1" t="s">
        <v>1</v>
      </c>
      <c r="E157" s="1" t="s">
        <v>1</v>
      </c>
      <c r="F157" s="1" t="s">
        <v>1</v>
      </c>
      <c r="G157" s="130" t="s">
        <v>1</v>
      </c>
      <c r="H157" s="130" t="s">
        <v>1</v>
      </c>
      <c r="I157" s="130" t="s">
        <v>1</v>
      </c>
      <c r="J157" s="130" t="s">
        <v>1</v>
      </c>
      <c r="K157" s="130" t="s">
        <v>1</v>
      </c>
      <c r="L157" s="30" t="s">
        <v>1</v>
      </c>
      <c r="M157" s="130" t="s">
        <v>1</v>
      </c>
      <c r="N157" s="130" t="s">
        <v>1</v>
      </c>
      <c r="O157" s="130" t="s">
        <v>1</v>
      </c>
      <c r="P157" s="130" t="s">
        <v>1</v>
      </c>
      <c r="Q157" s="130" t="s">
        <v>1</v>
      </c>
      <c r="R157" s="130" t="s">
        <v>1</v>
      </c>
      <c r="S157" s="130" t="s">
        <v>1</v>
      </c>
      <c r="T157" s="130" t="s">
        <v>1</v>
      </c>
      <c r="U157" s="130" t="s">
        <v>1</v>
      </c>
      <c r="V157" s="126" t="s">
        <v>1</v>
      </c>
      <c r="W157" s="126" t="s">
        <v>1</v>
      </c>
      <c r="X157" s="126" t="s">
        <v>1</v>
      </c>
      <c r="Y157" s="126" t="s">
        <v>1</v>
      </c>
      <c r="Z157" s="126" t="s">
        <v>1</v>
      </c>
      <c r="AA157" s="126" t="s">
        <v>1</v>
      </c>
      <c r="AB157" s="126" t="s">
        <v>1</v>
      </c>
      <c r="AC157" s="126" t="s">
        <v>1</v>
      </c>
      <c r="AD157" s="126" t="s">
        <v>1</v>
      </c>
      <c r="AE157" s="126" t="s">
        <v>1</v>
      </c>
      <c r="AF157" s="126" t="s">
        <v>1</v>
      </c>
      <c r="AG157" s="126" t="s">
        <v>1</v>
      </c>
      <c r="AH157" s="126" t="s">
        <v>1</v>
      </c>
      <c r="AI157" s="126" t="s">
        <v>1</v>
      </c>
      <c r="AJ157" s="126" t="s">
        <v>1</v>
      </c>
      <c r="AK157" s="126" t="s">
        <v>1</v>
      </c>
      <c r="AL157" s="126" t="s">
        <v>1</v>
      </c>
      <c r="AM157" s="126" t="s">
        <v>1</v>
      </c>
      <c r="AN157" s="126" t="s">
        <v>1</v>
      </c>
      <c r="AO157" s="126" t="s">
        <v>1</v>
      </c>
      <c r="AP157" s="126" t="s">
        <v>1</v>
      </c>
      <c r="AQ157" s="126" t="s">
        <v>1</v>
      </c>
      <c r="AR157" s="126" t="s">
        <v>1</v>
      </c>
      <c r="AS157" s="126" t="s">
        <v>1</v>
      </c>
      <c r="AT157" s="126" t="s">
        <v>1</v>
      </c>
      <c r="AU157" s="126" t="s">
        <v>1</v>
      </c>
      <c r="AV157" s="126" t="s">
        <v>1</v>
      </c>
      <c r="AW157" s="126" t="s">
        <v>1</v>
      </c>
      <c r="AX157" s="126" t="s">
        <v>1</v>
      </c>
      <c r="AY157" s="126" t="s">
        <v>1</v>
      </c>
      <c r="AZ157" s="126" t="s">
        <v>1</v>
      </c>
      <c r="BA157" s="126" t="s">
        <v>1</v>
      </c>
      <c r="BB157" s="126" t="s">
        <v>1</v>
      </c>
      <c r="BC157" s="126" t="s">
        <v>1</v>
      </c>
      <c r="BD157" s="126" t="s">
        <v>1</v>
      </c>
      <c r="BE157" s="126" t="s">
        <v>1</v>
      </c>
      <c r="BF157" s="126" t="s">
        <v>1</v>
      </c>
      <c r="BG157" s="137" t="s">
        <v>1</v>
      </c>
      <c r="BH157" s="137" t="s">
        <v>1</v>
      </c>
      <c r="BI157" s="137" t="s">
        <v>1</v>
      </c>
      <c r="BJ157" s="137" t="s">
        <v>1</v>
      </c>
      <c r="BK157" s="137" t="s">
        <v>1</v>
      </c>
      <c r="BL157" s="137" t="s">
        <v>1</v>
      </c>
      <c r="BM157" s="137" t="s">
        <v>1</v>
      </c>
      <c r="BN157" s="137" t="s">
        <v>1</v>
      </c>
      <c r="BO157" s="137" t="s">
        <v>1</v>
      </c>
      <c r="BP157" s="138" t="s">
        <v>1</v>
      </c>
      <c r="BQ157" s="138" t="s">
        <v>1</v>
      </c>
      <c r="BR157" s="138" t="s">
        <v>1</v>
      </c>
      <c r="BS157" s="138" t="s">
        <v>1</v>
      </c>
      <c r="BT157" s="138" t="s">
        <v>1</v>
      </c>
      <c r="BU157" s="138" t="s">
        <v>1</v>
      </c>
      <c r="BV157" s="138" t="s">
        <v>1</v>
      </c>
      <c r="BW157" s="138" t="s">
        <v>1</v>
      </c>
      <c r="BX157" s="138" t="s">
        <v>1</v>
      </c>
      <c r="BY157" s="138" t="s">
        <v>1</v>
      </c>
      <c r="BZ157" s="138" t="s">
        <v>1</v>
      </c>
      <c r="CA157" s="138" t="s">
        <v>1</v>
      </c>
      <c r="CB157" s="138" t="s">
        <v>1</v>
      </c>
      <c r="CC157" s="138" t="s">
        <v>1</v>
      </c>
      <c r="CD157" s="138" t="s">
        <v>1</v>
      </c>
      <c r="CE157" s="138" t="s">
        <v>1</v>
      </c>
    </row>
    <row r="158" ht="25" customHeight="1" spans="1:83">
      <c r="A158" s="1" t="s">
        <v>1</v>
      </c>
      <c r="B158" s="1" t="s">
        <v>1</v>
      </c>
      <c r="C158" s="1" t="s">
        <v>1</v>
      </c>
      <c r="D158" s="1" t="s">
        <v>1</v>
      </c>
      <c r="E158" s="1" t="s">
        <v>1</v>
      </c>
      <c r="F158" s="1" t="s">
        <v>1</v>
      </c>
      <c r="G158" s="130" t="s">
        <v>1</v>
      </c>
      <c r="H158" s="130" t="s">
        <v>1</v>
      </c>
      <c r="I158" s="130" t="s">
        <v>1</v>
      </c>
      <c r="J158" s="130" t="s">
        <v>1</v>
      </c>
      <c r="K158" s="130" t="s">
        <v>1</v>
      </c>
      <c r="L158" s="30" t="s">
        <v>1</v>
      </c>
      <c r="M158" s="130" t="s">
        <v>1</v>
      </c>
      <c r="N158" s="130" t="s">
        <v>1</v>
      </c>
      <c r="O158" s="130" t="s">
        <v>1</v>
      </c>
      <c r="P158" s="130" t="s">
        <v>1</v>
      </c>
      <c r="Q158" s="130" t="s">
        <v>1</v>
      </c>
      <c r="R158" s="130" t="s">
        <v>1</v>
      </c>
      <c r="S158" s="130" t="s">
        <v>1</v>
      </c>
      <c r="T158" s="130" t="s">
        <v>1</v>
      </c>
      <c r="U158" s="130" t="s">
        <v>1</v>
      </c>
      <c r="V158" s="126" t="s">
        <v>1</v>
      </c>
      <c r="W158" s="126" t="s">
        <v>1</v>
      </c>
      <c r="X158" s="126" t="s">
        <v>1</v>
      </c>
      <c r="Y158" s="126" t="s">
        <v>1</v>
      </c>
      <c r="Z158" s="126" t="s">
        <v>1</v>
      </c>
      <c r="AA158" s="126" t="s">
        <v>1</v>
      </c>
      <c r="AB158" s="126" t="s">
        <v>1</v>
      </c>
      <c r="AC158" s="126" t="s">
        <v>1</v>
      </c>
      <c r="AD158" s="126" t="s">
        <v>1</v>
      </c>
      <c r="AE158" s="126" t="s">
        <v>1</v>
      </c>
      <c r="AF158" s="126" t="s">
        <v>1</v>
      </c>
      <c r="AG158" s="126" t="s">
        <v>1</v>
      </c>
      <c r="AH158" s="126" t="s">
        <v>1</v>
      </c>
      <c r="AI158" s="126" t="s">
        <v>1</v>
      </c>
      <c r="AJ158" s="126" t="s">
        <v>1</v>
      </c>
      <c r="AK158" s="126" t="s">
        <v>1</v>
      </c>
      <c r="AL158" s="126" t="s">
        <v>1</v>
      </c>
      <c r="AM158" s="126" t="s">
        <v>1</v>
      </c>
      <c r="AN158" s="126" t="s">
        <v>1</v>
      </c>
      <c r="AO158" s="126" t="s">
        <v>1</v>
      </c>
      <c r="AP158" s="126" t="s">
        <v>1</v>
      </c>
      <c r="AQ158" s="126" t="s">
        <v>1</v>
      </c>
      <c r="AR158" s="126" t="s">
        <v>1</v>
      </c>
      <c r="AS158" s="126" t="s">
        <v>1</v>
      </c>
      <c r="AT158" s="126" t="s">
        <v>1</v>
      </c>
      <c r="AU158" s="126" t="s">
        <v>1</v>
      </c>
      <c r="AV158" s="126" t="s">
        <v>1</v>
      </c>
      <c r="AW158" s="126" t="s">
        <v>1</v>
      </c>
      <c r="AX158" s="126" t="s">
        <v>1</v>
      </c>
      <c r="AY158" s="126" t="s">
        <v>1</v>
      </c>
      <c r="AZ158" s="126" t="s">
        <v>1</v>
      </c>
      <c r="BA158" s="126" t="s">
        <v>1</v>
      </c>
      <c r="BB158" s="126" t="s">
        <v>1</v>
      </c>
      <c r="BC158" s="126" t="s">
        <v>1</v>
      </c>
      <c r="BD158" s="126" t="s">
        <v>1</v>
      </c>
      <c r="BE158" s="126" t="s">
        <v>1</v>
      </c>
      <c r="BF158" s="126" t="s">
        <v>1</v>
      </c>
      <c r="BG158" s="137" t="s">
        <v>1</v>
      </c>
      <c r="BH158" s="137" t="s">
        <v>1</v>
      </c>
      <c r="BI158" s="137" t="s">
        <v>1</v>
      </c>
      <c r="BJ158" s="137" t="s">
        <v>1</v>
      </c>
      <c r="BK158" s="137" t="s">
        <v>1</v>
      </c>
      <c r="BL158" s="137" t="s">
        <v>1</v>
      </c>
      <c r="BM158" s="137" t="s">
        <v>1</v>
      </c>
      <c r="BN158" s="137" t="s">
        <v>1</v>
      </c>
      <c r="BO158" s="137" t="s">
        <v>1</v>
      </c>
      <c r="BP158" s="138" t="s">
        <v>1</v>
      </c>
      <c r="BQ158" s="138" t="s">
        <v>1</v>
      </c>
      <c r="BR158" s="138" t="s">
        <v>1</v>
      </c>
      <c r="BS158" s="138" t="s">
        <v>1</v>
      </c>
      <c r="BT158" s="138" t="s">
        <v>1</v>
      </c>
      <c r="BU158" s="138" t="s">
        <v>1</v>
      </c>
      <c r="BV158" s="138" t="s">
        <v>1</v>
      </c>
      <c r="BW158" s="138" t="s">
        <v>1</v>
      </c>
      <c r="BX158" s="138" t="s">
        <v>1</v>
      </c>
      <c r="BY158" s="138" t="s">
        <v>1</v>
      </c>
      <c r="BZ158" s="138" t="s">
        <v>1</v>
      </c>
      <c r="CA158" s="138" t="s">
        <v>1</v>
      </c>
      <c r="CB158" s="138" t="s">
        <v>1</v>
      </c>
      <c r="CC158" s="138" t="s">
        <v>1</v>
      </c>
      <c r="CD158" s="138" t="s">
        <v>1</v>
      </c>
      <c r="CE158" s="138" t="s">
        <v>1</v>
      </c>
    </row>
    <row r="159" ht="25" customHeight="1" spans="1:83">
      <c r="A159" s="1" t="s">
        <v>1</v>
      </c>
      <c r="B159" s="1" t="s">
        <v>1</v>
      </c>
      <c r="C159" s="1" t="s">
        <v>1</v>
      </c>
      <c r="D159" s="1" t="s">
        <v>1</v>
      </c>
      <c r="E159" s="1" t="s">
        <v>1</v>
      </c>
      <c r="F159" s="1" t="s">
        <v>1</v>
      </c>
      <c r="G159" s="130" t="s">
        <v>1</v>
      </c>
      <c r="H159" s="130" t="s">
        <v>1</v>
      </c>
      <c r="I159" s="130" t="s">
        <v>1</v>
      </c>
      <c r="J159" s="130" t="s">
        <v>1</v>
      </c>
      <c r="K159" s="130" t="s">
        <v>1</v>
      </c>
      <c r="L159" s="30" t="s">
        <v>1</v>
      </c>
      <c r="M159" s="130" t="s">
        <v>1</v>
      </c>
      <c r="N159" s="130" t="s">
        <v>1</v>
      </c>
      <c r="O159" s="130" t="s">
        <v>1</v>
      </c>
      <c r="P159" s="130" t="s">
        <v>1</v>
      </c>
      <c r="Q159" s="130" t="s">
        <v>1</v>
      </c>
      <c r="R159" s="130" t="s">
        <v>1</v>
      </c>
      <c r="S159" s="130" t="s">
        <v>1</v>
      </c>
      <c r="T159" s="130" t="s">
        <v>1</v>
      </c>
      <c r="U159" s="130" t="s">
        <v>1</v>
      </c>
      <c r="V159" s="126" t="s">
        <v>1</v>
      </c>
      <c r="W159" s="126" t="s">
        <v>1</v>
      </c>
      <c r="X159" s="126" t="s">
        <v>1</v>
      </c>
      <c r="Y159" s="126" t="s">
        <v>1</v>
      </c>
      <c r="Z159" s="126" t="s">
        <v>1</v>
      </c>
      <c r="AA159" s="126" t="s">
        <v>1</v>
      </c>
      <c r="AB159" s="126" t="s">
        <v>1</v>
      </c>
      <c r="AC159" s="126" t="s">
        <v>1</v>
      </c>
      <c r="AD159" s="126" t="s">
        <v>1</v>
      </c>
      <c r="AE159" s="126" t="s">
        <v>1</v>
      </c>
      <c r="AF159" s="126" t="s">
        <v>1</v>
      </c>
      <c r="AG159" s="126" t="s">
        <v>1</v>
      </c>
      <c r="AH159" s="126" t="s">
        <v>1</v>
      </c>
      <c r="AI159" s="126" t="s">
        <v>1</v>
      </c>
      <c r="AJ159" s="126" t="s">
        <v>1</v>
      </c>
      <c r="AK159" s="126" t="s">
        <v>1</v>
      </c>
      <c r="AL159" s="126" t="s">
        <v>1</v>
      </c>
      <c r="AM159" s="126" t="s">
        <v>1</v>
      </c>
      <c r="AN159" s="126" t="s">
        <v>1</v>
      </c>
      <c r="AO159" s="126" t="s">
        <v>1</v>
      </c>
      <c r="AP159" s="126" t="s">
        <v>1</v>
      </c>
      <c r="AQ159" s="126" t="s">
        <v>1</v>
      </c>
      <c r="AR159" s="126" t="s">
        <v>1</v>
      </c>
      <c r="AS159" s="126" t="s">
        <v>1</v>
      </c>
      <c r="AT159" s="126" t="s">
        <v>1</v>
      </c>
      <c r="AU159" s="126" t="s">
        <v>1</v>
      </c>
      <c r="AV159" s="126" t="s">
        <v>1</v>
      </c>
      <c r="AW159" s="126" t="s">
        <v>1</v>
      </c>
      <c r="AX159" s="126" t="s">
        <v>1</v>
      </c>
      <c r="AY159" s="126" t="s">
        <v>1</v>
      </c>
      <c r="AZ159" s="126" t="s">
        <v>1</v>
      </c>
      <c r="BA159" s="126" t="s">
        <v>1</v>
      </c>
      <c r="BB159" s="126" t="s">
        <v>1</v>
      </c>
      <c r="BC159" s="126" t="s">
        <v>1</v>
      </c>
      <c r="BD159" s="126" t="s">
        <v>1</v>
      </c>
      <c r="BE159" s="126" t="s">
        <v>1</v>
      </c>
      <c r="BF159" s="126" t="s">
        <v>1</v>
      </c>
      <c r="BG159" s="137" t="s">
        <v>1</v>
      </c>
      <c r="BH159" s="137" t="s">
        <v>1</v>
      </c>
      <c r="BI159" s="137" t="s">
        <v>1</v>
      </c>
      <c r="BJ159" s="137" t="s">
        <v>1</v>
      </c>
      <c r="BK159" s="137" t="s">
        <v>1</v>
      </c>
      <c r="BL159" s="137" t="s">
        <v>1</v>
      </c>
      <c r="BM159" s="137" t="s">
        <v>1</v>
      </c>
      <c r="BN159" s="137" t="s">
        <v>1</v>
      </c>
      <c r="BO159" s="137" t="s">
        <v>1</v>
      </c>
      <c r="BP159" s="138" t="s">
        <v>1</v>
      </c>
      <c r="BQ159" s="138" t="s">
        <v>1</v>
      </c>
      <c r="BR159" s="138" t="s">
        <v>1</v>
      </c>
      <c r="BS159" s="138" t="s">
        <v>1</v>
      </c>
      <c r="BT159" s="138" t="s">
        <v>1</v>
      </c>
      <c r="BU159" s="138" t="s">
        <v>1</v>
      </c>
      <c r="BV159" s="138" t="s">
        <v>1</v>
      </c>
      <c r="BW159" s="138" t="s">
        <v>1</v>
      </c>
      <c r="BX159" s="138" t="s">
        <v>1</v>
      </c>
      <c r="BY159" s="138" t="s">
        <v>1</v>
      </c>
      <c r="BZ159" s="138" t="s">
        <v>1</v>
      </c>
      <c r="CA159" s="138" t="s">
        <v>1</v>
      </c>
      <c r="CB159" s="138" t="s">
        <v>1</v>
      </c>
      <c r="CC159" s="138" t="s">
        <v>1</v>
      </c>
      <c r="CD159" s="138" t="s">
        <v>1</v>
      </c>
      <c r="CE159" s="138" t="s">
        <v>1</v>
      </c>
    </row>
    <row r="160" ht="25" customHeight="1" spans="1:83">
      <c r="A160" s="1" t="s">
        <v>1</v>
      </c>
      <c r="B160" s="1" t="s">
        <v>1</v>
      </c>
      <c r="C160" s="1" t="s">
        <v>1</v>
      </c>
      <c r="D160" s="1" t="s">
        <v>1</v>
      </c>
      <c r="E160" s="1" t="s">
        <v>1</v>
      </c>
      <c r="F160" s="1" t="s">
        <v>1</v>
      </c>
      <c r="G160" s="130" t="s">
        <v>1</v>
      </c>
      <c r="H160" s="130" t="s">
        <v>1</v>
      </c>
      <c r="I160" s="130" t="s">
        <v>1</v>
      </c>
      <c r="J160" s="130" t="s">
        <v>1</v>
      </c>
      <c r="K160" s="130" t="s">
        <v>1</v>
      </c>
      <c r="L160" s="30" t="s">
        <v>1</v>
      </c>
      <c r="M160" s="130" t="s">
        <v>1</v>
      </c>
      <c r="N160" s="130" t="s">
        <v>1</v>
      </c>
      <c r="O160" s="130" t="s">
        <v>1</v>
      </c>
      <c r="P160" s="130" t="s">
        <v>1</v>
      </c>
      <c r="Q160" s="130" t="s">
        <v>1</v>
      </c>
      <c r="R160" s="130" t="s">
        <v>1</v>
      </c>
      <c r="S160" s="130" t="s">
        <v>1</v>
      </c>
      <c r="T160" s="130" t="s">
        <v>1</v>
      </c>
      <c r="U160" s="130" t="s">
        <v>1</v>
      </c>
      <c r="V160" s="126" t="s">
        <v>1</v>
      </c>
      <c r="W160" s="126" t="s">
        <v>1</v>
      </c>
      <c r="X160" s="126" t="s">
        <v>1</v>
      </c>
      <c r="Y160" s="126" t="s">
        <v>1</v>
      </c>
      <c r="Z160" s="126" t="s">
        <v>1</v>
      </c>
      <c r="AA160" s="126" t="s">
        <v>1</v>
      </c>
      <c r="AB160" s="126" t="s">
        <v>1</v>
      </c>
      <c r="AC160" s="126" t="s">
        <v>1</v>
      </c>
      <c r="AD160" s="126" t="s">
        <v>1</v>
      </c>
      <c r="AE160" s="126" t="s">
        <v>1</v>
      </c>
      <c r="AF160" s="126" t="s">
        <v>1</v>
      </c>
      <c r="AG160" s="126" t="s">
        <v>1</v>
      </c>
      <c r="AH160" s="126" t="s">
        <v>1</v>
      </c>
      <c r="AI160" s="126" t="s">
        <v>1</v>
      </c>
      <c r="AJ160" s="126" t="s">
        <v>1</v>
      </c>
      <c r="AK160" s="126" t="s">
        <v>1</v>
      </c>
      <c r="AL160" s="126" t="s">
        <v>1</v>
      </c>
      <c r="AM160" s="126" t="s">
        <v>1</v>
      </c>
      <c r="AN160" s="126" t="s">
        <v>1</v>
      </c>
      <c r="AO160" s="126" t="s">
        <v>1</v>
      </c>
      <c r="AP160" s="126" t="s">
        <v>1</v>
      </c>
      <c r="AQ160" s="126" t="s">
        <v>1</v>
      </c>
      <c r="AR160" s="126" t="s">
        <v>1</v>
      </c>
      <c r="AS160" s="126" t="s">
        <v>1</v>
      </c>
      <c r="AT160" s="126" t="s">
        <v>1</v>
      </c>
      <c r="AU160" s="126" t="s">
        <v>1</v>
      </c>
      <c r="AV160" s="126" t="s">
        <v>1</v>
      </c>
      <c r="AW160" s="126" t="s">
        <v>1</v>
      </c>
      <c r="AX160" s="126" t="s">
        <v>1</v>
      </c>
      <c r="AY160" s="126" t="s">
        <v>1</v>
      </c>
      <c r="AZ160" s="126" t="s">
        <v>1</v>
      </c>
      <c r="BA160" s="126" t="s">
        <v>1</v>
      </c>
      <c r="BB160" s="126" t="s">
        <v>1</v>
      </c>
      <c r="BC160" s="126" t="s">
        <v>1</v>
      </c>
      <c r="BD160" s="126" t="s">
        <v>1</v>
      </c>
      <c r="BE160" s="126" t="s">
        <v>1</v>
      </c>
      <c r="BF160" s="126" t="s">
        <v>1</v>
      </c>
      <c r="BG160" s="137" t="s">
        <v>1</v>
      </c>
      <c r="BH160" s="137" t="s">
        <v>1</v>
      </c>
      <c r="BI160" s="137" t="s">
        <v>1</v>
      </c>
      <c r="BJ160" s="137" t="s">
        <v>1</v>
      </c>
      <c r="BK160" s="137" t="s">
        <v>1</v>
      </c>
      <c r="BL160" s="137" t="s">
        <v>1</v>
      </c>
      <c r="BM160" s="137" t="s">
        <v>1</v>
      </c>
      <c r="BN160" s="137" t="s">
        <v>1</v>
      </c>
      <c r="BO160" s="137" t="s">
        <v>1</v>
      </c>
      <c r="BP160" s="138" t="s">
        <v>1</v>
      </c>
      <c r="BQ160" s="138" t="s">
        <v>1</v>
      </c>
      <c r="BR160" s="138" t="s">
        <v>1</v>
      </c>
      <c r="BS160" s="138" t="s">
        <v>1</v>
      </c>
      <c r="BT160" s="138" t="s">
        <v>1</v>
      </c>
      <c r="BU160" s="138" t="s">
        <v>1</v>
      </c>
      <c r="BV160" s="138" t="s">
        <v>1</v>
      </c>
      <c r="BW160" s="138" t="s">
        <v>1</v>
      </c>
      <c r="BX160" s="138" t="s">
        <v>1</v>
      </c>
      <c r="BY160" s="138" t="s">
        <v>1</v>
      </c>
      <c r="BZ160" s="138" t="s">
        <v>1</v>
      </c>
      <c r="CA160" s="138" t="s">
        <v>1</v>
      </c>
      <c r="CB160" s="138" t="s">
        <v>1</v>
      </c>
      <c r="CC160" s="138" t="s">
        <v>1</v>
      </c>
      <c r="CD160" s="138" t="s">
        <v>1</v>
      </c>
      <c r="CE160" s="138" t="s">
        <v>1</v>
      </c>
    </row>
    <row r="161" ht="25" customHeight="1" spans="1:84">
      <c r="A161" s="295" t="s">
        <v>177</v>
      </c>
      <c r="B161" s="296" t="s">
        <v>1</v>
      </c>
      <c r="C161" s="296" t="s">
        <v>1</v>
      </c>
      <c r="D161" s="249" t="s">
        <v>2</v>
      </c>
      <c r="E161" s="249" t="s">
        <v>1</v>
      </c>
      <c r="F161" s="249" t="s">
        <v>1</v>
      </c>
      <c r="G161" s="249" t="s">
        <v>1</v>
      </c>
      <c r="H161" s="249" t="s">
        <v>1</v>
      </c>
      <c r="I161" s="249" t="s">
        <v>1</v>
      </c>
      <c r="J161" s="249" t="s">
        <v>1</v>
      </c>
      <c r="K161" s="250" t="s">
        <v>1</v>
      </c>
      <c r="L161" s="251" t="s">
        <v>1</v>
      </c>
      <c r="M161" s="252" t="s">
        <v>1</v>
      </c>
      <c r="N161" s="249" t="s">
        <v>1</v>
      </c>
      <c r="O161" s="249" t="s">
        <v>1</v>
      </c>
      <c r="P161" s="249" t="s">
        <v>1</v>
      </c>
      <c r="Q161" s="249" t="s">
        <v>1</v>
      </c>
      <c r="R161" s="249" t="s">
        <v>1</v>
      </c>
      <c r="S161" s="249" t="s">
        <v>1</v>
      </c>
      <c r="T161" s="249" t="s">
        <v>1</v>
      </c>
      <c r="U161" s="249" t="s">
        <v>1</v>
      </c>
      <c r="V161" s="253" t="s">
        <v>3</v>
      </c>
      <c r="W161" s="254" t="s">
        <v>1</v>
      </c>
      <c r="X161" s="254" t="s">
        <v>1</v>
      </c>
      <c r="Y161" s="254" t="s">
        <v>1</v>
      </c>
      <c r="Z161" s="254" t="s">
        <v>1</v>
      </c>
      <c r="AA161" s="254" t="s">
        <v>1</v>
      </c>
      <c r="AB161" s="254" t="s">
        <v>1</v>
      </c>
      <c r="AC161" s="254" t="s">
        <v>1</v>
      </c>
      <c r="AD161" s="254" t="s">
        <v>1</v>
      </c>
      <c r="AE161" s="254" t="s">
        <v>1</v>
      </c>
      <c r="AF161" s="254" t="s">
        <v>1</v>
      </c>
      <c r="AG161" s="254" t="s">
        <v>1</v>
      </c>
      <c r="AH161" s="254" t="s">
        <v>1</v>
      </c>
      <c r="AI161" s="254" t="s">
        <v>1</v>
      </c>
      <c r="AJ161" s="254" t="s">
        <v>1</v>
      </c>
      <c r="AK161" s="254" t="s">
        <v>1</v>
      </c>
      <c r="AL161" s="254" t="s">
        <v>1</v>
      </c>
      <c r="AM161" s="254" t="s">
        <v>1</v>
      </c>
      <c r="AN161" s="254" t="s">
        <v>1</v>
      </c>
      <c r="AO161" s="254" t="s">
        <v>1</v>
      </c>
      <c r="AP161" s="254" t="s">
        <v>1</v>
      </c>
      <c r="AQ161" s="254" t="s">
        <v>1</v>
      </c>
      <c r="AR161" s="254" t="s">
        <v>1</v>
      </c>
      <c r="AS161" s="254" t="s">
        <v>1</v>
      </c>
      <c r="AT161" s="255" t="s">
        <v>4</v>
      </c>
      <c r="AU161" s="255" t="s">
        <v>1</v>
      </c>
      <c r="AV161" s="255" t="s">
        <v>1</v>
      </c>
      <c r="AW161" s="255" t="s">
        <v>1</v>
      </c>
      <c r="AX161" s="255" t="s">
        <v>1</v>
      </c>
      <c r="AY161" s="255" t="s">
        <v>1</v>
      </c>
      <c r="AZ161" s="255" t="s">
        <v>1</v>
      </c>
      <c r="BA161" s="255" t="s">
        <v>1</v>
      </c>
      <c r="BB161" s="255" t="s">
        <v>1</v>
      </c>
      <c r="BC161" s="255" t="s">
        <v>1</v>
      </c>
      <c r="BD161" s="255" t="s">
        <v>1</v>
      </c>
      <c r="BE161" s="255" t="s">
        <v>1</v>
      </c>
      <c r="BF161" s="255" t="s">
        <v>1</v>
      </c>
      <c r="BG161" s="255" t="s">
        <v>1</v>
      </c>
      <c r="BH161" s="69" t="s">
        <v>5</v>
      </c>
      <c r="BI161" s="256" t="s">
        <v>6</v>
      </c>
      <c r="BJ161" s="256" t="s">
        <v>1</v>
      </c>
      <c r="BK161" s="256" t="s">
        <v>1</v>
      </c>
      <c r="BL161" s="256" t="s">
        <v>1</v>
      </c>
      <c r="BM161" s="256" t="s">
        <v>1</v>
      </c>
      <c r="BN161" s="256" t="s">
        <v>1</v>
      </c>
      <c r="BO161" s="256" t="s">
        <v>1</v>
      </c>
      <c r="BP161" s="257" t="s">
        <v>1</v>
      </c>
      <c r="BQ161" s="258" t="s">
        <v>7</v>
      </c>
      <c r="BR161" s="258" t="s">
        <v>1</v>
      </c>
      <c r="BS161" s="258" t="s">
        <v>1</v>
      </c>
      <c r="BT161" s="258" t="s">
        <v>1</v>
      </c>
      <c r="BU161" s="258" t="s">
        <v>1</v>
      </c>
      <c r="BV161" s="258" t="s">
        <v>1</v>
      </c>
      <c r="BW161" s="258" t="s">
        <v>1</v>
      </c>
      <c r="BX161" s="258" t="s">
        <v>1</v>
      </c>
      <c r="BY161" s="258" t="s">
        <v>1</v>
      </c>
      <c r="BZ161" s="258" t="s">
        <v>1</v>
      </c>
      <c r="CA161" s="258" t="s">
        <v>1</v>
      </c>
      <c r="CB161" s="258" t="s">
        <v>1</v>
      </c>
      <c r="CC161" s="258" t="s">
        <v>1</v>
      </c>
      <c r="CD161" s="258" t="s">
        <v>1</v>
      </c>
      <c r="CE161" s="259" t="s">
        <v>1</v>
      </c>
      <c r="CF161" s="72" t="s">
        <v>178</v>
      </c>
    </row>
    <row r="162" ht="25" customHeight="1" spans="1:84">
      <c r="A162" s="38" t="s">
        <v>9</v>
      </c>
      <c r="B162" s="124" t="s">
        <v>10</v>
      </c>
      <c r="C162" s="155" t="s">
        <v>1</v>
      </c>
      <c r="D162" s="260" t="s">
        <v>11</v>
      </c>
      <c r="E162" s="261" t="s">
        <v>1</v>
      </c>
      <c r="F162" s="261" t="s">
        <v>1</v>
      </c>
      <c r="G162" s="261" t="s">
        <v>1</v>
      </c>
      <c r="H162" s="261" t="s">
        <v>1</v>
      </c>
      <c r="I162" s="261" t="s">
        <v>1</v>
      </c>
      <c r="J162" s="261" t="s">
        <v>1</v>
      </c>
      <c r="K162" s="261" t="s">
        <v>1</v>
      </c>
      <c r="L162" s="251" t="s">
        <v>12</v>
      </c>
      <c r="M162" s="261" t="s">
        <v>1</v>
      </c>
      <c r="N162" s="261" t="s">
        <v>1</v>
      </c>
      <c r="O162" s="261" t="s">
        <v>1</v>
      </c>
      <c r="P162" s="261" t="s">
        <v>1</v>
      </c>
      <c r="Q162" s="261" t="s">
        <v>1</v>
      </c>
      <c r="R162" s="261" t="s">
        <v>1</v>
      </c>
      <c r="S162" s="261" t="s">
        <v>1</v>
      </c>
      <c r="T162" s="261" t="s">
        <v>1</v>
      </c>
      <c r="U162" s="262" t="s">
        <v>1</v>
      </c>
      <c r="V162" s="263" t="s">
        <v>13</v>
      </c>
      <c r="W162" s="264" t="s">
        <v>1</v>
      </c>
      <c r="X162" s="265" t="s">
        <v>14</v>
      </c>
      <c r="Y162" s="266" t="s">
        <v>1</v>
      </c>
      <c r="Z162" s="265" t="s">
        <v>15</v>
      </c>
      <c r="AA162" s="266" t="s">
        <v>1</v>
      </c>
      <c r="AB162" s="265" t="s">
        <v>16</v>
      </c>
      <c r="AC162" s="266" t="s">
        <v>1</v>
      </c>
      <c r="AD162" s="265" t="s">
        <v>17</v>
      </c>
      <c r="AE162" s="266" t="s">
        <v>1</v>
      </c>
      <c r="AF162" s="265" t="s">
        <v>18</v>
      </c>
      <c r="AG162" s="266" t="s">
        <v>1</v>
      </c>
      <c r="AH162" s="267" t="s">
        <v>19</v>
      </c>
      <c r="AI162" s="268" t="s">
        <v>1</v>
      </c>
      <c r="AJ162" s="267" t="s">
        <v>20</v>
      </c>
      <c r="AK162" s="268" t="s">
        <v>1</v>
      </c>
      <c r="AL162" s="267" t="s">
        <v>21</v>
      </c>
      <c r="AM162" s="268" t="s">
        <v>1</v>
      </c>
      <c r="AN162" s="267" t="s">
        <v>22</v>
      </c>
      <c r="AO162" s="268" t="s">
        <v>1</v>
      </c>
      <c r="AP162" s="269" t="s">
        <v>23</v>
      </c>
      <c r="AQ162" s="270" t="s">
        <v>1</v>
      </c>
      <c r="AR162" s="269" t="s">
        <v>24</v>
      </c>
      <c r="AS162" s="270" t="s">
        <v>1</v>
      </c>
      <c r="AT162" s="255" t="s">
        <v>25</v>
      </c>
      <c r="AU162" s="255" t="s">
        <v>1</v>
      </c>
      <c r="AV162" s="271" t="s">
        <v>26</v>
      </c>
      <c r="AW162" s="271" t="s">
        <v>1</v>
      </c>
      <c r="AX162" s="271" t="s">
        <v>27</v>
      </c>
      <c r="AY162" s="271" t="s">
        <v>1</v>
      </c>
      <c r="AZ162" s="272" t="s">
        <v>28</v>
      </c>
      <c r="BA162" s="272" t="s">
        <v>1</v>
      </c>
      <c r="BB162" s="271" t="s">
        <v>29</v>
      </c>
      <c r="BC162" s="271" t="s">
        <v>1</v>
      </c>
      <c r="BD162" s="273" t="s">
        <v>30</v>
      </c>
      <c r="BE162" s="273" t="s">
        <v>1</v>
      </c>
      <c r="BF162" s="273" t="s">
        <v>31</v>
      </c>
      <c r="BG162" s="273" t="s">
        <v>1</v>
      </c>
      <c r="BH162" s="69" t="s">
        <v>1</v>
      </c>
      <c r="BI162" s="256" t="s">
        <v>32</v>
      </c>
      <c r="BJ162" s="256" t="s">
        <v>1</v>
      </c>
      <c r="BK162" s="256" t="s">
        <v>1</v>
      </c>
      <c r="BL162" s="256" t="s">
        <v>1</v>
      </c>
      <c r="BM162" s="274" t="s">
        <v>33</v>
      </c>
      <c r="BN162" s="256" t="s">
        <v>1</v>
      </c>
      <c r="BO162" s="256" t="s">
        <v>1</v>
      </c>
      <c r="BP162" s="257" t="s">
        <v>1</v>
      </c>
      <c r="BQ162" s="258" t="s">
        <v>34</v>
      </c>
      <c r="BR162" s="258" t="s">
        <v>1</v>
      </c>
      <c r="BS162" s="258" t="s">
        <v>1</v>
      </c>
      <c r="BT162" s="258" t="s">
        <v>1</v>
      </c>
      <c r="BU162" s="259" t="s">
        <v>1</v>
      </c>
      <c r="BV162" s="258" t="s">
        <v>35</v>
      </c>
      <c r="BW162" s="258" t="s">
        <v>1</v>
      </c>
      <c r="BX162" s="258" t="s">
        <v>1</v>
      </c>
      <c r="BY162" s="258" t="s">
        <v>1</v>
      </c>
      <c r="BZ162" s="258" t="s">
        <v>1</v>
      </c>
      <c r="CA162" s="258" t="s">
        <v>1</v>
      </c>
      <c r="CB162" s="258" t="s">
        <v>1</v>
      </c>
      <c r="CC162" s="258" t="s">
        <v>1</v>
      </c>
      <c r="CD162" s="258" t="s">
        <v>1</v>
      </c>
      <c r="CE162" s="259" t="s">
        <v>1</v>
      </c>
      <c r="CF162" s="72" t="s">
        <v>1</v>
      </c>
    </row>
    <row r="163" ht="53" customHeight="1" spans="1:84">
      <c r="A163" s="162" t="s">
        <v>1</v>
      </c>
      <c r="B163" s="108" t="s">
        <v>36</v>
      </c>
      <c r="C163" s="108" t="s">
        <v>37</v>
      </c>
      <c r="D163" s="275" t="s">
        <v>38</v>
      </c>
      <c r="E163" s="275" t="s">
        <v>39</v>
      </c>
      <c r="F163" s="275" t="s">
        <v>40</v>
      </c>
      <c r="G163" s="249" t="s">
        <v>41</v>
      </c>
      <c r="H163" s="249" t="s">
        <v>42</v>
      </c>
      <c r="I163" s="249" t="s">
        <v>43</v>
      </c>
      <c r="J163" s="249" t="s">
        <v>44</v>
      </c>
      <c r="K163" s="250" t="s">
        <v>45</v>
      </c>
      <c r="L163" s="251" t="s">
        <v>46</v>
      </c>
      <c r="M163" s="252" t="s">
        <v>42</v>
      </c>
      <c r="N163" s="249" t="s">
        <v>47</v>
      </c>
      <c r="O163" s="249" t="s">
        <v>48</v>
      </c>
      <c r="P163" s="249" t="s">
        <v>42</v>
      </c>
      <c r="Q163" s="249" t="s">
        <v>47</v>
      </c>
      <c r="R163" s="249" t="s">
        <v>179</v>
      </c>
      <c r="S163" s="249" t="s">
        <v>1</v>
      </c>
      <c r="T163" s="249" t="s">
        <v>42</v>
      </c>
      <c r="U163" s="249" t="s">
        <v>47</v>
      </c>
      <c r="V163" s="276" t="s">
        <v>36</v>
      </c>
      <c r="W163" s="276" t="s">
        <v>37</v>
      </c>
      <c r="X163" s="277" t="s">
        <v>36</v>
      </c>
      <c r="Y163" s="277" t="s">
        <v>37</v>
      </c>
      <c r="Z163" s="277" t="s">
        <v>36</v>
      </c>
      <c r="AA163" s="277" t="s">
        <v>37</v>
      </c>
      <c r="AB163" s="277" t="s">
        <v>36</v>
      </c>
      <c r="AC163" s="277" t="s">
        <v>37</v>
      </c>
      <c r="AD163" s="277" t="s">
        <v>36</v>
      </c>
      <c r="AE163" s="277" t="s">
        <v>37</v>
      </c>
      <c r="AF163" s="277" t="s">
        <v>36</v>
      </c>
      <c r="AG163" s="277" t="s">
        <v>37</v>
      </c>
      <c r="AH163" s="278" t="s">
        <v>36</v>
      </c>
      <c r="AI163" s="278" t="s">
        <v>37</v>
      </c>
      <c r="AJ163" s="278" t="s">
        <v>36</v>
      </c>
      <c r="AK163" s="278" t="s">
        <v>37</v>
      </c>
      <c r="AL163" s="278" t="s">
        <v>36</v>
      </c>
      <c r="AM163" s="278" t="s">
        <v>37</v>
      </c>
      <c r="AN163" s="278" t="s">
        <v>36</v>
      </c>
      <c r="AO163" s="278" t="s">
        <v>37</v>
      </c>
      <c r="AP163" s="279" t="s">
        <v>36</v>
      </c>
      <c r="AQ163" s="279" t="s">
        <v>37</v>
      </c>
      <c r="AR163" s="279" t="s">
        <v>36</v>
      </c>
      <c r="AS163" s="279" t="s">
        <v>37</v>
      </c>
      <c r="AT163" s="255" t="s">
        <v>36</v>
      </c>
      <c r="AU163" s="255" t="s">
        <v>37</v>
      </c>
      <c r="AV163" s="280" t="s">
        <v>36</v>
      </c>
      <c r="AW163" s="280" t="s">
        <v>37</v>
      </c>
      <c r="AX163" s="280" t="s">
        <v>36</v>
      </c>
      <c r="AY163" s="280" t="s">
        <v>37</v>
      </c>
      <c r="AZ163" s="255" t="s">
        <v>36</v>
      </c>
      <c r="BA163" s="255" t="s">
        <v>37</v>
      </c>
      <c r="BB163" s="280" t="s">
        <v>36</v>
      </c>
      <c r="BC163" s="280" t="s">
        <v>37</v>
      </c>
      <c r="BD163" s="281" t="s">
        <v>36</v>
      </c>
      <c r="BE163" s="281" t="s">
        <v>37</v>
      </c>
      <c r="BF163" s="281" t="s">
        <v>36</v>
      </c>
      <c r="BG163" s="281" t="s">
        <v>37</v>
      </c>
      <c r="BH163" s="69" t="s">
        <v>1</v>
      </c>
      <c r="BI163" s="282" t="s">
        <v>49</v>
      </c>
      <c r="BJ163" s="283" t="s">
        <v>50</v>
      </c>
      <c r="BK163" s="283" t="s">
        <v>51</v>
      </c>
      <c r="BL163" s="257" t="s">
        <v>52</v>
      </c>
      <c r="BM163" s="283" t="s">
        <v>49</v>
      </c>
      <c r="BN163" s="283" t="s">
        <v>50</v>
      </c>
      <c r="BO163" s="283" t="s">
        <v>51</v>
      </c>
      <c r="BP163" s="257" t="s">
        <v>52</v>
      </c>
      <c r="BQ163" s="259" t="s">
        <v>53</v>
      </c>
      <c r="BR163" s="259" t="s">
        <v>54</v>
      </c>
      <c r="BS163" s="259" t="s">
        <v>55</v>
      </c>
      <c r="BT163" s="259" t="s">
        <v>56</v>
      </c>
      <c r="BU163" s="259" t="s">
        <v>57</v>
      </c>
      <c r="BV163" s="259" t="s">
        <v>53</v>
      </c>
      <c r="BW163" s="259" t="s">
        <v>54</v>
      </c>
      <c r="BX163" s="259" t="s">
        <v>55</v>
      </c>
      <c r="BY163" s="259" t="s">
        <v>56</v>
      </c>
      <c r="BZ163" s="259" t="s">
        <v>57</v>
      </c>
      <c r="CA163" s="259" t="s">
        <v>58</v>
      </c>
      <c r="CB163" s="259" t="s">
        <v>59</v>
      </c>
      <c r="CC163" s="259" t="s">
        <v>60</v>
      </c>
      <c r="CD163" s="259" t="s">
        <v>61</v>
      </c>
      <c r="CE163" s="259" t="s">
        <v>62</v>
      </c>
      <c r="CF163" s="72" t="s">
        <v>1</v>
      </c>
    </row>
    <row r="164" ht="36" customHeight="1" spans="1:84">
      <c r="A164" s="284" t="s">
        <v>63</v>
      </c>
      <c r="B164" s="105" t="s">
        <v>64</v>
      </c>
      <c r="C164" s="105" t="s">
        <v>64</v>
      </c>
      <c r="D164" s="285" t="s">
        <v>65</v>
      </c>
      <c r="E164" s="285" t="s">
        <v>65</v>
      </c>
      <c r="F164" s="105" t="s">
        <v>64</v>
      </c>
      <c r="G164" s="285" t="s">
        <v>65</v>
      </c>
      <c r="H164" s="285" t="s">
        <v>65</v>
      </c>
      <c r="I164" s="285" t="s">
        <v>65</v>
      </c>
      <c r="J164" s="285" t="s">
        <v>65</v>
      </c>
      <c r="K164" s="286" t="s">
        <v>65</v>
      </c>
      <c r="L164" s="287" t="s">
        <v>66</v>
      </c>
      <c r="M164" s="288" t="s">
        <v>66</v>
      </c>
      <c r="N164" s="289" t="s">
        <v>66</v>
      </c>
      <c r="O164" s="289" t="s">
        <v>67</v>
      </c>
      <c r="P164" s="289" t="s">
        <v>67</v>
      </c>
      <c r="Q164" s="289" t="s">
        <v>67</v>
      </c>
      <c r="R164" s="289" t="s">
        <v>68</v>
      </c>
      <c r="S164" s="289" t="s">
        <v>1</v>
      </c>
      <c r="T164" s="289" t="s">
        <v>68</v>
      </c>
      <c r="U164" s="289" t="s">
        <v>68</v>
      </c>
      <c r="V164" s="105" t="s">
        <v>64</v>
      </c>
      <c r="W164" s="105" t="s">
        <v>64</v>
      </c>
      <c r="X164" s="105" t="s">
        <v>64</v>
      </c>
      <c r="Y164" s="105" t="s">
        <v>64</v>
      </c>
      <c r="Z164" s="105" t="s">
        <v>64</v>
      </c>
      <c r="AA164" s="105" t="s">
        <v>64</v>
      </c>
      <c r="AB164" s="105" t="s">
        <v>64</v>
      </c>
      <c r="AC164" s="105" t="s">
        <v>64</v>
      </c>
      <c r="AD164" s="105" t="s">
        <v>64</v>
      </c>
      <c r="AE164" s="105" t="s">
        <v>64</v>
      </c>
      <c r="AF164" s="105" t="s">
        <v>64</v>
      </c>
      <c r="AG164" s="105" t="s">
        <v>64</v>
      </c>
      <c r="AH164" s="105" t="s">
        <v>64</v>
      </c>
      <c r="AI164" s="105" t="s">
        <v>64</v>
      </c>
      <c r="AJ164" s="105" t="s">
        <v>64</v>
      </c>
      <c r="AK164" s="105" t="s">
        <v>64</v>
      </c>
      <c r="AL164" s="105" t="s">
        <v>64</v>
      </c>
      <c r="AM164" s="105" t="s">
        <v>64</v>
      </c>
      <c r="AN164" s="105" t="s">
        <v>64</v>
      </c>
      <c r="AO164" s="105" t="s">
        <v>64</v>
      </c>
      <c r="AP164" s="105" t="s">
        <v>64</v>
      </c>
      <c r="AQ164" s="105" t="s">
        <v>64</v>
      </c>
      <c r="AR164" s="105" t="s">
        <v>64</v>
      </c>
      <c r="AS164" s="105" t="s">
        <v>64</v>
      </c>
      <c r="AT164" s="69" t="s">
        <v>67</v>
      </c>
      <c r="AU164" s="69" t="s">
        <v>67</v>
      </c>
      <c r="AV164" s="69" t="s">
        <v>67</v>
      </c>
      <c r="AW164" s="69" t="s">
        <v>67</v>
      </c>
      <c r="AX164" s="69" t="s">
        <v>67</v>
      </c>
      <c r="AY164" s="69" t="s">
        <v>67</v>
      </c>
      <c r="AZ164" s="69" t="s">
        <v>67</v>
      </c>
      <c r="BA164" s="69" t="s">
        <v>67</v>
      </c>
      <c r="BB164" s="69" t="s">
        <v>67</v>
      </c>
      <c r="BC164" s="69" t="s">
        <v>67</v>
      </c>
      <c r="BD164" s="69" t="s">
        <v>67</v>
      </c>
      <c r="BE164" s="69" t="s">
        <v>67</v>
      </c>
      <c r="BF164" s="69" t="s">
        <v>67</v>
      </c>
      <c r="BG164" s="69" t="s">
        <v>67</v>
      </c>
      <c r="BH164" s="69" t="s">
        <v>69</v>
      </c>
      <c r="BI164" s="69" t="s">
        <v>64</v>
      </c>
      <c r="BJ164" s="69" t="s">
        <v>64</v>
      </c>
      <c r="BK164" s="69" t="s">
        <v>64</v>
      </c>
      <c r="BL164" s="69" t="s">
        <v>64</v>
      </c>
      <c r="BM164" s="69" t="s">
        <v>64</v>
      </c>
      <c r="BN164" s="69" t="s">
        <v>64</v>
      </c>
      <c r="BO164" s="69" t="s">
        <v>64</v>
      </c>
      <c r="BP164" s="69" t="s">
        <v>64</v>
      </c>
      <c r="BQ164" s="69" t="s">
        <v>64</v>
      </c>
      <c r="BR164" s="69" t="s">
        <v>64</v>
      </c>
      <c r="BS164" s="69" t="s">
        <v>64</v>
      </c>
      <c r="BT164" s="69" t="s">
        <v>64</v>
      </c>
      <c r="BU164" s="69" t="s">
        <v>64</v>
      </c>
      <c r="BV164" s="69" t="s">
        <v>64</v>
      </c>
      <c r="BW164" s="69" t="s">
        <v>64</v>
      </c>
      <c r="BX164" s="69" t="s">
        <v>64</v>
      </c>
      <c r="BY164" s="69" t="s">
        <v>64</v>
      </c>
      <c r="BZ164" s="69" t="s">
        <v>64</v>
      </c>
      <c r="CA164" s="69" t="s">
        <v>64</v>
      </c>
      <c r="CB164" s="69" t="s">
        <v>64</v>
      </c>
      <c r="CC164" s="69" t="s">
        <v>64</v>
      </c>
      <c r="CD164" s="69" t="s">
        <v>64</v>
      </c>
      <c r="CE164" s="69" t="s">
        <v>64</v>
      </c>
      <c r="CF164" s="69" t="s">
        <v>64</v>
      </c>
    </row>
    <row r="165" ht="25" customHeight="1" spans="1:84">
      <c r="A165" s="108" t="s">
        <v>135</v>
      </c>
      <c r="B165" s="124" t="s">
        <v>1</v>
      </c>
      <c r="C165" s="124" t="s">
        <v>1</v>
      </c>
      <c r="D165" s="124">
        <f>SUM(D5:D11)</f>
        <v>0</v>
      </c>
      <c r="E165" s="124">
        <f>SUM(E5:E11)</f>
        <v>0</v>
      </c>
      <c r="F165" s="124">
        <f>SUM(F5:F11)</f>
        <v>41.0582</v>
      </c>
      <c r="G165" s="141">
        <f>D165/F165-1</f>
        <v>-1</v>
      </c>
      <c r="H165" s="124">
        <f>SUM(H5:H11)</f>
        <v>0</v>
      </c>
      <c r="I165" s="141" t="e">
        <f>D165/H165</f>
        <v>#DIV/0!</v>
      </c>
      <c r="J165" s="124">
        <f>SUM(J5:J11)</f>
        <v>0</v>
      </c>
      <c r="K165" s="124" t="s">
        <v>1</v>
      </c>
      <c r="L165" s="30" t="e">
        <f>J165/D165</f>
        <v>#DIV/0!</v>
      </c>
      <c r="M165" s="163">
        <f t="shared" ref="M165:R165" si="6">SUM(M5:M11)</f>
        <v>0</v>
      </c>
      <c r="N165" s="124">
        <f t="shared" si="6"/>
        <v>0</v>
      </c>
      <c r="O165" s="124">
        <f t="shared" si="6"/>
        <v>0</v>
      </c>
      <c r="P165" s="124">
        <f t="shared" si="6"/>
        <v>0</v>
      </c>
      <c r="Q165" s="124">
        <f t="shared" si="6"/>
        <v>0</v>
      </c>
      <c r="R165" s="124">
        <f t="shared" si="6"/>
        <v>26392</v>
      </c>
      <c r="S165" s="124" t="s">
        <v>1</v>
      </c>
      <c r="T165" s="124">
        <f>SUM(T5:T11)</f>
        <v>0</v>
      </c>
      <c r="U165" s="124">
        <f>SUM(U5:U11)</f>
        <v>0</v>
      </c>
      <c r="V165" s="124">
        <f>SUM(V5:V11)</f>
        <v>0</v>
      </c>
      <c r="W165" s="124" t="s">
        <v>1</v>
      </c>
      <c r="X165" s="124">
        <f>SUM(X5:X11)</f>
        <v>0</v>
      </c>
      <c r="Y165" s="124">
        <f>SUM(Y5:Y11)</f>
        <v>0</v>
      </c>
      <c r="Z165" s="124">
        <f>SUM(Z5:Z11)</f>
        <v>0</v>
      </c>
      <c r="AA165" s="124">
        <f>SUM(AA5:AA11)</f>
        <v>0</v>
      </c>
      <c r="AB165" s="142">
        <f>SUM(AB5:AB11)/7</f>
        <v>0</v>
      </c>
      <c r="AC165" s="142">
        <f>SUM(AC5:AC11)/7</f>
        <v>0</v>
      </c>
      <c r="AD165" s="143">
        <f>SUM(AD5:AD11)/7</f>
        <v>12.2857142857143</v>
      </c>
      <c r="AE165" s="143">
        <f>SUM(AE5:AE11)/7</f>
        <v>0</v>
      </c>
      <c r="AF165" s="124">
        <f t="shared" ref="AF165:AO165" si="7">SUM(AF5:AF11)</f>
        <v>0</v>
      </c>
      <c r="AG165" s="143">
        <f t="shared" si="7"/>
        <v>0</v>
      </c>
      <c r="AH165" s="143">
        <f t="shared" si="7"/>
        <v>10508</v>
      </c>
      <c r="AI165" s="143">
        <f t="shared" si="7"/>
        <v>0</v>
      </c>
      <c r="AJ165" s="143">
        <f t="shared" si="7"/>
        <v>4735</v>
      </c>
      <c r="AK165" s="143">
        <f t="shared" si="7"/>
        <v>0</v>
      </c>
      <c r="AL165" s="143">
        <f t="shared" si="7"/>
        <v>376</v>
      </c>
      <c r="AM165" s="143">
        <f t="shared" si="7"/>
        <v>0</v>
      </c>
      <c r="AN165" s="143">
        <f t="shared" si="7"/>
        <v>246</v>
      </c>
      <c r="AO165" s="143">
        <f t="shared" si="7"/>
        <v>0</v>
      </c>
      <c r="AP165" s="141">
        <f>AN165/(AF165+AH165+AJ165+AL165)</f>
        <v>0.0157500480184391</v>
      </c>
      <c r="AQ165" s="124">
        <f>SUM(AQ5:AQ11)</f>
        <v>0</v>
      </c>
      <c r="AR165" s="124">
        <f>SUM(AR5:AR11)</f>
        <v>833</v>
      </c>
      <c r="AS165" s="144">
        <f>SUM(AS5:AS11)/7</f>
        <v>0</v>
      </c>
      <c r="AT165" s="144">
        <f>SUM(AT5:AT11)/7</f>
        <v>0.00792857142857143</v>
      </c>
      <c r="AU165" s="124">
        <f>SUM(AU5:AU11)</f>
        <v>0</v>
      </c>
      <c r="AV165" s="124">
        <f>SUM(AV5:AV11)</f>
        <v>0</v>
      </c>
      <c r="AW165" s="124">
        <f>SUM(AW5:AW11)</f>
        <v>0</v>
      </c>
      <c r="AX165" s="124">
        <f>SUM(AX5:AX11)</f>
        <v>0</v>
      </c>
      <c r="AY165" s="144">
        <f>SUM(AY5:AY11)/7</f>
        <v>0</v>
      </c>
      <c r="AZ165" s="144">
        <f>SUM(AZ5:AZ11)/7</f>
        <v>0</v>
      </c>
      <c r="BA165" s="124">
        <f>SUM(BA5:BA11)</f>
        <v>0</v>
      </c>
      <c r="BB165" s="124">
        <f>SUM(BB5:BB11)</f>
        <v>0</v>
      </c>
      <c r="BC165" s="144">
        <f>SUM(BC5:BC11)/7</f>
        <v>0</v>
      </c>
      <c r="BD165" s="144">
        <f>SUM(BD5:BD11)/7</f>
        <v>0</v>
      </c>
      <c r="BE165" s="124">
        <f>SUM(BE5:BE11)</f>
        <v>0</v>
      </c>
      <c r="BF165" s="124">
        <f>SUM(BF5:BF11)</f>
        <v>0</v>
      </c>
      <c r="BG165" s="145">
        <f>SUM(BG5:BG11)/7</f>
        <v>0</v>
      </c>
      <c r="BH165" s="145">
        <f>SUM(BH5:BH11)/7</f>
        <v>1</v>
      </c>
      <c r="BI165" s="124">
        <f t="shared" ref="BI165:BP165" si="8">SUM(BI5:BI11)</f>
        <v>0</v>
      </c>
      <c r="BJ165" s="124">
        <f t="shared" si="8"/>
        <v>597</v>
      </c>
      <c r="BK165" s="124">
        <f t="shared" si="8"/>
        <v>5843</v>
      </c>
      <c r="BL165" s="124">
        <f t="shared" si="8"/>
        <v>0</v>
      </c>
      <c r="BM165" s="124">
        <f t="shared" si="8"/>
        <v>0</v>
      </c>
      <c r="BN165" s="124">
        <f t="shared" si="8"/>
        <v>3143</v>
      </c>
      <c r="BO165" s="124">
        <f t="shared" si="8"/>
        <v>1850</v>
      </c>
      <c r="BP165" s="124">
        <f t="shared" si="8"/>
        <v>0</v>
      </c>
      <c r="BQ165" s="297" t="s">
        <v>1</v>
      </c>
      <c r="BR165" s="297" t="s">
        <v>1</v>
      </c>
      <c r="BS165" s="297" t="s">
        <v>1</v>
      </c>
      <c r="BT165" s="297" t="s">
        <v>1</v>
      </c>
      <c r="BU165" s="297" t="s">
        <v>1</v>
      </c>
      <c r="BV165" s="297" t="s">
        <v>1</v>
      </c>
      <c r="BW165" s="297" t="s">
        <v>1</v>
      </c>
      <c r="BX165" s="297" t="s">
        <v>1</v>
      </c>
      <c r="BY165" s="297" t="s">
        <v>1</v>
      </c>
      <c r="BZ165" s="297" t="s">
        <v>1</v>
      </c>
      <c r="CA165" s="297" t="s">
        <v>1</v>
      </c>
      <c r="CB165" s="297" t="s">
        <v>1</v>
      </c>
      <c r="CC165" s="297" t="s">
        <v>1</v>
      </c>
      <c r="CD165" s="297" t="s">
        <v>1</v>
      </c>
      <c r="CE165" s="297" t="s">
        <v>1</v>
      </c>
      <c r="CF165" s="227" t="s">
        <v>1</v>
      </c>
    </row>
    <row r="166" ht="25" customHeight="1" spans="1:84">
      <c r="A166" s="108" t="s">
        <v>136</v>
      </c>
      <c r="B166" s="124" t="s">
        <v>1</v>
      </c>
      <c r="C166" s="124" t="s">
        <v>1</v>
      </c>
      <c r="D166" s="124">
        <f>SUM(D12:D18)</f>
        <v>0</v>
      </c>
      <c r="E166" s="124">
        <f>SUM(E12:E18)</f>
        <v>0</v>
      </c>
      <c r="F166" s="124">
        <f>SUM(F12:F18)</f>
        <v>34.2705</v>
      </c>
      <c r="G166" s="141">
        <f>D166/F166-1</f>
        <v>-1</v>
      </c>
      <c r="H166" s="124">
        <f>SUM(H12:H18)</f>
        <v>0</v>
      </c>
      <c r="I166" s="141" t="e">
        <f>D166/H166</f>
        <v>#DIV/0!</v>
      </c>
      <c r="J166" s="124">
        <f>SUM(J12:J18)</f>
        <v>0</v>
      </c>
      <c r="K166" s="124" t="s">
        <v>1</v>
      </c>
      <c r="L166" s="30" t="e">
        <f>J166/D166</f>
        <v>#DIV/0!</v>
      </c>
      <c r="M166" s="163">
        <f t="shared" ref="M166:R166" si="9">SUM(M12:M18)</f>
        <v>0</v>
      </c>
      <c r="N166" s="124">
        <f t="shared" si="9"/>
        <v>0</v>
      </c>
      <c r="O166" s="124">
        <f t="shared" si="9"/>
        <v>0</v>
      </c>
      <c r="P166" s="124">
        <f t="shared" si="9"/>
        <v>0</v>
      </c>
      <c r="Q166" s="124">
        <f t="shared" si="9"/>
        <v>0</v>
      </c>
      <c r="R166" s="124">
        <f t="shared" si="9"/>
        <v>23096</v>
      </c>
      <c r="S166" s="124" t="s">
        <v>1</v>
      </c>
      <c r="T166" s="124">
        <f>SUM(T12:T18)</f>
        <v>0</v>
      </c>
      <c r="U166" s="124">
        <f>SUM(U12:U18)</f>
        <v>0</v>
      </c>
      <c r="V166" s="124">
        <f>SUM(V12:V18)</f>
        <v>0</v>
      </c>
      <c r="W166" s="124" t="s">
        <v>1</v>
      </c>
      <c r="X166" s="124">
        <f>SUM(X12:X18)</f>
        <v>0</v>
      </c>
      <c r="Y166" s="124">
        <f>SUM(Y12:Y18)</f>
        <v>0</v>
      </c>
      <c r="Z166" s="124">
        <f>SUM(Z12:Z18)</f>
        <v>0</v>
      </c>
      <c r="AA166" s="124">
        <f>SUM(AA12:AA18)</f>
        <v>0</v>
      </c>
      <c r="AB166" s="142">
        <f>SUM(AB6:AB12)/7</f>
        <v>0</v>
      </c>
      <c r="AC166" s="142">
        <f>SUM(AC6:AC12)/7</f>
        <v>0</v>
      </c>
      <c r="AD166" s="143">
        <f>SUM(AD6:AD12)/7</f>
        <v>12.7142857142857</v>
      </c>
      <c r="AE166" s="143">
        <f>SUM(AE6:AE12)/7</f>
        <v>0</v>
      </c>
      <c r="AF166" s="124">
        <f t="shared" ref="AF166:AO166" si="10">SUM(AF12:AF18)</f>
        <v>0</v>
      </c>
      <c r="AG166" s="143">
        <f t="shared" si="10"/>
        <v>0</v>
      </c>
      <c r="AH166" s="143">
        <f t="shared" si="10"/>
        <v>12654</v>
      </c>
      <c r="AI166" s="143">
        <f t="shared" si="10"/>
        <v>0</v>
      </c>
      <c r="AJ166" s="143">
        <f t="shared" si="10"/>
        <v>4756</v>
      </c>
      <c r="AK166" s="143">
        <f t="shared" si="10"/>
        <v>0</v>
      </c>
      <c r="AL166" s="143">
        <f t="shared" si="10"/>
        <v>480</v>
      </c>
      <c r="AM166" s="143">
        <f t="shared" si="10"/>
        <v>0</v>
      </c>
      <c r="AN166" s="143">
        <f t="shared" si="10"/>
        <v>321</v>
      </c>
      <c r="AO166" s="143">
        <f t="shared" si="10"/>
        <v>0</v>
      </c>
      <c r="AP166" s="141">
        <f>AN166/(AF166+AH166+AJ166+AL166)</f>
        <v>0.0179429849077697</v>
      </c>
      <c r="AQ166" s="124">
        <f>SUM(AQ12:AQ18)</f>
        <v>0</v>
      </c>
      <c r="AR166" s="124">
        <f>SUM(AR12:AR18)</f>
        <v>932</v>
      </c>
      <c r="AS166" s="144">
        <f>SUM(AS6:AS12)/7</f>
        <v>0</v>
      </c>
      <c r="AT166" s="144">
        <f>SUM(AT6:AT12)/7</f>
        <v>0.00802857142857143</v>
      </c>
      <c r="AU166" s="124">
        <f>SUM(AU12:AU18)</f>
        <v>0</v>
      </c>
      <c r="AV166" s="124">
        <f>SUM(AV12:AV18)</f>
        <v>0</v>
      </c>
      <c r="AW166" s="124">
        <f>SUM(AW12:AW18)</f>
        <v>0</v>
      </c>
      <c r="AX166" s="124">
        <f>SUM(AX12:AX18)</f>
        <v>0</v>
      </c>
      <c r="AY166" s="144">
        <f>SUM(AY6:AY12)/7</f>
        <v>0</v>
      </c>
      <c r="AZ166" s="144">
        <f>SUM(AZ6:AZ12)/7</f>
        <v>0</v>
      </c>
      <c r="BA166" s="124">
        <f>SUM(BA12:BA18)</f>
        <v>0</v>
      </c>
      <c r="BB166" s="124">
        <f>SUM(BB12:BB18)</f>
        <v>0</v>
      </c>
      <c r="BC166" s="144">
        <f>SUM(BC6:BC12)/7</f>
        <v>0</v>
      </c>
      <c r="BD166" s="144">
        <f>SUM(BD6:BD12)/7</f>
        <v>0</v>
      </c>
      <c r="BE166" s="124">
        <f>SUM(BE12:BE18)</f>
        <v>0</v>
      </c>
      <c r="BF166" s="124">
        <f>SUM(BF12:BF18)</f>
        <v>0</v>
      </c>
      <c r="BG166" s="145">
        <f>SUM(BG6:BG12)/7</f>
        <v>0</v>
      </c>
      <c r="BH166" s="145">
        <f>SUM(BH6:BH12)/7</f>
        <v>1</v>
      </c>
      <c r="BI166" s="124">
        <f t="shared" ref="BI166:BP166" si="11">SUM(BI12:BI18)</f>
        <v>0</v>
      </c>
      <c r="BJ166" s="124">
        <f t="shared" si="11"/>
        <v>534</v>
      </c>
      <c r="BK166" s="124">
        <f t="shared" si="11"/>
        <v>6657</v>
      </c>
      <c r="BL166" s="124">
        <f t="shared" si="11"/>
        <v>0</v>
      </c>
      <c r="BM166" s="124">
        <f t="shared" si="11"/>
        <v>0</v>
      </c>
      <c r="BN166" s="124">
        <f t="shared" si="11"/>
        <v>3171</v>
      </c>
      <c r="BO166" s="124">
        <f t="shared" si="11"/>
        <v>1920</v>
      </c>
      <c r="BP166" s="124">
        <f t="shared" si="11"/>
        <v>0</v>
      </c>
      <c r="BQ166" s="297" t="s">
        <v>1</v>
      </c>
      <c r="BR166" s="297" t="s">
        <v>1</v>
      </c>
      <c r="BS166" s="297" t="s">
        <v>1</v>
      </c>
      <c r="BT166" s="297" t="s">
        <v>1</v>
      </c>
      <c r="BU166" s="297" t="s">
        <v>1</v>
      </c>
      <c r="BV166" s="297" t="s">
        <v>1</v>
      </c>
      <c r="BW166" s="297" t="s">
        <v>1</v>
      </c>
      <c r="BX166" s="297" t="s">
        <v>1</v>
      </c>
      <c r="BY166" s="297" t="s">
        <v>1</v>
      </c>
      <c r="BZ166" s="297" t="s">
        <v>1</v>
      </c>
      <c r="CA166" s="297" t="s">
        <v>1</v>
      </c>
      <c r="CB166" s="297" t="s">
        <v>1</v>
      </c>
      <c r="CC166" s="297" t="s">
        <v>1</v>
      </c>
      <c r="CD166" s="297" t="s">
        <v>1</v>
      </c>
      <c r="CE166" s="297" t="s">
        <v>1</v>
      </c>
      <c r="CF166" s="227" t="s">
        <v>1</v>
      </c>
    </row>
    <row r="167" ht="25" customHeight="1" spans="1:84">
      <c r="A167" s="108" t="s">
        <v>137</v>
      </c>
      <c r="B167" s="124" t="s">
        <v>1</v>
      </c>
      <c r="C167" s="124" t="s">
        <v>1</v>
      </c>
      <c r="D167" s="124">
        <f>SUM(D19:D25)</f>
        <v>0</v>
      </c>
      <c r="E167" s="124">
        <f>SUM(E19:E25)</f>
        <v>0</v>
      </c>
      <c r="F167" s="124">
        <f>SUM(F19:F25)</f>
        <v>90.6066</v>
      </c>
      <c r="G167" s="141">
        <f>D167/F167-1</f>
        <v>-1</v>
      </c>
      <c r="H167" s="124">
        <f>SUM(H19:H25)</f>
        <v>0</v>
      </c>
      <c r="I167" s="141" t="e">
        <f>D167/H167</f>
        <v>#DIV/0!</v>
      </c>
      <c r="J167" s="124">
        <f>SUM(J19:J25)</f>
        <v>0</v>
      </c>
      <c r="K167" s="124" t="s">
        <v>1</v>
      </c>
      <c r="L167" s="30" t="e">
        <f>J167/D167</f>
        <v>#DIV/0!</v>
      </c>
      <c r="M167" s="163">
        <f t="shared" ref="M167:R167" si="12">SUM(M19:M25)</f>
        <v>0</v>
      </c>
      <c r="N167" s="124">
        <f t="shared" si="12"/>
        <v>0</v>
      </c>
      <c r="O167" s="124">
        <f t="shared" si="12"/>
        <v>0</v>
      </c>
      <c r="P167" s="124">
        <f t="shared" si="12"/>
        <v>0</v>
      </c>
      <c r="Q167" s="124">
        <f t="shared" si="12"/>
        <v>0</v>
      </c>
      <c r="R167" s="124">
        <f t="shared" si="12"/>
        <v>52624</v>
      </c>
      <c r="S167" s="124" t="s">
        <v>1</v>
      </c>
      <c r="T167" s="124">
        <f>SUM(T19:T25)</f>
        <v>0</v>
      </c>
      <c r="U167" s="124">
        <f>SUM(U19:U25)</f>
        <v>0</v>
      </c>
      <c r="V167" s="124">
        <f>SUM(V19:V25)</f>
        <v>0</v>
      </c>
      <c r="W167" s="124" t="s">
        <v>1</v>
      </c>
      <c r="X167" s="124">
        <f>SUM(X19:X25)</f>
        <v>0</v>
      </c>
      <c r="Y167" s="124">
        <f>SUM(Y19:Y25)</f>
        <v>0</v>
      </c>
      <c r="Z167" s="124">
        <f>SUM(Z19:Z25)</f>
        <v>0</v>
      </c>
      <c r="AA167" s="124">
        <f>SUM(AA19:AA25)</f>
        <v>0</v>
      </c>
      <c r="AB167" s="142">
        <f>SUM(AB7:AB13)/7</f>
        <v>0</v>
      </c>
      <c r="AC167" s="142">
        <f>SUM(AC7:AC13)/7</f>
        <v>0</v>
      </c>
      <c r="AD167" s="143">
        <f>SUM(AD7:AD13)/7</f>
        <v>14.2857142857143</v>
      </c>
      <c r="AE167" s="143">
        <f>SUM(AE7:AE13)/7</f>
        <v>0</v>
      </c>
      <c r="AF167" s="124">
        <f t="shared" ref="AF167:AO167" si="13">SUM(AF19:AF25)</f>
        <v>0</v>
      </c>
      <c r="AG167" s="143">
        <f t="shared" si="13"/>
        <v>0</v>
      </c>
      <c r="AH167" s="143">
        <f t="shared" si="13"/>
        <v>15997</v>
      </c>
      <c r="AI167" s="143">
        <f t="shared" si="13"/>
        <v>0</v>
      </c>
      <c r="AJ167" s="143">
        <f t="shared" si="13"/>
        <v>5395</v>
      </c>
      <c r="AK167" s="143">
        <f t="shared" si="13"/>
        <v>0</v>
      </c>
      <c r="AL167" s="143">
        <f t="shared" si="13"/>
        <v>546</v>
      </c>
      <c r="AM167" s="143">
        <f t="shared" si="13"/>
        <v>0</v>
      </c>
      <c r="AN167" s="143">
        <f t="shared" si="13"/>
        <v>1307</v>
      </c>
      <c r="AO167" s="143">
        <f t="shared" si="13"/>
        <v>0</v>
      </c>
      <c r="AP167" s="141">
        <f>AN167/(AF167+AH167+AJ167+AL167)</f>
        <v>0.0595769896982405</v>
      </c>
      <c r="AQ167" s="124">
        <f>SUM(AQ19:AQ25)</f>
        <v>0</v>
      </c>
      <c r="AR167" s="124">
        <f>SUM(AR19:AR25)</f>
        <v>1048</v>
      </c>
      <c r="AS167" s="144">
        <f>SUM(AS7:AS13)/7</f>
        <v>0</v>
      </c>
      <c r="AT167" s="144">
        <f>SUM(AT7:AT13)/7</f>
        <v>0.0068</v>
      </c>
      <c r="AU167" s="124">
        <f>SUM(AU19:AU25)</f>
        <v>0</v>
      </c>
      <c r="AV167" s="124">
        <f>SUM(AV19:AV25)</f>
        <v>0</v>
      </c>
      <c r="AW167" s="124">
        <f>SUM(AW19:AW25)</f>
        <v>0</v>
      </c>
      <c r="AX167" s="124">
        <f>SUM(AX19:AX25)</f>
        <v>0</v>
      </c>
      <c r="AY167" s="144">
        <f>SUM(AY7:AY13)/7</f>
        <v>0</v>
      </c>
      <c r="AZ167" s="144">
        <f>SUM(AZ7:AZ13)/7</f>
        <v>0</v>
      </c>
      <c r="BA167" s="124">
        <f>SUM(BA19:BA25)</f>
        <v>0</v>
      </c>
      <c r="BB167" s="124">
        <f>SUM(BB19:BB25)</f>
        <v>0</v>
      </c>
      <c r="BC167" s="144">
        <f>SUM(BC7:BC13)/7</f>
        <v>0</v>
      </c>
      <c r="BD167" s="144">
        <f>SUM(BD7:BD13)/7</f>
        <v>0</v>
      </c>
      <c r="BE167" s="124">
        <f>SUM(BE19:BE25)</f>
        <v>0</v>
      </c>
      <c r="BF167" s="124">
        <f>SUM(BF19:BF25)</f>
        <v>0</v>
      </c>
      <c r="BG167" s="145">
        <f>SUM(BG7:BG13)/7</f>
        <v>0</v>
      </c>
      <c r="BH167" s="145">
        <f>SUM(BH7:BH13)/7</f>
        <v>1</v>
      </c>
      <c r="BI167" s="124">
        <f t="shared" ref="BI167:BP167" si="14">SUM(BI19:BI25)</f>
        <v>0</v>
      </c>
      <c r="BJ167" s="124">
        <f t="shared" si="14"/>
        <v>337</v>
      </c>
      <c r="BK167" s="124">
        <f t="shared" si="14"/>
        <v>9601</v>
      </c>
      <c r="BL167" s="124">
        <f t="shared" si="14"/>
        <v>0</v>
      </c>
      <c r="BM167" s="124">
        <f t="shared" si="14"/>
        <v>0</v>
      </c>
      <c r="BN167" s="124">
        <f t="shared" si="14"/>
        <v>2180</v>
      </c>
      <c r="BO167" s="124">
        <f t="shared" si="14"/>
        <v>2863</v>
      </c>
      <c r="BP167" s="124">
        <f t="shared" si="14"/>
        <v>0</v>
      </c>
      <c r="BQ167" s="297" t="s">
        <v>1</v>
      </c>
      <c r="BR167" s="297" t="s">
        <v>1</v>
      </c>
      <c r="BS167" s="297" t="s">
        <v>1</v>
      </c>
      <c r="BT167" s="297" t="s">
        <v>1</v>
      </c>
      <c r="BU167" s="297" t="s">
        <v>1</v>
      </c>
      <c r="BV167" s="297" t="s">
        <v>1</v>
      </c>
      <c r="BW167" s="297" t="s">
        <v>1</v>
      </c>
      <c r="BX167" s="297" t="s">
        <v>1</v>
      </c>
      <c r="BY167" s="297" t="s">
        <v>1</v>
      </c>
      <c r="BZ167" s="297" t="s">
        <v>1</v>
      </c>
      <c r="CA167" s="297" t="s">
        <v>1</v>
      </c>
      <c r="CB167" s="297" t="s">
        <v>1</v>
      </c>
      <c r="CC167" s="297" t="s">
        <v>1</v>
      </c>
      <c r="CD167" s="297" t="s">
        <v>1</v>
      </c>
      <c r="CE167" s="297" t="s">
        <v>1</v>
      </c>
      <c r="CF167" s="227" t="s">
        <v>1</v>
      </c>
    </row>
    <row r="168" ht="25" customHeight="1" spans="1:84">
      <c r="A168" s="108" t="s">
        <v>138</v>
      </c>
      <c r="B168" s="124" t="s">
        <v>1</v>
      </c>
      <c r="C168" s="124" t="s">
        <v>1</v>
      </c>
      <c r="D168" s="124">
        <f>SUM(D26:D32)</f>
        <v>0</v>
      </c>
      <c r="E168" s="124">
        <f>SUM(E26:E32)</f>
        <v>0</v>
      </c>
      <c r="F168" s="124">
        <f>SUM(F26:F32)</f>
        <v>105.9672</v>
      </c>
      <c r="G168" s="141">
        <f>D168/F168-1</f>
        <v>-1</v>
      </c>
      <c r="H168" s="124">
        <f>SUM(H26:H32)</f>
        <v>0</v>
      </c>
      <c r="I168" s="141" t="e">
        <f>D168/H168</f>
        <v>#DIV/0!</v>
      </c>
      <c r="J168" s="124">
        <f>SUM(J26:J32)</f>
        <v>0</v>
      </c>
      <c r="K168" s="124" t="s">
        <v>1</v>
      </c>
      <c r="L168" s="30" t="e">
        <f>J168/D168</f>
        <v>#DIV/0!</v>
      </c>
      <c r="M168" s="163">
        <f t="shared" ref="M168:R168" si="15">SUM(M26:M32)</f>
        <v>0</v>
      </c>
      <c r="N168" s="124">
        <f t="shared" si="15"/>
        <v>0</v>
      </c>
      <c r="O168" s="124">
        <f t="shared" si="15"/>
        <v>0</v>
      </c>
      <c r="P168" s="124">
        <f t="shared" si="15"/>
        <v>0</v>
      </c>
      <c r="Q168" s="124">
        <f t="shared" si="15"/>
        <v>0</v>
      </c>
      <c r="R168" s="124">
        <f t="shared" si="15"/>
        <v>138159</v>
      </c>
      <c r="S168" s="124" t="s">
        <v>1</v>
      </c>
      <c r="T168" s="124">
        <f>SUM(T26:T32)</f>
        <v>0</v>
      </c>
      <c r="U168" s="124">
        <f>SUM(U26:U32)</f>
        <v>0</v>
      </c>
      <c r="V168" s="124">
        <f>SUM(V26:V32)</f>
        <v>0</v>
      </c>
      <c r="W168" s="124" t="s">
        <v>1</v>
      </c>
      <c r="X168" s="124">
        <f>SUM(X26:X32)</f>
        <v>0</v>
      </c>
      <c r="Y168" s="124">
        <f>SUM(Y26:Y32)</f>
        <v>0</v>
      </c>
      <c r="Z168" s="124">
        <f>SUM(Z26:Z32)</f>
        <v>0</v>
      </c>
      <c r="AA168" s="124">
        <f>SUM(AA26:AA32)</f>
        <v>0</v>
      </c>
      <c r="AB168" s="142">
        <f>SUM(AB8:AB14)/7</f>
        <v>0</v>
      </c>
      <c r="AC168" s="142">
        <f>SUM(AC8:AC14)/7</f>
        <v>0</v>
      </c>
      <c r="AD168" s="143">
        <f>SUM(AD8:AD14)/7</f>
        <v>15.2857142857143</v>
      </c>
      <c r="AE168" s="143">
        <f>SUM(AE8:AE14)/7</f>
        <v>0</v>
      </c>
      <c r="AF168" s="124">
        <f t="shared" ref="AF168:AO168" si="16">SUM(AF26:AF32)</f>
        <v>0</v>
      </c>
      <c r="AG168" s="143">
        <f t="shared" si="16"/>
        <v>0</v>
      </c>
      <c r="AH168" s="143">
        <f t="shared" si="16"/>
        <v>17974</v>
      </c>
      <c r="AI168" s="143">
        <f t="shared" si="16"/>
        <v>0</v>
      </c>
      <c r="AJ168" s="143">
        <f t="shared" si="16"/>
        <v>4369</v>
      </c>
      <c r="AK168" s="143">
        <f t="shared" si="16"/>
        <v>0</v>
      </c>
      <c r="AL168" s="143">
        <f t="shared" si="16"/>
        <v>622</v>
      </c>
      <c r="AM168" s="143">
        <f t="shared" si="16"/>
        <v>0</v>
      </c>
      <c r="AN168" s="143">
        <f t="shared" si="16"/>
        <v>22361</v>
      </c>
      <c r="AO168" s="143">
        <f t="shared" si="16"/>
        <v>0</v>
      </c>
      <c r="AP168" s="141">
        <f>AN168/(AF168+AH168+AJ168+AL168)</f>
        <v>0.973699107337252</v>
      </c>
      <c r="AQ168" s="124">
        <f>SUM(AQ26:AQ32)</f>
        <v>0</v>
      </c>
      <c r="AR168" s="124">
        <f>SUM(AR26:AR32)</f>
        <v>1253</v>
      </c>
      <c r="AS168" s="144">
        <f>SUM(AS8:AS14)/7</f>
        <v>0</v>
      </c>
      <c r="AT168" s="144">
        <f>SUM(AT8:AT14)/7</f>
        <v>0.0068</v>
      </c>
      <c r="AU168" s="124">
        <f>SUM(AU26:AU32)</f>
        <v>0</v>
      </c>
      <c r="AV168" s="124">
        <f>SUM(AV26:AV32)</f>
        <v>0</v>
      </c>
      <c r="AW168" s="124">
        <f>SUM(AW26:AW32)</f>
        <v>0</v>
      </c>
      <c r="AX168" s="124">
        <f>SUM(AX26:AX32)</f>
        <v>0</v>
      </c>
      <c r="AY168" s="144">
        <f>SUM(AY8:AY14)/7</f>
        <v>0</v>
      </c>
      <c r="AZ168" s="144">
        <f>SUM(AZ8:AZ14)/7</f>
        <v>0</v>
      </c>
      <c r="BA168" s="124">
        <f>SUM(BA26:BA32)</f>
        <v>0</v>
      </c>
      <c r="BB168" s="124">
        <f>SUM(BB26:BB32)</f>
        <v>0</v>
      </c>
      <c r="BC168" s="144">
        <f>SUM(BC8:BC14)/7</f>
        <v>0</v>
      </c>
      <c r="BD168" s="144">
        <f>SUM(BD8:BD14)/7</f>
        <v>0</v>
      </c>
      <c r="BE168" s="124">
        <f>SUM(BE26:BE32)</f>
        <v>0</v>
      </c>
      <c r="BF168" s="124">
        <f>SUM(BF26:BF32)</f>
        <v>0</v>
      </c>
      <c r="BG168" s="145">
        <f>SUM(BG8:BG14)/7</f>
        <v>0</v>
      </c>
      <c r="BH168" s="145">
        <f>SUM(BH8:BH14)/7</f>
        <v>1</v>
      </c>
      <c r="BI168" s="124">
        <f t="shared" ref="BI168:BP168" si="17">SUM(BI26:BI32)</f>
        <v>0</v>
      </c>
      <c r="BJ168" s="124">
        <f t="shared" si="17"/>
        <v>299</v>
      </c>
      <c r="BK168" s="124">
        <f t="shared" si="17"/>
        <v>10076</v>
      </c>
      <c r="BL168" s="124">
        <f t="shared" si="17"/>
        <v>0</v>
      </c>
      <c r="BM168" s="124">
        <f t="shared" si="17"/>
        <v>0</v>
      </c>
      <c r="BN168" s="124">
        <f t="shared" si="17"/>
        <v>1862</v>
      </c>
      <c r="BO168" s="124">
        <f t="shared" si="17"/>
        <v>3196</v>
      </c>
      <c r="BP168" s="124">
        <f t="shared" si="17"/>
        <v>0</v>
      </c>
      <c r="BQ168" s="297" t="s">
        <v>1</v>
      </c>
      <c r="BR168" s="297" t="s">
        <v>1</v>
      </c>
      <c r="BS168" s="297" t="s">
        <v>1</v>
      </c>
      <c r="BT168" s="297" t="s">
        <v>1</v>
      </c>
      <c r="BU168" s="297" t="s">
        <v>1</v>
      </c>
      <c r="BV168" s="297" t="s">
        <v>1</v>
      </c>
      <c r="BW168" s="297" t="s">
        <v>1</v>
      </c>
      <c r="BX168" s="297" t="s">
        <v>1</v>
      </c>
      <c r="BY168" s="297" t="s">
        <v>1</v>
      </c>
      <c r="BZ168" s="297" t="s">
        <v>1</v>
      </c>
      <c r="CA168" s="297" t="s">
        <v>1</v>
      </c>
      <c r="CB168" s="297" t="s">
        <v>1</v>
      </c>
      <c r="CC168" s="297" t="s">
        <v>1</v>
      </c>
      <c r="CD168" s="297" t="s">
        <v>1</v>
      </c>
      <c r="CE168" s="297" t="s">
        <v>1</v>
      </c>
      <c r="CF168" s="228" t="s">
        <v>1</v>
      </c>
    </row>
    <row r="169" ht="25" customHeight="1" spans="1:84">
      <c r="A169" s="108" t="s">
        <v>139</v>
      </c>
      <c r="B169" s="124" t="s">
        <v>1</v>
      </c>
      <c r="C169" s="124" t="s">
        <v>1</v>
      </c>
      <c r="D169" s="124">
        <f>SUM(D33:D35)</f>
        <v>0</v>
      </c>
      <c r="E169" s="124">
        <f>SUM(E33:E35)</f>
        <v>0</v>
      </c>
      <c r="F169" s="124">
        <f>SUM(F33:F35)</f>
        <v>42.2</v>
      </c>
      <c r="G169" s="141">
        <f>D169/F169-1</f>
        <v>-1</v>
      </c>
      <c r="H169" s="124">
        <f>SUM(H33:H35)</f>
        <v>0</v>
      </c>
      <c r="I169" s="141" t="e">
        <f>D169/H169</f>
        <v>#DIV/0!</v>
      </c>
      <c r="J169" s="124">
        <f>SUM(J33:J35)</f>
        <v>0</v>
      </c>
      <c r="K169" s="124" t="s">
        <v>1</v>
      </c>
      <c r="L169" s="30" t="e">
        <f>J169/D169</f>
        <v>#DIV/0!</v>
      </c>
      <c r="M169" s="163">
        <f t="shared" ref="M169:R169" si="18">SUM(M33:M35)</f>
        <v>0</v>
      </c>
      <c r="N169" s="124">
        <f t="shared" si="18"/>
        <v>0</v>
      </c>
      <c r="O169" s="124">
        <f t="shared" si="18"/>
        <v>23.8327</v>
      </c>
      <c r="P169" s="124">
        <f t="shared" si="18"/>
        <v>0</v>
      </c>
      <c r="Q169" s="124">
        <f t="shared" si="18"/>
        <v>0.2173</v>
      </c>
      <c r="R169" s="124">
        <f t="shared" si="18"/>
        <v>29531</v>
      </c>
      <c r="S169" s="124" t="s">
        <v>1</v>
      </c>
      <c r="T169" s="124">
        <f>SUM(T33:T35)</f>
        <v>0</v>
      </c>
      <c r="U169" s="124">
        <f>SUM(U33:U35)</f>
        <v>0</v>
      </c>
      <c r="V169" s="124">
        <f>SUM(V33:V35)</f>
        <v>0</v>
      </c>
      <c r="W169" s="124" t="s">
        <v>1</v>
      </c>
      <c r="X169" s="124">
        <f>SUM(X33:X35)</f>
        <v>0</v>
      </c>
      <c r="Y169" s="124">
        <f>SUM(Y33:Y35)</f>
        <v>0</v>
      </c>
      <c r="Z169" s="124">
        <f>SUM(Z33:Z35)</f>
        <v>0</v>
      </c>
      <c r="AA169" s="124">
        <f>SUM(AA33:AA35)</f>
        <v>0</v>
      </c>
      <c r="AB169" s="142">
        <f>SUM(AB33:AB35)/2</f>
        <v>0</v>
      </c>
      <c r="AC169" s="142">
        <f>SUM(AC33:AC35)/2</f>
        <v>0</v>
      </c>
      <c r="AD169" s="143">
        <f>SUM(AD33:AD35)/2</f>
        <v>43.5</v>
      </c>
      <c r="AE169" s="143">
        <f>SUM(AE33:AE35)/2</f>
        <v>0</v>
      </c>
      <c r="AF169" s="124">
        <f t="shared" ref="AF169:AO169" si="19">SUM(AF33:AF35)</f>
        <v>0</v>
      </c>
      <c r="AG169" s="143">
        <f t="shared" si="19"/>
        <v>0</v>
      </c>
      <c r="AH169" s="143">
        <f t="shared" si="19"/>
        <v>10501</v>
      </c>
      <c r="AI169" s="143">
        <f t="shared" si="19"/>
        <v>0</v>
      </c>
      <c r="AJ169" s="143">
        <f t="shared" si="19"/>
        <v>2249</v>
      </c>
      <c r="AK169" s="143">
        <f t="shared" si="19"/>
        <v>0</v>
      </c>
      <c r="AL169" s="143">
        <f t="shared" si="19"/>
        <v>320</v>
      </c>
      <c r="AM169" s="143">
        <f t="shared" si="19"/>
        <v>0</v>
      </c>
      <c r="AN169" s="143">
        <f t="shared" si="19"/>
        <v>11107</v>
      </c>
      <c r="AO169" s="143">
        <f t="shared" si="19"/>
        <v>0</v>
      </c>
      <c r="AP169" s="141">
        <f>AN169/(AF169+AH169+AJ169+AL169)</f>
        <v>0.849808722264728</v>
      </c>
      <c r="AQ169" s="124">
        <f>SUM(AQ33:AQ35)</f>
        <v>0</v>
      </c>
      <c r="AR169" s="124">
        <f>SUM(AR33:AR35)</f>
        <v>924</v>
      </c>
      <c r="AS169" s="144">
        <f>SUM(AS33:AS35)/2</f>
        <v>0</v>
      </c>
      <c r="AT169" s="144">
        <f>SUM(AT33:AT35)/2</f>
        <v>0.0068</v>
      </c>
      <c r="AU169" s="124">
        <f>SUM(AU33:AU35)</f>
        <v>0</v>
      </c>
      <c r="AV169" s="124">
        <f>SUM(AV33:AV35)</f>
        <v>249</v>
      </c>
      <c r="AW169" s="124">
        <f>SUM(AW33:AW35)</f>
        <v>0</v>
      </c>
      <c r="AX169" s="124">
        <f>SUM(AX33:AX35)</f>
        <v>50</v>
      </c>
      <c r="AY169" s="144">
        <f>SUM(AY33:AY35)/2</f>
        <v>0</v>
      </c>
      <c r="AZ169" s="144">
        <f>SUM(AZ33:AZ35)/2</f>
        <v>0.100401606425703</v>
      </c>
      <c r="BA169" s="124">
        <f>SUM(BA33:BA35)</f>
        <v>0</v>
      </c>
      <c r="BB169" s="124">
        <f>SUM(BB33:BB35)</f>
        <v>0</v>
      </c>
      <c r="BC169" s="144">
        <f>SUM(BC33:BC35)/2</f>
        <v>0</v>
      </c>
      <c r="BD169" s="144">
        <f>SUM(BD33:BD35)/2</f>
        <v>0</v>
      </c>
      <c r="BE169" s="124">
        <f>SUM(BE33:BE35)</f>
        <v>0</v>
      </c>
      <c r="BF169" s="124">
        <f>SUM(BF33:BF35)</f>
        <v>0</v>
      </c>
      <c r="BG169" s="145">
        <f>SUM(BG33:BG35)/2</f>
        <v>0</v>
      </c>
      <c r="BH169" s="145">
        <f>SUM(BH33:BH35)/2</f>
        <v>1.5</v>
      </c>
      <c r="BI169" s="124">
        <f t="shared" ref="BI169:BP169" si="20">SUM(BI33:BI35)</f>
        <v>0</v>
      </c>
      <c r="BJ169" s="124">
        <f t="shared" si="20"/>
        <v>118</v>
      </c>
      <c r="BK169" s="124">
        <f t="shared" si="20"/>
        <v>5769</v>
      </c>
      <c r="BL169" s="124">
        <f t="shared" si="20"/>
        <v>0</v>
      </c>
      <c r="BM169" s="124">
        <f t="shared" si="20"/>
        <v>0</v>
      </c>
      <c r="BN169" s="124">
        <f t="shared" si="20"/>
        <v>673</v>
      </c>
      <c r="BO169" s="124">
        <f t="shared" si="20"/>
        <v>1720</v>
      </c>
      <c r="BP169" s="124">
        <f t="shared" si="20"/>
        <v>0</v>
      </c>
      <c r="BQ169" s="108" t="s">
        <v>1</v>
      </c>
      <c r="BR169" s="108" t="s">
        <v>1</v>
      </c>
      <c r="BS169" s="108" t="s">
        <v>1</v>
      </c>
      <c r="BT169" s="108" t="s">
        <v>1</v>
      </c>
      <c r="BU169" s="108" t="s">
        <v>1</v>
      </c>
      <c r="BV169" s="108" t="s">
        <v>1</v>
      </c>
      <c r="BW169" s="108" t="s">
        <v>1</v>
      </c>
      <c r="BX169" s="108" t="s">
        <v>1</v>
      </c>
      <c r="BY169" s="108" t="s">
        <v>1</v>
      </c>
      <c r="BZ169" s="108" t="s">
        <v>1</v>
      </c>
      <c r="CA169" s="108" t="s">
        <v>1</v>
      </c>
      <c r="CB169" s="108" t="s">
        <v>1</v>
      </c>
      <c r="CC169" s="108" t="s">
        <v>1</v>
      </c>
      <c r="CD169" s="108" t="s">
        <v>1</v>
      </c>
      <c r="CE169" s="108" t="s">
        <v>1</v>
      </c>
      <c r="CF169" s="227" t="s">
        <v>1</v>
      </c>
    </row>
  </sheetData>
  <mergeCells count="183">
    <mergeCell ref="A1:C1"/>
    <mergeCell ref="D1:U1"/>
    <mergeCell ref="V1:AS1"/>
    <mergeCell ref="AT1:BG1"/>
    <mergeCell ref="BI1:BP1"/>
    <mergeCell ref="BQ1:CE1"/>
    <mergeCell ref="B2:C2"/>
    <mergeCell ref="D2:K2"/>
    <mergeCell ref="L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I2:BL2"/>
    <mergeCell ref="BM2:BP2"/>
    <mergeCell ref="BQ2:BU2"/>
    <mergeCell ref="BV2:CE2"/>
    <mergeCell ref="A161:C161"/>
    <mergeCell ref="D161:U161"/>
    <mergeCell ref="V161:AS161"/>
    <mergeCell ref="AT161:BG161"/>
    <mergeCell ref="BI161:BP161"/>
    <mergeCell ref="BQ161:CE161"/>
    <mergeCell ref="B162:C162"/>
    <mergeCell ref="D162:K162"/>
    <mergeCell ref="L162:U162"/>
    <mergeCell ref="V162:W162"/>
    <mergeCell ref="X162:Y162"/>
    <mergeCell ref="Z162:AA162"/>
    <mergeCell ref="AB162:AC162"/>
    <mergeCell ref="AD162:AE162"/>
    <mergeCell ref="AF162:AG162"/>
    <mergeCell ref="AH162:AI162"/>
    <mergeCell ref="AJ162:AK162"/>
    <mergeCell ref="AL162:AM162"/>
    <mergeCell ref="AN162:AO162"/>
    <mergeCell ref="AP162:AQ162"/>
    <mergeCell ref="AR162:AS162"/>
    <mergeCell ref="AT162:AU162"/>
    <mergeCell ref="AV162:AW162"/>
    <mergeCell ref="AX162:AY162"/>
    <mergeCell ref="AZ162:BA162"/>
    <mergeCell ref="BB162:BC162"/>
    <mergeCell ref="BD162:BE162"/>
    <mergeCell ref="BF162:BG162"/>
    <mergeCell ref="BI162:BL162"/>
    <mergeCell ref="BM162:BP162"/>
    <mergeCell ref="BQ162:BU162"/>
    <mergeCell ref="BV162:CE162"/>
    <mergeCell ref="A2:A3"/>
    <mergeCell ref="A162:A163"/>
    <mergeCell ref="B66:B67"/>
    <mergeCell ref="B73:B75"/>
    <mergeCell ref="B80:B81"/>
    <mergeCell ref="BH1:BH3"/>
    <mergeCell ref="BH161:BH163"/>
    <mergeCell ref="BV7:BV13"/>
    <mergeCell ref="BV15:BV21"/>
    <mergeCell ref="BV22:BV28"/>
    <mergeCell ref="BV29:BV35"/>
    <mergeCell ref="BV36:BV42"/>
    <mergeCell ref="BV43:BV49"/>
    <mergeCell ref="BV50:BV56"/>
    <mergeCell ref="BV57:BV63"/>
    <mergeCell ref="BV64:BV70"/>
    <mergeCell ref="BV71:BV77"/>
    <mergeCell ref="BV78:BV84"/>
    <mergeCell ref="BW7:BW13"/>
    <mergeCell ref="BW15:BW21"/>
    <mergeCell ref="BW22:BW28"/>
    <mergeCell ref="BW29:BW35"/>
    <mergeCell ref="BW36:BW42"/>
    <mergeCell ref="BW43:BW49"/>
    <mergeCell ref="BW50:BW56"/>
    <mergeCell ref="BW57:BW63"/>
    <mergeCell ref="BW64:BW70"/>
    <mergeCell ref="BW71:BW77"/>
    <mergeCell ref="BW78:BW84"/>
    <mergeCell ref="BX7:BX13"/>
    <mergeCell ref="BX15:BX21"/>
    <mergeCell ref="BX22:BX28"/>
    <mergeCell ref="BX29:BX35"/>
    <mergeCell ref="BX36:BX42"/>
    <mergeCell ref="BX43:BX49"/>
    <mergeCell ref="BX50:BX56"/>
    <mergeCell ref="BX57:BX63"/>
    <mergeCell ref="BX64:BX70"/>
    <mergeCell ref="BX71:BX77"/>
    <mergeCell ref="BX78:BX84"/>
    <mergeCell ref="BY7:BY13"/>
    <mergeCell ref="BY15:BY21"/>
    <mergeCell ref="BY22:BY28"/>
    <mergeCell ref="BY29:BY35"/>
    <mergeCell ref="BY36:BY42"/>
    <mergeCell ref="BY43:BY49"/>
    <mergeCell ref="BY50:BY56"/>
    <mergeCell ref="BY57:BY63"/>
    <mergeCell ref="BY64:BY70"/>
    <mergeCell ref="BY71:BY77"/>
    <mergeCell ref="BY78:BY84"/>
    <mergeCell ref="BZ7:BZ13"/>
    <mergeCell ref="BZ15:BZ21"/>
    <mergeCell ref="BZ22:BZ28"/>
    <mergeCell ref="BZ29:BZ35"/>
    <mergeCell ref="BZ36:BZ42"/>
    <mergeCell ref="BZ43:BZ49"/>
    <mergeCell ref="BZ50:BZ56"/>
    <mergeCell ref="BZ57:BZ63"/>
    <mergeCell ref="BZ64:BZ70"/>
    <mergeCell ref="BZ71:BZ77"/>
    <mergeCell ref="BZ78:BZ84"/>
    <mergeCell ref="CA7:CA13"/>
    <mergeCell ref="CA15:CA21"/>
    <mergeCell ref="CA22:CA28"/>
    <mergeCell ref="CA29:CA35"/>
    <mergeCell ref="CA36:CA42"/>
    <mergeCell ref="CA43:CA49"/>
    <mergeCell ref="CA50:CA56"/>
    <mergeCell ref="CA57:CA63"/>
    <mergeCell ref="CA64:CA70"/>
    <mergeCell ref="CA71:CA77"/>
    <mergeCell ref="CA78:CA84"/>
    <mergeCell ref="CB7:CB13"/>
    <mergeCell ref="CB15:CB21"/>
    <mergeCell ref="CB22:CB28"/>
    <mergeCell ref="CB29:CB35"/>
    <mergeCell ref="CB36:CB42"/>
    <mergeCell ref="CB43:CB49"/>
    <mergeCell ref="CB50:CB56"/>
    <mergeCell ref="CB57:CB63"/>
    <mergeCell ref="CB64:CB70"/>
    <mergeCell ref="CB71:CB77"/>
    <mergeCell ref="CB78:CB84"/>
    <mergeCell ref="CC7:CC13"/>
    <mergeCell ref="CC15:CC21"/>
    <mergeCell ref="CC22:CC28"/>
    <mergeCell ref="CC29:CC35"/>
    <mergeCell ref="CC36:CC42"/>
    <mergeCell ref="CC43:CC49"/>
    <mergeCell ref="CC50:CC56"/>
    <mergeCell ref="CC57:CC63"/>
    <mergeCell ref="CC64:CC70"/>
    <mergeCell ref="CC71:CC77"/>
    <mergeCell ref="CC78:CC84"/>
    <mergeCell ref="CD7:CD13"/>
    <mergeCell ref="CD15:CD21"/>
    <mergeCell ref="CD22:CD28"/>
    <mergeCell ref="CD29:CD35"/>
    <mergeCell ref="CD36:CD42"/>
    <mergeCell ref="CD43:CD49"/>
    <mergeCell ref="CD50:CD56"/>
    <mergeCell ref="CD57:CD63"/>
    <mergeCell ref="CD64:CD70"/>
    <mergeCell ref="CD71:CD77"/>
    <mergeCell ref="CD78:CD84"/>
    <mergeCell ref="CE7:CE13"/>
    <mergeCell ref="CE15:CE21"/>
    <mergeCell ref="CE22:CE28"/>
    <mergeCell ref="CE29:CE35"/>
    <mergeCell ref="CE36:CE42"/>
    <mergeCell ref="CE43:CE49"/>
    <mergeCell ref="CE50:CE56"/>
    <mergeCell ref="CE57:CE63"/>
    <mergeCell ref="CE64:CE70"/>
    <mergeCell ref="CE71:CE77"/>
    <mergeCell ref="CE78:CE84"/>
    <mergeCell ref="CF1:CF3"/>
    <mergeCell ref="CF161:CF16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F169"/>
  <sheetViews>
    <sheetView workbookViewId="0">
      <pane xSplit="3" ySplit="5" topLeftCell="D6" activePane="bottomRight" state="frozen"/>
      <selection/>
      <selection pane="topRight"/>
      <selection pane="bottomLeft"/>
      <selection pane="bottomRight" activeCell="A1" sqref="A1:C1"/>
    </sheetView>
  </sheetViews>
  <sheetFormatPr defaultColWidth="14" defaultRowHeight="12.75"/>
  <cols>
    <col min="1" max="2" width="11" customWidth="1"/>
    <col min="3" max="3" width="8" customWidth="1"/>
    <col min="4" max="5" width="11" customWidth="1"/>
    <col min="6" max="7" width="10" customWidth="1"/>
    <col min="8" max="8" width="7" customWidth="1"/>
    <col min="9" max="9" width="10" customWidth="1"/>
    <col min="10" max="10" width="13" customWidth="1"/>
    <col min="11" max="11" width="10" customWidth="1"/>
    <col min="12" max="12" width="31" customWidth="1"/>
    <col min="13" max="13" width="23" customWidth="1"/>
    <col min="14" max="14" width="7" customWidth="1"/>
    <col min="15" max="15" width="14" customWidth="1"/>
    <col min="16" max="16" width="7" customWidth="1"/>
    <col min="17" max="17" width="10" customWidth="1"/>
    <col min="18" max="18" width="14" customWidth="1"/>
    <col min="19" max="19" width="8" customWidth="1"/>
    <col min="20" max="21" width="7" customWidth="1"/>
    <col min="22" max="22" width="12" customWidth="1"/>
    <col min="23" max="23" width="10" customWidth="1"/>
    <col min="24" max="25" width="11" customWidth="1"/>
    <col min="26" max="26" width="13" customWidth="1"/>
    <col min="27" max="27" width="10" customWidth="1"/>
    <col min="28" max="28" width="13" customWidth="1"/>
    <col min="29" max="29" width="10" customWidth="1"/>
    <col min="30" max="31" width="17" hidden="1" customWidth="1"/>
    <col min="32" max="32" width="13" customWidth="1"/>
    <col min="33" max="33" width="8" customWidth="1"/>
    <col min="34" max="34" width="14" customWidth="1"/>
    <col min="35" max="35" width="9" customWidth="1"/>
    <col min="36" max="36" width="12" customWidth="1"/>
    <col min="37" max="37" width="9" customWidth="1"/>
    <col min="38" max="38" width="13" customWidth="1"/>
    <col min="39" max="39" width="11" customWidth="1"/>
    <col min="40" max="41" width="13" customWidth="1"/>
    <col min="42" max="42" width="14" customWidth="1"/>
    <col min="43" max="43" width="10" customWidth="1"/>
    <col min="44" max="44" width="14" customWidth="1"/>
    <col min="45" max="46" width="10" customWidth="1"/>
    <col min="47" max="49" width="8" customWidth="1"/>
    <col min="50" max="50" width="9" customWidth="1"/>
    <col min="51" max="51" width="8" customWidth="1"/>
    <col min="52" max="52" width="10" customWidth="1"/>
    <col min="53" max="53" width="8" customWidth="1"/>
    <col min="54" max="54" width="13" customWidth="1"/>
    <col min="55" max="58" width="8" customWidth="1"/>
    <col min="59" max="59" width="9" customWidth="1"/>
    <col min="60" max="60" width="15" customWidth="1"/>
    <col min="61" max="62" width="11" customWidth="1"/>
    <col min="63" max="64" width="14" customWidth="1"/>
    <col min="65" max="65" width="12" customWidth="1"/>
    <col min="66" max="66" width="15" customWidth="1"/>
    <col min="67" max="67" width="13" customWidth="1"/>
    <col min="68" max="68" width="14" customWidth="1"/>
    <col min="69" max="73" width="9" customWidth="1"/>
    <col min="74" max="74" width="13" customWidth="1"/>
    <col min="75" max="75" width="15" customWidth="1"/>
    <col min="76" max="76" width="17" customWidth="1"/>
    <col min="77" max="78" width="15" customWidth="1"/>
    <col min="79" max="79" width="18" customWidth="1"/>
    <col min="80" max="80" width="17" customWidth="1"/>
    <col min="81" max="81" width="15" customWidth="1"/>
    <col min="82" max="83" width="20" customWidth="1"/>
    <col min="84" max="84" width="17" customWidth="1"/>
  </cols>
  <sheetData>
    <row r="1" ht="29" customHeight="1" spans="1:84">
      <c r="A1" s="229">
        <v>100039706989</v>
      </c>
      <c r="B1" s="229" t="s">
        <v>1</v>
      </c>
      <c r="C1" s="229" t="s">
        <v>1</v>
      </c>
      <c r="D1" s="65" t="s">
        <v>2</v>
      </c>
      <c r="E1" s="65" t="s">
        <v>1</v>
      </c>
      <c r="F1" s="65" t="s">
        <v>1</v>
      </c>
      <c r="G1" s="65" t="s">
        <v>1</v>
      </c>
      <c r="H1" s="65" t="s">
        <v>1</v>
      </c>
      <c r="I1" s="65" t="s">
        <v>1</v>
      </c>
      <c r="J1" s="65" t="s">
        <v>1</v>
      </c>
      <c r="K1" s="230" t="s">
        <v>1</v>
      </c>
      <c r="L1" s="231" t="s">
        <v>1</v>
      </c>
      <c r="M1" s="232" t="s">
        <v>1</v>
      </c>
      <c r="N1" s="65" t="s">
        <v>1</v>
      </c>
      <c r="O1" s="65" t="s">
        <v>1</v>
      </c>
      <c r="P1" s="65" t="s">
        <v>1</v>
      </c>
      <c r="Q1" s="65" t="s">
        <v>1</v>
      </c>
      <c r="R1" s="65" t="s">
        <v>1</v>
      </c>
      <c r="S1" s="65" t="s">
        <v>1</v>
      </c>
      <c r="T1" s="65" t="s">
        <v>1</v>
      </c>
      <c r="U1" s="65" t="s">
        <v>1</v>
      </c>
      <c r="V1" s="66" t="s">
        <v>3</v>
      </c>
      <c r="W1" s="67" t="s">
        <v>1</v>
      </c>
      <c r="X1" s="67" t="s">
        <v>1</v>
      </c>
      <c r="Y1" s="67" t="s">
        <v>1</v>
      </c>
      <c r="Z1" s="67" t="s">
        <v>1</v>
      </c>
      <c r="AA1" s="67" t="s">
        <v>1</v>
      </c>
      <c r="AB1" s="67" t="s">
        <v>1</v>
      </c>
      <c r="AC1" s="67" t="s">
        <v>1</v>
      </c>
      <c r="AD1" s="67" t="s">
        <v>1</v>
      </c>
      <c r="AE1" s="67" t="s">
        <v>1</v>
      </c>
      <c r="AF1" s="67" t="s">
        <v>1</v>
      </c>
      <c r="AG1" s="67" t="s">
        <v>1</v>
      </c>
      <c r="AH1" s="67" t="s">
        <v>1</v>
      </c>
      <c r="AI1" s="67" t="s">
        <v>1</v>
      </c>
      <c r="AJ1" s="67" t="s">
        <v>1</v>
      </c>
      <c r="AK1" s="67" t="s">
        <v>1</v>
      </c>
      <c r="AL1" s="67" t="s">
        <v>1</v>
      </c>
      <c r="AM1" s="67" t="s">
        <v>1</v>
      </c>
      <c r="AN1" s="67" t="s">
        <v>1</v>
      </c>
      <c r="AO1" s="67" t="s">
        <v>1</v>
      </c>
      <c r="AP1" s="67" t="s">
        <v>1</v>
      </c>
      <c r="AQ1" s="67" t="s">
        <v>1</v>
      </c>
      <c r="AR1" s="67" t="s">
        <v>1</v>
      </c>
      <c r="AS1" s="67" t="s">
        <v>1</v>
      </c>
      <c r="AT1" s="68" t="s">
        <v>4</v>
      </c>
      <c r="AU1" s="68" t="s">
        <v>1</v>
      </c>
      <c r="AV1" s="68" t="s">
        <v>1</v>
      </c>
      <c r="AW1" s="68" t="s">
        <v>1</v>
      </c>
      <c r="AX1" s="68" t="s">
        <v>1</v>
      </c>
      <c r="AY1" s="68" t="s">
        <v>1</v>
      </c>
      <c r="AZ1" s="68" t="s">
        <v>1</v>
      </c>
      <c r="BA1" s="68" t="s">
        <v>1</v>
      </c>
      <c r="BB1" s="68" t="s">
        <v>1</v>
      </c>
      <c r="BC1" s="68" t="s">
        <v>1</v>
      </c>
      <c r="BD1" s="68" t="s">
        <v>1</v>
      </c>
      <c r="BE1" s="68" t="s">
        <v>1</v>
      </c>
      <c r="BF1" s="68" t="s">
        <v>1</v>
      </c>
      <c r="BG1" s="68" t="s">
        <v>1</v>
      </c>
      <c r="BH1" s="149" t="s">
        <v>5</v>
      </c>
      <c r="BI1" s="150" t="s">
        <v>6</v>
      </c>
      <c r="BJ1" s="150" t="s">
        <v>1</v>
      </c>
      <c r="BK1" s="150" t="s">
        <v>1</v>
      </c>
      <c r="BL1" s="150" t="s">
        <v>1</v>
      </c>
      <c r="BM1" s="150" t="s">
        <v>1</v>
      </c>
      <c r="BN1" s="150" t="s">
        <v>1</v>
      </c>
      <c r="BO1" s="150" t="s">
        <v>1</v>
      </c>
      <c r="BP1" s="101" t="s">
        <v>1</v>
      </c>
      <c r="BQ1" s="71" t="s">
        <v>7</v>
      </c>
      <c r="BR1" s="71" t="s">
        <v>1</v>
      </c>
      <c r="BS1" s="71" t="s">
        <v>1</v>
      </c>
      <c r="BT1" s="71" t="s">
        <v>1</v>
      </c>
      <c r="BU1" s="71" t="s">
        <v>1</v>
      </c>
      <c r="BV1" s="71" t="s">
        <v>1</v>
      </c>
      <c r="BW1" s="71" t="s">
        <v>1</v>
      </c>
      <c r="BX1" s="71" t="s">
        <v>1</v>
      </c>
      <c r="BY1" s="71" t="s">
        <v>1</v>
      </c>
      <c r="BZ1" s="71" t="s">
        <v>1</v>
      </c>
      <c r="CA1" s="71" t="s">
        <v>1</v>
      </c>
      <c r="CB1" s="71" t="s">
        <v>1</v>
      </c>
      <c r="CC1" s="71" t="s">
        <v>1</v>
      </c>
      <c r="CD1" s="71" t="s">
        <v>1</v>
      </c>
      <c r="CE1" s="90" t="s">
        <v>1</v>
      </c>
      <c r="CF1" s="72" t="s">
        <v>8</v>
      </c>
    </row>
    <row r="2" ht="25" customHeight="1" spans="1:84">
      <c r="A2" s="73" t="s">
        <v>9</v>
      </c>
      <c r="B2" s="74" t="s">
        <v>10</v>
      </c>
      <c r="C2" s="75" t="s">
        <v>1</v>
      </c>
      <c r="D2" s="76" t="s">
        <v>11</v>
      </c>
      <c r="E2" s="77" t="s">
        <v>1</v>
      </c>
      <c r="F2" s="77" t="s">
        <v>1</v>
      </c>
      <c r="G2" s="77" t="s">
        <v>1</v>
      </c>
      <c r="H2" s="77" t="s">
        <v>1</v>
      </c>
      <c r="I2" s="77" t="s">
        <v>1</v>
      </c>
      <c r="J2" s="77" t="s">
        <v>1</v>
      </c>
      <c r="K2" s="77" t="s">
        <v>1</v>
      </c>
      <c r="L2" s="231" t="s">
        <v>12</v>
      </c>
      <c r="M2" s="77" t="s">
        <v>1</v>
      </c>
      <c r="N2" s="77" t="s">
        <v>1</v>
      </c>
      <c r="O2" s="77" t="s">
        <v>1</v>
      </c>
      <c r="P2" s="77" t="s">
        <v>1</v>
      </c>
      <c r="Q2" s="77" t="s">
        <v>1</v>
      </c>
      <c r="R2" s="77" t="s">
        <v>1</v>
      </c>
      <c r="S2" s="77" t="s">
        <v>1</v>
      </c>
      <c r="T2" s="77" t="s">
        <v>1</v>
      </c>
      <c r="U2" s="78" t="s">
        <v>1</v>
      </c>
      <c r="V2" s="79" t="s">
        <v>13</v>
      </c>
      <c r="W2" s="80" t="s">
        <v>1</v>
      </c>
      <c r="X2" s="81" t="s">
        <v>14</v>
      </c>
      <c r="Y2" s="82" t="s">
        <v>1</v>
      </c>
      <c r="Z2" s="81" t="s">
        <v>15</v>
      </c>
      <c r="AA2" s="82" t="s">
        <v>1</v>
      </c>
      <c r="AB2" s="81" t="s">
        <v>16</v>
      </c>
      <c r="AC2" s="82" t="s">
        <v>1</v>
      </c>
      <c r="AD2" s="81" t="s">
        <v>17</v>
      </c>
      <c r="AE2" s="81" t="s">
        <v>1</v>
      </c>
      <c r="AF2" s="81" t="s">
        <v>18</v>
      </c>
      <c r="AG2" s="82" t="s">
        <v>1</v>
      </c>
      <c r="AH2" s="83" t="s">
        <v>19</v>
      </c>
      <c r="AI2" s="84" t="s">
        <v>1</v>
      </c>
      <c r="AJ2" s="83" t="s">
        <v>20</v>
      </c>
      <c r="AK2" s="84" t="s">
        <v>1</v>
      </c>
      <c r="AL2" s="83" t="s">
        <v>21</v>
      </c>
      <c r="AM2" s="84" t="s">
        <v>1</v>
      </c>
      <c r="AN2" s="83" t="s">
        <v>22</v>
      </c>
      <c r="AO2" s="84" t="s">
        <v>1</v>
      </c>
      <c r="AP2" s="85" t="s">
        <v>23</v>
      </c>
      <c r="AQ2" s="86" t="s">
        <v>1</v>
      </c>
      <c r="AR2" s="85" t="s">
        <v>24</v>
      </c>
      <c r="AS2" s="86" t="s">
        <v>1</v>
      </c>
      <c r="AT2" s="68" t="s">
        <v>25</v>
      </c>
      <c r="AU2" s="68" t="s">
        <v>1</v>
      </c>
      <c r="AV2" s="87" t="s">
        <v>26</v>
      </c>
      <c r="AW2" s="87" t="s">
        <v>1</v>
      </c>
      <c r="AX2" s="87" t="s">
        <v>27</v>
      </c>
      <c r="AY2" s="87" t="s">
        <v>1</v>
      </c>
      <c r="AZ2" s="88" t="s">
        <v>28</v>
      </c>
      <c r="BA2" s="88" t="s">
        <v>1</v>
      </c>
      <c r="BB2" s="87" t="s">
        <v>29</v>
      </c>
      <c r="BC2" s="87" t="s">
        <v>1</v>
      </c>
      <c r="BD2" s="89" t="s">
        <v>30</v>
      </c>
      <c r="BE2" s="89" t="s">
        <v>1</v>
      </c>
      <c r="BF2" s="89" t="s">
        <v>31</v>
      </c>
      <c r="BG2" s="89" t="s">
        <v>1</v>
      </c>
      <c r="BH2" s="149" t="s">
        <v>1</v>
      </c>
      <c r="BI2" s="150" t="s">
        <v>32</v>
      </c>
      <c r="BJ2" s="150" t="s">
        <v>1</v>
      </c>
      <c r="BK2" s="150" t="s">
        <v>1</v>
      </c>
      <c r="BL2" s="150" t="s">
        <v>1</v>
      </c>
      <c r="BM2" s="151" t="s">
        <v>33</v>
      </c>
      <c r="BN2" s="150" t="s">
        <v>1</v>
      </c>
      <c r="BO2" s="150" t="s">
        <v>1</v>
      </c>
      <c r="BP2" s="101" t="s">
        <v>1</v>
      </c>
      <c r="BQ2" s="71" t="s">
        <v>34</v>
      </c>
      <c r="BR2" s="71" t="s">
        <v>1</v>
      </c>
      <c r="BS2" s="71" t="s">
        <v>1</v>
      </c>
      <c r="BT2" s="71" t="s">
        <v>1</v>
      </c>
      <c r="BU2" s="90" t="s">
        <v>1</v>
      </c>
      <c r="BV2" s="71" t="s">
        <v>35</v>
      </c>
      <c r="BW2" s="71" t="s">
        <v>1</v>
      </c>
      <c r="BX2" s="71" t="s">
        <v>1</v>
      </c>
      <c r="BY2" s="71" t="s">
        <v>1</v>
      </c>
      <c r="BZ2" s="71" t="s">
        <v>1</v>
      </c>
      <c r="CA2" s="71" t="s">
        <v>1</v>
      </c>
      <c r="CB2" s="71" t="s">
        <v>1</v>
      </c>
      <c r="CC2" s="71" t="s">
        <v>1</v>
      </c>
      <c r="CD2" s="71" t="s">
        <v>1</v>
      </c>
      <c r="CE2" s="90" t="s">
        <v>1</v>
      </c>
      <c r="CF2" s="72" t="s">
        <v>1</v>
      </c>
    </row>
    <row r="3" ht="53" customHeight="1" spans="1:84">
      <c r="A3" s="91" t="s">
        <v>1</v>
      </c>
      <c r="B3" s="92" t="s">
        <v>36</v>
      </c>
      <c r="C3" s="92" t="s">
        <v>37</v>
      </c>
      <c r="D3" s="93" t="s">
        <v>38</v>
      </c>
      <c r="E3" s="93" t="s">
        <v>39</v>
      </c>
      <c r="F3" s="93" t="s">
        <v>40</v>
      </c>
      <c r="G3" s="65" t="s">
        <v>41</v>
      </c>
      <c r="H3" s="65" t="s">
        <v>42</v>
      </c>
      <c r="I3" s="65" t="s">
        <v>43</v>
      </c>
      <c r="J3" s="65" t="s">
        <v>44</v>
      </c>
      <c r="K3" s="230" t="s">
        <v>45</v>
      </c>
      <c r="L3" s="231" t="s">
        <v>46</v>
      </c>
      <c r="M3" s="232" t="s">
        <v>42</v>
      </c>
      <c r="N3" s="65" t="s">
        <v>47</v>
      </c>
      <c r="O3" s="65" t="s">
        <v>48</v>
      </c>
      <c r="P3" s="65" t="s">
        <v>42</v>
      </c>
      <c r="Q3" s="65" t="s">
        <v>47</v>
      </c>
      <c r="R3" s="65" t="s">
        <v>36</v>
      </c>
      <c r="S3" s="65" t="s">
        <v>37</v>
      </c>
      <c r="T3" s="65" t="s">
        <v>42</v>
      </c>
      <c r="U3" s="65" t="s">
        <v>47</v>
      </c>
      <c r="V3" s="94" t="s">
        <v>36</v>
      </c>
      <c r="W3" s="94" t="s">
        <v>37</v>
      </c>
      <c r="X3" s="95" t="s">
        <v>36</v>
      </c>
      <c r="Y3" s="95" t="s">
        <v>37</v>
      </c>
      <c r="Z3" s="95" t="s">
        <v>36</v>
      </c>
      <c r="AA3" s="95" t="s">
        <v>37</v>
      </c>
      <c r="AB3" s="95" t="s">
        <v>36</v>
      </c>
      <c r="AC3" s="95" t="s">
        <v>37</v>
      </c>
      <c r="AD3" s="95" t="s">
        <v>36</v>
      </c>
      <c r="AE3" s="95" t="s">
        <v>37</v>
      </c>
      <c r="AF3" s="95" t="s">
        <v>36</v>
      </c>
      <c r="AG3" s="95" t="s">
        <v>37</v>
      </c>
      <c r="AH3" s="96" t="s">
        <v>36</v>
      </c>
      <c r="AI3" s="96" t="s">
        <v>37</v>
      </c>
      <c r="AJ3" s="96" t="s">
        <v>36</v>
      </c>
      <c r="AK3" s="96" t="s">
        <v>37</v>
      </c>
      <c r="AL3" s="96" t="s">
        <v>36</v>
      </c>
      <c r="AM3" s="96" t="s">
        <v>37</v>
      </c>
      <c r="AN3" s="96" t="s">
        <v>36</v>
      </c>
      <c r="AO3" s="96" t="s">
        <v>37</v>
      </c>
      <c r="AP3" s="97" t="s">
        <v>36</v>
      </c>
      <c r="AQ3" s="97" t="s">
        <v>37</v>
      </c>
      <c r="AR3" s="97" t="s">
        <v>36</v>
      </c>
      <c r="AS3" s="97" t="s">
        <v>37</v>
      </c>
      <c r="AT3" s="68" t="s">
        <v>36</v>
      </c>
      <c r="AU3" s="68" t="s">
        <v>37</v>
      </c>
      <c r="AV3" s="98" t="s">
        <v>36</v>
      </c>
      <c r="AW3" s="98" t="s">
        <v>37</v>
      </c>
      <c r="AX3" s="98" t="s">
        <v>36</v>
      </c>
      <c r="AY3" s="98" t="s">
        <v>37</v>
      </c>
      <c r="AZ3" s="68" t="s">
        <v>36</v>
      </c>
      <c r="BA3" s="68" t="s">
        <v>37</v>
      </c>
      <c r="BB3" s="98" t="s">
        <v>36</v>
      </c>
      <c r="BC3" s="98" t="s">
        <v>37</v>
      </c>
      <c r="BD3" s="99" t="s">
        <v>36</v>
      </c>
      <c r="BE3" s="99" t="s">
        <v>37</v>
      </c>
      <c r="BF3" s="99" t="s">
        <v>36</v>
      </c>
      <c r="BG3" s="99" t="s">
        <v>37</v>
      </c>
      <c r="BH3" s="149" t="s">
        <v>1</v>
      </c>
      <c r="BI3" s="153" t="s">
        <v>49</v>
      </c>
      <c r="BJ3" s="100" t="s">
        <v>50</v>
      </c>
      <c r="BK3" s="100" t="s">
        <v>51</v>
      </c>
      <c r="BL3" s="101" t="s">
        <v>52</v>
      </c>
      <c r="BM3" s="100" t="s">
        <v>49</v>
      </c>
      <c r="BN3" s="100" t="s">
        <v>50</v>
      </c>
      <c r="BO3" s="100" t="s">
        <v>51</v>
      </c>
      <c r="BP3" s="101" t="s">
        <v>52</v>
      </c>
      <c r="BQ3" s="90" t="s">
        <v>53</v>
      </c>
      <c r="BR3" s="90" t="s">
        <v>54</v>
      </c>
      <c r="BS3" s="90" t="s">
        <v>55</v>
      </c>
      <c r="BT3" s="90" t="s">
        <v>56</v>
      </c>
      <c r="BU3" s="90" t="s">
        <v>57</v>
      </c>
      <c r="BV3" s="90" t="s">
        <v>53</v>
      </c>
      <c r="BW3" s="90" t="s">
        <v>54</v>
      </c>
      <c r="BX3" s="90" t="s">
        <v>55</v>
      </c>
      <c r="BY3" s="90" t="s">
        <v>56</v>
      </c>
      <c r="BZ3" s="90" t="s">
        <v>57</v>
      </c>
      <c r="CA3" s="90" t="s">
        <v>58</v>
      </c>
      <c r="CB3" s="90" t="s">
        <v>59</v>
      </c>
      <c r="CC3" s="90" t="s">
        <v>60</v>
      </c>
      <c r="CD3" s="90" t="s">
        <v>61</v>
      </c>
      <c r="CE3" s="90" t="s">
        <v>62</v>
      </c>
      <c r="CF3" s="72" t="s">
        <v>1</v>
      </c>
    </row>
    <row r="4" ht="36" customHeight="1" spans="1:84">
      <c r="A4" s="102" t="s">
        <v>63</v>
      </c>
      <c r="B4" s="103" t="s">
        <v>64</v>
      </c>
      <c r="C4" s="103" t="s">
        <v>64</v>
      </c>
      <c r="D4" s="184" t="s">
        <v>65</v>
      </c>
      <c r="E4" s="184" t="s">
        <v>65</v>
      </c>
      <c r="F4" s="103" t="s">
        <v>64</v>
      </c>
      <c r="G4" s="184" t="s">
        <v>65</v>
      </c>
      <c r="H4" s="184" t="s">
        <v>65</v>
      </c>
      <c r="I4" s="184" t="s">
        <v>65</v>
      </c>
      <c r="J4" s="184" t="s">
        <v>65</v>
      </c>
      <c r="K4" s="233" t="s">
        <v>65</v>
      </c>
      <c r="L4" s="234" t="s">
        <v>66</v>
      </c>
      <c r="M4" s="235" t="s">
        <v>66</v>
      </c>
      <c r="N4" s="186" t="s">
        <v>66</v>
      </c>
      <c r="O4" s="186" t="s">
        <v>67</v>
      </c>
      <c r="P4" s="186" t="s">
        <v>67</v>
      </c>
      <c r="Q4" s="186" t="s">
        <v>67</v>
      </c>
      <c r="R4" s="186" t="s">
        <v>68</v>
      </c>
      <c r="S4" s="186" t="s">
        <v>68</v>
      </c>
      <c r="T4" s="186" t="s">
        <v>68</v>
      </c>
      <c r="U4" s="186" t="s">
        <v>68</v>
      </c>
      <c r="V4" s="103" t="s">
        <v>64</v>
      </c>
      <c r="W4" s="103" t="s">
        <v>64</v>
      </c>
      <c r="X4" s="103" t="s">
        <v>64</v>
      </c>
      <c r="Y4" s="103" t="s">
        <v>64</v>
      </c>
      <c r="Z4" s="103" t="s">
        <v>64</v>
      </c>
      <c r="AA4" s="103" t="s">
        <v>64</v>
      </c>
      <c r="AB4" s="103" t="s">
        <v>64</v>
      </c>
      <c r="AC4" s="103" t="s">
        <v>64</v>
      </c>
      <c r="AD4" s="103" t="s">
        <v>64</v>
      </c>
      <c r="AE4" s="103" t="s">
        <v>64</v>
      </c>
      <c r="AF4" s="103" t="s">
        <v>64</v>
      </c>
      <c r="AG4" s="103" t="s">
        <v>64</v>
      </c>
      <c r="AH4" s="103" t="s">
        <v>64</v>
      </c>
      <c r="AI4" s="103" t="s">
        <v>64</v>
      </c>
      <c r="AJ4" s="103" t="s">
        <v>64</v>
      </c>
      <c r="AK4" s="103" t="s">
        <v>64</v>
      </c>
      <c r="AL4" s="103" t="s">
        <v>64</v>
      </c>
      <c r="AM4" s="103" t="s">
        <v>64</v>
      </c>
      <c r="AN4" s="103" t="s">
        <v>64</v>
      </c>
      <c r="AO4" s="103" t="s">
        <v>64</v>
      </c>
      <c r="AP4" s="103" t="s">
        <v>64</v>
      </c>
      <c r="AQ4" s="103" t="s">
        <v>64</v>
      </c>
      <c r="AR4" s="103" t="s">
        <v>64</v>
      </c>
      <c r="AS4" s="103" t="s">
        <v>64</v>
      </c>
      <c r="AT4" s="149" t="s">
        <v>67</v>
      </c>
      <c r="AU4" s="149" t="s">
        <v>67</v>
      </c>
      <c r="AV4" s="149" t="s">
        <v>67</v>
      </c>
      <c r="AW4" s="149" t="s">
        <v>67</v>
      </c>
      <c r="AX4" s="149" t="s">
        <v>67</v>
      </c>
      <c r="AY4" s="149" t="s">
        <v>67</v>
      </c>
      <c r="AZ4" s="149" t="s">
        <v>67</v>
      </c>
      <c r="BA4" s="149" t="s">
        <v>67</v>
      </c>
      <c r="BB4" s="149" t="s">
        <v>67</v>
      </c>
      <c r="BC4" s="149" t="s">
        <v>67</v>
      </c>
      <c r="BD4" s="149" t="s">
        <v>67</v>
      </c>
      <c r="BE4" s="149" t="s">
        <v>67</v>
      </c>
      <c r="BF4" s="149" t="s">
        <v>67</v>
      </c>
      <c r="BG4" s="149" t="s">
        <v>67</v>
      </c>
      <c r="BH4" s="149" t="s">
        <v>69</v>
      </c>
      <c r="BI4" s="149" t="s">
        <v>64</v>
      </c>
      <c r="BJ4" s="149" t="s">
        <v>64</v>
      </c>
      <c r="BK4" s="149" t="s">
        <v>64</v>
      </c>
      <c r="BL4" s="149" t="s">
        <v>64</v>
      </c>
      <c r="BM4" s="149" t="s">
        <v>64</v>
      </c>
      <c r="BN4" s="149" t="s">
        <v>64</v>
      </c>
      <c r="BO4" s="149" t="s">
        <v>64</v>
      </c>
      <c r="BP4" s="149" t="s">
        <v>64</v>
      </c>
      <c r="BQ4" s="149" t="s">
        <v>64</v>
      </c>
      <c r="BR4" s="149" t="s">
        <v>64</v>
      </c>
      <c r="BS4" s="149" t="s">
        <v>64</v>
      </c>
      <c r="BT4" s="149" t="s">
        <v>64</v>
      </c>
      <c r="BU4" s="149" t="s">
        <v>64</v>
      </c>
      <c r="BV4" s="149" t="s">
        <v>64</v>
      </c>
      <c r="BW4" s="149" t="s">
        <v>64</v>
      </c>
      <c r="BX4" s="149" t="s">
        <v>64</v>
      </c>
      <c r="BY4" s="149" t="s">
        <v>64</v>
      </c>
      <c r="BZ4" s="149" t="s">
        <v>64</v>
      </c>
      <c r="CA4" s="149" t="s">
        <v>64</v>
      </c>
      <c r="CB4" s="149" t="s">
        <v>64</v>
      </c>
      <c r="CC4" s="149" t="s">
        <v>64</v>
      </c>
      <c r="CD4" s="149" t="s">
        <v>64</v>
      </c>
      <c r="CE4" s="149" t="s">
        <v>64</v>
      </c>
      <c r="CF4" s="149" t="s">
        <v>64</v>
      </c>
    </row>
    <row r="5" ht="21" customHeight="1" spans="1:84">
      <c r="A5" s="107">
        <v>45108</v>
      </c>
      <c r="B5" s="108" t="s">
        <v>70</v>
      </c>
      <c r="C5" s="92" t="s">
        <v>71</v>
      </c>
      <c r="D5" s="30" t="s">
        <v>1</v>
      </c>
      <c r="E5" s="30" t="s">
        <v>1</v>
      </c>
      <c r="F5" s="30">
        <v>2.1294</v>
      </c>
      <c r="G5" s="108" t="s">
        <v>1</v>
      </c>
      <c r="H5" s="108" t="str">
        <f t="shared" ref="H5:H35" si="0">IFERROR(E5/G5-1,"")</f>
        <v/>
      </c>
      <c r="I5" s="30">
        <v>1.0797</v>
      </c>
      <c r="J5" s="141" t="str">
        <f t="shared" ref="J5:J68" si="1">IFERROR(E5/I5,"")</f>
        <v/>
      </c>
      <c r="K5" s="211" t="str">
        <f>IFERROR(E5/#REF!,"")</f>
        <v/>
      </c>
      <c r="L5" s="30">
        <v>31440</v>
      </c>
      <c r="M5" s="75" t="s">
        <v>72</v>
      </c>
      <c r="N5" s="92" t="s">
        <v>1</v>
      </c>
      <c r="O5" s="92" t="s">
        <v>1</v>
      </c>
      <c r="P5" s="92" t="s">
        <v>1</v>
      </c>
      <c r="Q5" s="92" t="s">
        <v>1</v>
      </c>
      <c r="R5" s="108">
        <v>0</v>
      </c>
      <c r="S5" s="108">
        <v>0</v>
      </c>
      <c r="T5" s="92" t="s">
        <v>1</v>
      </c>
      <c r="U5" s="92" t="s">
        <v>1</v>
      </c>
      <c r="V5" s="92" t="s">
        <v>1</v>
      </c>
      <c r="W5" s="92" t="s">
        <v>72</v>
      </c>
      <c r="X5" s="92" t="s">
        <v>1</v>
      </c>
      <c r="Y5" s="92" t="s">
        <v>72</v>
      </c>
      <c r="Z5" s="92" t="s">
        <v>1</v>
      </c>
      <c r="AA5" s="236" t="s">
        <v>72</v>
      </c>
      <c r="AB5" s="92" t="s">
        <v>1</v>
      </c>
      <c r="AC5" s="92" t="s">
        <v>72</v>
      </c>
      <c r="AD5" s="92">
        <v>7</v>
      </c>
      <c r="AE5" s="92" t="s">
        <v>72</v>
      </c>
      <c r="AF5" s="92" t="s">
        <v>1</v>
      </c>
      <c r="AG5" s="92" t="s">
        <v>72</v>
      </c>
      <c r="AH5" s="92">
        <v>767</v>
      </c>
      <c r="AI5" s="92" t="s">
        <v>72</v>
      </c>
      <c r="AJ5" s="92">
        <v>274</v>
      </c>
      <c r="AK5" s="92" t="s">
        <v>72</v>
      </c>
      <c r="AL5" s="92">
        <v>20</v>
      </c>
      <c r="AM5" s="92" t="s">
        <v>72</v>
      </c>
      <c r="AN5" s="92">
        <v>18</v>
      </c>
      <c r="AO5" s="92" t="s">
        <v>72</v>
      </c>
      <c r="AP5" s="92">
        <v>300</v>
      </c>
      <c r="AQ5" s="92" t="s">
        <v>72</v>
      </c>
      <c r="AR5" s="92">
        <v>36</v>
      </c>
      <c r="AS5" s="92" t="s">
        <v>72</v>
      </c>
      <c r="AT5" s="187">
        <v>0.0031</v>
      </c>
      <c r="AU5" s="92" t="s">
        <v>72</v>
      </c>
      <c r="AV5" s="92" t="s">
        <v>1</v>
      </c>
      <c r="AW5" s="92" t="s">
        <v>1</v>
      </c>
      <c r="AX5" s="92" t="s">
        <v>1</v>
      </c>
      <c r="AY5" s="92" t="s">
        <v>1</v>
      </c>
      <c r="AZ5" s="92" t="s">
        <v>1</v>
      </c>
      <c r="BA5" s="92" t="s">
        <v>1</v>
      </c>
      <c r="BB5" s="92" t="s">
        <v>1</v>
      </c>
      <c r="BC5" s="92" t="s">
        <v>1</v>
      </c>
      <c r="BD5" s="92" t="s">
        <v>1</v>
      </c>
      <c r="BE5" s="92" t="s">
        <v>1</v>
      </c>
      <c r="BF5" s="92" t="s">
        <v>1</v>
      </c>
      <c r="BG5" s="92" t="s">
        <v>1</v>
      </c>
      <c r="BH5" s="108" t="s">
        <v>1</v>
      </c>
      <c r="BI5" s="92" t="s">
        <v>74</v>
      </c>
      <c r="BJ5" s="92">
        <v>227</v>
      </c>
      <c r="BK5" s="92">
        <v>288</v>
      </c>
      <c r="BL5" s="92" t="s">
        <v>72</v>
      </c>
      <c r="BM5" s="92" t="s">
        <v>74</v>
      </c>
      <c r="BN5" s="92">
        <v>767</v>
      </c>
      <c r="BO5" s="92">
        <v>131</v>
      </c>
      <c r="BP5" s="92" t="s">
        <v>72</v>
      </c>
      <c r="BQ5" s="92" t="s">
        <v>1</v>
      </c>
      <c r="BR5" s="92" t="s">
        <v>1</v>
      </c>
      <c r="BS5" s="92" t="s">
        <v>1</v>
      </c>
      <c r="BT5" s="92" t="s">
        <v>1</v>
      </c>
      <c r="BU5" s="92" t="s">
        <v>1</v>
      </c>
      <c r="BV5" s="92" t="s">
        <v>1</v>
      </c>
      <c r="BW5" s="92" t="s">
        <v>1</v>
      </c>
      <c r="BX5" s="92" t="s">
        <v>1</v>
      </c>
      <c r="BY5" s="92" t="s">
        <v>1</v>
      </c>
      <c r="BZ5" s="92" t="s">
        <v>1</v>
      </c>
      <c r="CA5" s="92" t="s">
        <v>1</v>
      </c>
      <c r="CB5" s="92" t="s">
        <v>1</v>
      </c>
      <c r="CC5" s="92" t="s">
        <v>1</v>
      </c>
      <c r="CD5" s="92" t="s">
        <v>1</v>
      </c>
      <c r="CE5" s="92" t="s">
        <v>1</v>
      </c>
      <c r="CF5" s="92" t="s">
        <v>1</v>
      </c>
    </row>
    <row r="6" ht="21" customHeight="1" spans="1:84">
      <c r="A6" s="107">
        <v>45109</v>
      </c>
      <c r="B6" s="108" t="s">
        <v>70</v>
      </c>
      <c r="C6" s="92" t="s">
        <v>71</v>
      </c>
      <c r="D6" s="30" t="s">
        <v>1</v>
      </c>
      <c r="E6" s="30" t="s">
        <v>1</v>
      </c>
      <c r="F6" s="30">
        <v>1.7695</v>
      </c>
      <c r="G6" s="108" t="s">
        <v>1</v>
      </c>
      <c r="H6" s="108" t="str">
        <f t="shared" si="0"/>
        <v/>
      </c>
      <c r="I6" s="30">
        <v>0.7198</v>
      </c>
      <c r="J6" s="141" t="str">
        <f t="shared" si="1"/>
        <v/>
      </c>
      <c r="K6" s="211" t="str">
        <f>IFERROR(E6/#REF!,"")</f>
        <v/>
      </c>
      <c r="L6" s="30">
        <v>29514</v>
      </c>
      <c r="M6" s="75" t="s">
        <v>72</v>
      </c>
      <c r="N6" s="92" t="s">
        <v>1</v>
      </c>
      <c r="O6" s="92" t="s">
        <v>1</v>
      </c>
      <c r="P6" s="92" t="s">
        <v>1</v>
      </c>
      <c r="Q6" s="92" t="s">
        <v>1</v>
      </c>
      <c r="R6" s="108">
        <v>0</v>
      </c>
      <c r="S6" s="108">
        <v>0</v>
      </c>
      <c r="T6" s="92" t="s">
        <v>1</v>
      </c>
      <c r="U6" s="92" t="s">
        <v>1</v>
      </c>
      <c r="V6" s="92" t="s">
        <v>1</v>
      </c>
      <c r="W6" s="92" t="s">
        <v>72</v>
      </c>
      <c r="X6" s="92" t="s">
        <v>1</v>
      </c>
      <c r="Y6" s="92" t="s">
        <v>72</v>
      </c>
      <c r="Z6" s="92" t="s">
        <v>1</v>
      </c>
      <c r="AA6" s="236" t="s">
        <v>72</v>
      </c>
      <c r="AB6" s="92" t="s">
        <v>1</v>
      </c>
      <c r="AC6" s="92" t="s">
        <v>72</v>
      </c>
      <c r="AD6" s="92">
        <v>8</v>
      </c>
      <c r="AE6" s="92" t="s">
        <v>72</v>
      </c>
      <c r="AF6" s="92" t="s">
        <v>1</v>
      </c>
      <c r="AG6" s="92" t="s">
        <v>72</v>
      </c>
      <c r="AH6" s="92">
        <v>853</v>
      </c>
      <c r="AI6" s="92" t="s">
        <v>72</v>
      </c>
      <c r="AJ6" s="92">
        <v>297</v>
      </c>
      <c r="AK6" s="92" t="s">
        <v>72</v>
      </c>
      <c r="AL6" s="92">
        <v>26</v>
      </c>
      <c r="AM6" s="92" t="s">
        <v>72</v>
      </c>
      <c r="AN6" s="92">
        <v>21</v>
      </c>
      <c r="AO6" s="92" t="s">
        <v>72</v>
      </c>
      <c r="AP6" s="92">
        <v>319</v>
      </c>
      <c r="AQ6" s="92" t="s">
        <v>72</v>
      </c>
      <c r="AR6" s="92">
        <v>49</v>
      </c>
      <c r="AS6" s="92" t="s">
        <v>72</v>
      </c>
      <c r="AT6" s="187">
        <v>0.0019</v>
      </c>
      <c r="AU6" s="92" t="s">
        <v>72</v>
      </c>
      <c r="AV6" s="92" t="s">
        <v>1</v>
      </c>
      <c r="AW6" s="92" t="s">
        <v>1</v>
      </c>
      <c r="AX6" s="92" t="s">
        <v>1</v>
      </c>
      <c r="AY6" s="92" t="s">
        <v>1</v>
      </c>
      <c r="AZ6" s="92" t="s">
        <v>1</v>
      </c>
      <c r="BA6" s="92" t="s">
        <v>1</v>
      </c>
      <c r="BB6" s="92" t="s">
        <v>1</v>
      </c>
      <c r="BC6" s="92" t="s">
        <v>1</v>
      </c>
      <c r="BD6" s="92" t="s">
        <v>1</v>
      </c>
      <c r="BE6" s="92" t="s">
        <v>1</v>
      </c>
      <c r="BF6" s="92" t="s">
        <v>1</v>
      </c>
      <c r="BG6" s="92" t="s">
        <v>1</v>
      </c>
      <c r="BH6" s="141" t="s">
        <v>1</v>
      </c>
      <c r="BI6" s="92" t="s">
        <v>74</v>
      </c>
      <c r="BJ6" s="92">
        <v>142</v>
      </c>
      <c r="BK6" s="92">
        <v>455</v>
      </c>
      <c r="BL6" s="92" t="s">
        <v>72</v>
      </c>
      <c r="BM6" s="92" t="s">
        <v>74</v>
      </c>
      <c r="BN6" s="92">
        <v>1346</v>
      </c>
      <c r="BO6" s="92">
        <v>57</v>
      </c>
      <c r="BP6" s="92" t="s">
        <v>72</v>
      </c>
      <c r="BQ6" s="92" t="s">
        <v>1</v>
      </c>
      <c r="BR6" s="92" t="s">
        <v>1</v>
      </c>
      <c r="BS6" s="92" t="s">
        <v>1</v>
      </c>
      <c r="BT6" s="92" t="s">
        <v>1</v>
      </c>
      <c r="BU6" s="92" t="s">
        <v>1</v>
      </c>
      <c r="BV6" s="92" t="s">
        <v>1</v>
      </c>
      <c r="BW6" s="92" t="s">
        <v>1</v>
      </c>
      <c r="BX6" s="92" t="s">
        <v>1</v>
      </c>
      <c r="BY6" s="92" t="s">
        <v>1</v>
      </c>
      <c r="BZ6" s="92" t="s">
        <v>1</v>
      </c>
      <c r="CA6" s="92" t="s">
        <v>1</v>
      </c>
      <c r="CB6" s="92" t="s">
        <v>1</v>
      </c>
      <c r="CC6" s="92" t="s">
        <v>1</v>
      </c>
      <c r="CD6" s="92" t="s">
        <v>1</v>
      </c>
      <c r="CE6" s="92" t="s">
        <v>1</v>
      </c>
      <c r="CF6" s="92" t="s">
        <v>1</v>
      </c>
    </row>
    <row r="7" ht="21" customHeight="1" spans="1:84">
      <c r="A7" s="107">
        <v>45110</v>
      </c>
      <c r="B7" s="237" t="s">
        <v>75</v>
      </c>
      <c r="C7" s="92" t="s">
        <v>71</v>
      </c>
      <c r="D7" s="30" t="s">
        <v>1</v>
      </c>
      <c r="E7" s="30" t="s">
        <v>1</v>
      </c>
      <c r="F7" s="30">
        <v>1.0497</v>
      </c>
      <c r="G7" s="108" t="s">
        <v>1</v>
      </c>
      <c r="H7" s="108" t="str">
        <f t="shared" si="0"/>
        <v/>
      </c>
      <c r="I7" s="30">
        <v>0</v>
      </c>
      <c r="J7" s="141" t="str">
        <f t="shared" si="1"/>
        <v/>
      </c>
      <c r="K7" s="211" t="str">
        <f>IFERROR(E7/#REF!,"")</f>
        <v/>
      </c>
      <c r="L7" s="30">
        <v>7098</v>
      </c>
      <c r="M7" s="75" t="s">
        <v>72</v>
      </c>
      <c r="N7" s="92" t="s">
        <v>1</v>
      </c>
      <c r="O7" s="92" t="s">
        <v>1</v>
      </c>
      <c r="P7" s="92" t="s">
        <v>1</v>
      </c>
      <c r="Q7" s="92" t="s">
        <v>1</v>
      </c>
      <c r="R7" s="108">
        <v>0</v>
      </c>
      <c r="S7" s="108">
        <v>0</v>
      </c>
      <c r="T7" s="92" t="s">
        <v>1</v>
      </c>
      <c r="U7" s="92" t="s">
        <v>1</v>
      </c>
      <c r="V7" s="92" t="s">
        <v>1</v>
      </c>
      <c r="W7" s="92" t="s">
        <v>72</v>
      </c>
      <c r="X7" s="92" t="s">
        <v>1</v>
      </c>
      <c r="Y7" s="92" t="s">
        <v>72</v>
      </c>
      <c r="Z7" s="92" t="s">
        <v>1</v>
      </c>
      <c r="AA7" s="236" t="s">
        <v>72</v>
      </c>
      <c r="AB7" s="92" t="s">
        <v>1</v>
      </c>
      <c r="AC7" s="92" t="s">
        <v>72</v>
      </c>
      <c r="AD7" s="92">
        <v>12</v>
      </c>
      <c r="AE7" s="92" t="s">
        <v>72</v>
      </c>
      <c r="AF7" s="92" t="s">
        <v>1</v>
      </c>
      <c r="AG7" s="92" t="s">
        <v>72</v>
      </c>
      <c r="AH7" s="92">
        <v>991</v>
      </c>
      <c r="AI7" s="92" t="s">
        <v>72</v>
      </c>
      <c r="AJ7" s="92">
        <v>385</v>
      </c>
      <c r="AK7" s="92" t="s">
        <v>72</v>
      </c>
      <c r="AL7" s="92">
        <v>36</v>
      </c>
      <c r="AM7" s="92" t="s">
        <v>72</v>
      </c>
      <c r="AN7" s="92">
        <v>19</v>
      </c>
      <c r="AO7" s="92" t="s">
        <v>72</v>
      </c>
      <c r="AP7" s="92">
        <v>404</v>
      </c>
      <c r="AQ7" s="92" t="s">
        <v>72</v>
      </c>
      <c r="AR7" s="92">
        <v>61</v>
      </c>
      <c r="AS7" s="92" t="s">
        <v>72</v>
      </c>
      <c r="AT7" s="187">
        <v>0</v>
      </c>
      <c r="AU7" s="92" t="s">
        <v>72</v>
      </c>
      <c r="AV7" s="92" t="s">
        <v>1</v>
      </c>
      <c r="AW7" s="92" t="s">
        <v>1</v>
      </c>
      <c r="AX7" s="92" t="s">
        <v>1</v>
      </c>
      <c r="AY7" s="92" t="s">
        <v>1</v>
      </c>
      <c r="AZ7" s="92" t="s">
        <v>1</v>
      </c>
      <c r="BA7" s="92" t="s">
        <v>1</v>
      </c>
      <c r="BB7" s="92" t="s">
        <v>1</v>
      </c>
      <c r="BC7" s="92" t="s">
        <v>1</v>
      </c>
      <c r="BD7" s="92" t="s">
        <v>1</v>
      </c>
      <c r="BE7" s="92" t="s">
        <v>1</v>
      </c>
      <c r="BF7" s="92" t="s">
        <v>1</v>
      </c>
      <c r="BG7" s="92" t="s">
        <v>1</v>
      </c>
      <c r="BH7" s="92" t="s">
        <v>1</v>
      </c>
      <c r="BI7" s="92" t="s">
        <v>74</v>
      </c>
      <c r="BJ7" s="92">
        <v>127</v>
      </c>
      <c r="BK7" s="92">
        <v>502</v>
      </c>
      <c r="BL7" s="92" t="s">
        <v>72</v>
      </c>
      <c r="BM7" s="92" t="s">
        <v>74</v>
      </c>
      <c r="BN7" s="92">
        <v>911</v>
      </c>
      <c r="BO7" s="92">
        <v>93</v>
      </c>
      <c r="BP7" s="92" t="s">
        <v>72</v>
      </c>
      <c r="BQ7" s="92" t="s">
        <v>1</v>
      </c>
      <c r="BR7" s="92" t="s">
        <v>1</v>
      </c>
      <c r="BS7" s="92" t="s">
        <v>1</v>
      </c>
      <c r="BT7" s="92" t="s">
        <v>1</v>
      </c>
      <c r="BU7" s="92" t="s">
        <v>1</v>
      </c>
      <c r="BV7" s="189" t="s">
        <v>78</v>
      </c>
      <c r="BW7" s="189" t="s">
        <v>83</v>
      </c>
      <c r="BX7" s="189" t="s">
        <v>84</v>
      </c>
      <c r="BY7" s="188" t="s">
        <v>141</v>
      </c>
      <c r="BZ7" s="189" t="s">
        <v>86</v>
      </c>
      <c r="CA7" s="189" t="s">
        <v>87</v>
      </c>
      <c r="CB7" s="190" t="s">
        <v>145</v>
      </c>
      <c r="CC7" s="191" t="s">
        <v>180</v>
      </c>
      <c r="CD7" s="189" t="s">
        <v>95</v>
      </c>
      <c r="CE7" s="190" t="s">
        <v>92</v>
      </c>
      <c r="CF7" s="92" t="s">
        <v>1</v>
      </c>
    </row>
    <row r="8" ht="21" customHeight="1" spans="1:84">
      <c r="A8" s="107">
        <v>45111</v>
      </c>
      <c r="B8" s="108" t="s">
        <v>70</v>
      </c>
      <c r="C8" s="92" t="s">
        <v>71</v>
      </c>
      <c r="D8" s="30" t="s">
        <v>1</v>
      </c>
      <c r="E8" s="30" t="s">
        <v>1</v>
      </c>
      <c r="F8" s="30">
        <v>6.8281</v>
      </c>
      <c r="G8" s="108" t="s">
        <v>1</v>
      </c>
      <c r="H8" s="108" t="str">
        <f t="shared" si="0"/>
        <v/>
      </c>
      <c r="I8" s="30">
        <v>6.4782</v>
      </c>
      <c r="J8" s="141" t="str">
        <f t="shared" si="1"/>
        <v/>
      </c>
      <c r="K8" s="211" t="str">
        <f>IFERROR(E8/#REF!,"")</f>
        <v/>
      </c>
      <c r="L8" s="30">
        <v>28992</v>
      </c>
      <c r="M8" s="75" t="s">
        <v>72</v>
      </c>
      <c r="N8" s="92" t="s">
        <v>1</v>
      </c>
      <c r="O8" s="92" t="s">
        <v>1</v>
      </c>
      <c r="P8" s="92" t="s">
        <v>1</v>
      </c>
      <c r="Q8" s="92" t="s">
        <v>1</v>
      </c>
      <c r="R8" s="108">
        <v>0</v>
      </c>
      <c r="S8" s="108">
        <v>0</v>
      </c>
      <c r="T8" s="92" t="s">
        <v>1</v>
      </c>
      <c r="U8" s="92" t="s">
        <v>1</v>
      </c>
      <c r="V8" s="92" t="s">
        <v>1</v>
      </c>
      <c r="W8" s="92" t="s">
        <v>72</v>
      </c>
      <c r="X8" s="92" t="s">
        <v>1</v>
      </c>
      <c r="Y8" s="92" t="s">
        <v>72</v>
      </c>
      <c r="Z8" s="92" t="s">
        <v>1</v>
      </c>
      <c r="AA8" s="236" t="s">
        <v>72</v>
      </c>
      <c r="AB8" s="92" t="s">
        <v>1</v>
      </c>
      <c r="AC8" s="92" t="s">
        <v>72</v>
      </c>
      <c r="AD8" s="92">
        <v>12</v>
      </c>
      <c r="AE8" s="92" t="s">
        <v>72</v>
      </c>
      <c r="AF8" s="92" t="s">
        <v>1</v>
      </c>
      <c r="AG8" s="92" t="s">
        <v>72</v>
      </c>
      <c r="AH8" s="92">
        <v>1067</v>
      </c>
      <c r="AI8" s="92" t="s">
        <v>72</v>
      </c>
      <c r="AJ8" s="92">
        <v>331</v>
      </c>
      <c r="AK8" s="92" t="s">
        <v>72</v>
      </c>
      <c r="AL8" s="92">
        <v>45</v>
      </c>
      <c r="AM8" s="92" t="s">
        <v>72</v>
      </c>
      <c r="AN8" s="92">
        <v>31</v>
      </c>
      <c r="AO8" s="92" t="s">
        <v>72</v>
      </c>
      <c r="AP8" s="92">
        <v>440</v>
      </c>
      <c r="AQ8" s="92" t="s">
        <v>72</v>
      </c>
      <c r="AR8" s="92">
        <v>78</v>
      </c>
      <c r="AS8" s="92" t="s">
        <v>72</v>
      </c>
      <c r="AT8" s="187">
        <v>0.0137</v>
      </c>
      <c r="AU8" s="92" t="s">
        <v>72</v>
      </c>
      <c r="AV8" s="92" t="s">
        <v>1</v>
      </c>
      <c r="AW8" s="92" t="s">
        <v>1</v>
      </c>
      <c r="AX8" s="92" t="s">
        <v>1</v>
      </c>
      <c r="AY8" s="92" t="s">
        <v>1</v>
      </c>
      <c r="AZ8" s="92" t="s">
        <v>1</v>
      </c>
      <c r="BA8" s="92" t="s">
        <v>1</v>
      </c>
      <c r="BB8" s="92" t="s">
        <v>1</v>
      </c>
      <c r="BC8" s="92" t="s">
        <v>1</v>
      </c>
      <c r="BD8" s="92" t="s">
        <v>1</v>
      </c>
      <c r="BE8" s="92" t="s">
        <v>1</v>
      </c>
      <c r="BF8" s="92" t="s">
        <v>1</v>
      </c>
      <c r="BG8" s="92" t="s">
        <v>1</v>
      </c>
      <c r="BH8" s="92" t="s">
        <v>1</v>
      </c>
      <c r="BI8" s="92" t="s">
        <v>74</v>
      </c>
      <c r="BJ8" s="92">
        <v>112</v>
      </c>
      <c r="BK8" s="92">
        <v>579</v>
      </c>
      <c r="BL8" s="92" t="s">
        <v>72</v>
      </c>
      <c r="BM8" s="92" t="s">
        <v>74</v>
      </c>
      <c r="BN8" s="92">
        <v>722</v>
      </c>
      <c r="BO8" s="92">
        <v>134</v>
      </c>
      <c r="BP8" s="92" t="s">
        <v>72</v>
      </c>
      <c r="BQ8" s="92" t="s">
        <v>1</v>
      </c>
      <c r="BR8" s="92" t="s">
        <v>1</v>
      </c>
      <c r="BS8" s="92" t="s">
        <v>1</v>
      </c>
      <c r="BT8" s="92" t="s">
        <v>1</v>
      </c>
      <c r="BU8" s="92" t="s">
        <v>1</v>
      </c>
      <c r="BV8" s="189" t="s">
        <v>1</v>
      </c>
      <c r="BW8" s="189" t="s">
        <v>1</v>
      </c>
      <c r="BX8" s="189" t="s">
        <v>1</v>
      </c>
      <c r="BY8" s="188" t="s">
        <v>1</v>
      </c>
      <c r="BZ8" s="189" t="s">
        <v>1</v>
      </c>
      <c r="CA8" s="189" t="s">
        <v>1</v>
      </c>
      <c r="CB8" s="190" t="s">
        <v>1</v>
      </c>
      <c r="CC8" s="191" t="s">
        <v>1</v>
      </c>
      <c r="CD8" s="189" t="s">
        <v>1</v>
      </c>
      <c r="CE8" s="190" t="s">
        <v>1</v>
      </c>
      <c r="CF8" s="92" t="s">
        <v>1</v>
      </c>
    </row>
    <row r="9" ht="21" customHeight="1" spans="1:84">
      <c r="A9" s="107">
        <v>45112</v>
      </c>
      <c r="B9" s="108" t="s">
        <v>70</v>
      </c>
      <c r="C9" s="92" t="s">
        <v>71</v>
      </c>
      <c r="D9" s="30" t="s">
        <v>1</v>
      </c>
      <c r="E9" s="30" t="s">
        <v>1</v>
      </c>
      <c r="F9" s="30">
        <v>7.5579</v>
      </c>
      <c r="G9" s="108" t="s">
        <v>1</v>
      </c>
      <c r="H9" s="108" t="str">
        <f t="shared" si="0"/>
        <v/>
      </c>
      <c r="I9" s="30">
        <v>7.5579</v>
      </c>
      <c r="J9" s="141" t="str">
        <f t="shared" si="1"/>
        <v/>
      </c>
      <c r="K9" s="211" t="str">
        <f>IFERROR(E9/#REF!,"")</f>
        <v/>
      </c>
      <c r="L9" s="30">
        <v>28452</v>
      </c>
      <c r="M9" s="75" t="s">
        <v>72</v>
      </c>
      <c r="N9" s="92" t="s">
        <v>1</v>
      </c>
      <c r="O9" s="92" t="s">
        <v>1</v>
      </c>
      <c r="P9" s="92" t="s">
        <v>1</v>
      </c>
      <c r="Q9" s="92" t="s">
        <v>1</v>
      </c>
      <c r="R9" s="108">
        <v>3199</v>
      </c>
      <c r="S9" s="108">
        <v>0</v>
      </c>
      <c r="T9" s="92" t="s">
        <v>1</v>
      </c>
      <c r="U9" s="92" t="s">
        <v>1</v>
      </c>
      <c r="V9" s="92" t="s">
        <v>1</v>
      </c>
      <c r="W9" s="92" t="s">
        <v>72</v>
      </c>
      <c r="X9" s="92" t="s">
        <v>1</v>
      </c>
      <c r="Y9" s="92" t="s">
        <v>72</v>
      </c>
      <c r="Z9" s="92" t="s">
        <v>1</v>
      </c>
      <c r="AA9" s="236" t="s">
        <v>72</v>
      </c>
      <c r="AB9" s="92" t="s">
        <v>1</v>
      </c>
      <c r="AC9" s="92" t="s">
        <v>72</v>
      </c>
      <c r="AD9" s="92">
        <v>8</v>
      </c>
      <c r="AE9" s="92" t="s">
        <v>72</v>
      </c>
      <c r="AF9" s="92" t="s">
        <v>1</v>
      </c>
      <c r="AG9" s="92" t="s">
        <v>72</v>
      </c>
      <c r="AH9" s="92">
        <v>1234</v>
      </c>
      <c r="AI9" s="92" t="s">
        <v>72</v>
      </c>
      <c r="AJ9" s="92">
        <v>343</v>
      </c>
      <c r="AK9" s="92" t="s">
        <v>72</v>
      </c>
      <c r="AL9" s="92">
        <v>51</v>
      </c>
      <c r="AM9" s="92" t="s">
        <v>72</v>
      </c>
      <c r="AN9" s="92">
        <v>17</v>
      </c>
      <c r="AO9" s="92" t="s">
        <v>72</v>
      </c>
      <c r="AP9" s="92">
        <v>556</v>
      </c>
      <c r="AQ9" s="92" t="s">
        <v>72</v>
      </c>
      <c r="AR9" s="92">
        <v>73</v>
      </c>
      <c r="AS9" s="92" t="s">
        <v>72</v>
      </c>
      <c r="AT9" s="187">
        <v>0.0142</v>
      </c>
      <c r="AU9" s="92" t="s">
        <v>72</v>
      </c>
      <c r="AV9" s="92" t="s">
        <v>1</v>
      </c>
      <c r="AW9" s="92" t="s">
        <v>1</v>
      </c>
      <c r="AX9" s="92" t="s">
        <v>1</v>
      </c>
      <c r="AY9" s="92" t="s">
        <v>1</v>
      </c>
      <c r="AZ9" s="92" t="s">
        <v>1</v>
      </c>
      <c r="BA9" s="92" t="s">
        <v>1</v>
      </c>
      <c r="BB9" s="92" t="s">
        <v>1</v>
      </c>
      <c r="BC9" s="92" t="s">
        <v>1</v>
      </c>
      <c r="BD9" s="92" t="s">
        <v>1</v>
      </c>
      <c r="BE9" s="92" t="s">
        <v>1</v>
      </c>
      <c r="BF9" s="92" t="s">
        <v>1</v>
      </c>
      <c r="BG9" s="92" t="s">
        <v>1</v>
      </c>
      <c r="BH9" s="141">
        <v>0.75</v>
      </c>
      <c r="BI9" s="92" t="s">
        <v>73</v>
      </c>
      <c r="BJ9" s="92">
        <v>75</v>
      </c>
      <c r="BK9" s="92">
        <v>826</v>
      </c>
      <c r="BL9" s="92" t="s">
        <v>72</v>
      </c>
      <c r="BM9" s="92" t="s">
        <v>74</v>
      </c>
      <c r="BN9" s="92">
        <v>526</v>
      </c>
      <c r="BO9" s="92">
        <v>191</v>
      </c>
      <c r="BP9" s="92" t="s">
        <v>72</v>
      </c>
      <c r="BQ9" s="92" t="s">
        <v>1</v>
      </c>
      <c r="BR9" s="92" t="s">
        <v>1</v>
      </c>
      <c r="BS9" s="92" t="s">
        <v>1</v>
      </c>
      <c r="BT9" s="92" t="s">
        <v>1</v>
      </c>
      <c r="BU9" s="92" t="s">
        <v>1</v>
      </c>
      <c r="BV9" s="189" t="s">
        <v>1</v>
      </c>
      <c r="BW9" s="189" t="s">
        <v>1</v>
      </c>
      <c r="BX9" s="189" t="s">
        <v>1</v>
      </c>
      <c r="BY9" s="188" t="s">
        <v>1</v>
      </c>
      <c r="BZ9" s="189" t="s">
        <v>1</v>
      </c>
      <c r="CA9" s="189" t="s">
        <v>1</v>
      </c>
      <c r="CB9" s="190" t="s">
        <v>1</v>
      </c>
      <c r="CC9" s="191" t="s">
        <v>1</v>
      </c>
      <c r="CD9" s="189" t="s">
        <v>1</v>
      </c>
      <c r="CE9" s="190" t="s">
        <v>1</v>
      </c>
      <c r="CF9" s="92" t="s">
        <v>1</v>
      </c>
    </row>
    <row r="10" ht="21" customHeight="1" spans="1:84">
      <c r="A10" s="107">
        <v>45113</v>
      </c>
      <c r="B10" s="237" t="s">
        <v>75</v>
      </c>
      <c r="C10" s="92" t="s">
        <v>71</v>
      </c>
      <c r="D10" s="30" t="s">
        <v>1</v>
      </c>
      <c r="E10" s="30" t="s">
        <v>1</v>
      </c>
      <c r="F10" s="30">
        <v>0.6998</v>
      </c>
      <c r="G10" s="108" t="s">
        <v>1</v>
      </c>
      <c r="H10" s="108" t="str">
        <f t="shared" si="0"/>
        <v/>
      </c>
      <c r="I10" s="30">
        <v>0</v>
      </c>
      <c r="J10" s="141" t="str">
        <f t="shared" si="1"/>
        <v/>
      </c>
      <c r="K10" s="211" t="str">
        <f>IFERROR(E10/#REF!,"")</f>
        <v/>
      </c>
      <c r="L10" s="30">
        <v>9198</v>
      </c>
      <c r="M10" s="75" t="s">
        <v>72</v>
      </c>
      <c r="N10" s="92" t="s">
        <v>1</v>
      </c>
      <c r="O10" s="92" t="s">
        <v>1</v>
      </c>
      <c r="P10" s="92" t="s">
        <v>1</v>
      </c>
      <c r="Q10" s="92" t="s">
        <v>1</v>
      </c>
      <c r="R10" s="108">
        <v>0</v>
      </c>
      <c r="S10" s="108">
        <v>0</v>
      </c>
      <c r="T10" s="92" t="s">
        <v>1</v>
      </c>
      <c r="U10" s="92" t="s">
        <v>1</v>
      </c>
      <c r="V10" s="92" t="s">
        <v>1</v>
      </c>
      <c r="W10" s="92" t="s">
        <v>72</v>
      </c>
      <c r="X10" s="92" t="s">
        <v>1</v>
      </c>
      <c r="Y10" s="92" t="s">
        <v>72</v>
      </c>
      <c r="Z10" s="92" t="s">
        <v>1</v>
      </c>
      <c r="AA10" s="236" t="s">
        <v>72</v>
      </c>
      <c r="AB10" s="92" t="s">
        <v>1</v>
      </c>
      <c r="AC10" s="92" t="s">
        <v>72</v>
      </c>
      <c r="AD10" s="92">
        <v>9</v>
      </c>
      <c r="AE10" s="92" t="s">
        <v>72</v>
      </c>
      <c r="AF10" s="92" t="s">
        <v>1</v>
      </c>
      <c r="AG10" s="92" t="s">
        <v>72</v>
      </c>
      <c r="AH10" s="92">
        <v>798</v>
      </c>
      <c r="AI10" s="92" t="s">
        <v>72</v>
      </c>
      <c r="AJ10" s="92">
        <v>297</v>
      </c>
      <c r="AK10" s="92" t="s">
        <v>72</v>
      </c>
      <c r="AL10" s="92">
        <v>55</v>
      </c>
      <c r="AM10" s="92" t="s">
        <v>72</v>
      </c>
      <c r="AN10" s="92">
        <v>11</v>
      </c>
      <c r="AO10" s="92" t="s">
        <v>72</v>
      </c>
      <c r="AP10" s="92">
        <v>259</v>
      </c>
      <c r="AQ10" s="92" t="s">
        <v>72</v>
      </c>
      <c r="AR10" s="92">
        <v>43</v>
      </c>
      <c r="AS10" s="92" t="s">
        <v>72</v>
      </c>
      <c r="AT10" s="187">
        <v>0</v>
      </c>
      <c r="AU10" s="92" t="s">
        <v>72</v>
      </c>
      <c r="AV10" s="92" t="s">
        <v>1</v>
      </c>
      <c r="AW10" s="92" t="s">
        <v>1</v>
      </c>
      <c r="AX10" s="92" t="s">
        <v>1</v>
      </c>
      <c r="AY10" s="92" t="s">
        <v>1</v>
      </c>
      <c r="AZ10" s="92" t="s">
        <v>1</v>
      </c>
      <c r="BA10" s="92" t="s">
        <v>1</v>
      </c>
      <c r="BB10" s="92" t="s">
        <v>1</v>
      </c>
      <c r="BC10" s="92" t="s">
        <v>1</v>
      </c>
      <c r="BD10" s="92" t="s">
        <v>1</v>
      </c>
      <c r="BE10" s="92" t="s">
        <v>1</v>
      </c>
      <c r="BF10" s="92" t="s">
        <v>1</v>
      </c>
      <c r="BG10" s="92" t="s">
        <v>1</v>
      </c>
      <c r="BH10" s="141">
        <v>0.65</v>
      </c>
      <c r="BI10" s="92" t="s">
        <v>74</v>
      </c>
      <c r="BJ10" s="92">
        <v>199</v>
      </c>
      <c r="BK10" s="92">
        <v>295</v>
      </c>
      <c r="BL10" s="92" t="s">
        <v>72</v>
      </c>
      <c r="BM10" s="92" t="s">
        <v>74</v>
      </c>
      <c r="BN10" s="92">
        <v>970</v>
      </c>
      <c r="BO10" s="92">
        <v>78</v>
      </c>
      <c r="BP10" s="92" t="s">
        <v>72</v>
      </c>
      <c r="BQ10" s="92" t="s">
        <v>1</v>
      </c>
      <c r="BR10" s="92" t="s">
        <v>1</v>
      </c>
      <c r="BS10" s="92" t="s">
        <v>1</v>
      </c>
      <c r="BT10" s="92" t="s">
        <v>1</v>
      </c>
      <c r="BU10" s="92" t="s">
        <v>1</v>
      </c>
      <c r="BV10" s="189" t="s">
        <v>1</v>
      </c>
      <c r="BW10" s="189" t="s">
        <v>1</v>
      </c>
      <c r="BX10" s="189" t="s">
        <v>1</v>
      </c>
      <c r="BY10" s="188" t="s">
        <v>1</v>
      </c>
      <c r="BZ10" s="189" t="s">
        <v>1</v>
      </c>
      <c r="CA10" s="189" t="s">
        <v>1</v>
      </c>
      <c r="CB10" s="190" t="s">
        <v>1</v>
      </c>
      <c r="CC10" s="191" t="s">
        <v>1</v>
      </c>
      <c r="CD10" s="189" t="s">
        <v>1</v>
      </c>
      <c r="CE10" s="190" t="s">
        <v>1</v>
      </c>
      <c r="CF10" s="92" t="s">
        <v>1</v>
      </c>
    </row>
    <row r="11" ht="21" customHeight="1" spans="1:84">
      <c r="A11" s="107">
        <v>45114</v>
      </c>
      <c r="B11" s="108" t="s">
        <v>70</v>
      </c>
      <c r="C11" s="92" t="s">
        <v>71</v>
      </c>
      <c r="D11" s="30" t="s">
        <v>1</v>
      </c>
      <c r="E11" s="30" t="s">
        <v>1</v>
      </c>
      <c r="F11" s="30">
        <v>2.4893</v>
      </c>
      <c r="G11" s="108" t="s">
        <v>1</v>
      </c>
      <c r="H11" s="108" t="str">
        <f t="shared" si="0"/>
        <v/>
      </c>
      <c r="I11" s="30">
        <v>1.4396</v>
      </c>
      <c r="J11" s="141" t="str">
        <f t="shared" si="1"/>
        <v/>
      </c>
      <c r="K11" s="211" t="str">
        <f>IFERROR(E11/#REF!,"")</f>
        <v/>
      </c>
      <c r="L11" s="30">
        <v>9597</v>
      </c>
      <c r="M11" s="75" t="s">
        <v>72</v>
      </c>
      <c r="N11" s="92" t="s">
        <v>1</v>
      </c>
      <c r="O11" s="92" t="s">
        <v>1</v>
      </c>
      <c r="P11" s="92" t="s">
        <v>1</v>
      </c>
      <c r="Q11" s="92" t="s">
        <v>1</v>
      </c>
      <c r="R11" s="108">
        <v>0</v>
      </c>
      <c r="S11" s="108">
        <v>0</v>
      </c>
      <c r="T11" s="92" t="s">
        <v>1</v>
      </c>
      <c r="U11" s="92" t="s">
        <v>1</v>
      </c>
      <c r="V11" s="92" t="s">
        <v>1</v>
      </c>
      <c r="W11" s="92" t="s">
        <v>72</v>
      </c>
      <c r="X11" s="92" t="s">
        <v>1</v>
      </c>
      <c r="Y11" s="92" t="s">
        <v>72</v>
      </c>
      <c r="Z11" s="92" t="s">
        <v>1</v>
      </c>
      <c r="AA11" s="236" t="s">
        <v>72</v>
      </c>
      <c r="AB11" s="92" t="s">
        <v>1</v>
      </c>
      <c r="AC11" s="92" t="s">
        <v>72</v>
      </c>
      <c r="AD11" s="92">
        <v>2</v>
      </c>
      <c r="AE11" s="92" t="s">
        <v>72</v>
      </c>
      <c r="AF11" s="92" t="s">
        <v>1</v>
      </c>
      <c r="AG11" s="92" t="s">
        <v>72</v>
      </c>
      <c r="AH11" s="92">
        <v>728</v>
      </c>
      <c r="AI11" s="92" t="s">
        <v>72</v>
      </c>
      <c r="AJ11" s="92">
        <v>147</v>
      </c>
      <c r="AK11" s="92" t="s">
        <v>72</v>
      </c>
      <c r="AL11" s="92">
        <v>25</v>
      </c>
      <c r="AM11" s="92" t="s">
        <v>72</v>
      </c>
      <c r="AN11" s="92">
        <v>11</v>
      </c>
      <c r="AO11" s="92" t="s">
        <v>72</v>
      </c>
      <c r="AP11" s="92">
        <v>222</v>
      </c>
      <c r="AQ11" s="92" t="s">
        <v>72</v>
      </c>
      <c r="AR11" s="92">
        <v>30</v>
      </c>
      <c r="AS11" s="92" t="s">
        <v>72</v>
      </c>
      <c r="AT11" s="187">
        <v>0.0048</v>
      </c>
      <c r="AU11" s="92" t="s">
        <v>72</v>
      </c>
      <c r="AV11" s="92" t="s">
        <v>1</v>
      </c>
      <c r="AW11" s="92" t="s">
        <v>1</v>
      </c>
      <c r="AX11" s="92" t="s">
        <v>1</v>
      </c>
      <c r="AY11" s="92" t="s">
        <v>1</v>
      </c>
      <c r="AZ11" s="92" t="s">
        <v>1</v>
      </c>
      <c r="BA11" s="92" t="s">
        <v>1</v>
      </c>
      <c r="BB11" s="92" t="s">
        <v>1</v>
      </c>
      <c r="BC11" s="92" t="s">
        <v>1</v>
      </c>
      <c r="BD11" s="92" t="s">
        <v>1</v>
      </c>
      <c r="BE11" s="92" t="s">
        <v>1</v>
      </c>
      <c r="BF11" s="92" t="s">
        <v>1</v>
      </c>
      <c r="BG11" s="92" t="s">
        <v>1</v>
      </c>
      <c r="BH11" s="141">
        <v>0.45</v>
      </c>
      <c r="BI11" s="92" t="s">
        <v>74</v>
      </c>
      <c r="BJ11" s="92">
        <v>215</v>
      </c>
      <c r="BK11" s="92">
        <v>266</v>
      </c>
      <c r="BL11" s="92" t="s">
        <v>72</v>
      </c>
      <c r="BM11" s="92" t="s">
        <v>74</v>
      </c>
      <c r="BN11" s="92">
        <v>1086</v>
      </c>
      <c r="BO11" s="92">
        <v>65</v>
      </c>
      <c r="BP11" s="92" t="s">
        <v>72</v>
      </c>
      <c r="BQ11" s="92" t="s">
        <v>1</v>
      </c>
      <c r="BR11" s="92" t="s">
        <v>1</v>
      </c>
      <c r="BS11" s="92" t="s">
        <v>1</v>
      </c>
      <c r="BT11" s="92" t="s">
        <v>1</v>
      </c>
      <c r="BU11" s="92" t="s">
        <v>1</v>
      </c>
      <c r="BV11" s="189" t="s">
        <v>1</v>
      </c>
      <c r="BW11" s="189" t="s">
        <v>1</v>
      </c>
      <c r="BX11" s="189" t="s">
        <v>1</v>
      </c>
      <c r="BY11" s="188" t="s">
        <v>1</v>
      </c>
      <c r="BZ11" s="189" t="s">
        <v>1</v>
      </c>
      <c r="CA11" s="189" t="s">
        <v>1</v>
      </c>
      <c r="CB11" s="190" t="s">
        <v>1</v>
      </c>
      <c r="CC11" s="191" t="s">
        <v>1</v>
      </c>
      <c r="CD11" s="189" t="s">
        <v>1</v>
      </c>
      <c r="CE11" s="190" t="s">
        <v>1</v>
      </c>
      <c r="CF11" s="92" t="s">
        <v>1</v>
      </c>
    </row>
    <row r="12" ht="21" customHeight="1" spans="1:84">
      <c r="A12" s="107">
        <v>45115</v>
      </c>
      <c r="B12" s="108" t="s">
        <v>70</v>
      </c>
      <c r="C12" s="92" t="s">
        <v>71</v>
      </c>
      <c r="D12" s="30" t="s">
        <v>1</v>
      </c>
      <c r="E12" s="30" t="s">
        <v>1</v>
      </c>
      <c r="F12" s="30">
        <v>4.2888</v>
      </c>
      <c r="G12" s="108" t="s">
        <v>1</v>
      </c>
      <c r="H12" s="108" t="str">
        <f t="shared" si="0"/>
        <v/>
      </c>
      <c r="I12" s="30">
        <v>3.2391</v>
      </c>
      <c r="J12" s="141" t="str">
        <f t="shared" si="1"/>
        <v/>
      </c>
      <c r="K12" s="211" t="str">
        <f>IFERROR(E12/#REF!,"")</f>
        <v/>
      </c>
      <c r="L12" s="30">
        <v>7098</v>
      </c>
      <c r="M12" s="75" t="s">
        <v>72</v>
      </c>
      <c r="N12" s="92" t="s">
        <v>1</v>
      </c>
      <c r="O12" s="92" t="s">
        <v>1</v>
      </c>
      <c r="P12" s="92" t="s">
        <v>1</v>
      </c>
      <c r="Q12" s="92" t="s">
        <v>1</v>
      </c>
      <c r="R12" s="108">
        <v>0</v>
      </c>
      <c r="S12" s="108">
        <v>0</v>
      </c>
      <c r="T12" s="92" t="s">
        <v>1</v>
      </c>
      <c r="U12" s="92" t="s">
        <v>1</v>
      </c>
      <c r="V12" s="92" t="s">
        <v>1</v>
      </c>
      <c r="W12" s="92" t="s">
        <v>72</v>
      </c>
      <c r="X12" s="92" t="s">
        <v>1</v>
      </c>
      <c r="Y12" s="92" t="s">
        <v>72</v>
      </c>
      <c r="Z12" s="92" t="s">
        <v>1</v>
      </c>
      <c r="AA12" s="236" t="s">
        <v>72</v>
      </c>
      <c r="AB12" s="92" t="s">
        <v>1</v>
      </c>
      <c r="AC12" s="92" t="s">
        <v>72</v>
      </c>
      <c r="AD12" s="92">
        <v>9</v>
      </c>
      <c r="AE12" s="92" t="s">
        <v>72</v>
      </c>
      <c r="AF12" s="92" t="s">
        <v>1</v>
      </c>
      <c r="AG12" s="92" t="s">
        <v>72</v>
      </c>
      <c r="AH12" s="92">
        <v>798</v>
      </c>
      <c r="AI12" s="92" t="s">
        <v>72</v>
      </c>
      <c r="AJ12" s="92">
        <v>215</v>
      </c>
      <c r="AK12" s="92" t="s">
        <v>72</v>
      </c>
      <c r="AL12" s="92">
        <v>36</v>
      </c>
      <c r="AM12" s="92" t="s">
        <v>72</v>
      </c>
      <c r="AN12" s="92">
        <v>7</v>
      </c>
      <c r="AO12" s="92" t="s">
        <v>72</v>
      </c>
      <c r="AP12" s="92">
        <v>290</v>
      </c>
      <c r="AQ12" s="92" t="s">
        <v>72</v>
      </c>
      <c r="AR12" s="92">
        <v>39</v>
      </c>
      <c r="AS12" s="92" t="s">
        <v>72</v>
      </c>
      <c r="AT12" s="187">
        <v>0.0093</v>
      </c>
      <c r="AU12" s="92" t="s">
        <v>72</v>
      </c>
      <c r="AV12" s="92" t="s">
        <v>1</v>
      </c>
      <c r="AW12" s="92" t="s">
        <v>1</v>
      </c>
      <c r="AX12" s="92" t="s">
        <v>1</v>
      </c>
      <c r="AY12" s="92" t="s">
        <v>1</v>
      </c>
      <c r="AZ12" s="92" t="s">
        <v>1</v>
      </c>
      <c r="BA12" s="92" t="s">
        <v>1</v>
      </c>
      <c r="BB12" s="92" t="s">
        <v>1</v>
      </c>
      <c r="BC12" s="92" t="s">
        <v>1</v>
      </c>
      <c r="BD12" s="92" t="s">
        <v>1</v>
      </c>
      <c r="BE12" s="92" t="s">
        <v>1</v>
      </c>
      <c r="BF12" s="92" t="s">
        <v>1</v>
      </c>
      <c r="BG12" s="92" t="s">
        <v>1</v>
      </c>
      <c r="BH12" s="92" t="s">
        <v>1</v>
      </c>
      <c r="BI12" s="92" t="s">
        <v>74</v>
      </c>
      <c r="BJ12" s="92">
        <v>158</v>
      </c>
      <c r="BK12" s="92">
        <v>407</v>
      </c>
      <c r="BL12" s="92" t="s">
        <v>72</v>
      </c>
      <c r="BM12" s="92" t="s">
        <v>74</v>
      </c>
      <c r="BN12" s="92">
        <v>1054</v>
      </c>
      <c r="BO12" s="92">
        <v>80</v>
      </c>
      <c r="BP12" s="92" t="s">
        <v>72</v>
      </c>
      <c r="BQ12" s="92" t="s">
        <v>1</v>
      </c>
      <c r="BR12" s="92" t="s">
        <v>1</v>
      </c>
      <c r="BS12" s="92" t="s">
        <v>1</v>
      </c>
      <c r="BT12" s="92" t="s">
        <v>1</v>
      </c>
      <c r="BU12" s="92" t="s">
        <v>1</v>
      </c>
      <c r="BV12" s="189" t="s">
        <v>1</v>
      </c>
      <c r="BW12" s="189" t="s">
        <v>1</v>
      </c>
      <c r="BX12" s="189" t="s">
        <v>1</v>
      </c>
      <c r="BY12" s="188" t="s">
        <v>1</v>
      </c>
      <c r="BZ12" s="189" t="s">
        <v>1</v>
      </c>
      <c r="CA12" s="189" t="s">
        <v>1</v>
      </c>
      <c r="CB12" s="190" t="s">
        <v>1</v>
      </c>
      <c r="CC12" s="191" t="s">
        <v>1</v>
      </c>
      <c r="CD12" s="189" t="s">
        <v>1</v>
      </c>
      <c r="CE12" s="190" t="s">
        <v>1</v>
      </c>
      <c r="CF12" s="92" t="s">
        <v>1</v>
      </c>
    </row>
    <row r="13" ht="21" customHeight="1" spans="1:84">
      <c r="A13" s="107">
        <v>45116</v>
      </c>
      <c r="B13" s="237" t="s">
        <v>75</v>
      </c>
      <c r="C13" s="92" t="s">
        <v>71</v>
      </c>
      <c r="D13" s="30" t="s">
        <v>1</v>
      </c>
      <c r="E13" s="30" t="s">
        <v>1</v>
      </c>
      <c r="F13" s="30">
        <v>1.0497</v>
      </c>
      <c r="G13" s="108" t="s">
        <v>1</v>
      </c>
      <c r="H13" s="108" t="str">
        <f t="shared" si="0"/>
        <v/>
      </c>
      <c r="I13" s="30">
        <v>0</v>
      </c>
      <c r="J13" s="141" t="str">
        <f t="shared" si="1"/>
        <v/>
      </c>
      <c r="K13" s="211" t="str">
        <f>IFERROR(E13/#REF!,"")</f>
        <v/>
      </c>
      <c r="L13" s="30">
        <v>2849</v>
      </c>
      <c r="M13" s="75" t="s">
        <v>72</v>
      </c>
      <c r="N13" s="92" t="s">
        <v>1</v>
      </c>
      <c r="O13" s="92" t="s">
        <v>1</v>
      </c>
      <c r="P13" s="92" t="s">
        <v>1</v>
      </c>
      <c r="Q13" s="92" t="s">
        <v>1</v>
      </c>
      <c r="R13" s="108">
        <v>0</v>
      </c>
      <c r="S13" s="108">
        <v>0</v>
      </c>
      <c r="T13" s="92" t="s">
        <v>1</v>
      </c>
      <c r="U13" s="92" t="s">
        <v>1</v>
      </c>
      <c r="V13" s="92" t="s">
        <v>1</v>
      </c>
      <c r="W13" s="92" t="s">
        <v>72</v>
      </c>
      <c r="X13" s="92" t="s">
        <v>1</v>
      </c>
      <c r="Y13" s="92" t="s">
        <v>72</v>
      </c>
      <c r="Z13" s="92" t="s">
        <v>1</v>
      </c>
      <c r="AA13" s="236" t="s">
        <v>72</v>
      </c>
      <c r="AB13" s="92" t="s">
        <v>1</v>
      </c>
      <c r="AC13" s="92" t="s">
        <v>72</v>
      </c>
      <c r="AD13" s="92">
        <v>4</v>
      </c>
      <c r="AE13" s="92" t="s">
        <v>72</v>
      </c>
      <c r="AF13" s="92" t="s">
        <v>1</v>
      </c>
      <c r="AG13" s="92" t="s">
        <v>72</v>
      </c>
      <c r="AH13" s="92">
        <v>895</v>
      </c>
      <c r="AI13" s="92" t="s">
        <v>72</v>
      </c>
      <c r="AJ13" s="92">
        <v>355</v>
      </c>
      <c r="AK13" s="92" t="s">
        <v>72</v>
      </c>
      <c r="AL13" s="92">
        <v>25</v>
      </c>
      <c r="AM13" s="92" t="s">
        <v>72</v>
      </c>
      <c r="AN13" s="92">
        <v>19</v>
      </c>
      <c r="AO13" s="92" t="s">
        <v>72</v>
      </c>
      <c r="AP13" s="92">
        <v>336</v>
      </c>
      <c r="AQ13" s="92" t="s">
        <v>72</v>
      </c>
      <c r="AR13" s="92">
        <v>61</v>
      </c>
      <c r="AS13" s="92" t="s">
        <v>72</v>
      </c>
      <c r="AT13" s="187">
        <v>0</v>
      </c>
      <c r="AU13" s="92" t="s">
        <v>72</v>
      </c>
      <c r="AV13" s="92" t="s">
        <v>1</v>
      </c>
      <c r="AW13" s="92" t="s">
        <v>1</v>
      </c>
      <c r="AX13" s="92" t="s">
        <v>1</v>
      </c>
      <c r="AY13" s="92" t="s">
        <v>1</v>
      </c>
      <c r="AZ13" s="92" t="s">
        <v>1</v>
      </c>
      <c r="BA13" s="92" t="s">
        <v>1</v>
      </c>
      <c r="BB13" s="92" t="s">
        <v>1</v>
      </c>
      <c r="BC13" s="92" t="s">
        <v>1</v>
      </c>
      <c r="BD13" s="92" t="s">
        <v>1</v>
      </c>
      <c r="BE13" s="92" t="s">
        <v>1</v>
      </c>
      <c r="BF13" s="92" t="s">
        <v>1</v>
      </c>
      <c r="BG13" s="92" t="s">
        <v>1</v>
      </c>
      <c r="BH13" s="92" t="s">
        <v>1</v>
      </c>
      <c r="BI13" s="92" t="s">
        <v>74</v>
      </c>
      <c r="BJ13" s="92">
        <v>200</v>
      </c>
      <c r="BK13" s="92">
        <v>352</v>
      </c>
      <c r="BL13" s="92" t="s">
        <v>72</v>
      </c>
      <c r="BM13" s="92" t="s">
        <v>74</v>
      </c>
      <c r="BN13" s="92">
        <v>1451</v>
      </c>
      <c r="BO13" s="92">
        <v>50</v>
      </c>
      <c r="BP13" s="92" t="s">
        <v>72</v>
      </c>
      <c r="BQ13" s="92" t="s">
        <v>1</v>
      </c>
      <c r="BR13" s="92" t="s">
        <v>1</v>
      </c>
      <c r="BS13" s="92" t="s">
        <v>1</v>
      </c>
      <c r="BT13" s="92" t="s">
        <v>1</v>
      </c>
      <c r="BU13" s="92" t="s">
        <v>1</v>
      </c>
      <c r="BV13" s="189" t="s">
        <v>1</v>
      </c>
      <c r="BW13" s="189" t="s">
        <v>1</v>
      </c>
      <c r="BX13" s="189" t="s">
        <v>1</v>
      </c>
      <c r="BY13" s="188" t="s">
        <v>1</v>
      </c>
      <c r="BZ13" s="189" t="s">
        <v>1</v>
      </c>
      <c r="CA13" s="189" t="s">
        <v>1</v>
      </c>
      <c r="CB13" s="190" t="s">
        <v>1</v>
      </c>
      <c r="CC13" s="191" t="s">
        <v>1</v>
      </c>
      <c r="CD13" s="189" t="s">
        <v>1</v>
      </c>
      <c r="CE13" s="190" t="s">
        <v>1</v>
      </c>
      <c r="CF13" s="92" t="s">
        <v>1</v>
      </c>
    </row>
    <row r="14" ht="21" customHeight="1" spans="1:84">
      <c r="A14" s="107">
        <v>45117</v>
      </c>
      <c r="B14" s="237" t="s">
        <v>75</v>
      </c>
      <c r="C14" s="92" t="s">
        <v>71</v>
      </c>
      <c r="D14" s="30" t="s">
        <v>1</v>
      </c>
      <c r="E14" s="30" t="s">
        <v>1</v>
      </c>
      <c r="F14" s="30">
        <v>1.0497</v>
      </c>
      <c r="G14" s="108" t="s">
        <v>1</v>
      </c>
      <c r="H14" s="108" t="str">
        <f t="shared" si="0"/>
        <v/>
      </c>
      <c r="I14" s="30">
        <v>0</v>
      </c>
      <c r="J14" s="141" t="str">
        <f t="shared" si="1"/>
        <v/>
      </c>
      <c r="K14" s="211" t="str">
        <f>IFERROR(E14/#REF!,"")</f>
        <v/>
      </c>
      <c r="L14" s="30">
        <v>9720</v>
      </c>
      <c r="M14" s="75" t="s">
        <v>72</v>
      </c>
      <c r="N14" s="92" t="s">
        <v>1</v>
      </c>
      <c r="O14" s="92" t="s">
        <v>1</v>
      </c>
      <c r="P14" s="92" t="s">
        <v>1</v>
      </c>
      <c r="Q14" s="92" t="s">
        <v>1</v>
      </c>
      <c r="R14" s="108">
        <v>0</v>
      </c>
      <c r="S14" s="108">
        <v>0</v>
      </c>
      <c r="T14" s="92" t="s">
        <v>1</v>
      </c>
      <c r="U14" s="92" t="s">
        <v>1</v>
      </c>
      <c r="V14" s="92" t="s">
        <v>1</v>
      </c>
      <c r="W14" s="92" t="s">
        <v>72</v>
      </c>
      <c r="X14" s="92" t="s">
        <v>1</v>
      </c>
      <c r="Y14" s="92" t="s">
        <v>72</v>
      </c>
      <c r="Z14" s="92" t="s">
        <v>1</v>
      </c>
      <c r="AA14" s="236" t="s">
        <v>72</v>
      </c>
      <c r="AB14" s="92" t="s">
        <v>1</v>
      </c>
      <c r="AC14" s="92" t="s">
        <v>72</v>
      </c>
      <c r="AD14" s="92">
        <v>5</v>
      </c>
      <c r="AE14" s="92" t="s">
        <v>72</v>
      </c>
      <c r="AF14" s="92" t="s">
        <v>1</v>
      </c>
      <c r="AG14" s="92" t="s">
        <v>72</v>
      </c>
      <c r="AH14" s="92">
        <v>826</v>
      </c>
      <c r="AI14" s="92" t="s">
        <v>72</v>
      </c>
      <c r="AJ14" s="92">
        <v>281</v>
      </c>
      <c r="AK14" s="92" t="s">
        <v>72</v>
      </c>
      <c r="AL14" s="92">
        <v>25</v>
      </c>
      <c r="AM14" s="92" t="s">
        <v>72</v>
      </c>
      <c r="AN14" s="92">
        <v>17</v>
      </c>
      <c r="AO14" s="92" t="s">
        <v>72</v>
      </c>
      <c r="AP14" s="92">
        <v>251</v>
      </c>
      <c r="AQ14" s="92" t="s">
        <v>72</v>
      </c>
      <c r="AR14" s="92">
        <v>45</v>
      </c>
      <c r="AS14" s="92" t="s">
        <v>72</v>
      </c>
      <c r="AT14" s="187">
        <v>0</v>
      </c>
      <c r="AU14" s="92" t="s">
        <v>72</v>
      </c>
      <c r="AV14" s="92" t="s">
        <v>1</v>
      </c>
      <c r="AW14" s="92" t="s">
        <v>1</v>
      </c>
      <c r="AX14" s="92" t="s">
        <v>1</v>
      </c>
      <c r="AY14" s="92" t="s">
        <v>1</v>
      </c>
      <c r="AZ14" s="92" t="s">
        <v>1</v>
      </c>
      <c r="BA14" s="92" t="s">
        <v>1</v>
      </c>
      <c r="BB14" s="92" t="s">
        <v>1</v>
      </c>
      <c r="BC14" s="92" t="s">
        <v>1</v>
      </c>
      <c r="BD14" s="92" t="s">
        <v>1</v>
      </c>
      <c r="BE14" s="92" t="s">
        <v>1</v>
      </c>
      <c r="BF14" s="92" t="s">
        <v>1</v>
      </c>
      <c r="BG14" s="92" t="s">
        <v>1</v>
      </c>
      <c r="BH14" s="141">
        <v>0.65</v>
      </c>
      <c r="BI14" s="92" t="s">
        <v>74</v>
      </c>
      <c r="BJ14" s="92">
        <v>221</v>
      </c>
      <c r="BK14" s="92">
        <v>288</v>
      </c>
      <c r="BL14" s="92" t="s">
        <v>72</v>
      </c>
      <c r="BM14" s="92" t="s">
        <v>74</v>
      </c>
      <c r="BN14" s="92">
        <v>1246</v>
      </c>
      <c r="BO14" s="92">
        <v>56</v>
      </c>
      <c r="BP14" s="92" t="s">
        <v>72</v>
      </c>
      <c r="BQ14" s="92" t="s">
        <v>1</v>
      </c>
      <c r="BR14" s="92" t="s">
        <v>1</v>
      </c>
      <c r="BS14" s="92" t="s">
        <v>1</v>
      </c>
      <c r="BT14" s="92" t="s">
        <v>1</v>
      </c>
      <c r="BU14" s="92" t="s">
        <v>1</v>
      </c>
      <c r="BV14" s="92" t="s">
        <v>1</v>
      </c>
      <c r="BW14" s="92" t="s">
        <v>1</v>
      </c>
      <c r="BX14" s="92" t="s">
        <v>1</v>
      </c>
      <c r="BY14" s="92" t="s">
        <v>1</v>
      </c>
      <c r="BZ14" s="92" t="s">
        <v>1</v>
      </c>
      <c r="CA14" s="92" t="s">
        <v>1</v>
      </c>
      <c r="CB14" s="92" t="s">
        <v>1</v>
      </c>
      <c r="CC14" s="92" t="s">
        <v>1</v>
      </c>
      <c r="CD14" s="92" t="s">
        <v>1</v>
      </c>
      <c r="CE14" s="92" t="s">
        <v>1</v>
      </c>
      <c r="CF14" s="92" t="s">
        <v>1</v>
      </c>
    </row>
    <row r="15" ht="21" customHeight="1" spans="1:84">
      <c r="A15" s="107">
        <v>45118</v>
      </c>
      <c r="B15" s="108" t="s">
        <v>70</v>
      </c>
      <c r="C15" s="92" t="s">
        <v>71</v>
      </c>
      <c r="D15" s="30" t="s">
        <v>1</v>
      </c>
      <c r="E15" s="30" t="s">
        <v>1</v>
      </c>
      <c r="F15" s="30">
        <v>7.9381</v>
      </c>
      <c r="G15" s="108" t="s">
        <v>1</v>
      </c>
      <c r="H15" s="108" t="str">
        <f t="shared" si="0"/>
        <v/>
      </c>
      <c r="I15" s="30">
        <v>7.9381</v>
      </c>
      <c r="J15" s="141" t="str">
        <f t="shared" si="1"/>
        <v/>
      </c>
      <c r="K15" s="211" t="str">
        <f>IFERROR(E15/#REF!,"")</f>
        <v/>
      </c>
      <c r="L15" s="30">
        <v>23893</v>
      </c>
      <c r="M15" s="75" t="s">
        <v>72</v>
      </c>
      <c r="N15" s="92" t="s">
        <v>1</v>
      </c>
      <c r="O15" s="92" t="s">
        <v>1</v>
      </c>
      <c r="P15" s="92" t="s">
        <v>1</v>
      </c>
      <c r="Q15" s="92" t="s">
        <v>1</v>
      </c>
      <c r="R15" s="108">
        <v>6398</v>
      </c>
      <c r="S15" s="108">
        <v>0</v>
      </c>
      <c r="T15" s="92" t="s">
        <v>1</v>
      </c>
      <c r="U15" s="92" t="s">
        <v>1</v>
      </c>
      <c r="V15" s="92" t="s">
        <v>1</v>
      </c>
      <c r="W15" s="92" t="s">
        <v>72</v>
      </c>
      <c r="X15" s="92" t="s">
        <v>1</v>
      </c>
      <c r="Y15" s="92" t="s">
        <v>72</v>
      </c>
      <c r="Z15" s="92" t="s">
        <v>1</v>
      </c>
      <c r="AA15" s="236" t="s">
        <v>72</v>
      </c>
      <c r="AB15" s="92" t="s">
        <v>1</v>
      </c>
      <c r="AC15" s="92" t="s">
        <v>72</v>
      </c>
      <c r="AD15" s="92">
        <v>4</v>
      </c>
      <c r="AE15" s="92" t="s">
        <v>72</v>
      </c>
      <c r="AF15" s="92" t="s">
        <v>1</v>
      </c>
      <c r="AG15" s="92" t="s">
        <v>72</v>
      </c>
      <c r="AH15" s="92">
        <v>731</v>
      </c>
      <c r="AI15" s="92" t="s">
        <v>72</v>
      </c>
      <c r="AJ15" s="92">
        <v>262</v>
      </c>
      <c r="AK15" s="92" t="s">
        <v>72</v>
      </c>
      <c r="AL15" s="92">
        <v>23</v>
      </c>
      <c r="AM15" s="92" t="s">
        <v>72</v>
      </c>
      <c r="AN15" s="92">
        <v>44</v>
      </c>
      <c r="AO15" s="92" t="s">
        <v>72</v>
      </c>
      <c r="AP15" s="92">
        <v>214</v>
      </c>
      <c r="AQ15" s="92" t="s">
        <v>72</v>
      </c>
      <c r="AR15" s="92">
        <v>59</v>
      </c>
      <c r="AS15" s="92" t="s">
        <v>72</v>
      </c>
      <c r="AT15" s="187">
        <v>0.0122</v>
      </c>
      <c r="AU15" s="92" t="s">
        <v>72</v>
      </c>
      <c r="AV15" s="92" t="s">
        <v>1</v>
      </c>
      <c r="AW15" s="92" t="s">
        <v>1</v>
      </c>
      <c r="AX15" s="92" t="s">
        <v>1</v>
      </c>
      <c r="AY15" s="92" t="s">
        <v>1</v>
      </c>
      <c r="AZ15" s="92" t="s">
        <v>1</v>
      </c>
      <c r="BA15" s="92" t="s">
        <v>1</v>
      </c>
      <c r="BB15" s="92" t="s">
        <v>1</v>
      </c>
      <c r="BC15" s="92" t="s">
        <v>1</v>
      </c>
      <c r="BD15" s="92" t="s">
        <v>1</v>
      </c>
      <c r="BE15" s="92" t="s">
        <v>1</v>
      </c>
      <c r="BF15" s="92" t="s">
        <v>1</v>
      </c>
      <c r="BG15" s="92" t="s">
        <v>1</v>
      </c>
      <c r="BH15" s="92" t="s">
        <v>1</v>
      </c>
      <c r="BI15" s="92" t="s">
        <v>74</v>
      </c>
      <c r="BJ15" s="92">
        <v>334</v>
      </c>
      <c r="BK15" s="92">
        <v>192</v>
      </c>
      <c r="BL15" s="92" t="s">
        <v>72</v>
      </c>
      <c r="BM15" s="92" t="s">
        <v>74</v>
      </c>
      <c r="BN15" s="92">
        <v>1071</v>
      </c>
      <c r="BO15" s="92">
        <v>76</v>
      </c>
      <c r="BP15" s="92" t="s">
        <v>72</v>
      </c>
      <c r="BQ15" s="92" t="s">
        <v>1</v>
      </c>
      <c r="BR15" s="92" t="s">
        <v>1</v>
      </c>
      <c r="BS15" s="92" t="s">
        <v>1</v>
      </c>
      <c r="BT15" s="92" t="s">
        <v>1</v>
      </c>
      <c r="BU15" s="92" t="s">
        <v>1</v>
      </c>
      <c r="BV15" s="189" t="s">
        <v>83</v>
      </c>
      <c r="BW15" s="189" t="s">
        <v>78</v>
      </c>
      <c r="BX15" s="189" t="s">
        <v>84</v>
      </c>
      <c r="BY15" s="189" t="s">
        <v>95</v>
      </c>
      <c r="BZ15" s="189" t="s">
        <v>87</v>
      </c>
      <c r="CA15" s="188" t="s">
        <v>141</v>
      </c>
      <c r="CB15" s="189" t="s">
        <v>76</v>
      </c>
      <c r="CC15" s="190" t="s">
        <v>92</v>
      </c>
      <c r="CD15" s="188" t="s">
        <v>181</v>
      </c>
      <c r="CE15" s="190" t="s">
        <v>145</v>
      </c>
      <c r="CF15" s="92" t="s">
        <v>1</v>
      </c>
    </row>
    <row r="16" ht="21" customHeight="1" spans="1:84">
      <c r="A16" s="107">
        <v>45119</v>
      </c>
      <c r="B16" s="108" t="s">
        <v>70</v>
      </c>
      <c r="C16" s="92" t="s">
        <v>71</v>
      </c>
      <c r="D16" s="30" t="s">
        <v>1</v>
      </c>
      <c r="E16" s="30" t="s">
        <v>1</v>
      </c>
      <c r="F16" s="30">
        <v>4.1489</v>
      </c>
      <c r="G16" s="108" t="s">
        <v>1</v>
      </c>
      <c r="H16" s="108" t="str">
        <f t="shared" si="0"/>
        <v/>
      </c>
      <c r="I16" s="30">
        <v>8.8</v>
      </c>
      <c r="J16" s="141" t="str">
        <f t="shared" si="1"/>
        <v/>
      </c>
      <c r="K16" s="211" t="str">
        <f>IFERROR(E16/#REF!,"")</f>
        <v/>
      </c>
      <c r="L16" s="30">
        <v>14095</v>
      </c>
      <c r="M16" s="75" t="s">
        <v>72</v>
      </c>
      <c r="N16" s="92" t="s">
        <v>1</v>
      </c>
      <c r="O16" s="92" t="s">
        <v>1</v>
      </c>
      <c r="P16" s="92" t="s">
        <v>1</v>
      </c>
      <c r="Q16" s="92" t="s">
        <v>1</v>
      </c>
      <c r="R16" s="108">
        <v>0</v>
      </c>
      <c r="S16" s="108">
        <v>0</v>
      </c>
      <c r="T16" s="92" t="s">
        <v>1</v>
      </c>
      <c r="U16" s="92" t="s">
        <v>1</v>
      </c>
      <c r="V16" s="92" t="s">
        <v>1</v>
      </c>
      <c r="W16" s="92" t="s">
        <v>72</v>
      </c>
      <c r="X16" s="92" t="s">
        <v>1</v>
      </c>
      <c r="Y16" s="92" t="s">
        <v>72</v>
      </c>
      <c r="Z16" s="92" t="s">
        <v>1</v>
      </c>
      <c r="AA16" s="236" t="s">
        <v>72</v>
      </c>
      <c r="AB16" s="92" t="s">
        <v>1</v>
      </c>
      <c r="AC16" s="92" t="s">
        <v>72</v>
      </c>
      <c r="AD16" s="92">
        <v>5</v>
      </c>
      <c r="AE16" s="92" t="s">
        <v>72</v>
      </c>
      <c r="AF16" s="92" t="s">
        <v>1</v>
      </c>
      <c r="AG16" s="92" t="s">
        <v>72</v>
      </c>
      <c r="AH16" s="92">
        <v>730</v>
      </c>
      <c r="AI16" s="92" t="s">
        <v>72</v>
      </c>
      <c r="AJ16" s="92">
        <v>132</v>
      </c>
      <c r="AK16" s="92" t="s">
        <v>72</v>
      </c>
      <c r="AL16" s="92">
        <v>24</v>
      </c>
      <c r="AM16" s="92" t="s">
        <v>72</v>
      </c>
      <c r="AN16" s="92">
        <v>24</v>
      </c>
      <c r="AO16" s="92" t="s">
        <v>72</v>
      </c>
      <c r="AP16" s="92">
        <v>235</v>
      </c>
      <c r="AQ16" s="92" t="s">
        <v>72</v>
      </c>
      <c r="AR16" s="92">
        <v>57</v>
      </c>
      <c r="AS16" s="92" t="s">
        <v>72</v>
      </c>
      <c r="AT16" s="187">
        <v>0.0095</v>
      </c>
      <c r="AU16" s="92" t="s">
        <v>72</v>
      </c>
      <c r="AV16" s="92" t="s">
        <v>1</v>
      </c>
      <c r="AW16" s="92" t="s">
        <v>1</v>
      </c>
      <c r="AX16" s="92" t="s">
        <v>1</v>
      </c>
      <c r="AY16" s="92" t="s">
        <v>1</v>
      </c>
      <c r="AZ16" s="92" t="s">
        <v>1</v>
      </c>
      <c r="BA16" s="92" t="s">
        <v>1</v>
      </c>
      <c r="BB16" s="92" t="s">
        <v>1</v>
      </c>
      <c r="BC16" s="92" t="s">
        <v>1</v>
      </c>
      <c r="BD16" s="92" t="s">
        <v>1</v>
      </c>
      <c r="BE16" s="92" t="s">
        <v>1</v>
      </c>
      <c r="BF16" s="92" t="s">
        <v>1</v>
      </c>
      <c r="BG16" s="92" t="s">
        <v>1</v>
      </c>
      <c r="BH16" s="141">
        <v>0.8</v>
      </c>
      <c r="BI16" s="92" t="s">
        <v>74</v>
      </c>
      <c r="BJ16" s="92">
        <v>275</v>
      </c>
      <c r="BK16" s="92">
        <v>239</v>
      </c>
      <c r="BL16" s="92" t="s">
        <v>72</v>
      </c>
      <c r="BM16" s="92" t="s">
        <v>74</v>
      </c>
      <c r="BN16" s="92">
        <v>958</v>
      </c>
      <c r="BO16" s="92">
        <v>90</v>
      </c>
      <c r="BP16" s="92" t="s">
        <v>72</v>
      </c>
      <c r="BQ16" s="92" t="s">
        <v>1</v>
      </c>
      <c r="BR16" s="92" t="s">
        <v>1</v>
      </c>
      <c r="BS16" s="92" t="s">
        <v>1</v>
      </c>
      <c r="BT16" s="92" t="s">
        <v>1</v>
      </c>
      <c r="BU16" s="92" t="s">
        <v>1</v>
      </c>
      <c r="BV16" s="189" t="s">
        <v>1</v>
      </c>
      <c r="BW16" s="189" t="s">
        <v>1</v>
      </c>
      <c r="BX16" s="189" t="s">
        <v>1</v>
      </c>
      <c r="BY16" s="189" t="s">
        <v>1</v>
      </c>
      <c r="BZ16" s="189" t="s">
        <v>1</v>
      </c>
      <c r="CA16" s="188" t="s">
        <v>1</v>
      </c>
      <c r="CB16" s="189" t="s">
        <v>1</v>
      </c>
      <c r="CC16" s="190" t="s">
        <v>1</v>
      </c>
      <c r="CD16" s="188" t="s">
        <v>1</v>
      </c>
      <c r="CE16" s="190" t="s">
        <v>1</v>
      </c>
      <c r="CF16" s="92" t="s">
        <v>1</v>
      </c>
    </row>
    <row r="17" ht="21" customHeight="1" spans="1:84">
      <c r="A17" s="107">
        <v>45120</v>
      </c>
      <c r="B17" s="108" t="s">
        <v>70</v>
      </c>
      <c r="C17" s="92" t="s">
        <v>71</v>
      </c>
      <c r="D17" s="30" t="s">
        <v>1</v>
      </c>
      <c r="E17" s="30" t="s">
        <v>1</v>
      </c>
      <c r="F17" s="30">
        <v>4.6087</v>
      </c>
      <c r="G17" s="108" t="s">
        <v>1</v>
      </c>
      <c r="H17" s="108" t="str">
        <f t="shared" si="0"/>
        <v/>
      </c>
      <c r="I17" s="30">
        <v>7.2</v>
      </c>
      <c r="J17" s="141" t="str">
        <f t="shared" si="1"/>
        <v/>
      </c>
      <c r="K17" s="211" t="str">
        <f>IFERROR(E17/#REF!,"")</f>
        <v/>
      </c>
      <c r="L17" s="30">
        <v>14196</v>
      </c>
      <c r="M17" s="75" t="s">
        <v>72</v>
      </c>
      <c r="N17" s="92" t="s">
        <v>1</v>
      </c>
      <c r="O17" s="92" t="s">
        <v>1</v>
      </c>
      <c r="P17" s="92" t="s">
        <v>1</v>
      </c>
      <c r="Q17" s="92" t="s">
        <v>1</v>
      </c>
      <c r="R17" s="108">
        <v>3199</v>
      </c>
      <c r="S17" s="108">
        <v>0</v>
      </c>
      <c r="T17" s="92" t="s">
        <v>1</v>
      </c>
      <c r="U17" s="92" t="s">
        <v>1</v>
      </c>
      <c r="V17" s="92" t="s">
        <v>1</v>
      </c>
      <c r="W17" s="92" t="s">
        <v>72</v>
      </c>
      <c r="X17" s="92" t="s">
        <v>1</v>
      </c>
      <c r="Y17" s="92" t="s">
        <v>72</v>
      </c>
      <c r="Z17" s="92" t="s">
        <v>1</v>
      </c>
      <c r="AA17" s="236" t="s">
        <v>72</v>
      </c>
      <c r="AB17" s="92" t="s">
        <v>1</v>
      </c>
      <c r="AC17" s="92" t="s">
        <v>72</v>
      </c>
      <c r="AD17" s="92">
        <v>1</v>
      </c>
      <c r="AE17" s="92" t="s">
        <v>72</v>
      </c>
      <c r="AF17" s="92" t="s">
        <v>1</v>
      </c>
      <c r="AG17" s="92" t="s">
        <v>72</v>
      </c>
      <c r="AH17" s="92">
        <v>709</v>
      </c>
      <c r="AI17" s="92" t="s">
        <v>72</v>
      </c>
      <c r="AJ17" s="92">
        <v>262</v>
      </c>
      <c r="AK17" s="92" t="s">
        <v>72</v>
      </c>
      <c r="AL17" s="92">
        <v>50</v>
      </c>
      <c r="AM17" s="92" t="s">
        <v>72</v>
      </c>
      <c r="AN17" s="92">
        <v>32</v>
      </c>
      <c r="AO17" s="92" t="s">
        <v>72</v>
      </c>
      <c r="AP17" s="92">
        <v>236</v>
      </c>
      <c r="AQ17" s="92" t="s">
        <v>72</v>
      </c>
      <c r="AR17" s="92">
        <v>37</v>
      </c>
      <c r="AS17" s="92" t="s">
        <v>72</v>
      </c>
      <c r="AT17" s="187">
        <v>0.0065</v>
      </c>
      <c r="AU17" s="92" t="s">
        <v>72</v>
      </c>
      <c r="AV17" s="92" t="s">
        <v>1</v>
      </c>
      <c r="AW17" s="92" t="s">
        <v>1</v>
      </c>
      <c r="AX17" s="92" t="s">
        <v>1</v>
      </c>
      <c r="AY17" s="92" t="s">
        <v>1</v>
      </c>
      <c r="AZ17" s="92" t="s">
        <v>1</v>
      </c>
      <c r="BA17" s="92" t="s">
        <v>1</v>
      </c>
      <c r="BB17" s="92" t="s">
        <v>1</v>
      </c>
      <c r="BC17" s="92" t="s">
        <v>1</v>
      </c>
      <c r="BD17" s="92" t="s">
        <v>1</v>
      </c>
      <c r="BE17" s="92" t="s">
        <v>1</v>
      </c>
      <c r="BF17" s="92" t="s">
        <v>1</v>
      </c>
      <c r="BG17" s="92" t="s">
        <v>1</v>
      </c>
      <c r="BH17" s="141">
        <v>0.8</v>
      </c>
      <c r="BI17" s="92" t="s">
        <v>74</v>
      </c>
      <c r="BJ17" s="92">
        <v>378</v>
      </c>
      <c r="BK17" s="92">
        <v>161</v>
      </c>
      <c r="BL17" s="92" t="s">
        <v>72</v>
      </c>
      <c r="BM17" s="92" t="s">
        <v>74</v>
      </c>
      <c r="BN17" s="92">
        <v>1323</v>
      </c>
      <c r="BO17" s="92">
        <v>51</v>
      </c>
      <c r="BP17" s="92" t="s">
        <v>72</v>
      </c>
      <c r="BQ17" s="92" t="s">
        <v>1</v>
      </c>
      <c r="BR17" s="92" t="s">
        <v>1</v>
      </c>
      <c r="BS17" s="92" t="s">
        <v>1</v>
      </c>
      <c r="BT17" s="92" t="s">
        <v>1</v>
      </c>
      <c r="BU17" s="92" t="s">
        <v>1</v>
      </c>
      <c r="BV17" s="189" t="s">
        <v>1</v>
      </c>
      <c r="BW17" s="189" t="s">
        <v>1</v>
      </c>
      <c r="BX17" s="189" t="s">
        <v>1</v>
      </c>
      <c r="BY17" s="189" t="s">
        <v>1</v>
      </c>
      <c r="BZ17" s="189" t="s">
        <v>1</v>
      </c>
      <c r="CA17" s="188" t="s">
        <v>1</v>
      </c>
      <c r="CB17" s="189" t="s">
        <v>1</v>
      </c>
      <c r="CC17" s="190" t="s">
        <v>1</v>
      </c>
      <c r="CD17" s="188" t="s">
        <v>1</v>
      </c>
      <c r="CE17" s="190" t="s">
        <v>1</v>
      </c>
      <c r="CF17" s="92" t="s">
        <v>1</v>
      </c>
    </row>
    <row r="18" ht="21" customHeight="1" spans="1:84">
      <c r="A18" s="107">
        <v>45121</v>
      </c>
      <c r="B18" s="237" t="s">
        <v>75</v>
      </c>
      <c r="C18" s="92" t="s">
        <v>71</v>
      </c>
      <c r="D18" s="30" t="s">
        <v>1</v>
      </c>
      <c r="E18" s="30" t="s">
        <v>1</v>
      </c>
      <c r="F18" s="30">
        <v>3.9389</v>
      </c>
      <c r="G18" s="108" t="s">
        <v>1</v>
      </c>
      <c r="H18" s="108" t="str">
        <f t="shared" si="0"/>
        <v/>
      </c>
      <c r="I18" s="30">
        <v>0</v>
      </c>
      <c r="J18" s="141" t="str">
        <f t="shared" si="1"/>
        <v/>
      </c>
      <c r="K18" s="211" t="str">
        <f>IFERROR(E18/#REF!,"")</f>
        <v/>
      </c>
      <c r="L18" s="30">
        <v>19476</v>
      </c>
      <c r="M18" s="75" t="s">
        <v>72</v>
      </c>
      <c r="N18" s="92" t="s">
        <v>1</v>
      </c>
      <c r="O18" s="92" t="s">
        <v>1</v>
      </c>
      <c r="P18" s="92" t="s">
        <v>1</v>
      </c>
      <c r="Q18" s="92" t="s">
        <v>1</v>
      </c>
      <c r="R18" s="108" t="s">
        <v>90</v>
      </c>
      <c r="S18" s="108">
        <v>0</v>
      </c>
      <c r="T18" s="92" t="s">
        <v>1</v>
      </c>
      <c r="U18" s="92" t="s">
        <v>1</v>
      </c>
      <c r="V18" s="92" t="s">
        <v>1</v>
      </c>
      <c r="W18" s="92" t="s">
        <v>72</v>
      </c>
      <c r="X18" s="92" t="s">
        <v>1</v>
      </c>
      <c r="Y18" s="92" t="s">
        <v>72</v>
      </c>
      <c r="Z18" s="92" t="s">
        <v>1</v>
      </c>
      <c r="AA18" s="236" t="s">
        <v>72</v>
      </c>
      <c r="AB18" s="92" t="s">
        <v>1</v>
      </c>
      <c r="AC18" s="92" t="s">
        <v>72</v>
      </c>
      <c r="AD18" s="92">
        <v>5</v>
      </c>
      <c r="AE18" s="92" t="s">
        <v>72</v>
      </c>
      <c r="AF18" s="92" t="s">
        <v>1</v>
      </c>
      <c r="AG18" s="92" t="s">
        <v>72</v>
      </c>
      <c r="AH18" s="92">
        <v>938</v>
      </c>
      <c r="AI18" s="92" t="s">
        <v>72</v>
      </c>
      <c r="AJ18" s="92">
        <v>302</v>
      </c>
      <c r="AK18" s="92" t="s">
        <v>72</v>
      </c>
      <c r="AL18" s="92">
        <v>27</v>
      </c>
      <c r="AM18" s="92" t="s">
        <v>72</v>
      </c>
      <c r="AN18" s="92">
        <v>92</v>
      </c>
      <c r="AO18" s="92" t="s">
        <v>72</v>
      </c>
      <c r="AP18" s="92">
        <v>389</v>
      </c>
      <c r="AQ18" s="92" t="s">
        <v>72</v>
      </c>
      <c r="AR18" s="92">
        <v>104</v>
      </c>
      <c r="AS18" s="92" t="s">
        <v>72</v>
      </c>
      <c r="AT18" s="187">
        <v>0.0074</v>
      </c>
      <c r="AU18" s="92" t="s">
        <v>72</v>
      </c>
      <c r="AV18" s="92" t="s">
        <v>1</v>
      </c>
      <c r="AW18" s="92" t="s">
        <v>1</v>
      </c>
      <c r="AX18" s="92" t="s">
        <v>1</v>
      </c>
      <c r="AY18" s="92" t="s">
        <v>1</v>
      </c>
      <c r="AZ18" s="92" t="s">
        <v>1</v>
      </c>
      <c r="BA18" s="92" t="s">
        <v>1</v>
      </c>
      <c r="BB18" s="92" t="s">
        <v>1</v>
      </c>
      <c r="BC18" s="92" t="s">
        <v>1</v>
      </c>
      <c r="BD18" s="92" t="s">
        <v>1</v>
      </c>
      <c r="BE18" s="92" t="s">
        <v>1</v>
      </c>
      <c r="BF18" s="92" t="s">
        <v>1</v>
      </c>
      <c r="BG18" s="92" t="s">
        <v>1</v>
      </c>
      <c r="BH18" s="141">
        <v>0.85</v>
      </c>
      <c r="BI18" s="92" t="s">
        <v>74</v>
      </c>
      <c r="BJ18" s="92">
        <v>189</v>
      </c>
      <c r="BK18" s="92">
        <v>364</v>
      </c>
      <c r="BL18" s="92" t="s">
        <v>72</v>
      </c>
      <c r="BM18" s="92" t="s">
        <v>74</v>
      </c>
      <c r="BN18" s="92">
        <v>653</v>
      </c>
      <c r="BO18" s="92">
        <v>165</v>
      </c>
      <c r="BP18" s="92" t="s">
        <v>72</v>
      </c>
      <c r="BQ18" s="92" t="s">
        <v>1</v>
      </c>
      <c r="BR18" s="92" t="s">
        <v>1</v>
      </c>
      <c r="BS18" s="92" t="s">
        <v>1</v>
      </c>
      <c r="BT18" s="92" t="s">
        <v>1</v>
      </c>
      <c r="BU18" s="92" t="s">
        <v>1</v>
      </c>
      <c r="BV18" s="189" t="s">
        <v>1</v>
      </c>
      <c r="BW18" s="189" t="s">
        <v>1</v>
      </c>
      <c r="BX18" s="189" t="s">
        <v>1</v>
      </c>
      <c r="BY18" s="189" t="s">
        <v>1</v>
      </c>
      <c r="BZ18" s="189" t="s">
        <v>1</v>
      </c>
      <c r="CA18" s="188" t="s">
        <v>1</v>
      </c>
      <c r="CB18" s="189" t="s">
        <v>1</v>
      </c>
      <c r="CC18" s="190" t="s">
        <v>1</v>
      </c>
      <c r="CD18" s="188" t="s">
        <v>1</v>
      </c>
      <c r="CE18" s="190" t="s">
        <v>1</v>
      </c>
      <c r="CF18" s="92" t="s">
        <v>1</v>
      </c>
    </row>
    <row r="19" ht="21" customHeight="1" spans="1:84">
      <c r="A19" s="107">
        <v>45122</v>
      </c>
      <c r="B19" s="237" t="s">
        <v>75</v>
      </c>
      <c r="C19" s="92" t="s">
        <v>71</v>
      </c>
      <c r="D19" s="30" t="s">
        <v>1</v>
      </c>
      <c r="E19" s="30" t="s">
        <v>1</v>
      </c>
      <c r="F19" s="30">
        <v>1.0497</v>
      </c>
      <c r="G19" s="108" t="s">
        <v>1</v>
      </c>
      <c r="H19" s="108" t="str">
        <f t="shared" si="0"/>
        <v/>
      </c>
      <c r="I19" s="30">
        <v>0</v>
      </c>
      <c r="J19" s="141" t="str">
        <f t="shared" si="1"/>
        <v/>
      </c>
      <c r="K19" s="211" t="str">
        <f>IFERROR(E19/#REF!,"")</f>
        <v/>
      </c>
      <c r="L19" s="30">
        <v>19576</v>
      </c>
      <c r="M19" s="75" t="s">
        <v>72</v>
      </c>
      <c r="N19" s="92" t="s">
        <v>1</v>
      </c>
      <c r="O19" s="92" t="s">
        <v>1</v>
      </c>
      <c r="P19" s="92" t="s">
        <v>1</v>
      </c>
      <c r="Q19" s="92" t="s">
        <v>1</v>
      </c>
      <c r="R19" s="108">
        <v>0</v>
      </c>
      <c r="S19" s="108">
        <v>0</v>
      </c>
      <c r="T19" s="92" t="s">
        <v>1</v>
      </c>
      <c r="U19" s="92" t="s">
        <v>1</v>
      </c>
      <c r="V19" s="92" t="s">
        <v>1</v>
      </c>
      <c r="W19" s="92" t="s">
        <v>72</v>
      </c>
      <c r="X19" s="92" t="s">
        <v>1</v>
      </c>
      <c r="Y19" s="92" t="s">
        <v>72</v>
      </c>
      <c r="Z19" s="92" t="s">
        <v>1</v>
      </c>
      <c r="AA19" s="236" t="s">
        <v>72</v>
      </c>
      <c r="AB19" s="92" t="s">
        <v>1</v>
      </c>
      <c r="AC19" s="92" t="s">
        <v>72</v>
      </c>
      <c r="AD19" s="92">
        <v>7</v>
      </c>
      <c r="AE19" s="92" t="s">
        <v>72</v>
      </c>
      <c r="AF19" s="92" t="s">
        <v>1</v>
      </c>
      <c r="AG19" s="92" t="s">
        <v>72</v>
      </c>
      <c r="AH19" s="92">
        <v>1049</v>
      </c>
      <c r="AI19" s="92" t="s">
        <v>72</v>
      </c>
      <c r="AJ19" s="92">
        <v>484</v>
      </c>
      <c r="AK19" s="92" t="s">
        <v>72</v>
      </c>
      <c r="AL19" s="92">
        <v>27</v>
      </c>
      <c r="AM19" s="92" t="s">
        <v>72</v>
      </c>
      <c r="AN19" s="92">
        <v>51</v>
      </c>
      <c r="AO19" s="92" t="s">
        <v>72</v>
      </c>
      <c r="AP19" s="92">
        <v>466</v>
      </c>
      <c r="AQ19" s="92" t="s">
        <v>72</v>
      </c>
      <c r="AR19" s="92">
        <v>91</v>
      </c>
      <c r="AS19" s="92" t="s">
        <v>72</v>
      </c>
      <c r="AT19" s="187">
        <v>0</v>
      </c>
      <c r="AU19" s="92" t="s">
        <v>72</v>
      </c>
      <c r="AV19" s="92" t="s">
        <v>1</v>
      </c>
      <c r="AW19" s="92" t="s">
        <v>1</v>
      </c>
      <c r="AX19" s="92" t="s">
        <v>1</v>
      </c>
      <c r="AY19" s="92" t="s">
        <v>1</v>
      </c>
      <c r="AZ19" s="92" t="s">
        <v>1</v>
      </c>
      <c r="BA19" s="92" t="s">
        <v>1</v>
      </c>
      <c r="BB19" s="92" t="s">
        <v>1</v>
      </c>
      <c r="BC19" s="92" t="s">
        <v>1</v>
      </c>
      <c r="BD19" s="92" t="s">
        <v>1</v>
      </c>
      <c r="BE19" s="92" t="s">
        <v>1</v>
      </c>
      <c r="BF19" s="92" t="s">
        <v>1</v>
      </c>
      <c r="BG19" s="92" t="s">
        <v>1</v>
      </c>
      <c r="BI19" s="92" t="s">
        <v>74</v>
      </c>
      <c r="BJ19" s="92">
        <v>130</v>
      </c>
      <c r="BK19" s="92">
        <v>505</v>
      </c>
      <c r="BL19" s="92" t="s">
        <v>72</v>
      </c>
      <c r="BM19" s="92" t="s">
        <v>74</v>
      </c>
      <c r="BN19" s="92">
        <v>787</v>
      </c>
      <c r="BO19" s="92">
        <v>130</v>
      </c>
      <c r="BP19" s="92" t="s">
        <v>72</v>
      </c>
      <c r="BQ19" s="92" t="s">
        <v>1</v>
      </c>
      <c r="BR19" s="92" t="s">
        <v>1</v>
      </c>
      <c r="BS19" s="92" t="s">
        <v>1</v>
      </c>
      <c r="BT19" s="92" t="s">
        <v>1</v>
      </c>
      <c r="BU19" s="92" t="s">
        <v>1</v>
      </c>
      <c r="BV19" s="189" t="s">
        <v>1</v>
      </c>
      <c r="BW19" s="189" t="s">
        <v>1</v>
      </c>
      <c r="BX19" s="189" t="s">
        <v>1</v>
      </c>
      <c r="BY19" s="189" t="s">
        <v>1</v>
      </c>
      <c r="BZ19" s="189" t="s">
        <v>1</v>
      </c>
      <c r="CA19" s="188" t="s">
        <v>1</v>
      </c>
      <c r="CB19" s="189" t="s">
        <v>1</v>
      </c>
      <c r="CC19" s="190" t="s">
        <v>1</v>
      </c>
      <c r="CD19" s="188" t="s">
        <v>1</v>
      </c>
      <c r="CE19" s="190" t="s">
        <v>1</v>
      </c>
      <c r="CF19" s="92" t="s">
        <v>1</v>
      </c>
    </row>
    <row r="20" ht="21" customHeight="1" spans="1:84">
      <c r="A20" s="107">
        <v>45123</v>
      </c>
      <c r="B20" s="105" t="s">
        <v>91</v>
      </c>
      <c r="C20" s="92" t="s">
        <v>71</v>
      </c>
      <c r="D20" s="30" t="s">
        <v>1</v>
      </c>
      <c r="E20" s="30" t="s">
        <v>1</v>
      </c>
      <c r="F20" s="30">
        <v>3.9189</v>
      </c>
      <c r="G20" s="108" t="s">
        <v>1</v>
      </c>
      <c r="H20" s="108" t="str">
        <f t="shared" si="0"/>
        <v/>
      </c>
      <c r="I20" s="30">
        <v>22.4</v>
      </c>
      <c r="J20" s="141" t="str">
        <f t="shared" si="1"/>
        <v/>
      </c>
      <c r="K20" s="211" t="str">
        <f>IFERROR(E20/#REF!,"")</f>
        <v/>
      </c>
      <c r="L20" s="30">
        <v>34790</v>
      </c>
      <c r="M20" s="75" t="s">
        <v>72</v>
      </c>
      <c r="N20" s="92" t="s">
        <v>1</v>
      </c>
      <c r="O20" s="92" t="s">
        <v>1</v>
      </c>
      <c r="P20" s="92" t="s">
        <v>1</v>
      </c>
      <c r="Q20" s="92" t="s">
        <v>1</v>
      </c>
      <c r="R20" s="108">
        <v>6798</v>
      </c>
      <c r="S20" s="108">
        <v>0</v>
      </c>
      <c r="T20" s="92" t="s">
        <v>1</v>
      </c>
      <c r="U20" s="92" t="s">
        <v>1</v>
      </c>
      <c r="V20" s="92" t="s">
        <v>1</v>
      </c>
      <c r="W20" s="92" t="s">
        <v>72</v>
      </c>
      <c r="X20" s="92" t="s">
        <v>1</v>
      </c>
      <c r="Y20" s="92" t="s">
        <v>72</v>
      </c>
      <c r="Z20" s="92" t="s">
        <v>1</v>
      </c>
      <c r="AA20" s="236" t="s">
        <v>72</v>
      </c>
      <c r="AB20" s="92" t="s">
        <v>1</v>
      </c>
      <c r="AC20" s="92" t="s">
        <v>72</v>
      </c>
      <c r="AD20" s="92">
        <v>8</v>
      </c>
      <c r="AE20" s="92" t="s">
        <v>72</v>
      </c>
      <c r="AF20" s="92" t="s">
        <v>1</v>
      </c>
      <c r="AG20" s="92" t="s">
        <v>72</v>
      </c>
      <c r="AH20" s="92">
        <v>1340</v>
      </c>
      <c r="AI20" s="92" t="s">
        <v>72</v>
      </c>
      <c r="AJ20" s="92">
        <v>635</v>
      </c>
      <c r="AK20" s="92" t="s">
        <v>72</v>
      </c>
      <c r="AL20" s="92">
        <v>37</v>
      </c>
      <c r="AM20" s="92" t="s">
        <v>72</v>
      </c>
      <c r="AN20" s="92">
        <v>66</v>
      </c>
      <c r="AO20" s="92" t="s">
        <v>72</v>
      </c>
      <c r="AP20" s="92">
        <v>614</v>
      </c>
      <c r="AQ20" s="92" t="s">
        <v>72</v>
      </c>
      <c r="AR20" s="92">
        <v>137</v>
      </c>
      <c r="AS20" s="92" t="s">
        <v>72</v>
      </c>
      <c r="AT20" s="187">
        <v>0.0038</v>
      </c>
      <c r="AU20" s="92" t="s">
        <v>72</v>
      </c>
      <c r="AV20" s="92" t="s">
        <v>1</v>
      </c>
      <c r="AW20" s="92" t="s">
        <v>1</v>
      </c>
      <c r="AX20" s="92" t="s">
        <v>1</v>
      </c>
      <c r="AY20" s="92" t="s">
        <v>1</v>
      </c>
      <c r="AZ20" s="92" t="s">
        <v>1</v>
      </c>
      <c r="BA20" s="92" t="s">
        <v>1</v>
      </c>
      <c r="BB20" s="92" t="s">
        <v>1</v>
      </c>
      <c r="BC20" s="92" t="s">
        <v>1</v>
      </c>
      <c r="BD20" s="92" t="s">
        <v>1</v>
      </c>
      <c r="BE20" s="92" t="s">
        <v>1</v>
      </c>
      <c r="BF20" s="92" t="s">
        <v>1</v>
      </c>
      <c r="BG20" s="92" t="s">
        <v>1</v>
      </c>
      <c r="BH20" s="92" t="s">
        <v>1</v>
      </c>
      <c r="BI20" s="92" t="s">
        <v>74</v>
      </c>
      <c r="BJ20" s="92">
        <v>147</v>
      </c>
      <c r="BK20" s="92">
        <v>518</v>
      </c>
      <c r="BL20" s="92" t="s">
        <v>72</v>
      </c>
      <c r="BM20" s="92" t="s">
        <v>74</v>
      </c>
      <c r="BN20" s="92">
        <v>1104</v>
      </c>
      <c r="BO20" s="92">
        <v>132</v>
      </c>
      <c r="BP20" s="92" t="s">
        <v>72</v>
      </c>
      <c r="BQ20" s="92" t="s">
        <v>1</v>
      </c>
      <c r="BR20" s="92" t="s">
        <v>1</v>
      </c>
      <c r="BS20" s="92" t="s">
        <v>1</v>
      </c>
      <c r="BT20" s="92" t="s">
        <v>1</v>
      </c>
      <c r="BU20" s="92" t="s">
        <v>1</v>
      </c>
      <c r="BV20" s="189" t="s">
        <v>1</v>
      </c>
      <c r="BW20" s="189" t="s">
        <v>1</v>
      </c>
      <c r="BX20" s="189" t="s">
        <v>1</v>
      </c>
      <c r="BY20" s="189" t="s">
        <v>1</v>
      </c>
      <c r="BZ20" s="189" t="s">
        <v>1</v>
      </c>
      <c r="CA20" s="188" t="s">
        <v>1</v>
      </c>
      <c r="CB20" s="189" t="s">
        <v>1</v>
      </c>
      <c r="CC20" s="190" t="s">
        <v>1</v>
      </c>
      <c r="CD20" s="188" t="s">
        <v>1</v>
      </c>
      <c r="CE20" s="190" t="s">
        <v>1</v>
      </c>
      <c r="CF20" s="92" t="s">
        <v>1</v>
      </c>
    </row>
    <row r="21" ht="21" customHeight="1" spans="1:84">
      <c r="A21" s="107">
        <v>45124</v>
      </c>
      <c r="B21" s="105" t="s">
        <v>91</v>
      </c>
      <c r="C21" s="92" t="s">
        <v>71</v>
      </c>
      <c r="D21" s="30" t="s">
        <v>1</v>
      </c>
      <c r="E21" s="30" t="s">
        <v>1</v>
      </c>
      <c r="F21" s="30">
        <v>6.4382</v>
      </c>
      <c r="G21" s="108" t="s">
        <v>1</v>
      </c>
      <c r="H21" s="108" t="str">
        <f t="shared" si="0"/>
        <v/>
      </c>
      <c r="I21" s="30">
        <v>14.4</v>
      </c>
      <c r="J21" s="141" t="str">
        <f t="shared" si="1"/>
        <v/>
      </c>
      <c r="K21" s="211" t="str">
        <f>IFERROR(E21/#REF!,"")</f>
        <v/>
      </c>
      <c r="L21" s="30">
        <v>47484</v>
      </c>
      <c r="M21" s="75" t="s">
        <v>72</v>
      </c>
      <c r="N21" s="92" t="s">
        <v>1</v>
      </c>
      <c r="O21" s="92" t="s">
        <v>1</v>
      </c>
      <c r="P21" s="92" t="s">
        <v>1</v>
      </c>
      <c r="Q21" s="92" t="s">
        <v>1</v>
      </c>
      <c r="R21" s="108">
        <v>3199</v>
      </c>
      <c r="S21" s="108">
        <v>0</v>
      </c>
      <c r="T21" s="92" t="s">
        <v>1</v>
      </c>
      <c r="U21" s="92" t="s">
        <v>1</v>
      </c>
      <c r="V21" s="92" t="s">
        <v>1</v>
      </c>
      <c r="W21" s="92" t="s">
        <v>72</v>
      </c>
      <c r="X21" s="92" t="s">
        <v>1</v>
      </c>
      <c r="Y21" s="92" t="s">
        <v>72</v>
      </c>
      <c r="Z21" s="92" t="s">
        <v>1</v>
      </c>
      <c r="AA21" s="236" t="s">
        <v>72</v>
      </c>
      <c r="AB21" s="92" t="s">
        <v>1</v>
      </c>
      <c r="AC21" s="92" t="s">
        <v>72</v>
      </c>
      <c r="AD21" s="92">
        <v>13</v>
      </c>
      <c r="AE21" s="92" t="s">
        <v>72</v>
      </c>
      <c r="AF21" s="92" t="s">
        <v>1</v>
      </c>
      <c r="AG21" s="92" t="s">
        <v>72</v>
      </c>
      <c r="AH21" s="92">
        <v>1490</v>
      </c>
      <c r="AI21" s="92" t="s">
        <v>72</v>
      </c>
      <c r="AJ21" s="92">
        <v>509</v>
      </c>
      <c r="AK21" s="92" t="s">
        <v>72</v>
      </c>
      <c r="AL21" s="92">
        <v>40</v>
      </c>
      <c r="AM21" s="92" t="s">
        <v>72</v>
      </c>
      <c r="AN21" s="92">
        <v>16</v>
      </c>
      <c r="AO21" s="92" t="s">
        <v>72</v>
      </c>
      <c r="AP21" s="92">
        <v>717</v>
      </c>
      <c r="AQ21" s="92" t="s">
        <v>72</v>
      </c>
      <c r="AR21" s="92">
        <v>140</v>
      </c>
      <c r="AS21" s="92" t="s">
        <v>72</v>
      </c>
      <c r="AT21" s="187">
        <v>0.0078</v>
      </c>
      <c r="AU21" s="92" t="s">
        <v>72</v>
      </c>
      <c r="AV21" s="92" t="s">
        <v>1</v>
      </c>
      <c r="AW21" s="92" t="s">
        <v>1</v>
      </c>
      <c r="AX21" s="92" t="s">
        <v>1</v>
      </c>
      <c r="AY21" s="92" t="s">
        <v>1</v>
      </c>
      <c r="AZ21" s="92" t="s">
        <v>1</v>
      </c>
      <c r="BA21" s="92" t="s">
        <v>1</v>
      </c>
      <c r="BB21" s="92" t="s">
        <v>1</v>
      </c>
      <c r="BC21" s="92" t="s">
        <v>1</v>
      </c>
      <c r="BD21" s="92" t="s">
        <v>1</v>
      </c>
      <c r="BE21" s="92" t="s">
        <v>1</v>
      </c>
      <c r="BF21" s="92" t="s">
        <v>1</v>
      </c>
      <c r="BG21" s="92" t="s">
        <v>1</v>
      </c>
      <c r="BH21" s="141">
        <v>0.85</v>
      </c>
      <c r="BI21" s="92" t="s">
        <v>73</v>
      </c>
      <c r="BJ21" s="92">
        <v>89</v>
      </c>
      <c r="BK21" s="92">
        <v>703</v>
      </c>
      <c r="BL21" s="92" t="s">
        <v>72</v>
      </c>
      <c r="BM21" s="92" t="s">
        <v>74</v>
      </c>
      <c r="BN21" s="92">
        <v>875</v>
      </c>
      <c r="BO21" s="92">
        <v>170</v>
      </c>
      <c r="BP21" s="92" t="s">
        <v>72</v>
      </c>
      <c r="BQ21" s="92" t="s">
        <v>1</v>
      </c>
      <c r="BR21" s="92" t="s">
        <v>1</v>
      </c>
      <c r="BS21" s="92" t="s">
        <v>1</v>
      </c>
      <c r="BT21" s="92" t="s">
        <v>1</v>
      </c>
      <c r="BU21" s="92" t="s">
        <v>1</v>
      </c>
      <c r="BV21" s="189" t="s">
        <v>1</v>
      </c>
      <c r="BW21" s="189" t="s">
        <v>1</v>
      </c>
      <c r="BX21" s="189" t="s">
        <v>1</v>
      </c>
      <c r="BY21" s="189" t="s">
        <v>1</v>
      </c>
      <c r="BZ21" s="189" t="s">
        <v>1</v>
      </c>
      <c r="CA21" s="188" t="s">
        <v>1</v>
      </c>
      <c r="CB21" s="189" t="s">
        <v>1</v>
      </c>
      <c r="CC21" s="190" t="s">
        <v>1</v>
      </c>
      <c r="CD21" s="188" t="s">
        <v>1</v>
      </c>
      <c r="CE21" s="190" t="s">
        <v>1</v>
      </c>
      <c r="CF21" s="92" t="s">
        <v>1</v>
      </c>
    </row>
    <row r="22" ht="21" customHeight="1" spans="1:84">
      <c r="A22" s="107">
        <v>45125</v>
      </c>
      <c r="B22" s="108" t="s">
        <v>70</v>
      </c>
      <c r="C22" s="92" t="s">
        <v>71</v>
      </c>
      <c r="D22" s="30" t="s">
        <v>1</v>
      </c>
      <c r="E22" s="30" t="s">
        <v>1</v>
      </c>
      <c r="F22" s="30">
        <v>5.6884</v>
      </c>
      <c r="G22" s="108" t="s">
        <v>1</v>
      </c>
      <c r="H22" s="108" t="str">
        <f t="shared" si="0"/>
        <v/>
      </c>
      <c r="I22" s="30">
        <v>7.2</v>
      </c>
      <c r="J22" s="141" t="str">
        <f t="shared" si="1"/>
        <v/>
      </c>
      <c r="K22" s="211" t="str">
        <f>IFERROR(E22/#REF!,"")</f>
        <v/>
      </c>
      <c r="L22" s="30">
        <v>70130</v>
      </c>
      <c r="M22" s="75" t="s">
        <v>72</v>
      </c>
      <c r="N22" s="92" t="s">
        <v>1</v>
      </c>
      <c r="O22" s="92" t="s">
        <v>1</v>
      </c>
      <c r="P22" s="92" t="s">
        <v>1</v>
      </c>
      <c r="Q22" s="92" t="s">
        <v>1</v>
      </c>
      <c r="R22" s="108">
        <v>6398</v>
      </c>
      <c r="S22" s="108">
        <v>0</v>
      </c>
      <c r="T22" s="92" t="s">
        <v>1</v>
      </c>
      <c r="U22" s="92" t="s">
        <v>1</v>
      </c>
      <c r="V22" s="92" t="s">
        <v>1</v>
      </c>
      <c r="W22" s="92" t="s">
        <v>72</v>
      </c>
      <c r="X22" s="92" t="s">
        <v>1</v>
      </c>
      <c r="Y22" s="92" t="s">
        <v>72</v>
      </c>
      <c r="Z22" s="92" t="s">
        <v>1</v>
      </c>
      <c r="AA22" s="236" t="s">
        <v>72</v>
      </c>
      <c r="AB22" s="92" t="s">
        <v>1</v>
      </c>
      <c r="AC22" s="92" t="s">
        <v>72</v>
      </c>
      <c r="AD22" s="92">
        <v>11</v>
      </c>
      <c r="AE22" s="92" t="s">
        <v>72</v>
      </c>
      <c r="AF22" s="92" t="s">
        <v>1</v>
      </c>
      <c r="AG22" s="92" t="s">
        <v>72</v>
      </c>
      <c r="AH22" s="92">
        <v>1223</v>
      </c>
      <c r="AI22" s="92" t="s">
        <v>72</v>
      </c>
      <c r="AJ22" s="92">
        <v>372</v>
      </c>
      <c r="AK22" s="92" t="s">
        <v>72</v>
      </c>
      <c r="AL22" s="92">
        <v>35</v>
      </c>
      <c r="AM22" s="92" t="s">
        <v>72</v>
      </c>
      <c r="AN22" s="92">
        <v>23</v>
      </c>
      <c r="AO22" s="92" t="s">
        <v>72</v>
      </c>
      <c r="AP22" s="92">
        <v>606</v>
      </c>
      <c r="AQ22" s="92" t="s">
        <v>72</v>
      </c>
      <c r="AR22" s="92">
        <v>129</v>
      </c>
      <c r="AS22" s="92" t="s">
        <v>72</v>
      </c>
      <c r="AT22" s="187">
        <v>0.0061</v>
      </c>
      <c r="AU22" s="92" t="s">
        <v>72</v>
      </c>
      <c r="AV22" s="92" t="s">
        <v>1</v>
      </c>
      <c r="AW22" s="92" t="s">
        <v>1</v>
      </c>
      <c r="AX22" s="92" t="s">
        <v>1</v>
      </c>
      <c r="AY22" s="92" t="s">
        <v>1</v>
      </c>
      <c r="AZ22" s="92" t="s">
        <v>1</v>
      </c>
      <c r="BA22" s="92" t="s">
        <v>1</v>
      </c>
      <c r="BB22" s="92" t="s">
        <v>1</v>
      </c>
      <c r="BC22" s="92" t="s">
        <v>1</v>
      </c>
      <c r="BD22" s="92" t="s">
        <v>1</v>
      </c>
      <c r="BE22" s="92" t="s">
        <v>1</v>
      </c>
      <c r="BF22" s="92" t="s">
        <v>1</v>
      </c>
      <c r="BG22" s="92" t="s">
        <v>1</v>
      </c>
      <c r="BH22" s="141">
        <v>0.85</v>
      </c>
      <c r="BI22" s="92" t="s">
        <v>74</v>
      </c>
      <c r="BJ22" s="92">
        <v>121</v>
      </c>
      <c r="BK22" s="92">
        <v>512</v>
      </c>
      <c r="BL22" s="92" t="s">
        <v>72</v>
      </c>
      <c r="BM22" s="92" t="s">
        <v>74</v>
      </c>
      <c r="BN22" s="92">
        <v>913</v>
      </c>
      <c r="BO22" s="92">
        <v>123</v>
      </c>
      <c r="BP22" s="92" t="s">
        <v>72</v>
      </c>
      <c r="BQ22" s="92" t="s">
        <v>1</v>
      </c>
      <c r="BR22" s="92" t="s">
        <v>1</v>
      </c>
      <c r="BS22" s="92" t="s">
        <v>1</v>
      </c>
      <c r="BT22" s="92" t="s">
        <v>1</v>
      </c>
      <c r="BU22" s="92" t="s">
        <v>1</v>
      </c>
      <c r="BV22" s="189" t="s">
        <v>78</v>
      </c>
      <c r="BW22" s="189" t="s">
        <v>83</v>
      </c>
      <c r="BX22" s="189" t="s">
        <v>84</v>
      </c>
      <c r="BY22" s="189" t="s">
        <v>79</v>
      </c>
      <c r="BZ22" s="189" t="s">
        <v>146</v>
      </c>
      <c r="CA22" s="189" t="s">
        <v>87</v>
      </c>
      <c r="CB22" s="189" t="s">
        <v>95</v>
      </c>
      <c r="CC22" s="188" t="s">
        <v>141</v>
      </c>
      <c r="CD22" s="190" t="s">
        <v>92</v>
      </c>
      <c r="CE22" s="188" t="s">
        <v>181</v>
      </c>
      <c r="CF22" s="92" t="s">
        <v>1</v>
      </c>
    </row>
    <row r="23" ht="21" customHeight="1" spans="1:84">
      <c r="A23" s="107">
        <v>45126</v>
      </c>
      <c r="B23" s="238" t="s">
        <v>89</v>
      </c>
      <c r="C23" s="92" t="s">
        <v>71</v>
      </c>
      <c r="D23" s="30" t="s">
        <v>1</v>
      </c>
      <c r="E23" s="30" t="s">
        <v>1</v>
      </c>
      <c r="F23" s="30">
        <v>2.1494</v>
      </c>
      <c r="G23" s="108" t="s">
        <v>1</v>
      </c>
      <c r="H23" s="108" t="str">
        <f t="shared" si="0"/>
        <v/>
      </c>
      <c r="I23" s="30">
        <v>0</v>
      </c>
      <c r="J23" s="141" t="str">
        <f t="shared" si="1"/>
        <v/>
      </c>
      <c r="K23" s="211" t="str">
        <f>IFERROR(E23/#REF!,"")</f>
        <v/>
      </c>
      <c r="L23" s="30">
        <v>44581</v>
      </c>
      <c r="M23" s="75" t="s">
        <v>72</v>
      </c>
      <c r="N23" s="92" t="s">
        <v>1</v>
      </c>
      <c r="O23" s="92" t="s">
        <v>1</v>
      </c>
      <c r="P23" s="92" t="s">
        <v>1</v>
      </c>
      <c r="Q23" s="92" t="s">
        <v>1</v>
      </c>
      <c r="R23" s="108">
        <v>0</v>
      </c>
      <c r="S23" s="108">
        <v>0</v>
      </c>
      <c r="T23" s="92" t="s">
        <v>1</v>
      </c>
      <c r="U23" s="92" t="s">
        <v>1</v>
      </c>
      <c r="V23" s="92" t="s">
        <v>1</v>
      </c>
      <c r="W23" s="92" t="s">
        <v>72</v>
      </c>
      <c r="X23" s="92" t="s">
        <v>1</v>
      </c>
      <c r="Y23" s="92" t="s">
        <v>72</v>
      </c>
      <c r="Z23" s="92" t="s">
        <v>1</v>
      </c>
      <c r="AA23" s="236" t="s">
        <v>72</v>
      </c>
      <c r="AB23" s="92" t="s">
        <v>1</v>
      </c>
      <c r="AC23" s="92" t="s">
        <v>72</v>
      </c>
      <c r="AD23" s="92">
        <v>5</v>
      </c>
      <c r="AE23" s="92" t="s">
        <v>72</v>
      </c>
      <c r="AF23" s="92" t="s">
        <v>1</v>
      </c>
      <c r="AG23" s="92" t="s">
        <v>72</v>
      </c>
      <c r="AH23" s="92">
        <v>1141</v>
      </c>
      <c r="AI23" s="92" t="s">
        <v>72</v>
      </c>
      <c r="AJ23" s="92">
        <v>337</v>
      </c>
      <c r="AK23" s="92" t="s">
        <v>72</v>
      </c>
      <c r="AL23" s="92">
        <v>27</v>
      </c>
      <c r="AM23" s="92" t="s">
        <v>72</v>
      </c>
      <c r="AN23" s="92">
        <v>22</v>
      </c>
      <c r="AO23" s="92" t="s">
        <v>72</v>
      </c>
      <c r="AP23" s="92">
        <v>540</v>
      </c>
      <c r="AQ23" s="92" t="s">
        <v>72</v>
      </c>
      <c r="AR23" s="92">
        <v>130</v>
      </c>
      <c r="AS23" s="92" t="s">
        <v>72</v>
      </c>
      <c r="AT23" s="187">
        <v>0.0037</v>
      </c>
      <c r="AU23" s="92" t="s">
        <v>72</v>
      </c>
      <c r="AV23" s="92" t="s">
        <v>1</v>
      </c>
      <c r="AW23" s="92" t="s">
        <v>1</v>
      </c>
      <c r="AX23" s="92" t="s">
        <v>1</v>
      </c>
      <c r="AY23" s="92" t="s">
        <v>1</v>
      </c>
      <c r="AZ23" s="92" t="s">
        <v>1</v>
      </c>
      <c r="BA23" s="92" t="s">
        <v>1</v>
      </c>
      <c r="BB23" s="92" t="s">
        <v>1</v>
      </c>
      <c r="BC23" s="92" t="s">
        <v>1</v>
      </c>
      <c r="BD23" s="92" t="s">
        <v>1</v>
      </c>
      <c r="BE23" s="92" t="s">
        <v>1</v>
      </c>
      <c r="BF23" s="92" t="s">
        <v>1</v>
      </c>
      <c r="BG23" s="92" t="s">
        <v>1</v>
      </c>
      <c r="BH23" s="141">
        <v>0.85</v>
      </c>
      <c r="BI23" s="92" t="s">
        <v>74</v>
      </c>
      <c r="BJ23" s="92">
        <v>158</v>
      </c>
      <c r="BK23" s="92">
        <v>428</v>
      </c>
      <c r="BL23" s="92" t="s">
        <v>72</v>
      </c>
      <c r="BM23" s="92" t="s">
        <v>74</v>
      </c>
      <c r="BN23" s="92">
        <v>1195</v>
      </c>
      <c r="BO23" s="92">
        <v>91</v>
      </c>
      <c r="BP23" s="92" t="s">
        <v>72</v>
      </c>
      <c r="BQ23" s="92" t="s">
        <v>1</v>
      </c>
      <c r="BR23" s="92" t="s">
        <v>1</v>
      </c>
      <c r="BS23" s="92" t="s">
        <v>1</v>
      </c>
      <c r="BT23" s="92" t="s">
        <v>1</v>
      </c>
      <c r="BU23" s="92" t="s">
        <v>1</v>
      </c>
      <c r="BV23" s="189" t="s">
        <v>1</v>
      </c>
      <c r="BW23" s="189" t="s">
        <v>1</v>
      </c>
      <c r="BX23" s="189" t="s">
        <v>1</v>
      </c>
      <c r="BY23" s="189" t="s">
        <v>1</v>
      </c>
      <c r="BZ23" s="189" t="s">
        <v>1</v>
      </c>
      <c r="CA23" s="189" t="s">
        <v>1</v>
      </c>
      <c r="CB23" s="189" t="s">
        <v>1</v>
      </c>
      <c r="CC23" s="188" t="s">
        <v>1</v>
      </c>
      <c r="CD23" s="190" t="s">
        <v>1</v>
      </c>
      <c r="CE23" s="188" t="s">
        <v>1</v>
      </c>
      <c r="CF23" s="92" t="s">
        <v>1</v>
      </c>
    </row>
    <row r="24" ht="21" customHeight="1" spans="1:84">
      <c r="A24" s="107">
        <v>45127</v>
      </c>
      <c r="B24" s="238" t="s">
        <v>89</v>
      </c>
      <c r="C24" s="92" t="s">
        <v>71</v>
      </c>
      <c r="D24" s="30" t="s">
        <v>1</v>
      </c>
      <c r="E24" s="30" t="s">
        <v>1</v>
      </c>
      <c r="F24" s="30">
        <v>5.351</v>
      </c>
      <c r="G24" s="108" t="s">
        <v>1</v>
      </c>
      <c r="H24" s="108" t="str">
        <f t="shared" si="0"/>
        <v/>
      </c>
      <c r="I24" s="30">
        <v>13.6</v>
      </c>
      <c r="J24" s="141" t="str">
        <f t="shared" si="1"/>
        <v/>
      </c>
      <c r="K24" s="211" t="str">
        <f>IFERROR(E24/#REF!,"")</f>
        <v/>
      </c>
      <c r="L24" s="30">
        <v>19715</v>
      </c>
      <c r="M24" s="75" t="s">
        <v>72</v>
      </c>
      <c r="N24" s="92" t="s">
        <v>1</v>
      </c>
      <c r="O24" s="92" t="s">
        <v>1</v>
      </c>
      <c r="P24" s="92" t="s">
        <v>1</v>
      </c>
      <c r="Q24" s="92" t="s">
        <v>1</v>
      </c>
      <c r="R24" s="108">
        <v>3199</v>
      </c>
      <c r="S24" s="108">
        <v>0</v>
      </c>
      <c r="T24" s="92" t="s">
        <v>1</v>
      </c>
      <c r="U24" s="92" t="s">
        <v>1</v>
      </c>
      <c r="V24" s="92" t="s">
        <v>1</v>
      </c>
      <c r="W24" s="92" t="s">
        <v>72</v>
      </c>
      <c r="X24" s="92" t="s">
        <v>1</v>
      </c>
      <c r="Y24" s="92" t="s">
        <v>72</v>
      </c>
      <c r="Z24" s="92" t="s">
        <v>1</v>
      </c>
      <c r="AA24" s="236" t="s">
        <v>72</v>
      </c>
      <c r="AB24" s="92" t="s">
        <v>1</v>
      </c>
      <c r="AC24" s="92" t="s">
        <v>72</v>
      </c>
      <c r="AD24" s="92">
        <v>9</v>
      </c>
      <c r="AE24" s="92" t="s">
        <v>72</v>
      </c>
      <c r="AF24" s="92" t="s">
        <v>1</v>
      </c>
      <c r="AG24" s="92" t="s">
        <v>72</v>
      </c>
      <c r="AH24" s="92">
        <v>1038</v>
      </c>
      <c r="AI24" s="92" t="s">
        <v>72</v>
      </c>
      <c r="AJ24" s="92">
        <v>322</v>
      </c>
      <c r="AK24" s="92" t="s">
        <v>72</v>
      </c>
      <c r="AL24" s="92">
        <v>28</v>
      </c>
      <c r="AM24" s="92" t="s">
        <v>72</v>
      </c>
      <c r="AN24" s="92">
        <v>18</v>
      </c>
      <c r="AO24" s="92" t="s">
        <v>72</v>
      </c>
      <c r="AP24" s="92">
        <v>492</v>
      </c>
      <c r="AQ24" s="92" t="s">
        <v>72</v>
      </c>
      <c r="AR24" s="92">
        <v>117</v>
      </c>
      <c r="AS24" s="92" t="s">
        <v>72</v>
      </c>
      <c r="AT24" s="187">
        <v>0.0098</v>
      </c>
      <c r="AU24" s="92" t="s">
        <v>72</v>
      </c>
      <c r="AV24" s="92" t="s">
        <v>1</v>
      </c>
      <c r="AW24" s="92" t="s">
        <v>1</v>
      </c>
      <c r="AX24" s="92" t="s">
        <v>1</v>
      </c>
      <c r="AY24" s="92" t="s">
        <v>1</v>
      </c>
      <c r="AZ24" s="92" t="s">
        <v>1</v>
      </c>
      <c r="BA24" s="92" t="s">
        <v>1</v>
      </c>
      <c r="BB24" s="92" t="s">
        <v>1</v>
      </c>
      <c r="BC24" s="92" t="s">
        <v>1</v>
      </c>
      <c r="BD24" s="92" t="s">
        <v>1</v>
      </c>
      <c r="BE24" s="92" t="s">
        <v>1</v>
      </c>
      <c r="BF24" s="92" t="s">
        <v>1</v>
      </c>
      <c r="BG24" s="92" t="s">
        <v>1</v>
      </c>
      <c r="BH24" s="141">
        <v>0.65</v>
      </c>
      <c r="BI24" s="92" t="s">
        <v>74</v>
      </c>
      <c r="BJ24" s="92">
        <v>166</v>
      </c>
      <c r="BK24" s="92">
        <v>391</v>
      </c>
      <c r="BL24" s="92" t="s">
        <v>72</v>
      </c>
      <c r="BM24" s="92" t="s">
        <v>74</v>
      </c>
      <c r="BN24" s="92">
        <v>848</v>
      </c>
      <c r="BO24" s="92">
        <v>114</v>
      </c>
      <c r="BP24" s="92" t="s">
        <v>72</v>
      </c>
      <c r="BQ24" s="92" t="s">
        <v>1</v>
      </c>
      <c r="BR24" s="92" t="s">
        <v>1</v>
      </c>
      <c r="BS24" s="92" t="s">
        <v>1</v>
      </c>
      <c r="BT24" s="92" t="s">
        <v>1</v>
      </c>
      <c r="BU24" s="92" t="s">
        <v>1</v>
      </c>
      <c r="BV24" s="189" t="s">
        <v>1</v>
      </c>
      <c r="BW24" s="189" t="s">
        <v>1</v>
      </c>
      <c r="BX24" s="189" t="s">
        <v>1</v>
      </c>
      <c r="BY24" s="189" t="s">
        <v>1</v>
      </c>
      <c r="BZ24" s="189" t="s">
        <v>1</v>
      </c>
      <c r="CA24" s="189" t="s">
        <v>1</v>
      </c>
      <c r="CB24" s="189" t="s">
        <v>1</v>
      </c>
      <c r="CC24" s="188" t="s">
        <v>1</v>
      </c>
      <c r="CD24" s="190" t="s">
        <v>1</v>
      </c>
      <c r="CE24" s="188" t="s">
        <v>1</v>
      </c>
      <c r="CF24" s="92" t="s">
        <v>1</v>
      </c>
    </row>
    <row r="25" ht="21" customHeight="1" spans="1:84">
      <c r="A25" s="107">
        <v>45128</v>
      </c>
      <c r="B25" s="105" t="s">
        <v>91</v>
      </c>
      <c r="C25" s="92" t="s">
        <v>71</v>
      </c>
      <c r="D25" s="30" t="s">
        <v>1</v>
      </c>
      <c r="E25" s="30" t="s">
        <v>1</v>
      </c>
      <c r="F25" s="30">
        <v>5.0011</v>
      </c>
      <c r="G25" s="108" t="s">
        <v>1</v>
      </c>
      <c r="H25" s="108" t="str">
        <f t="shared" si="0"/>
        <v/>
      </c>
      <c r="I25" s="30">
        <v>10.4</v>
      </c>
      <c r="J25" s="141" t="str">
        <f t="shared" si="1"/>
        <v/>
      </c>
      <c r="K25" s="211" t="str">
        <f>IFERROR(E25/#REF!,"")</f>
        <v/>
      </c>
      <c r="L25" s="30">
        <v>20494</v>
      </c>
      <c r="M25" s="75" t="s">
        <v>72</v>
      </c>
      <c r="N25" s="92" t="s">
        <v>1</v>
      </c>
      <c r="O25" s="92" t="s">
        <v>1</v>
      </c>
      <c r="P25" s="92" t="s">
        <v>1</v>
      </c>
      <c r="Q25" s="92" t="s">
        <v>1</v>
      </c>
      <c r="R25" s="108">
        <v>0</v>
      </c>
      <c r="S25" s="108">
        <v>0</v>
      </c>
      <c r="T25" s="92" t="s">
        <v>1</v>
      </c>
      <c r="U25" s="92" t="s">
        <v>1</v>
      </c>
      <c r="V25" s="92" t="s">
        <v>1</v>
      </c>
      <c r="W25" s="92" t="s">
        <v>72</v>
      </c>
      <c r="X25" s="92" t="s">
        <v>1</v>
      </c>
      <c r="Y25" s="92" t="s">
        <v>72</v>
      </c>
      <c r="Z25" s="92" t="s">
        <v>1</v>
      </c>
      <c r="AA25" s="236" t="s">
        <v>72</v>
      </c>
      <c r="AB25" s="92" t="s">
        <v>1</v>
      </c>
      <c r="AC25" s="92" t="s">
        <v>72</v>
      </c>
      <c r="AD25" s="92">
        <v>8</v>
      </c>
      <c r="AE25" s="92" t="s">
        <v>72</v>
      </c>
      <c r="AF25" s="92" t="s">
        <v>1</v>
      </c>
      <c r="AG25" s="92" t="s">
        <v>72</v>
      </c>
      <c r="AH25" s="92">
        <v>1275</v>
      </c>
      <c r="AI25" s="92" t="s">
        <v>72</v>
      </c>
      <c r="AJ25" s="92">
        <v>312</v>
      </c>
      <c r="AK25" s="92" t="s">
        <v>72</v>
      </c>
      <c r="AL25" s="92">
        <v>48</v>
      </c>
      <c r="AM25" s="92" t="s">
        <v>72</v>
      </c>
      <c r="AN25" s="92">
        <v>770</v>
      </c>
      <c r="AO25" s="92" t="s">
        <v>72</v>
      </c>
      <c r="AP25" s="92">
        <v>652</v>
      </c>
      <c r="AQ25" s="92" t="s">
        <v>72</v>
      </c>
      <c r="AR25" s="92">
        <v>125</v>
      </c>
      <c r="AS25" s="92" t="s">
        <v>72</v>
      </c>
      <c r="AT25" s="187">
        <v>0.0054</v>
      </c>
      <c r="AU25" s="92" t="s">
        <v>72</v>
      </c>
      <c r="AV25" s="92" t="s">
        <v>1</v>
      </c>
      <c r="AW25" s="92" t="s">
        <v>1</v>
      </c>
      <c r="AX25" s="92" t="s">
        <v>1</v>
      </c>
      <c r="AY25" s="92" t="s">
        <v>1</v>
      </c>
      <c r="AZ25" s="92" t="s">
        <v>1</v>
      </c>
      <c r="BA25" s="92" t="s">
        <v>1</v>
      </c>
      <c r="BB25" s="92" t="s">
        <v>1</v>
      </c>
      <c r="BC25" s="92" t="s">
        <v>1</v>
      </c>
      <c r="BD25" s="92" t="s">
        <v>1</v>
      </c>
      <c r="BE25" s="92" t="s">
        <v>1</v>
      </c>
      <c r="BF25" s="92" t="s">
        <v>1</v>
      </c>
      <c r="BG25" s="92" t="s">
        <v>1</v>
      </c>
      <c r="BH25" s="141">
        <v>0.55</v>
      </c>
      <c r="BI25" s="92" t="s">
        <v>73</v>
      </c>
      <c r="BJ25" s="92">
        <v>94</v>
      </c>
      <c r="BK25" s="92">
        <v>623</v>
      </c>
      <c r="BL25" s="92" t="s">
        <v>72</v>
      </c>
      <c r="BM25" s="92" t="s">
        <v>74</v>
      </c>
      <c r="BN25" s="92">
        <v>540</v>
      </c>
      <c r="BO25" s="92">
        <v>195</v>
      </c>
      <c r="BP25" s="92" t="s">
        <v>72</v>
      </c>
      <c r="BQ25" s="92" t="s">
        <v>1</v>
      </c>
      <c r="BR25" s="92" t="s">
        <v>1</v>
      </c>
      <c r="BS25" s="92" t="s">
        <v>1</v>
      </c>
      <c r="BT25" s="92" t="s">
        <v>1</v>
      </c>
      <c r="BU25" s="92" t="s">
        <v>1</v>
      </c>
      <c r="BV25" s="189" t="s">
        <v>1</v>
      </c>
      <c r="BW25" s="189" t="s">
        <v>1</v>
      </c>
      <c r="BX25" s="189" t="s">
        <v>1</v>
      </c>
      <c r="BY25" s="189" t="s">
        <v>1</v>
      </c>
      <c r="BZ25" s="189" t="s">
        <v>1</v>
      </c>
      <c r="CA25" s="189" t="s">
        <v>1</v>
      </c>
      <c r="CB25" s="189" t="s">
        <v>1</v>
      </c>
      <c r="CC25" s="188" t="s">
        <v>1</v>
      </c>
      <c r="CD25" s="190" t="s">
        <v>1</v>
      </c>
      <c r="CE25" s="188" t="s">
        <v>1</v>
      </c>
      <c r="CF25" s="92" t="s">
        <v>1</v>
      </c>
    </row>
    <row r="26" ht="21" customHeight="1" spans="1:84">
      <c r="A26" s="107">
        <v>45129</v>
      </c>
      <c r="B26" s="108" t="s">
        <v>70</v>
      </c>
      <c r="C26" s="92" t="s">
        <v>71</v>
      </c>
      <c r="D26" s="30" t="s">
        <v>1</v>
      </c>
      <c r="E26" s="30" t="s">
        <v>1</v>
      </c>
      <c r="F26" s="30">
        <v>6.7481</v>
      </c>
      <c r="G26" s="108" t="s">
        <v>1</v>
      </c>
      <c r="H26" s="108" t="str">
        <f t="shared" si="0"/>
        <v/>
      </c>
      <c r="I26" s="30">
        <v>7.2</v>
      </c>
      <c r="J26" s="141" t="str">
        <f t="shared" si="1"/>
        <v/>
      </c>
      <c r="K26" s="211" t="str">
        <f>IFERROR(E26/#REF!,"")</f>
        <v/>
      </c>
      <c r="L26" s="30">
        <v>17395</v>
      </c>
      <c r="M26" s="75" t="s">
        <v>72</v>
      </c>
      <c r="N26" s="92" t="s">
        <v>1</v>
      </c>
      <c r="O26" s="92" t="s">
        <v>1</v>
      </c>
      <c r="P26" s="92" t="s">
        <v>1</v>
      </c>
      <c r="Q26" s="92" t="s">
        <v>1</v>
      </c>
      <c r="R26" s="108">
        <v>6246</v>
      </c>
      <c r="S26" s="108">
        <v>0</v>
      </c>
      <c r="T26" s="92" t="s">
        <v>1</v>
      </c>
      <c r="U26" s="92" t="s">
        <v>1</v>
      </c>
      <c r="V26" s="92" t="s">
        <v>1</v>
      </c>
      <c r="W26" s="92" t="s">
        <v>72</v>
      </c>
      <c r="X26" s="92" t="s">
        <v>1</v>
      </c>
      <c r="Y26" s="92" t="s">
        <v>72</v>
      </c>
      <c r="Z26" s="92" t="s">
        <v>1</v>
      </c>
      <c r="AA26" s="236" t="s">
        <v>72</v>
      </c>
      <c r="AB26" s="92" t="s">
        <v>1</v>
      </c>
      <c r="AC26" s="92" t="s">
        <v>72</v>
      </c>
      <c r="AD26" s="92">
        <v>11</v>
      </c>
      <c r="AE26" s="92" t="s">
        <v>72</v>
      </c>
      <c r="AF26" s="92" t="s">
        <v>1</v>
      </c>
      <c r="AG26" s="92" t="s">
        <v>72</v>
      </c>
      <c r="AH26" s="92">
        <v>1692</v>
      </c>
      <c r="AI26" s="92" t="s">
        <v>72</v>
      </c>
      <c r="AJ26" s="92">
        <v>399</v>
      </c>
      <c r="AK26" s="92" t="s">
        <v>72</v>
      </c>
      <c r="AL26" s="92">
        <v>39</v>
      </c>
      <c r="AM26" s="92" t="s">
        <v>72</v>
      </c>
      <c r="AN26" s="92">
        <v>2849</v>
      </c>
      <c r="AO26" s="92" t="s">
        <v>72</v>
      </c>
      <c r="AP26" s="92">
        <v>871</v>
      </c>
      <c r="AQ26" s="92" t="s">
        <v>72</v>
      </c>
      <c r="AR26" s="92">
        <v>155</v>
      </c>
      <c r="AS26" s="92" t="s">
        <v>72</v>
      </c>
      <c r="AT26" s="187">
        <v>0.0036</v>
      </c>
      <c r="AU26" s="92" t="s">
        <v>72</v>
      </c>
      <c r="AV26" s="92" t="s">
        <v>1</v>
      </c>
      <c r="AW26" s="92" t="s">
        <v>1</v>
      </c>
      <c r="AX26" s="92" t="s">
        <v>1</v>
      </c>
      <c r="AY26" s="92" t="s">
        <v>1</v>
      </c>
      <c r="AZ26" s="92" t="s">
        <v>1</v>
      </c>
      <c r="BA26" s="92" t="s">
        <v>1</v>
      </c>
      <c r="BB26" s="92" t="s">
        <v>1</v>
      </c>
      <c r="BC26" s="92" t="s">
        <v>1</v>
      </c>
      <c r="BD26" s="92" t="s">
        <v>1</v>
      </c>
      <c r="BE26" s="92" t="s">
        <v>1</v>
      </c>
      <c r="BF26" s="92" t="s">
        <v>1</v>
      </c>
      <c r="BG26" s="92" t="s">
        <v>1</v>
      </c>
      <c r="BH26" s="92" t="s">
        <v>1</v>
      </c>
      <c r="BI26" s="92" t="s">
        <v>73</v>
      </c>
      <c r="BJ26" s="92">
        <v>73</v>
      </c>
      <c r="BK26" s="92">
        <v>946</v>
      </c>
      <c r="BL26" s="92" t="s">
        <v>72</v>
      </c>
      <c r="BM26" s="92" t="s">
        <v>74</v>
      </c>
      <c r="BN26" s="92">
        <v>481</v>
      </c>
      <c r="BO26" s="92">
        <v>251</v>
      </c>
      <c r="BP26" s="92" t="s">
        <v>72</v>
      </c>
      <c r="BQ26" s="92" t="s">
        <v>1</v>
      </c>
      <c r="BR26" s="92" t="s">
        <v>1</v>
      </c>
      <c r="BS26" s="92" t="s">
        <v>1</v>
      </c>
      <c r="BT26" s="92" t="s">
        <v>1</v>
      </c>
      <c r="BU26" s="92" t="s">
        <v>1</v>
      </c>
      <c r="BV26" s="189" t="s">
        <v>1</v>
      </c>
      <c r="BW26" s="189" t="s">
        <v>1</v>
      </c>
      <c r="BX26" s="189" t="s">
        <v>1</v>
      </c>
      <c r="BY26" s="189" t="s">
        <v>1</v>
      </c>
      <c r="BZ26" s="189" t="s">
        <v>1</v>
      </c>
      <c r="CA26" s="189" t="s">
        <v>1</v>
      </c>
      <c r="CB26" s="189" t="s">
        <v>1</v>
      </c>
      <c r="CC26" s="188" t="s">
        <v>1</v>
      </c>
      <c r="CD26" s="190" t="s">
        <v>1</v>
      </c>
      <c r="CE26" s="188" t="s">
        <v>1</v>
      </c>
      <c r="CF26" s="92" t="s">
        <v>1</v>
      </c>
    </row>
    <row r="27" ht="21" customHeight="1" spans="1:84">
      <c r="A27" s="107">
        <v>45130</v>
      </c>
      <c r="B27" s="108" t="s">
        <v>70</v>
      </c>
      <c r="C27" s="92" t="s">
        <v>71</v>
      </c>
      <c r="D27" s="30" t="s">
        <v>1</v>
      </c>
      <c r="E27" s="30" t="s">
        <v>1</v>
      </c>
      <c r="F27" s="30">
        <v>5.7015</v>
      </c>
      <c r="G27" s="108" t="s">
        <v>1</v>
      </c>
      <c r="H27" s="108" t="str">
        <f t="shared" si="0"/>
        <v/>
      </c>
      <c r="I27" s="30">
        <v>0</v>
      </c>
      <c r="J27" s="141" t="str">
        <f t="shared" si="1"/>
        <v/>
      </c>
      <c r="K27" s="211" t="str">
        <f>IFERROR(E27/#REF!,"")</f>
        <v/>
      </c>
      <c r="L27" s="30">
        <v>55266</v>
      </c>
      <c r="M27" s="75" t="s">
        <v>72</v>
      </c>
      <c r="N27" s="92" t="s">
        <v>1</v>
      </c>
      <c r="O27" s="92" t="s">
        <v>1</v>
      </c>
      <c r="P27" s="92" t="s">
        <v>1</v>
      </c>
      <c r="Q27" s="92" t="s">
        <v>1</v>
      </c>
      <c r="R27" s="108">
        <v>0</v>
      </c>
      <c r="S27" s="108">
        <v>0</v>
      </c>
      <c r="T27" s="92" t="s">
        <v>1</v>
      </c>
      <c r="U27" s="92" t="s">
        <v>1</v>
      </c>
      <c r="V27" s="92" t="s">
        <v>1</v>
      </c>
      <c r="W27" s="92" t="s">
        <v>72</v>
      </c>
      <c r="X27" s="92" t="s">
        <v>1</v>
      </c>
      <c r="Y27" s="92" t="s">
        <v>72</v>
      </c>
      <c r="Z27" s="92" t="s">
        <v>1</v>
      </c>
      <c r="AA27" s="236" t="s">
        <v>72</v>
      </c>
      <c r="AB27" s="92" t="s">
        <v>1</v>
      </c>
      <c r="AC27" s="92" t="s">
        <v>72</v>
      </c>
      <c r="AD27" s="92">
        <v>16</v>
      </c>
      <c r="AE27" s="92" t="s">
        <v>72</v>
      </c>
      <c r="AF27" s="92" t="s">
        <v>1</v>
      </c>
      <c r="AG27" s="92" t="s">
        <v>72</v>
      </c>
      <c r="AH27" s="92">
        <v>1977</v>
      </c>
      <c r="AI27" s="92" t="s">
        <v>72</v>
      </c>
      <c r="AJ27" s="92">
        <v>521</v>
      </c>
      <c r="AK27" s="92" t="s">
        <v>72</v>
      </c>
      <c r="AL27" s="92">
        <v>51</v>
      </c>
      <c r="AM27" s="92" t="s">
        <v>72</v>
      </c>
      <c r="AN27" s="92">
        <v>1953</v>
      </c>
      <c r="AO27" s="92" t="s">
        <v>72</v>
      </c>
      <c r="AP27" s="92">
        <v>1151</v>
      </c>
      <c r="AQ27" s="92" t="s">
        <v>72</v>
      </c>
      <c r="AR27" s="92">
        <v>194</v>
      </c>
      <c r="AS27" s="92" t="s">
        <v>72</v>
      </c>
      <c r="AT27" s="187">
        <v>0.0029</v>
      </c>
      <c r="AU27" s="92" t="s">
        <v>72</v>
      </c>
      <c r="AV27" s="92" t="s">
        <v>1</v>
      </c>
      <c r="AW27" s="92" t="s">
        <v>1</v>
      </c>
      <c r="AX27" s="92" t="s">
        <v>1</v>
      </c>
      <c r="AY27" s="92" t="s">
        <v>1</v>
      </c>
      <c r="AZ27" s="92" t="s">
        <v>1</v>
      </c>
      <c r="BA27" s="92" t="s">
        <v>1</v>
      </c>
      <c r="BB27" s="92" t="s">
        <v>1</v>
      </c>
      <c r="BC27" s="92" t="s">
        <v>1</v>
      </c>
      <c r="BD27" s="92" t="s">
        <v>1</v>
      </c>
      <c r="BE27" s="92" t="s">
        <v>1</v>
      </c>
      <c r="BF27" s="92" t="s">
        <v>1</v>
      </c>
      <c r="BG27" s="92" t="s">
        <v>1</v>
      </c>
      <c r="BH27" s="92" t="s">
        <v>1</v>
      </c>
      <c r="BI27" s="92" t="s">
        <v>73</v>
      </c>
      <c r="BJ27" s="92">
        <v>65</v>
      </c>
      <c r="BK27" s="92">
        <v>1180</v>
      </c>
      <c r="BL27" s="92" t="s">
        <v>72</v>
      </c>
      <c r="BM27" s="92" t="s">
        <v>74</v>
      </c>
      <c r="BN27" s="92">
        <v>426</v>
      </c>
      <c r="BO27" s="92">
        <v>295</v>
      </c>
      <c r="BP27" s="92" t="s">
        <v>72</v>
      </c>
      <c r="BQ27" s="92" t="s">
        <v>1</v>
      </c>
      <c r="BR27" s="92" t="s">
        <v>1</v>
      </c>
      <c r="BS27" s="92" t="s">
        <v>1</v>
      </c>
      <c r="BT27" s="92" t="s">
        <v>1</v>
      </c>
      <c r="BU27" s="92" t="s">
        <v>1</v>
      </c>
      <c r="BV27" s="189" t="s">
        <v>1</v>
      </c>
      <c r="BW27" s="189" t="s">
        <v>1</v>
      </c>
      <c r="BX27" s="189" t="s">
        <v>1</v>
      </c>
      <c r="BY27" s="189" t="s">
        <v>1</v>
      </c>
      <c r="BZ27" s="189" t="s">
        <v>1</v>
      </c>
      <c r="CA27" s="189" t="s">
        <v>1</v>
      </c>
      <c r="CB27" s="189" t="s">
        <v>1</v>
      </c>
      <c r="CC27" s="188" t="s">
        <v>1</v>
      </c>
      <c r="CD27" s="190" t="s">
        <v>1</v>
      </c>
      <c r="CE27" s="188" t="s">
        <v>1</v>
      </c>
      <c r="CF27" s="92" t="s">
        <v>1</v>
      </c>
    </row>
    <row r="28" ht="21" customHeight="1" spans="1:84">
      <c r="A28" s="107">
        <v>45131</v>
      </c>
      <c r="B28" s="237" t="s">
        <v>75</v>
      </c>
      <c r="C28" s="92" t="s">
        <v>71</v>
      </c>
      <c r="D28" s="30" t="s">
        <v>1</v>
      </c>
      <c r="E28" s="30" t="s">
        <v>1</v>
      </c>
      <c r="F28" s="30">
        <v>5.0389</v>
      </c>
      <c r="G28" s="108" t="s">
        <v>1</v>
      </c>
      <c r="H28" s="108" t="str">
        <f t="shared" si="0"/>
        <v/>
      </c>
      <c r="I28" s="30">
        <v>14.4</v>
      </c>
      <c r="J28" s="141" t="str">
        <f t="shared" si="1"/>
        <v/>
      </c>
      <c r="K28" s="211" t="str">
        <f>IFERROR(E28/#REF!,"")</f>
        <v/>
      </c>
      <c r="L28" s="30">
        <v>35979</v>
      </c>
      <c r="M28" s="75" t="s">
        <v>72</v>
      </c>
      <c r="N28" s="92" t="s">
        <v>1</v>
      </c>
      <c r="O28" s="92" t="s">
        <v>1</v>
      </c>
      <c r="P28" s="92" t="s">
        <v>1</v>
      </c>
      <c r="Q28" s="92" t="s">
        <v>1</v>
      </c>
      <c r="R28" s="108">
        <v>9597</v>
      </c>
      <c r="S28" s="108">
        <v>0</v>
      </c>
      <c r="T28" s="92" t="s">
        <v>1</v>
      </c>
      <c r="U28" s="92" t="s">
        <v>1</v>
      </c>
      <c r="V28" s="92" t="s">
        <v>1</v>
      </c>
      <c r="W28" s="92" t="s">
        <v>72</v>
      </c>
      <c r="X28" s="92" t="s">
        <v>1</v>
      </c>
      <c r="Y28" s="92" t="s">
        <v>72</v>
      </c>
      <c r="Z28" s="92" t="s">
        <v>1</v>
      </c>
      <c r="AA28" s="236" t="s">
        <v>72</v>
      </c>
      <c r="AB28" s="92" t="s">
        <v>1</v>
      </c>
      <c r="AC28" s="92" t="s">
        <v>72</v>
      </c>
      <c r="AD28" s="92">
        <v>12</v>
      </c>
      <c r="AE28" s="92" t="s">
        <v>72</v>
      </c>
      <c r="AF28" s="92" t="s">
        <v>1</v>
      </c>
      <c r="AG28" s="92" t="s">
        <v>72</v>
      </c>
      <c r="AH28" s="92">
        <v>1657</v>
      </c>
      <c r="AI28" s="92" t="s">
        <v>72</v>
      </c>
      <c r="AJ28" s="92">
        <v>596</v>
      </c>
      <c r="AK28" s="92" t="s">
        <v>72</v>
      </c>
      <c r="AL28" s="92">
        <v>49</v>
      </c>
      <c r="AM28" s="92" t="s">
        <v>72</v>
      </c>
      <c r="AN28" s="92">
        <v>2800</v>
      </c>
      <c r="AO28" s="92" t="s">
        <v>72</v>
      </c>
      <c r="AP28" s="92">
        <v>800</v>
      </c>
      <c r="AQ28" s="92" t="s">
        <v>72</v>
      </c>
      <c r="AR28" s="92">
        <v>161</v>
      </c>
      <c r="AS28" s="92" t="s">
        <v>72</v>
      </c>
      <c r="AT28" s="187">
        <v>0.003</v>
      </c>
      <c r="AU28" s="92" t="s">
        <v>72</v>
      </c>
      <c r="AV28" s="92" t="s">
        <v>1</v>
      </c>
      <c r="AW28" s="92" t="s">
        <v>1</v>
      </c>
      <c r="AX28" s="92" t="s">
        <v>1</v>
      </c>
      <c r="AY28" s="92" t="s">
        <v>1</v>
      </c>
      <c r="AZ28" s="92" t="s">
        <v>1</v>
      </c>
      <c r="BA28" s="92" t="s">
        <v>1</v>
      </c>
      <c r="BB28" s="92" t="s">
        <v>1</v>
      </c>
      <c r="BC28" s="92" t="s">
        <v>1</v>
      </c>
      <c r="BD28" s="92" t="s">
        <v>1</v>
      </c>
      <c r="BE28" s="92" t="s">
        <v>1</v>
      </c>
      <c r="BF28" s="92" t="s">
        <v>1</v>
      </c>
      <c r="BG28" s="92" t="s">
        <v>1</v>
      </c>
      <c r="BH28" s="141">
        <v>0.8</v>
      </c>
      <c r="BI28" s="92" t="s">
        <v>73</v>
      </c>
      <c r="BJ28" s="92">
        <v>77</v>
      </c>
      <c r="BK28" s="92">
        <v>830</v>
      </c>
      <c r="BL28" s="92" t="s">
        <v>72</v>
      </c>
      <c r="BM28" s="92" t="s">
        <v>74</v>
      </c>
      <c r="BN28" s="92">
        <v>579</v>
      </c>
      <c r="BO28" s="92">
        <v>184</v>
      </c>
      <c r="BP28" s="92" t="s">
        <v>72</v>
      </c>
      <c r="BQ28" s="92" t="s">
        <v>1</v>
      </c>
      <c r="BR28" s="92" t="s">
        <v>1</v>
      </c>
      <c r="BS28" s="92" t="s">
        <v>1</v>
      </c>
      <c r="BT28" s="92" t="s">
        <v>1</v>
      </c>
      <c r="BU28" s="92" t="s">
        <v>1</v>
      </c>
      <c r="BV28" s="189" t="s">
        <v>1</v>
      </c>
      <c r="BW28" s="189" t="s">
        <v>1</v>
      </c>
      <c r="BX28" s="189" t="s">
        <v>1</v>
      </c>
      <c r="BY28" s="189" t="s">
        <v>1</v>
      </c>
      <c r="BZ28" s="189" t="s">
        <v>1</v>
      </c>
      <c r="CA28" s="189" t="s">
        <v>1</v>
      </c>
      <c r="CB28" s="189" t="s">
        <v>1</v>
      </c>
      <c r="CC28" s="188" t="s">
        <v>1</v>
      </c>
      <c r="CD28" s="190" t="s">
        <v>1</v>
      </c>
      <c r="CE28" s="188" t="s">
        <v>1</v>
      </c>
      <c r="CF28" s="92" t="s">
        <v>1</v>
      </c>
    </row>
    <row r="29" ht="21" customHeight="1" spans="1:84">
      <c r="A29" s="107">
        <v>45132</v>
      </c>
      <c r="B29" s="105" t="s">
        <v>91</v>
      </c>
      <c r="C29" s="92" t="s">
        <v>71</v>
      </c>
      <c r="D29" s="30" t="s">
        <v>1</v>
      </c>
      <c r="E29" s="30" t="s">
        <v>1</v>
      </c>
      <c r="F29" s="30">
        <v>10.4196</v>
      </c>
      <c r="G29" s="108" t="s">
        <v>1</v>
      </c>
      <c r="H29" s="108" t="str">
        <f t="shared" si="0"/>
        <v/>
      </c>
      <c r="I29" s="30">
        <v>11.2</v>
      </c>
      <c r="J29" s="141" t="str">
        <f t="shared" si="1"/>
        <v/>
      </c>
      <c r="K29" s="211" t="str">
        <f>IFERROR(E29/#REF!,"")</f>
        <v/>
      </c>
      <c r="L29" s="30">
        <v>28673</v>
      </c>
      <c r="M29" s="75" t="s">
        <v>72</v>
      </c>
      <c r="N29" s="92" t="s">
        <v>1</v>
      </c>
      <c r="O29" s="92" t="s">
        <v>1</v>
      </c>
      <c r="P29" s="92" t="s">
        <v>1</v>
      </c>
      <c r="Q29" s="92" t="s">
        <v>1</v>
      </c>
      <c r="R29" s="108">
        <v>3199</v>
      </c>
      <c r="S29" s="108">
        <v>0</v>
      </c>
      <c r="T29" s="92" t="s">
        <v>1</v>
      </c>
      <c r="U29" s="92" t="s">
        <v>1</v>
      </c>
      <c r="V29" s="92" t="s">
        <v>1</v>
      </c>
      <c r="W29" s="92" t="s">
        <v>72</v>
      </c>
      <c r="X29" s="92" t="s">
        <v>1</v>
      </c>
      <c r="Y29" s="92" t="s">
        <v>72</v>
      </c>
      <c r="Z29" s="92" t="s">
        <v>1</v>
      </c>
      <c r="AA29" s="236" t="s">
        <v>72</v>
      </c>
      <c r="AB29" s="92" t="s">
        <v>1</v>
      </c>
      <c r="AC29" s="92" t="s">
        <v>72</v>
      </c>
      <c r="AD29" s="92">
        <v>6</v>
      </c>
      <c r="AE29" s="92" t="s">
        <v>72</v>
      </c>
      <c r="AF29" s="92" t="s">
        <v>1</v>
      </c>
      <c r="AG29" s="92" t="s">
        <v>72</v>
      </c>
      <c r="AH29" s="92">
        <v>1825</v>
      </c>
      <c r="AI29" s="92" t="s">
        <v>72</v>
      </c>
      <c r="AJ29" s="92">
        <v>470</v>
      </c>
      <c r="AK29" s="92" t="s">
        <v>72</v>
      </c>
      <c r="AL29" s="92">
        <v>75</v>
      </c>
      <c r="AM29" s="92" t="s">
        <v>72</v>
      </c>
      <c r="AN29" s="92">
        <v>1091</v>
      </c>
      <c r="AO29" s="92" t="s">
        <v>72</v>
      </c>
      <c r="AP29" s="92">
        <v>971</v>
      </c>
      <c r="AQ29" s="92" t="s">
        <v>72</v>
      </c>
      <c r="AR29" s="92">
        <v>144</v>
      </c>
      <c r="AS29" s="92" t="s">
        <v>72</v>
      </c>
      <c r="AT29" s="187">
        <v>0.0092</v>
      </c>
      <c r="AU29" s="92" t="s">
        <v>72</v>
      </c>
      <c r="AV29" s="92" t="s">
        <v>1</v>
      </c>
      <c r="AW29" s="92" t="s">
        <v>1</v>
      </c>
      <c r="AX29" s="92" t="s">
        <v>1</v>
      </c>
      <c r="AY29" s="92" t="s">
        <v>1</v>
      </c>
      <c r="AZ29" s="92" t="s">
        <v>1</v>
      </c>
      <c r="BA29" s="92" t="s">
        <v>1</v>
      </c>
      <c r="BB29" s="92" t="s">
        <v>1</v>
      </c>
      <c r="BC29" s="92" t="s">
        <v>1</v>
      </c>
      <c r="BD29" s="92" t="s">
        <v>1</v>
      </c>
      <c r="BE29" s="92" t="s">
        <v>1</v>
      </c>
      <c r="BF29" s="92" t="s">
        <v>1</v>
      </c>
      <c r="BG29" s="92" t="s">
        <v>1</v>
      </c>
      <c r="BH29" s="141">
        <v>0.95</v>
      </c>
      <c r="BI29" s="92" t="s">
        <v>73</v>
      </c>
      <c r="BJ29" s="92">
        <v>65</v>
      </c>
      <c r="BK29" s="92">
        <v>1041</v>
      </c>
      <c r="BL29" s="92" t="s">
        <v>72</v>
      </c>
      <c r="BM29" s="92" t="s">
        <v>74</v>
      </c>
      <c r="BN29" s="92">
        <v>393</v>
      </c>
      <c r="BO29" s="92">
        <v>288</v>
      </c>
      <c r="BP29" s="92" t="s">
        <v>72</v>
      </c>
      <c r="BQ29" s="92" t="s">
        <v>1</v>
      </c>
      <c r="BR29" s="92" t="s">
        <v>1</v>
      </c>
      <c r="BS29" s="92" t="s">
        <v>1</v>
      </c>
      <c r="BT29" s="92" t="s">
        <v>1</v>
      </c>
      <c r="BU29" s="92" t="s">
        <v>1</v>
      </c>
      <c r="BV29" s="189" t="s">
        <v>83</v>
      </c>
      <c r="BW29" s="189" t="s">
        <v>78</v>
      </c>
      <c r="BX29" s="189" t="s">
        <v>95</v>
      </c>
      <c r="BY29" s="189" t="s">
        <v>86</v>
      </c>
      <c r="BZ29" s="189" t="s">
        <v>182</v>
      </c>
      <c r="CA29" s="189" t="s">
        <v>84</v>
      </c>
      <c r="CB29" s="189" t="s">
        <v>183</v>
      </c>
      <c r="CC29" s="189" t="s">
        <v>79</v>
      </c>
      <c r="CD29" s="189" t="s">
        <v>87</v>
      </c>
      <c r="CE29" s="188" t="s">
        <v>148</v>
      </c>
      <c r="CF29" s="92" t="s">
        <v>1</v>
      </c>
    </row>
    <row r="30" ht="21" customHeight="1" spans="1:84">
      <c r="A30" s="107">
        <v>45133</v>
      </c>
      <c r="B30" s="108" t="s">
        <v>70</v>
      </c>
      <c r="C30" s="92" t="s">
        <v>71</v>
      </c>
      <c r="D30" s="30" t="s">
        <v>1</v>
      </c>
      <c r="E30" s="30" t="s">
        <v>1</v>
      </c>
      <c r="F30" s="30">
        <v>22.854</v>
      </c>
      <c r="G30" s="108" t="s">
        <v>1</v>
      </c>
      <c r="H30" s="108" t="str">
        <f t="shared" si="0"/>
        <v/>
      </c>
      <c r="I30" s="30">
        <v>6.4</v>
      </c>
      <c r="J30" s="141" t="str">
        <f t="shared" si="1"/>
        <v/>
      </c>
      <c r="K30" s="211" t="str">
        <f>IFERROR(E30/#REF!,"")</f>
        <v/>
      </c>
      <c r="L30" s="30">
        <v>18725</v>
      </c>
      <c r="M30" s="75" t="s">
        <v>72</v>
      </c>
      <c r="N30" s="92" t="s">
        <v>1</v>
      </c>
      <c r="O30" s="92" t="s">
        <v>1</v>
      </c>
      <c r="P30" s="92" t="s">
        <v>1</v>
      </c>
      <c r="Q30" s="92" t="s">
        <v>1</v>
      </c>
      <c r="R30" s="108">
        <v>0</v>
      </c>
      <c r="S30" s="108">
        <v>0</v>
      </c>
      <c r="T30" s="92" t="s">
        <v>1</v>
      </c>
      <c r="U30" s="92" t="s">
        <v>1</v>
      </c>
      <c r="V30" s="92" t="s">
        <v>1</v>
      </c>
      <c r="W30" s="92" t="s">
        <v>72</v>
      </c>
      <c r="X30" s="92" t="s">
        <v>1</v>
      </c>
      <c r="Y30" s="92" t="s">
        <v>72</v>
      </c>
      <c r="Z30" s="92" t="s">
        <v>1</v>
      </c>
      <c r="AA30" s="236" t="s">
        <v>72</v>
      </c>
      <c r="AB30" s="92" t="s">
        <v>1</v>
      </c>
      <c r="AC30" s="92" t="s">
        <v>72</v>
      </c>
      <c r="AD30" s="92">
        <v>19</v>
      </c>
      <c r="AE30" s="92" t="s">
        <v>72</v>
      </c>
      <c r="AF30" s="92" t="s">
        <v>1</v>
      </c>
      <c r="AG30" s="92" t="s">
        <v>72</v>
      </c>
      <c r="AH30" s="92">
        <v>1759</v>
      </c>
      <c r="AI30" s="92" t="s">
        <v>72</v>
      </c>
      <c r="AJ30" s="92">
        <v>364</v>
      </c>
      <c r="AK30" s="92" t="s">
        <v>72</v>
      </c>
      <c r="AL30" s="92">
        <v>69</v>
      </c>
      <c r="AM30" s="92" t="s">
        <v>72</v>
      </c>
      <c r="AN30" s="92">
        <v>732</v>
      </c>
      <c r="AO30" s="92" t="s">
        <v>72</v>
      </c>
      <c r="AP30" s="92">
        <v>942</v>
      </c>
      <c r="AQ30" s="92" t="s">
        <v>72</v>
      </c>
      <c r="AR30" s="92">
        <v>164</v>
      </c>
      <c r="AS30" s="92" t="s">
        <v>72</v>
      </c>
      <c r="AT30" s="187">
        <v>0.0123</v>
      </c>
      <c r="AU30" s="92" t="s">
        <v>72</v>
      </c>
      <c r="AV30" s="92" t="s">
        <v>1</v>
      </c>
      <c r="AW30" s="92" t="s">
        <v>1</v>
      </c>
      <c r="AX30" s="92" t="s">
        <v>1</v>
      </c>
      <c r="AY30" s="92" t="s">
        <v>1</v>
      </c>
      <c r="AZ30" s="92" t="s">
        <v>1</v>
      </c>
      <c r="BA30" s="92" t="s">
        <v>1</v>
      </c>
      <c r="BB30" s="92" t="s">
        <v>1</v>
      </c>
      <c r="BC30" s="92" t="s">
        <v>1</v>
      </c>
      <c r="BD30" s="92" t="s">
        <v>1</v>
      </c>
      <c r="BE30" s="92" t="s">
        <v>1</v>
      </c>
      <c r="BF30" s="92" t="s">
        <v>1</v>
      </c>
      <c r="BG30" s="92" t="s">
        <v>1</v>
      </c>
      <c r="BH30" s="92" t="s">
        <v>1</v>
      </c>
      <c r="BI30" s="92" t="s">
        <v>73</v>
      </c>
      <c r="BJ30" s="92">
        <v>59</v>
      </c>
      <c r="BK30" s="92">
        <v>1091</v>
      </c>
      <c r="BL30" s="92" t="s">
        <v>72</v>
      </c>
      <c r="BM30" s="92" t="s">
        <v>74</v>
      </c>
      <c r="BN30" s="92">
        <v>376</v>
      </c>
      <c r="BO30" s="92">
        <v>305</v>
      </c>
      <c r="BP30" s="92" t="s">
        <v>72</v>
      </c>
      <c r="BQ30" s="92" t="s">
        <v>1</v>
      </c>
      <c r="BR30" s="92" t="s">
        <v>1</v>
      </c>
      <c r="BS30" s="92" t="s">
        <v>1</v>
      </c>
      <c r="BT30" s="92" t="s">
        <v>1</v>
      </c>
      <c r="BU30" s="92" t="s">
        <v>1</v>
      </c>
      <c r="BV30" s="189" t="s">
        <v>1</v>
      </c>
      <c r="BW30" s="189" t="s">
        <v>1</v>
      </c>
      <c r="BX30" s="189" t="s">
        <v>1</v>
      </c>
      <c r="BY30" s="189" t="s">
        <v>1</v>
      </c>
      <c r="BZ30" s="189" t="s">
        <v>1</v>
      </c>
      <c r="CA30" s="189" t="s">
        <v>1</v>
      </c>
      <c r="CB30" s="189" t="s">
        <v>1</v>
      </c>
      <c r="CC30" s="189" t="s">
        <v>1</v>
      </c>
      <c r="CD30" s="189" t="s">
        <v>1</v>
      </c>
      <c r="CE30" s="188" t="s">
        <v>1</v>
      </c>
      <c r="CF30" s="92" t="s">
        <v>1</v>
      </c>
    </row>
    <row r="31" ht="21" customHeight="1" spans="1:84">
      <c r="A31" s="107">
        <v>45134</v>
      </c>
      <c r="B31" s="108" t="s">
        <v>70</v>
      </c>
      <c r="C31" s="92" t="s">
        <v>71</v>
      </c>
      <c r="D31" s="30" t="s">
        <v>1</v>
      </c>
      <c r="E31" s="30" t="s">
        <v>1</v>
      </c>
      <c r="F31" s="30">
        <v>18.9403</v>
      </c>
      <c r="G31" s="108" t="s">
        <v>1</v>
      </c>
      <c r="H31" s="108" t="str">
        <f t="shared" si="0"/>
        <v/>
      </c>
      <c r="I31" s="30">
        <v>8</v>
      </c>
      <c r="J31" s="141" t="str">
        <f t="shared" si="1"/>
        <v/>
      </c>
      <c r="K31" s="211" t="str">
        <f>IFERROR(E31/#REF!,"")</f>
        <v/>
      </c>
      <c r="L31" s="30">
        <v>15977</v>
      </c>
      <c r="M31" s="75" t="s">
        <v>72</v>
      </c>
      <c r="N31" s="92" t="s">
        <v>1</v>
      </c>
      <c r="O31" s="92" t="s">
        <v>1</v>
      </c>
      <c r="P31" s="92" t="s">
        <v>1</v>
      </c>
      <c r="Q31" s="92" t="s">
        <v>1</v>
      </c>
      <c r="R31" s="108">
        <v>3199</v>
      </c>
      <c r="S31" s="108">
        <v>0</v>
      </c>
      <c r="T31" s="92" t="s">
        <v>1</v>
      </c>
      <c r="U31" s="92" t="s">
        <v>1</v>
      </c>
      <c r="V31" s="92" t="s">
        <v>1</v>
      </c>
      <c r="W31" s="92" t="s">
        <v>72</v>
      </c>
      <c r="X31" s="92" t="s">
        <v>1</v>
      </c>
      <c r="Y31" s="92" t="s">
        <v>72</v>
      </c>
      <c r="Z31" s="92" t="s">
        <v>1</v>
      </c>
      <c r="AA31" s="236" t="s">
        <v>72</v>
      </c>
      <c r="AB31" s="92" t="s">
        <v>1</v>
      </c>
      <c r="AC31" s="92" t="s">
        <v>72</v>
      </c>
      <c r="AD31" s="92">
        <v>19</v>
      </c>
      <c r="AE31" s="92" t="s">
        <v>72</v>
      </c>
      <c r="AF31" s="92" t="s">
        <v>1</v>
      </c>
      <c r="AG31" s="92" t="s">
        <v>72</v>
      </c>
      <c r="AH31" s="92">
        <v>1863</v>
      </c>
      <c r="AI31" s="92" t="s">
        <v>72</v>
      </c>
      <c r="AJ31" s="92">
        <v>429</v>
      </c>
      <c r="AK31" s="92" t="s">
        <v>72</v>
      </c>
      <c r="AL31" s="92">
        <v>64</v>
      </c>
      <c r="AM31" s="92" t="s">
        <v>72</v>
      </c>
      <c r="AN31" s="92">
        <v>1198</v>
      </c>
      <c r="AO31" s="92" t="s">
        <v>72</v>
      </c>
      <c r="AP31" s="92">
        <v>1006</v>
      </c>
      <c r="AQ31" s="92" t="s">
        <v>72</v>
      </c>
      <c r="AR31" s="92">
        <v>187</v>
      </c>
      <c r="AS31" s="92" t="s">
        <v>72</v>
      </c>
      <c r="AT31" s="187">
        <v>0.0098</v>
      </c>
      <c r="AU31" s="92" t="s">
        <v>72</v>
      </c>
      <c r="AV31" s="92" t="s">
        <v>1</v>
      </c>
      <c r="AW31" s="92" t="s">
        <v>1</v>
      </c>
      <c r="AX31" s="92" t="s">
        <v>1</v>
      </c>
      <c r="AY31" s="92" t="s">
        <v>1</v>
      </c>
      <c r="AZ31" s="92" t="s">
        <v>1</v>
      </c>
      <c r="BA31" s="92" t="s">
        <v>1</v>
      </c>
      <c r="BB31" s="92" t="s">
        <v>1</v>
      </c>
      <c r="BC31" s="92" t="s">
        <v>1</v>
      </c>
      <c r="BD31" s="92" t="s">
        <v>1</v>
      </c>
      <c r="BE31" s="92" t="s">
        <v>1</v>
      </c>
      <c r="BF31" s="92" t="s">
        <v>1</v>
      </c>
      <c r="BG31" s="92" t="s">
        <v>1</v>
      </c>
      <c r="BH31" s="141">
        <v>0.95</v>
      </c>
      <c r="BI31" s="92" t="s">
        <v>73</v>
      </c>
      <c r="BJ31" s="92">
        <v>63</v>
      </c>
      <c r="BK31" s="92">
        <v>984</v>
      </c>
      <c r="BL31" s="92" t="s">
        <v>72</v>
      </c>
      <c r="BM31" s="92" t="s">
        <v>74</v>
      </c>
      <c r="BN31" s="92">
        <v>363</v>
      </c>
      <c r="BO31" s="92">
        <v>309</v>
      </c>
      <c r="BP31" s="92" t="s">
        <v>72</v>
      </c>
      <c r="BQ31" s="92" t="s">
        <v>1</v>
      </c>
      <c r="BR31" s="92" t="s">
        <v>1</v>
      </c>
      <c r="BS31" s="92" t="s">
        <v>1</v>
      </c>
      <c r="BT31" s="92" t="s">
        <v>1</v>
      </c>
      <c r="BU31" s="92" t="s">
        <v>1</v>
      </c>
      <c r="BV31" s="189" t="s">
        <v>1</v>
      </c>
      <c r="BW31" s="189" t="s">
        <v>1</v>
      </c>
      <c r="BX31" s="189" t="s">
        <v>1</v>
      </c>
      <c r="BY31" s="189" t="s">
        <v>1</v>
      </c>
      <c r="BZ31" s="189" t="s">
        <v>1</v>
      </c>
      <c r="CA31" s="189" t="s">
        <v>1</v>
      </c>
      <c r="CB31" s="189" t="s">
        <v>1</v>
      </c>
      <c r="CC31" s="189" t="s">
        <v>1</v>
      </c>
      <c r="CD31" s="189" t="s">
        <v>1</v>
      </c>
      <c r="CE31" s="188" t="s">
        <v>1</v>
      </c>
      <c r="CF31" s="92" t="s">
        <v>1</v>
      </c>
    </row>
    <row r="32" ht="21" customHeight="1" spans="1:84">
      <c r="A32" s="107">
        <v>45135</v>
      </c>
      <c r="B32" s="108" t="s">
        <v>70</v>
      </c>
      <c r="C32" s="92" t="s">
        <v>71</v>
      </c>
      <c r="D32" s="30" t="s">
        <v>1</v>
      </c>
      <c r="E32" s="30" t="s">
        <v>1</v>
      </c>
      <c r="F32" s="30">
        <v>6.8031</v>
      </c>
      <c r="G32" s="108" t="s">
        <v>1</v>
      </c>
      <c r="H32" s="108" t="str">
        <f t="shared" si="0"/>
        <v/>
      </c>
      <c r="I32" s="30">
        <v>8</v>
      </c>
      <c r="J32" s="141" t="str">
        <f t="shared" si="1"/>
        <v/>
      </c>
      <c r="K32" s="211" t="str">
        <f>IFERROR(E32/#REF!,"")</f>
        <v/>
      </c>
      <c r="L32" s="30">
        <v>18535</v>
      </c>
      <c r="M32" s="75" t="s">
        <v>72</v>
      </c>
      <c r="N32" s="92" t="s">
        <v>1</v>
      </c>
      <c r="O32" s="92" t="s">
        <v>1</v>
      </c>
      <c r="P32" s="92" t="s">
        <v>1</v>
      </c>
      <c r="Q32" s="92" t="s">
        <v>1</v>
      </c>
      <c r="R32" s="108">
        <v>0</v>
      </c>
      <c r="S32" s="108">
        <v>0</v>
      </c>
      <c r="T32" s="92" t="s">
        <v>1</v>
      </c>
      <c r="U32" s="92" t="s">
        <v>1</v>
      </c>
      <c r="V32" s="92" t="s">
        <v>1</v>
      </c>
      <c r="W32" s="92" t="s">
        <v>72</v>
      </c>
      <c r="X32" s="92" t="s">
        <v>1</v>
      </c>
      <c r="Y32" s="92" t="s">
        <v>72</v>
      </c>
      <c r="Z32" s="92" t="s">
        <v>1</v>
      </c>
      <c r="AA32" s="236" t="s">
        <v>72</v>
      </c>
      <c r="AB32" s="92" t="s">
        <v>1</v>
      </c>
      <c r="AC32" s="92" t="s">
        <v>72</v>
      </c>
      <c r="AD32" s="92">
        <v>11</v>
      </c>
      <c r="AE32" s="92" t="s">
        <v>72</v>
      </c>
      <c r="AF32" s="92" t="s">
        <v>1</v>
      </c>
      <c r="AG32" s="92" t="s">
        <v>72</v>
      </c>
      <c r="AH32" s="92">
        <v>1770</v>
      </c>
      <c r="AI32" s="92" t="s">
        <v>72</v>
      </c>
      <c r="AJ32" s="92">
        <v>317</v>
      </c>
      <c r="AK32" s="92" t="s">
        <v>72</v>
      </c>
      <c r="AL32" s="92">
        <v>34</v>
      </c>
      <c r="AM32" s="92" t="s">
        <v>72</v>
      </c>
      <c r="AN32" s="92">
        <v>2051</v>
      </c>
      <c r="AO32" s="92" t="s">
        <v>72</v>
      </c>
      <c r="AP32" s="92">
        <v>940</v>
      </c>
      <c r="AQ32" s="92" t="s">
        <v>72</v>
      </c>
      <c r="AR32" s="92">
        <v>158</v>
      </c>
      <c r="AS32" s="92" t="s">
        <v>72</v>
      </c>
      <c r="AT32" s="187">
        <v>0.0049</v>
      </c>
      <c r="AU32" s="92" t="s">
        <v>72</v>
      </c>
      <c r="AV32" s="92" t="s">
        <v>1</v>
      </c>
      <c r="AW32" s="92" t="s">
        <v>1</v>
      </c>
      <c r="AX32" s="92" t="s">
        <v>1</v>
      </c>
      <c r="AY32" s="92" t="s">
        <v>1</v>
      </c>
      <c r="AZ32" s="92" t="s">
        <v>1</v>
      </c>
      <c r="BA32" s="92" t="s">
        <v>1</v>
      </c>
      <c r="BB32" s="92" t="s">
        <v>1</v>
      </c>
      <c r="BC32" s="92" t="s">
        <v>1</v>
      </c>
      <c r="BD32" s="92" t="s">
        <v>1</v>
      </c>
      <c r="BE32" s="92" t="s">
        <v>1</v>
      </c>
      <c r="BF32" s="92" t="s">
        <v>1</v>
      </c>
      <c r="BG32" s="92" t="s">
        <v>1</v>
      </c>
      <c r="BH32" s="141">
        <v>0.9</v>
      </c>
      <c r="BI32" s="92" t="s">
        <v>73</v>
      </c>
      <c r="BJ32" s="92">
        <v>57</v>
      </c>
      <c r="BK32" s="92">
        <v>1055</v>
      </c>
      <c r="BL32" s="92" t="s">
        <v>72</v>
      </c>
      <c r="BM32" s="92" t="s">
        <v>74</v>
      </c>
      <c r="BN32" s="92">
        <v>361</v>
      </c>
      <c r="BO32" s="92">
        <v>296</v>
      </c>
      <c r="BP32" s="92" t="s">
        <v>72</v>
      </c>
      <c r="BQ32" s="92" t="s">
        <v>1</v>
      </c>
      <c r="BR32" s="92" t="s">
        <v>1</v>
      </c>
      <c r="BS32" s="92" t="s">
        <v>1</v>
      </c>
      <c r="BT32" s="92" t="s">
        <v>1</v>
      </c>
      <c r="BU32" s="92" t="s">
        <v>1</v>
      </c>
      <c r="BV32" s="189" t="s">
        <v>1</v>
      </c>
      <c r="BW32" s="189" t="s">
        <v>1</v>
      </c>
      <c r="BX32" s="189" t="s">
        <v>1</v>
      </c>
      <c r="BY32" s="189" t="s">
        <v>1</v>
      </c>
      <c r="BZ32" s="189" t="s">
        <v>1</v>
      </c>
      <c r="CA32" s="189" t="s">
        <v>1</v>
      </c>
      <c r="CB32" s="189" t="s">
        <v>1</v>
      </c>
      <c r="CC32" s="189" t="s">
        <v>1</v>
      </c>
      <c r="CD32" s="189" t="s">
        <v>1</v>
      </c>
      <c r="CE32" s="188" t="s">
        <v>1</v>
      </c>
      <c r="CF32" s="92" t="s">
        <v>1</v>
      </c>
    </row>
    <row r="33" ht="21" customHeight="1" spans="1:84">
      <c r="A33" s="107">
        <v>45136</v>
      </c>
      <c r="B33" s="238" t="s">
        <v>89</v>
      </c>
      <c r="C33" s="92" t="s">
        <v>71</v>
      </c>
      <c r="D33" s="30" t="s">
        <v>1</v>
      </c>
      <c r="E33" s="30" t="s">
        <v>1</v>
      </c>
      <c r="F33" s="30">
        <v>0.3499</v>
      </c>
      <c r="G33" s="108" t="s">
        <v>1</v>
      </c>
      <c r="H33" s="108" t="str">
        <f t="shared" si="0"/>
        <v/>
      </c>
      <c r="I33" s="30">
        <v>0</v>
      </c>
      <c r="J33" s="141" t="str">
        <f t="shared" si="1"/>
        <v/>
      </c>
      <c r="K33" s="211" t="str">
        <f>IFERROR(E33/#REF!,"")</f>
        <v/>
      </c>
      <c r="L33" s="30">
        <v>21194</v>
      </c>
      <c r="M33" s="75" t="s">
        <v>72</v>
      </c>
      <c r="N33" s="92" t="s">
        <v>1</v>
      </c>
      <c r="O33" s="92" t="s">
        <v>1</v>
      </c>
      <c r="P33" s="92" t="s">
        <v>1</v>
      </c>
      <c r="Q33" s="92" t="s">
        <v>1</v>
      </c>
      <c r="R33" s="108">
        <v>0</v>
      </c>
      <c r="S33" s="108">
        <v>0</v>
      </c>
      <c r="T33" s="92" t="s">
        <v>1</v>
      </c>
      <c r="U33" s="92" t="s">
        <v>1</v>
      </c>
      <c r="V33" s="92" t="s">
        <v>1</v>
      </c>
      <c r="W33" s="92" t="s">
        <v>72</v>
      </c>
      <c r="X33" s="92" t="s">
        <v>1</v>
      </c>
      <c r="Y33" s="92" t="s">
        <v>72</v>
      </c>
      <c r="Z33" s="92" t="s">
        <v>1</v>
      </c>
      <c r="AA33" s="236" t="s">
        <v>72</v>
      </c>
      <c r="AB33" s="92" t="s">
        <v>1</v>
      </c>
      <c r="AC33" s="92" t="s">
        <v>72</v>
      </c>
      <c r="AD33" s="92">
        <v>21</v>
      </c>
      <c r="AE33" s="92" t="s">
        <v>72</v>
      </c>
      <c r="AF33" s="92" t="s">
        <v>1</v>
      </c>
      <c r="AG33" s="92" t="s">
        <v>72</v>
      </c>
      <c r="AH33" s="92">
        <v>2199</v>
      </c>
      <c r="AI33" s="92" t="s">
        <v>72</v>
      </c>
      <c r="AJ33" s="92">
        <v>497</v>
      </c>
      <c r="AK33" s="92" t="s">
        <v>72</v>
      </c>
      <c r="AL33" s="92">
        <v>76</v>
      </c>
      <c r="AM33" s="92" t="s">
        <v>72</v>
      </c>
      <c r="AN33" s="92">
        <v>4368</v>
      </c>
      <c r="AO33" s="92" t="s">
        <v>72</v>
      </c>
      <c r="AP33" s="92">
        <v>1194</v>
      </c>
      <c r="AQ33" s="92" t="s">
        <v>72</v>
      </c>
      <c r="AR33" s="92">
        <v>160</v>
      </c>
      <c r="AS33" s="92" t="s">
        <v>72</v>
      </c>
      <c r="AT33" s="187">
        <v>0</v>
      </c>
      <c r="AU33" s="92" t="s">
        <v>72</v>
      </c>
      <c r="AV33" s="92" t="s">
        <v>1</v>
      </c>
      <c r="AW33" s="92" t="s">
        <v>1</v>
      </c>
      <c r="AX33" s="92" t="s">
        <v>1</v>
      </c>
      <c r="AY33" s="92" t="s">
        <v>1</v>
      </c>
      <c r="AZ33" s="92" t="s">
        <v>1</v>
      </c>
      <c r="BA33" s="92" t="s">
        <v>1</v>
      </c>
      <c r="BB33" s="92" t="s">
        <v>1</v>
      </c>
      <c r="BC33" s="92" t="s">
        <v>1</v>
      </c>
      <c r="BD33" s="92" t="s">
        <v>1</v>
      </c>
      <c r="BE33" s="92" t="s">
        <v>1</v>
      </c>
      <c r="BF33" s="92" t="s">
        <v>1</v>
      </c>
      <c r="BG33" s="92" t="s">
        <v>1</v>
      </c>
      <c r="BH33" s="92" t="s">
        <v>1</v>
      </c>
      <c r="BI33" s="92" t="s">
        <v>73</v>
      </c>
      <c r="BJ33" s="92">
        <v>52</v>
      </c>
      <c r="BK33" s="92">
        <v>1205</v>
      </c>
      <c r="BL33" s="92" t="s">
        <v>72</v>
      </c>
      <c r="BM33" s="92" t="s">
        <v>74</v>
      </c>
      <c r="BN33" s="92">
        <v>338</v>
      </c>
      <c r="BO33" s="92">
        <v>367</v>
      </c>
      <c r="BP33" s="92" t="s">
        <v>72</v>
      </c>
      <c r="BQ33" s="92" t="s">
        <v>1</v>
      </c>
      <c r="BR33" s="92" t="s">
        <v>1</v>
      </c>
      <c r="BS33" s="92" t="s">
        <v>1</v>
      </c>
      <c r="BT33" s="92" t="s">
        <v>1</v>
      </c>
      <c r="BU33" s="92" t="s">
        <v>1</v>
      </c>
      <c r="BV33" s="189" t="s">
        <v>1</v>
      </c>
      <c r="BW33" s="189" t="s">
        <v>1</v>
      </c>
      <c r="BX33" s="189" t="s">
        <v>1</v>
      </c>
      <c r="BY33" s="189" t="s">
        <v>1</v>
      </c>
      <c r="BZ33" s="189" t="s">
        <v>1</v>
      </c>
      <c r="CA33" s="189" t="s">
        <v>1</v>
      </c>
      <c r="CB33" s="189" t="s">
        <v>1</v>
      </c>
      <c r="CC33" s="189" t="s">
        <v>1</v>
      </c>
      <c r="CD33" s="189" t="s">
        <v>1</v>
      </c>
      <c r="CE33" s="188" t="s">
        <v>1</v>
      </c>
      <c r="CF33" s="92" t="s">
        <v>1</v>
      </c>
    </row>
    <row r="34" ht="21" customHeight="1" spans="1:84">
      <c r="A34" s="107">
        <v>45137</v>
      </c>
      <c r="B34" s="238" t="s">
        <v>89</v>
      </c>
      <c r="C34" s="92" t="s">
        <v>71</v>
      </c>
      <c r="D34" s="30" t="s">
        <v>1</v>
      </c>
      <c r="E34" s="30" t="s">
        <v>1</v>
      </c>
      <c r="F34" s="155" t="str">
        <f>E34</f>
        <v/>
      </c>
      <c r="G34" s="108" t="s">
        <v>1</v>
      </c>
      <c r="H34" s="108" t="str">
        <f t="shared" si="0"/>
        <v/>
      </c>
      <c r="I34" s="30">
        <v>0</v>
      </c>
      <c r="J34" s="141" t="str">
        <f t="shared" si="1"/>
        <v/>
      </c>
      <c r="K34" s="211" t="str">
        <f>IFERROR(E34/#REF!,"")</f>
        <v/>
      </c>
      <c r="L34" s="30">
        <v>23453</v>
      </c>
      <c r="M34" s="75" t="s">
        <v>72</v>
      </c>
      <c r="O34" s="195">
        <v>14.7459</v>
      </c>
      <c r="P34" s="92" t="s">
        <v>97</v>
      </c>
      <c r="Q34" s="187">
        <v>0.1344</v>
      </c>
      <c r="R34" s="108">
        <v>0</v>
      </c>
      <c r="S34" s="108">
        <v>0</v>
      </c>
      <c r="T34" s="92" t="s">
        <v>1</v>
      </c>
      <c r="U34" s="92" t="s">
        <v>1</v>
      </c>
      <c r="V34" s="92" t="s">
        <v>1</v>
      </c>
      <c r="W34" s="92" t="s">
        <v>72</v>
      </c>
      <c r="X34" s="92" t="s">
        <v>1</v>
      </c>
      <c r="Y34" s="92" t="s">
        <v>72</v>
      </c>
      <c r="Z34" s="92" t="s">
        <v>1</v>
      </c>
      <c r="AA34" s="236" t="s">
        <v>72</v>
      </c>
      <c r="AB34" s="92" t="s">
        <v>1</v>
      </c>
      <c r="AC34" s="92" t="s">
        <v>72</v>
      </c>
      <c r="AD34" s="92">
        <v>11</v>
      </c>
      <c r="AE34" s="92" t="s">
        <v>72</v>
      </c>
      <c r="AF34" s="92" t="s">
        <v>1</v>
      </c>
      <c r="AG34" s="92" t="s">
        <v>72</v>
      </c>
      <c r="AH34" s="92">
        <v>2092</v>
      </c>
      <c r="AI34" s="92" t="s">
        <v>72</v>
      </c>
      <c r="AJ34" s="92">
        <v>449</v>
      </c>
      <c r="AK34" s="92" t="s">
        <v>72</v>
      </c>
      <c r="AL34" s="92">
        <v>53</v>
      </c>
      <c r="AM34" s="92" t="s">
        <v>72</v>
      </c>
      <c r="AN34" s="92">
        <v>1815</v>
      </c>
      <c r="AO34" s="92" t="s">
        <v>72</v>
      </c>
      <c r="AP34" s="92">
        <v>1105</v>
      </c>
      <c r="AQ34" s="92" t="s">
        <v>72</v>
      </c>
      <c r="AR34" s="92">
        <v>130</v>
      </c>
      <c r="AS34" s="92" t="s">
        <v>72</v>
      </c>
      <c r="AT34" s="187">
        <v>0</v>
      </c>
      <c r="AU34" s="92" t="s">
        <v>72</v>
      </c>
      <c r="AV34" s="92">
        <v>115</v>
      </c>
      <c r="AW34" s="92" t="s">
        <v>72</v>
      </c>
      <c r="AX34" s="92" t="s">
        <v>1</v>
      </c>
      <c r="AY34" s="92" t="s">
        <v>72</v>
      </c>
      <c r="AZ34" s="92">
        <v>15</v>
      </c>
      <c r="BA34" s="92" t="s">
        <v>72</v>
      </c>
      <c r="BB34" s="187">
        <v>0.130434782608696</v>
      </c>
      <c r="BC34" s="92" t="s">
        <v>72</v>
      </c>
      <c r="BD34" s="92" t="s">
        <v>1</v>
      </c>
      <c r="BE34" s="92" t="s">
        <v>1</v>
      </c>
      <c r="BF34" s="92" t="s">
        <v>1</v>
      </c>
      <c r="BG34" s="92" t="s">
        <v>1</v>
      </c>
      <c r="BH34" s="141">
        <v>0.8</v>
      </c>
      <c r="BI34" s="92" t="s">
        <v>73</v>
      </c>
      <c r="BJ34" s="92">
        <v>58</v>
      </c>
      <c r="BK34" s="92">
        <v>1231</v>
      </c>
      <c r="BL34" s="92" t="s">
        <v>72</v>
      </c>
      <c r="BM34" s="92" t="s">
        <v>74</v>
      </c>
      <c r="BN34" s="92">
        <v>357</v>
      </c>
      <c r="BO34" s="92">
        <v>342</v>
      </c>
      <c r="BP34" s="92" t="s">
        <v>72</v>
      </c>
      <c r="BQ34" s="92" t="s">
        <v>1</v>
      </c>
      <c r="BR34" s="92" t="s">
        <v>1</v>
      </c>
      <c r="BS34" s="92" t="s">
        <v>1</v>
      </c>
      <c r="BT34" s="92" t="s">
        <v>1</v>
      </c>
      <c r="BU34" s="92" t="s">
        <v>1</v>
      </c>
      <c r="BV34" s="189" t="s">
        <v>1</v>
      </c>
      <c r="BW34" s="189" t="s">
        <v>1</v>
      </c>
      <c r="BX34" s="189" t="s">
        <v>1</v>
      </c>
      <c r="BY34" s="189" t="s">
        <v>1</v>
      </c>
      <c r="BZ34" s="189" t="s">
        <v>1</v>
      </c>
      <c r="CA34" s="189" t="s">
        <v>1</v>
      </c>
      <c r="CB34" s="189" t="s">
        <v>1</v>
      </c>
      <c r="CC34" s="189" t="s">
        <v>1</v>
      </c>
      <c r="CD34" s="189" t="s">
        <v>1</v>
      </c>
      <c r="CE34" s="188" t="s">
        <v>1</v>
      </c>
      <c r="CF34" s="92" t="s">
        <v>1</v>
      </c>
    </row>
    <row r="35" ht="21" customHeight="1" spans="1:84">
      <c r="A35" s="107">
        <v>45138</v>
      </c>
      <c r="B35" s="196" t="s">
        <v>98</v>
      </c>
      <c r="C35" s="92" t="s">
        <v>71</v>
      </c>
      <c r="D35" s="30" t="s">
        <v>1</v>
      </c>
      <c r="E35" s="30" t="s">
        <v>1</v>
      </c>
      <c r="F35" s="155" t="str">
        <f>E35</f>
        <v/>
      </c>
      <c r="G35" s="108" t="s">
        <v>1</v>
      </c>
      <c r="H35" s="108" t="str">
        <f t="shared" si="0"/>
        <v/>
      </c>
      <c r="I35" s="30">
        <v>24</v>
      </c>
      <c r="J35" s="141" t="str">
        <f t="shared" si="1"/>
        <v/>
      </c>
      <c r="K35" s="211" t="str">
        <f>IFERROR(E35/#REF!,"")</f>
        <v/>
      </c>
      <c r="L35" s="30">
        <v>66682</v>
      </c>
      <c r="M35" s="75" t="s">
        <v>72</v>
      </c>
      <c r="N35" s="92" t="s">
        <v>1</v>
      </c>
      <c r="O35" s="92" t="s">
        <v>1</v>
      </c>
      <c r="P35" s="92" t="s">
        <v>1</v>
      </c>
      <c r="Q35" s="92" t="s">
        <v>1</v>
      </c>
      <c r="R35" s="108">
        <v>9842</v>
      </c>
      <c r="S35" s="108">
        <v>0</v>
      </c>
      <c r="T35" s="92" t="s">
        <v>1</v>
      </c>
      <c r="U35" s="92" t="s">
        <v>1</v>
      </c>
      <c r="V35" s="92" t="s">
        <v>1</v>
      </c>
      <c r="W35" s="92" t="s">
        <v>72</v>
      </c>
      <c r="X35" s="92" t="s">
        <v>1</v>
      </c>
      <c r="Y35" s="92" t="s">
        <v>72</v>
      </c>
      <c r="Z35" s="92" t="s">
        <v>1</v>
      </c>
      <c r="AA35" s="236" t="s">
        <v>72</v>
      </c>
      <c r="AB35" s="92" t="s">
        <v>1</v>
      </c>
      <c r="AC35" s="92" t="s">
        <v>72</v>
      </c>
      <c r="AD35" s="92">
        <v>14</v>
      </c>
      <c r="AE35" s="92" t="s">
        <v>72</v>
      </c>
      <c r="AF35" s="92" t="s">
        <v>1</v>
      </c>
      <c r="AG35" s="92" t="s">
        <v>72</v>
      </c>
      <c r="AH35" s="92">
        <v>2146</v>
      </c>
      <c r="AI35" s="92" t="s">
        <v>72</v>
      </c>
      <c r="AJ35" s="92">
        <v>459</v>
      </c>
      <c r="AK35" s="92" t="s">
        <v>72</v>
      </c>
      <c r="AL35" s="92">
        <v>78</v>
      </c>
      <c r="AM35" s="92" t="s">
        <v>72</v>
      </c>
      <c r="AN35" s="92">
        <v>2459</v>
      </c>
      <c r="AO35" s="92" t="s">
        <v>72</v>
      </c>
      <c r="AP35" s="92">
        <v>1150</v>
      </c>
      <c r="AQ35" s="92" t="s">
        <v>72</v>
      </c>
      <c r="AR35" s="92">
        <v>106</v>
      </c>
      <c r="AS35" s="92" t="s">
        <v>72</v>
      </c>
      <c r="AT35" s="187">
        <v>0.0117</v>
      </c>
      <c r="AU35" s="92" t="s">
        <v>72</v>
      </c>
      <c r="AV35" s="92" t="s">
        <v>1</v>
      </c>
      <c r="AW35" s="92" t="s">
        <v>1</v>
      </c>
      <c r="AX35" s="92" t="s">
        <v>1</v>
      </c>
      <c r="AY35" s="92" t="s">
        <v>1</v>
      </c>
      <c r="AZ35" s="92" t="s">
        <v>1</v>
      </c>
      <c r="BA35" s="92" t="s">
        <v>1</v>
      </c>
      <c r="BB35" s="92" t="s">
        <v>1</v>
      </c>
      <c r="BC35" s="92" t="s">
        <v>1</v>
      </c>
      <c r="BD35" s="92" t="s">
        <v>1</v>
      </c>
      <c r="BE35" s="92" t="s">
        <v>1</v>
      </c>
      <c r="BF35" s="92" t="s">
        <v>1</v>
      </c>
      <c r="BG35" s="92" t="s">
        <v>1</v>
      </c>
      <c r="BH35" s="141">
        <v>0.8</v>
      </c>
      <c r="BI35" s="92" t="s">
        <v>73</v>
      </c>
      <c r="BJ35" s="92">
        <v>55</v>
      </c>
      <c r="BK35" s="92">
        <v>1282</v>
      </c>
      <c r="BL35" s="92" t="s">
        <v>72</v>
      </c>
      <c r="BM35" s="92" t="s">
        <v>74</v>
      </c>
      <c r="BN35" s="92">
        <v>373</v>
      </c>
      <c r="BO35" s="92">
        <v>334</v>
      </c>
      <c r="BP35" s="92" t="s">
        <v>72</v>
      </c>
      <c r="BQ35" s="92" t="s">
        <v>1</v>
      </c>
      <c r="BR35" s="92" t="s">
        <v>1</v>
      </c>
      <c r="BS35" s="92" t="s">
        <v>1</v>
      </c>
      <c r="BT35" s="92" t="s">
        <v>1</v>
      </c>
      <c r="BU35" s="92" t="s">
        <v>1</v>
      </c>
      <c r="BV35" s="189" t="s">
        <v>1</v>
      </c>
      <c r="BW35" s="189" t="s">
        <v>1</v>
      </c>
      <c r="BX35" s="189" t="s">
        <v>1</v>
      </c>
      <c r="BY35" s="189" t="s">
        <v>1</v>
      </c>
      <c r="BZ35" s="189" t="s">
        <v>1</v>
      </c>
      <c r="CA35" s="189" t="s">
        <v>1</v>
      </c>
      <c r="CB35" s="189" t="s">
        <v>1</v>
      </c>
      <c r="CC35" s="189" t="s">
        <v>1</v>
      </c>
      <c r="CD35" s="189" t="s">
        <v>1</v>
      </c>
      <c r="CE35" s="188" t="s">
        <v>1</v>
      </c>
      <c r="CF35" s="92" t="s">
        <v>1</v>
      </c>
    </row>
    <row r="36" ht="29" customHeight="1" spans="1:84">
      <c r="A36" s="107">
        <v>45139</v>
      </c>
      <c r="B36" s="197" t="s">
        <v>99</v>
      </c>
      <c r="C36" s="92" t="s">
        <v>71</v>
      </c>
      <c r="D36" s="30" t="s">
        <v>1</v>
      </c>
      <c r="E36" s="30" t="s">
        <v>1</v>
      </c>
      <c r="F36" s="109" t="str">
        <f>E36</f>
        <v/>
      </c>
      <c r="G36" s="109" t="s">
        <v>1</v>
      </c>
      <c r="H36" s="108" t="s">
        <v>1</v>
      </c>
      <c r="I36" s="109">
        <v>12</v>
      </c>
      <c r="J36" s="141" t="str">
        <f t="shared" si="1"/>
        <v/>
      </c>
      <c r="K36" s="211" t="str">
        <f>IFERROR(E36/#REF!,"")</f>
        <v/>
      </c>
      <c r="L36" s="30">
        <v>25211</v>
      </c>
      <c r="M36" s="75" t="s">
        <v>72</v>
      </c>
      <c r="N36" s="109" t="s">
        <v>1</v>
      </c>
      <c r="O36" s="109">
        <v>10.867</v>
      </c>
      <c r="P36" s="109" t="s">
        <v>1</v>
      </c>
      <c r="Q36" s="109" t="s">
        <v>1</v>
      </c>
      <c r="R36" s="109" t="s">
        <v>1</v>
      </c>
      <c r="S36" s="109" t="s">
        <v>1</v>
      </c>
      <c r="T36" s="109" t="s">
        <v>1</v>
      </c>
      <c r="U36" s="109" t="s">
        <v>1</v>
      </c>
      <c r="V36" s="92" t="s">
        <v>1</v>
      </c>
      <c r="W36" s="92" t="s">
        <v>72</v>
      </c>
      <c r="X36" s="92" t="s">
        <v>1</v>
      </c>
      <c r="Y36" s="92" t="s">
        <v>72</v>
      </c>
      <c r="Z36" s="92" t="s">
        <v>1</v>
      </c>
      <c r="AA36" s="236" t="s">
        <v>72</v>
      </c>
      <c r="AB36" s="92" t="s">
        <v>1</v>
      </c>
      <c r="AC36" s="92" t="s">
        <v>72</v>
      </c>
      <c r="AD36" s="92">
        <v>10</v>
      </c>
      <c r="AE36" s="92" t="s">
        <v>72</v>
      </c>
      <c r="AF36" s="92" t="s">
        <v>1</v>
      </c>
      <c r="AG36" s="92" t="s">
        <v>72</v>
      </c>
      <c r="AH36" s="92">
        <v>2724</v>
      </c>
      <c r="AI36" s="92" t="s">
        <v>72</v>
      </c>
      <c r="AJ36" s="92">
        <v>411</v>
      </c>
      <c r="AK36" s="92" t="s">
        <v>72</v>
      </c>
      <c r="AL36" s="92">
        <v>50</v>
      </c>
      <c r="AM36" s="92" t="s">
        <v>72</v>
      </c>
      <c r="AN36" s="92">
        <v>1987</v>
      </c>
      <c r="AO36" s="92" t="s">
        <v>72</v>
      </c>
      <c r="AP36" s="92">
        <v>1085</v>
      </c>
      <c r="AQ36" s="92" t="s">
        <v>72</v>
      </c>
      <c r="AR36" s="92">
        <v>144</v>
      </c>
      <c r="AS36" s="200" t="s">
        <v>72</v>
      </c>
      <c r="AT36" s="239">
        <v>0.011480787</v>
      </c>
      <c r="AU36" s="109" t="s">
        <v>1</v>
      </c>
      <c r="AV36" s="109">
        <v>134</v>
      </c>
      <c r="AW36" s="109" t="s">
        <v>72</v>
      </c>
      <c r="AX36" s="199">
        <v>0.0313</v>
      </c>
      <c r="AY36" s="200" t="s">
        <v>72</v>
      </c>
      <c r="AZ36" s="200" t="s">
        <v>1</v>
      </c>
      <c r="BA36" s="109" t="s">
        <v>1</v>
      </c>
      <c r="BB36" s="109" t="s">
        <v>1</v>
      </c>
      <c r="BC36" s="200" t="s">
        <v>1</v>
      </c>
      <c r="BD36" s="200" t="s">
        <v>1</v>
      </c>
      <c r="BE36" s="109" t="s">
        <v>1</v>
      </c>
      <c r="BF36" s="109" t="s">
        <v>1</v>
      </c>
      <c r="BG36" s="200" t="s">
        <v>1</v>
      </c>
      <c r="BH36" s="200">
        <v>0.8</v>
      </c>
      <c r="BI36" s="92" t="s">
        <v>73</v>
      </c>
      <c r="BJ36" s="92">
        <v>58</v>
      </c>
      <c r="BK36" s="92">
        <v>1114</v>
      </c>
      <c r="BL36" s="92" t="s">
        <v>72</v>
      </c>
      <c r="BM36" s="92" t="s">
        <v>74</v>
      </c>
      <c r="BN36" s="92">
        <v>403</v>
      </c>
      <c r="BO36" s="92">
        <v>318</v>
      </c>
      <c r="BP36" s="92" t="s">
        <v>72</v>
      </c>
      <c r="BQ36" s="108" t="s">
        <v>1</v>
      </c>
      <c r="BR36" s="108" t="s">
        <v>1</v>
      </c>
      <c r="BS36" s="108" t="s">
        <v>1</v>
      </c>
      <c r="BT36" s="108" t="s">
        <v>1</v>
      </c>
      <c r="BU36" s="108" t="s">
        <v>1</v>
      </c>
      <c r="BV36" s="189" t="s">
        <v>78</v>
      </c>
      <c r="BW36" s="189" t="s">
        <v>83</v>
      </c>
      <c r="BX36" s="189" t="s">
        <v>84</v>
      </c>
      <c r="BY36" s="189" t="s">
        <v>87</v>
      </c>
      <c r="BZ36" s="189" t="s">
        <v>86</v>
      </c>
      <c r="CA36" s="189" t="s">
        <v>79</v>
      </c>
      <c r="CB36" s="190" t="s">
        <v>92</v>
      </c>
      <c r="CC36" s="191" t="s">
        <v>150</v>
      </c>
      <c r="CD36" s="190" t="s">
        <v>145</v>
      </c>
      <c r="CE36" s="240" t="s">
        <v>184</v>
      </c>
      <c r="CF36" s="108" t="s">
        <v>1</v>
      </c>
    </row>
    <row r="37" ht="29" customHeight="1" spans="1:84">
      <c r="A37" s="107">
        <v>45140</v>
      </c>
      <c r="B37" s="202" t="s">
        <v>100</v>
      </c>
      <c r="C37" s="92" t="s">
        <v>71</v>
      </c>
      <c r="D37" s="30" t="s">
        <v>1</v>
      </c>
      <c r="E37" s="30" t="s">
        <v>1</v>
      </c>
      <c r="F37" s="109" t="e">
        <f>E37-2.1</f>
        <v>#VALUE!</v>
      </c>
      <c r="G37" s="109" t="s">
        <v>1</v>
      </c>
      <c r="H37" s="108" t="s">
        <v>1</v>
      </c>
      <c r="I37" s="109">
        <v>6</v>
      </c>
      <c r="J37" s="141" t="str">
        <f t="shared" si="1"/>
        <v/>
      </c>
      <c r="K37" s="211" t="str">
        <f>IFERROR(E37/#REF!,"")</f>
        <v/>
      </c>
      <c r="L37" s="30">
        <v>39190</v>
      </c>
      <c r="M37" s="75" t="s">
        <v>72</v>
      </c>
      <c r="N37" s="109" t="s">
        <v>1</v>
      </c>
      <c r="O37" s="109" t="s">
        <v>1</v>
      </c>
      <c r="P37" s="109" t="s">
        <v>1</v>
      </c>
      <c r="Q37" s="109" t="s">
        <v>1</v>
      </c>
      <c r="R37" s="109" t="s">
        <v>1</v>
      </c>
      <c r="S37" s="109" t="s">
        <v>1</v>
      </c>
      <c r="T37" s="109" t="s">
        <v>1</v>
      </c>
      <c r="U37" s="109" t="s">
        <v>1</v>
      </c>
      <c r="V37" s="92" t="s">
        <v>1</v>
      </c>
      <c r="W37" s="92" t="s">
        <v>72</v>
      </c>
      <c r="X37" s="92" t="s">
        <v>1</v>
      </c>
      <c r="Y37" s="92" t="s">
        <v>72</v>
      </c>
      <c r="Z37" s="92" t="s">
        <v>1</v>
      </c>
      <c r="AA37" s="236" t="s">
        <v>72</v>
      </c>
      <c r="AB37" s="92" t="s">
        <v>1</v>
      </c>
      <c r="AC37" s="92" t="s">
        <v>72</v>
      </c>
      <c r="AD37" s="92">
        <v>8</v>
      </c>
      <c r="AE37" s="92" t="s">
        <v>72</v>
      </c>
      <c r="AF37" s="92" t="s">
        <v>1</v>
      </c>
      <c r="AG37" s="92" t="s">
        <v>72</v>
      </c>
      <c r="AH37" s="92">
        <v>2393</v>
      </c>
      <c r="AI37" s="92" t="s">
        <v>72</v>
      </c>
      <c r="AJ37" s="92">
        <v>282</v>
      </c>
      <c r="AK37" s="92" t="s">
        <v>72</v>
      </c>
      <c r="AL37" s="92">
        <v>55</v>
      </c>
      <c r="AM37" s="92" t="s">
        <v>72</v>
      </c>
      <c r="AN37" s="92">
        <v>1475</v>
      </c>
      <c r="AO37" s="92" t="s">
        <v>72</v>
      </c>
      <c r="AP37" s="92">
        <v>944</v>
      </c>
      <c r="AQ37" s="92" t="s">
        <v>72</v>
      </c>
      <c r="AR37" s="92">
        <v>93</v>
      </c>
      <c r="AS37" s="92" t="s">
        <v>72</v>
      </c>
      <c r="AT37" s="200" t="s">
        <v>1</v>
      </c>
      <c r="AU37" s="109" t="s">
        <v>1</v>
      </c>
      <c r="AV37" s="109" t="s">
        <v>1</v>
      </c>
      <c r="AW37" s="109" t="s">
        <v>1</v>
      </c>
      <c r="AX37" s="109" t="s">
        <v>1</v>
      </c>
      <c r="AY37" s="200" t="s">
        <v>1</v>
      </c>
      <c r="AZ37" s="200" t="s">
        <v>1</v>
      </c>
      <c r="BA37" s="109" t="s">
        <v>1</v>
      </c>
      <c r="BB37" s="109" t="s">
        <v>1</v>
      </c>
      <c r="BC37" s="200" t="s">
        <v>1</v>
      </c>
      <c r="BD37" s="200" t="s">
        <v>1</v>
      </c>
      <c r="BE37" s="109" t="s">
        <v>1</v>
      </c>
      <c r="BF37" s="109" t="s">
        <v>1</v>
      </c>
      <c r="BG37" s="200" t="s">
        <v>1</v>
      </c>
      <c r="BH37" s="200">
        <v>0.65</v>
      </c>
      <c r="BI37" s="92" t="s">
        <v>73</v>
      </c>
      <c r="BJ37" s="92">
        <v>55</v>
      </c>
      <c r="BK37" s="92">
        <v>1244</v>
      </c>
      <c r="BL37" s="92" t="s">
        <v>72</v>
      </c>
      <c r="BM37" s="92" t="s">
        <v>74</v>
      </c>
      <c r="BN37" s="92">
        <v>373</v>
      </c>
      <c r="BO37" s="92">
        <v>326</v>
      </c>
      <c r="BP37" s="92" t="s">
        <v>72</v>
      </c>
      <c r="BQ37" s="108" t="s">
        <v>1</v>
      </c>
      <c r="BR37" s="108" t="s">
        <v>1</v>
      </c>
      <c r="BS37" s="108" t="s">
        <v>1</v>
      </c>
      <c r="BT37" s="108" t="s">
        <v>1</v>
      </c>
      <c r="BU37" s="108" t="s">
        <v>1</v>
      </c>
      <c r="BV37" s="189" t="s">
        <v>1</v>
      </c>
      <c r="BW37" s="189" t="s">
        <v>1</v>
      </c>
      <c r="BX37" s="189" t="s">
        <v>1</v>
      </c>
      <c r="BY37" s="189" t="s">
        <v>1</v>
      </c>
      <c r="BZ37" s="189" t="s">
        <v>1</v>
      </c>
      <c r="CA37" s="189" t="s">
        <v>1</v>
      </c>
      <c r="CB37" s="190" t="s">
        <v>1</v>
      </c>
      <c r="CC37" s="191" t="s">
        <v>1</v>
      </c>
      <c r="CD37" s="190" t="s">
        <v>1</v>
      </c>
      <c r="CE37" s="240" t="s">
        <v>184</v>
      </c>
      <c r="CF37" s="108" t="s">
        <v>1</v>
      </c>
    </row>
    <row r="38" ht="29" customHeight="1" spans="1:84">
      <c r="A38" s="107">
        <v>45141</v>
      </c>
      <c r="B38" s="202" t="s">
        <v>100</v>
      </c>
      <c r="C38" s="92" t="s">
        <v>71</v>
      </c>
      <c r="D38" s="30" t="s">
        <v>1</v>
      </c>
      <c r="E38" s="30" t="s">
        <v>1</v>
      </c>
      <c r="F38" s="109" t="e">
        <f>E38-2.1</f>
        <v>#VALUE!</v>
      </c>
      <c r="G38" s="109" t="s">
        <v>1</v>
      </c>
      <c r="H38" s="108" t="s">
        <v>1</v>
      </c>
      <c r="I38" s="109">
        <v>6</v>
      </c>
      <c r="J38" s="141" t="str">
        <f t="shared" si="1"/>
        <v/>
      </c>
      <c r="K38" s="211" t="str">
        <f>IFERROR(E38/#REF!,"")</f>
        <v/>
      </c>
      <c r="L38" s="30">
        <v>10797</v>
      </c>
      <c r="M38" s="75" t="s">
        <v>72</v>
      </c>
      <c r="N38" s="109" t="s">
        <v>1</v>
      </c>
      <c r="O38" s="109" t="s">
        <v>1</v>
      </c>
      <c r="P38" s="109" t="s">
        <v>1</v>
      </c>
      <c r="Q38" s="109" t="s">
        <v>1</v>
      </c>
      <c r="R38" s="109" t="s">
        <v>1</v>
      </c>
      <c r="S38" s="109" t="s">
        <v>1</v>
      </c>
      <c r="T38" s="109" t="s">
        <v>1</v>
      </c>
      <c r="U38" s="109" t="s">
        <v>1</v>
      </c>
      <c r="V38" s="92" t="s">
        <v>1</v>
      </c>
      <c r="W38" s="92" t="s">
        <v>72</v>
      </c>
      <c r="X38" s="92" t="s">
        <v>1</v>
      </c>
      <c r="Y38" s="92" t="s">
        <v>72</v>
      </c>
      <c r="Z38" s="92" t="s">
        <v>1</v>
      </c>
      <c r="AA38" s="236" t="s">
        <v>72</v>
      </c>
      <c r="AB38" s="92" t="s">
        <v>1</v>
      </c>
      <c r="AC38" s="92" t="s">
        <v>72</v>
      </c>
      <c r="AD38" s="92">
        <v>9</v>
      </c>
      <c r="AE38" s="92" t="s">
        <v>72</v>
      </c>
      <c r="AF38" s="92" t="s">
        <v>1</v>
      </c>
      <c r="AG38" s="92" t="s">
        <v>72</v>
      </c>
      <c r="AH38" s="92">
        <v>2549</v>
      </c>
      <c r="AI38" s="92" t="s">
        <v>72</v>
      </c>
      <c r="AJ38" s="92">
        <v>308</v>
      </c>
      <c r="AK38" s="92" t="s">
        <v>72</v>
      </c>
      <c r="AL38" s="92">
        <v>57</v>
      </c>
      <c r="AM38" s="92" t="s">
        <v>72</v>
      </c>
      <c r="AN38" s="92">
        <v>2640</v>
      </c>
      <c r="AO38" s="92" t="s">
        <v>72</v>
      </c>
      <c r="AP38" s="92">
        <v>997</v>
      </c>
      <c r="AQ38" s="92" t="s">
        <v>72</v>
      </c>
      <c r="AR38" s="92">
        <v>109</v>
      </c>
      <c r="AS38" s="92" t="s">
        <v>72</v>
      </c>
      <c r="AT38" s="200" t="s">
        <v>1</v>
      </c>
      <c r="AU38" s="109" t="s">
        <v>1</v>
      </c>
      <c r="AV38" s="109" t="s">
        <v>1</v>
      </c>
      <c r="AW38" s="109" t="s">
        <v>1</v>
      </c>
      <c r="AX38" s="109" t="s">
        <v>1</v>
      </c>
      <c r="AY38" s="200" t="s">
        <v>1</v>
      </c>
      <c r="AZ38" s="200" t="s">
        <v>1</v>
      </c>
      <c r="BA38" s="109" t="s">
        <v>1</v>
      </c>
      <c r="BB38" s="109" t="s">
        <v>1</v>
      </c>
      <c r="BC38" s="200" t="s">
        <v>1</v>
      </c>
      <c r="BD38" s="200" t="s">
        <v>1</v>
      </c>
      <c r="BE38" s="109" t="s">
        <v>1</v>
      </c>
      <c r="BF38" s="109" t="s">
        <v>1</v>
      </c>
      <c r="BG38" s="200" t="s">
        <v>1</v>
      </c>
      <c r="BH38" s="200">
        <v>0.65</v>
      </c>
      <c r="BI38" s="92" t="s">
        <v>73</v>
      </c>
      <c r="BJ38" s="92">
        <v>62</v>
      </c>
      <c r="BK38" s="92">
        <v>1037</v>
      </c>
      <c r="BL38" s="92" t="s">
        <v>72</v>
      </c>
      <c r="BM38" s="92" t="s">
        <v>74</v>
      </c>
      <c r="BN38" s="92">
        <v>435</v>
      </c>
      <c r="BO38" s="92">
        <v>272</v>
      </c>
      <c r="BP38" s="92" t="s">
        <v>72</v>
      </c>
      <c r="BQ38" s="108" t="s">
        <v>1</v>
      </c>
      <c r="BR38" s="108" t="s">
        <v>1</v>
      </c>
      <c r="BS38" s="108" t="s">
        <v>1</v>
      </c>
      <c r="BT38" s="108" t="s">
        <v>1</v>
      </c>
      <c r="BU38" s="108" t="s">
        <v>1</v>
      </c>
      <c r="BV38" s="189" t="s">
        <v>1</v>
      </c>
      <c r="BW38" s="189" t="s">
        <v>1</v>
      </c>
      <c r="BX38" s="189" t="s">
        <v>1</v>
      </c>
      <c r="BY38" s="189" t="s">
        <v>1</v>
      </c>
      <c r="BZ38" s="189" t="s">
        <v>1</v>
      </c>
      <c r="CA38" s="189" t="s">
        <v>1</v>
      </c>
      <c r="CB38" s="190" t="s">
        <v>1</v>
      </c>
      <c r="CC38" s="191" t="s">
        <v>1</v>
      </c>
      <c r="CD38" s="190" t="s">
        <v>1</v>
      </c>
      <c r="CE38" s="240" t="s">
        <v>184</v>
      </c>
      <c r="CF38" s="108" t="s">
        <v>1</v>
      </c>
    </row>
    <row r="39" ht="29" customHeight="1" spans="1:84">
      <c r="A39" s="107">
        <v>45142</v>
      </c>
      <c r="B39" s="202" t="s">
        <v>100</v>
      </c>
      <c r="C39" s="92" t="s">
        <v>71</v>
      </c>
      <c r="D39" s="30" t="s">
        <v>1</v>
      </c>
      <c r="E39" s="30" t="s">
        <v>1</v>
      </c>
      <c r="F39" s="109" t="e">
        <f>E39-2.45</f>
        <v>#VALUE!</v>
      </c>
      <c r="G39" s="109" t="s">
        <v>1</v>
      </c>
      <c r="H39" s="108" t="s">
        <v>1</v>
      </c>
      <c r="I39" s="109">
        <v>8</v>
      </c>
      <c r="J39" s="141" t="str">
        <f t="shared" si="1"/>
        <v/>
      </c>
      <c r="K39" s="211" t="str">
        <f>IFERROR(E39/#REF!,"")</f>
        <v/>
      </c>
      <c r="L39" s="30">
        <v>20776</v>
      </c>
      <c r="M39" s="75" t="s">
        <v>72</v>
      </c>
      <c r="N39" s="109" t="s">
        <v>1</v>
      </c>
      <c r="O39" s="109" t="s">
        <v>1</v>
      </c>
      <c r="P39" s="109" t="s">
        <v>1</v>
      </c>
      <c r="Q39" s="109" t="s">
        <v>1</v>
      </c>
      <c r="R39" s="109" t="s">
        <v>1</v>
      </c>
      <c r="S39" s="109" t="s">
        <v>1</v>
      </c>
      <c r="T39" s="109" t="s">
        <v>1</v>
      </c>
      <c r="U39" s="109" t="s">
        <v>1</v>
      </c>
      <c r="V39" s="92" t="s">
        <v>1</v>
      </c>
      <c r="W39" s="92" t="s">
        <v>72</v>
      </c>
      <c r="X39" s="92" t="s">
        <v>1</v>
      </c>
      <c r="Y39" s="92" t="s">
        <v>72</v>
      </c>
      <c r="Z39" s="92" t="s">
        <v>1</v>
      </c>
      <c r="AA39" s="236" t="s">
        <v>72</v>
      </c>
      <c r="AB39" s="92" t="s">
        <v>1</v>
      </c>
      <c r="AC39" s="92" t="s">
        <v>72</v>
      </c>
      <c r="AD39" s="92">
        <v>11</v>
      </c>
      <c r="AE39" s="92" t="s">
        <v>72</v>
      </c>
      <c r="AF39" s="92" t="s">
        <v>1</v>
      </c>
      <c r="AG39" s="92" t="s">
        <v>72</v>
      </c>
      <c r="AH39" s="92">
        <v>2733</v>
      </c>
      <c r="AI39" s="92" t="s">
        <v>72</v>
      </c>
      <c r="AJ39" s="92">
        <v>335</v>
      </c>
      <c r="AK39" s="92" t="s">
        <v>72</v>
      </c>
      <c r="AL39" s="92">
        <v>60</v>
      </c>
      <c r="AM39" s="92" t="s">
        <v>72</v>
      </c>
      <c r="AN39" s="92">
        <v>2555</v>
      </c>
      <c r="AO39" s="92" t="s">
        <v>72</v>
      </c>
      <c r="AP39" s="92">
        <v>1130</v>
      </c>
      <c r="AQ39" s="92" t="s">
        <v>72</v>
      </c>
      <c r="AR39" s="92">
        <v>112</v>
      </c>
      <c r="AS39" s="92" t="s">
        <v>72</v>
      </c>
      <c r="AT39" s="200" t="s">
        <v>1</v>
      </c>
      <c r="AU39" s="109" t="s">
        <v>1</v>
      </c>
      <c r="AV39" s="109" t="s">
        <v>1</v>
      </c>
      <c r="AW39" s="109" t="s">
        <v>1</v>
      </c>
      <c r="AX39" s="109" t="s">
        <v>1</v>
      </c>
      <c r="AY39" s="200" t="s">
        <v>1</v>
      </c>
      <c r="AZ39" s="200" t="s">
        <v>1</v>
      </c>
      <c r="BA39" s="109" t="s">
        <v>1</v>
      </c>
      <c r="BB39" s="109" t="s">
        <v>1</v>
      </c>
      <c r="BC39" s="200" t="s">
        <v>1</v>
      </c>
      <c r="BD39" s="200" t="s">
        <v>1</v>
      </c>
      <c r="BE39" s="109" t="s">
        <v>1</v>
      </c>
      <c r="BF39" s="109" t="s">
        <v>1</v>
      </c>
      <c r="BG39" s="200" t="s">
        <v>1</v>
      </c>
      <c r="BH39" s="200">
        <v>0.65</v>
      </c>
      <c r="BI39" s="92" t="s">
        <v>73</v>
      </c>
      <c r="BJ39" s="92">
        <v>54</v>
      </c>
      <c r="BK39" s="92">
        <v>1271</v>
      </c>
      <c r="BL39" s="92" t="s">
        <v>72</v>
      </c>
      <c r="BM39" s="92" t="s">
        <v>74</v>
      </c>
      <c r="BN39" s="92">
        <v>338</v>
      </c>
      <c r="BO39" s="92">
        <v>359</v>
      </c>
      <c r="BP39" s="92" t="s">
        <v>72</v>
      </c>
      <c r="BQ39" s="108" t="s">
        <v>1</v>
      </c>
      <c r="BR39" s="108" t="s">
        <v>1</v>
      </c>
      <c r="BS39" s="108" t="s">
        <v>1</v>
      </c>
      <c r="BT39" s="108" t="s">
        <v>1</v>
      </c>
      <c r="BU39" s="108" t="s">
        <v>1</v>
      </c>
      <c r="BV39" s="189" t="s">
        <v>1</v>
      </c>
      <c r="BW39" s="189" t="s">
        <v>1</v>
      </c>
      <c r="BX39" s="189" t="s">
        <v>1</v>
      </c>
      <c r="BY39" s="189" t="s">
        <v>1</v>
      </c>
      <c r="BZ39" s="189" t="s">
        <v>1</v>
      </c>
      <c r="CA39" s="189" t="s">
        <v>1</v>
      </c>
      <c r="CB39" s="190" t="s">
        <v>1</v>
      </c>
      <c r="CC39" s="191" t="s">
        <v>1</v>
      </c>
      <c r="CD39" s="190" t="s">
        <v>1</v>
      </c>
      <c r="CE39" s="240" t="s">
        <v>184</v>
      </c>
      <c r="CF39" s="108" t="s">
        <v>1</v>
      </c>
    </row>
    <row r="40" ht="29" customHeight="1" spans="1:84">
      <c r="A40" s="107">
        <v>45143</v>
      </c>
      <c r="B40" s="203" t="s">
        <v>89</v>
      </c>
      <c r="C40" s="92" t="s">
        <v>71</v>
      </c>
      <c r="D40" s="30" t="s">
        <v>1</v>
      </c>
      <c r="E40" s="30" t="s">
        <v>1</v>
      </c>
      <c r="F40" s="109" t="str">
        <f>E40</f>
        <v/>
      </c>
      <c r="G40" s="109" t="s">
        <v>1</v>
      </c>
      <c r="H40" s="108" t="s">
        <v>1</v>
      </c>
      <c r="I40" s="109">
        <v>0</v>
      </c>
      <c r="J40" s="141" t="str">
        <f t="shared" si="1"/>
        <v/>
      </c>
      <c r="K40" s="211" t="str">
        <f>IFERROR(E40/#REF!,"")</f>
        <v/>
      </c>
      <c r="L40" s="30">
        <v>12796</v>
      </c>
      <c r="M40" s="75" t="s">
        <v>72</v>
      </c>
      <c r="N40" s="109" t="s">
        <v>1</v>
      </c>
      <c r="O40" s="109" t="s">
        <v>1</v>
      </c>
      <c r="P40" s="109" t="s">
        <v>1</v>
      </c>
      <c r="Q40" s="109" t="s">
        <v>1</v>
      </c>
      <c r="R40" s="109" t="s">
        <v>1</v>
      </c>
      <c r="S40" s="109" t="s">
        <v>1</v>
      </c>
      <c r="T40" s="109" t="s">
        <v>1</v>
      </c>
      <c r="U40" s="109" t="s">
        <v>1</v>
      </c>
      <c r="V40" s="92" t="s">
        <v>1</v>
      </c>
      <c r="W40" s="92" t="s">
        <v>72</v>
      </c>
      <c r="X40" s="92" t="s">
        <v>1</v>
      </c>
      <c r="Y40" s="92" t="s">
        <v>72</v>
      </c>
      <c r="Z40" s="92" t="s">
        <v>1</v>
      </c>
      <c r="AA40" s="236" t="s">
        <v>72</v>
      </c>
      <c r="AB40" s="92" t="s">
        <v>1</v>
      </c>
      <c r="AC40" s="92" t="s">
        <v>72</v>
      </c>
      <c r="AD40" s="92">
        <v>23</v>
      </c>
      <c r="AE40" s="92" t="s">
        <v>72</v>
      </c>
      <c r="AF40" s="92" t="s">
        <v>1</v>
      </c>
      <c r="AG40" s="92" t="s">
        <v>72</v>
      </c>
      <c r="AH40" s="92">
        <v>2821</v>
      </c>
      <c r="AI40" s="92" t="s">
        <v>72</v>
      </c>
      <c r="AJ40" s="92">
        <v>478</v>
      </c>
      <c r="AK40" s="92" t="s">
        <v>72</v>
      </c>
      <c r="AL40" s="92">
        <v>54</v>
      </c>
      <c r="AM40" s="92" t="s">
        <v>72</v>
      </c>
      <c r="AN40" s="92">
        <v>903</v>
      </c>
      <c r="AO40" s="92" t="s">
        <v>72</v>
      </c>
      <c r="AP40" s="92">
        <v>1214</v>
      </c>
      <c r="AQ40" s="92" t="s">
        <v>72</v>
      </c>
      <c r="AR40" s="92">
        <v>142</v>
      </c>
      <c r="AS40" s="92" t="s">
        <v>72</v>
      </c>
      <c r="AT40" s="200" t="s">
        <v>1</v>
      </c>
      <c r="AU40" s="109" t="s">
        <v>1</v>
      </c>
      <c r="AV40" s="109" t="s">
        <v>1</v>
      </c>
      <c r="AW40" s="109" t="s">
        <v>1</v>
      </c>
      <c r="AX40" s="109" t="s">
        <v>1</v>
      </c>
      <c r="AY40" s="200" t="s">
        <v>1</v>
      </c>
      <c r="AZ40" s="200" t="s">
        <v>1</v>
      </c>
      <c r="BA40" s="109" t="s">
        <v>1</v>
      </c>
      <c r="BB40" s="109" t="s">
        <v>1</v>
      </c>
      <c r="BC40" s="200" t="s">
        <v>1</v>
      </c>
      <c r="BD40" s="200" t="s">
        <v>1</v>
      </c>
      <c r="BE40" s="109" t="s">
        <v>1</v>
      </c>
      <c r="BF40" s="109" t="s">
        <v>1</v>
      </c>
      <c r="BG40" s="200" t="s">
        <v>1</v>
      </c>
      <c r="BH40" s="200">
        <v>0.7</v>
      </c>
      <c r="BI40" s="92" t="s">
        <v>94</v>
      </c>
      <c r="BJ40" s="92">
        <v>49</v>
      </c>
      <c r="BK40" s="92">
        <v>1509</v>
      </c>
      <c r="BL40" s="92" t="s">
        <v>72</v>
      </c>
      <c r="BM40" s="92" t="s">
        <v>74</v>
      </c>
      <c r="BN40" s="92">
        <v>296</v>
      </c>
      <c r="BO40" s="92">
        <v>421</v>
      </c>
      <c r="BP40" s="92" t="s">
        <v>72</v>
      </c>
      <c r="BQ40" s="108" t="s">
        <v>1</v>
      </c>
      <c r="BR40" s="108" t="s">
        <v>1</v>
      </c>
      <c r="BS40" s="108" t="s">
        <v>1</v>
      </c>
      <c r="BT40" s="108" t="s">
        <v>1</v>
      </c>
      <c r="BU40" s="108" t="s">
        <v>1</v>
      </c>
      <c r="BV40" s="189" t="s">
        <v>1</v>
      </c>
      <c r="BW40" s="189" t="s">
        <v>1</v>
      </c>
      <c r="BX40" s="189" t="s">
        <v>1</v>
      </c>
      <c r="BY40" s="189" t="s">
        <v>1</v>
      </c>
      <c r="BZ40" s="189" t="s">
        <v>1</v>
      </c>
      <c r="CA40" s="189" t="s">
        <v>1</v>
      </c>
      <c r="CB40" s="190" t="s">
        <v>1</v>
      </c>
      <c r="CC40" s="191" t="s">
        <v>1</v>
      </c>
      <c r="CD40" s="190" t="s">
        <v>1</v>
      </c>
      <c r="CE40" s="240" t="s">
        <v>184</v>
      </c>
      <c r="CF40" s="108" t="s">
        <v>1</v>
      </c>
    </row>
    <row r="41" ht="29" customHeight="1" spans="1:84">
      <c r="A41" s="107">
        <v>45144</v>
      </c>
      <c r="B41" s="203" t="s">
        <v>89</v>
      </c>
      <c r="C41" s="92" t="s">
        <v>71</v>
      </c>
      <c r="D41" s="30" t="s">
        <v>1</v>
      </c>
      <c r="E41" s="30" t="s">
        <v>1</v>
      </c>
      <c r="F41" s="109" t="str">
        <f>E41</f>
        <v/>
      </c>
      <c r="G41" s="109" t="s">
        <v>1</v>
      </c>
      <c r="H41" s="108" t="s">
        <v>1</v>
      </c>
      <c r="I41" s="109">
        <v>0</v>
      </c>
      <c r="J41" s="141" t="str">
        <f t="shared" si="1"/>
        <v/>
      </c>
      <c r="K41" s="211" t="str">
        <f>IFERROR(E41/#REF!,"")</f>
        <v/>
      </c>
      <c r="L41" s="30">
        <v>23023</v>
      </c>
      <c r="M41" s="75" t="s">
        <v>72</v>
      </c>
      <c r="N41" s="109" t="s">
        <v>1</v>
      </c>
      <c r="O41" s="109" t="s">
        <v>1</v>
      </c>
      <c r="P41" s="109" t="s">
        <v>1</v>
      </c>
      <c r="Q41" s="109" t="s">
        <v>1</v>
      </c>
      <c r="R41" s="109" t="s">
        <v>1</v>
      </c>
      <c r="S41" s="109" t="s">
        <v>1</v>
      </c>
      <c r="T41" s="109" t="s">
        <v>1</v>
      </c>
      <c r="U41" s="109" t="s">
        <v>1</v>
      </c>
      <c r="V41" s="92" t="s">
        <v>1</v>
      </c>
      <c r="W41" s="92" t="s">
        <v>72</v>
      </c>
      <c r="X41" s="92" t="s">
        <v>1</v>
      </c>
      <c r="Y41" s="92" t="s">
        <v>72</v>
      </c>
      <c r="Z41" s="92" t="s">
        <v>1</v>
      </c>
      <c r="AA41" s="236" t="s">
        <v>72</v>
      </c>
      <c r="AB41" s="92" t="s">
        <v>1</v>
      </c>
      <c r="AC41" s="92" t="s">
        <v>72</v>
      </c>
      <c r="AD41" s="92">
        <v>14</v>
      </c>
      <c r="AE41" s="92" t="s">
        <v>72</v>
      </c>
      <c r="AF41" s="92" t="s">
        <v>1</v>
      </c>
      <c r="AG41" s="92" t="s">
        <v>72</v>
      </c>
      <c r="AH41" s="92">
        <v>3215</v>
      </c>
      <c r="AI41" s="92" t="s">
        <v>72</v>
      </c>
      <c r="AJ41" s="92">
        <v>574</v>
      </c>
      <c r="AK41" s="92" t="s">
        <v>72</v>
      </c>
      <c r="AL41" s="92">
        <v>81</v>
      </c>
      <c r="AM41" s="92" t="s">
        <v>72</v>
      </c>
      <c r="AN41" s="92">
        <v>1484</v>
      </c>
      <c r="AO41" s="92" t="s">
        <v>72</v>
      </c>
      <c r="AP41" s="92">
        <v>1390</v>
      </c>
      <c r="AQ41" s="92" t="s">
        <v>72</v>
      </c>
      <c r="AR41" s="92">
        <v>145</v>
      </c>
      <c r="AS41" s="92" t="s">
        <v>72</v>
      </c>
      <c r="AT41" s="200" t="s">
        <v>1</v>
      </c>
      <c r="AU41" s="109" t="s">
        <v>1</v>
      </c>
      <c r="AV41" s="109" t="s">
        <v>1</v>
      </c>
      <c r="AW41" s="109" t="s">
        <v>1</v>
      </c>
      <c r="AX41" s="109" t="s">
        <v>1</v>
      </c>
      <c r="AY41" s="200" t="s">
        <v>1</v>
      </c>
      <c r="AZ41" s="200" t="s">
        <v>1</v>
      </c>
      <c r="BA41" s="109" t="s">
        <v>1</v>
      </c>
      <c r="BB41" s="109" t="s">
        <v>1</v>
      </c>
      <c r="BC41" s="200" t="s">
        <v>1</v>
      </c>
      <c r="BD41" s="200" t="s">
        <v>1</v>
      </c>
      <c r="BE41" s="109" t="s">
        <v>1</v>
      </c>
      <c r="BF41" s="109" t="s">
        <v>1</v>
      </c>
      <c r="BG41" s="200" t="s">
        <v>1</v>
      </c>
      <c r="BH41" s="200">
        <v>0.95</v>
      </c>
      <c r="BI41" s="92" t="s">
        <v>94</v>
      </c>
      <c r="BJ41" s="92">
        <v>45</v>
      </c>
      <c r="BK41" s="92">
        <v>1711</v>
      </c>
      <c r="BL41" s="92" t="s">
        <v>72</v>
      </c>
      <c r="BM41" s="92" t="s">
        <v>74</v>
      </c>
      <c r="BN41" s="92">
        <v>256</v>
      </c>
      <c r="BO41" s="92">
        <v>503</v>
      </c>
      <c r="BP41" s="92" t="s">
        <v>72</v>
      </c>
      <c r="BQ41" s="108" t="s">
        <v>1</v>
      </c>
      <c r="BR41" s="108" t="s">
        <v>1</v>
      </c>
      <c r="BS41" s="108" t="s">
        <v>1</v>
      </c>
      <c r="BT41" s="108" t="s">
        <v>1</v>
      </c>
      <c r="BU41" s="108" t="s">
        <v>1</v>
      </c>
      <c r="BV41" s="189" t="s">
        <v>1</v>
      </c>
      <c r="BW41" s="189" t="s">
        <v>1</v>
      </c>
      <c r="BX41" s="189" t="s">
        <v>1</v>
      </c>
      <c r="BY41" s="189" t="s">
        <v>1</v>
      </c>
      <c r="BZ41" s="189" t="s">
        <v>1</v>
      </c>
      <c r="CA41" s="189" t="s">
        <v>1</v>
      </c>
      <c r="CB41" s="190" t="s">
        <v>1</v>
      </c>
      <c r="CC41" s="191" t="s">
        <v>1</v>
      </c>
      <c r="CD41" s="190" t="s">
        <v>1</v>
      </c>
      <c r="CE41" s="240" t="s">
        <v>184</v>
      </c>
      <c r="CF41" s="108" t="s">
        <v>1</v>
      </c>
    </row>
    <row r="42" ht="29" customHeight="1" spans="1:84">
      <c r="A42" s="107">
        <v>45145</v>
      </c>
      <c r="B42" s="197" t="s">
        <v>99</v>
      </c>
      <c r="C42" s="92" t="s">
        <v>71</v>
      </c>
      <c r="D42" s="30" t="s">
        <v>1</v>
      </c>
      <c r="E42" s="30" t="s">
        <v>1</v>
      </c>
      <c r="F42" s="109" t="e">
        <f>E42-1</f>
        <v>#VALUE!</v>
      </c>
      <c r="G42" s="109" t="s">
        <v>1</v>
      </c>
      <c r="H42" s="108" t="s">
        <v>1</v>
      </c>
      <c r="I42" s="109">
        <v>22</v>
      </c>
      <c r="J42" s="141" t="str">
        <f t="shared" si="1"/>
        <v/>
      </c>
      <c r="K42" s="211" t="str">
        <f>IFERROR(E42/#REF!,"")</f>
        <v/>
      </c>
      <c r="L42" s="30">
        <v>60082</v>
      </c>
      <c r="M42" s="75" t="s">
        <v>72</v>
      </c>
      <c r="N42" s="109" t="s">
        <v>1</v>
      </c>
      <c r="O42" s="109" t="s">
        <v>1</v>
      </c>
      <c r="P42" s="109" t="s">
        <v>1</v>
      </c>
      <c r="Q42" s="109" t="s">
        <v>1</v>
      </c>
      <c r="R42" s="109" t="s">
        <v>1</v>
      </c>
      <c r="S42" s="109" t="s">
        <v>1</v>
      </c>
      <c r="T42" s="109" t="s">
        <v>1</v>
      </c>
      <c r="U42" s="109" t="s">
        <v>1</v>
      </c>
      <c r="V42" s="92" t="s">
        <v>1</v>
      </c>
      <c r="W42" s="92" t="s">
        <v>72</v>
      </c>
      <c r="X42" s="92" t="s">
        <v>1</v>
      </c>
      <c r="Y42" s="92" t="s">
        <v>72</v>
      </c>
      <c r="Z42" s="92" t="s">
        <v>1</v>
      </c>
      <c r="AA42" s="236" t="s">
        <v>72</v>
      </c>
      <c r="AB42" s="92" t="s">
        <v>1</v>
      </c>
      <c r="AC42" s="92" t="s">
        <v>72</v>
      </c>
      <c r="AD42" s="92" t="s">
        <v>1</v>
      </c>
      <c r="AE42" s="92" t="s">
        <v>72</v>
      </c>
      <c r="AF42" s="92" t="s">
        <v>1</v>
      </c>
      <c r="AG42" s="92" t="s">
        <v>72</v>
      </c>
      <c r="AH42" s="92">
        <v>3562</v>
      </c>
      <c r="AI42" s="92" t="s">
        <v>72</v>
      </c>
      <c r="AJ42" s="92">
        <v>589</v>
      </c>
      <c r="AK42" s="92" t="s">
        <v>72</v>
      </c>
      <c r="AL42" s="92">
        <v>102</v>
      </c>
      <c r="AM42" s="92" t="s">
        <v>72</v>
      </c>
      <c r="AN42" s="92">
        <v>1230</v>
      </c>
      <c r="AO42" s="92" t="s">
        <v>72</v>
      </c>
      <c r="AP42" s="92">
        <v>1283</v>
      </c>
      <c r="AQ42" s="92" t="s">
        <v>72</v>
      </c>
      <c r="AR42" s="92">
        <v>276</v>
      </c>
      <c r="AS42" s="92" t="s">
        <v>72</v>
      </c>
      <c r="AT42" s="200" t="s">
        <v>1</v>
      </c>
      <c r="AU42" s="109" t="s">
        <v>1</v>
      </c>
      <c r="AV42" s="109" t="s">
        <v>1</v>
      </c>
      <c r="AW42" s="109" t="s">
        <v>1</v>
      </c>
      <c r="AX42" s="109" t="s">
        <v>1</v>
      </c>
      <c r="AY42" s="200" t="s">
        <v>1</v>
      </c>
      <c r="AZ42" s="200" t="s">
        <v>1</v>
      </c>
      <c r="BA42" s="109" t="s">
        <v>1</v>
      </c>
      <c r="BB42" s="109" t="s">
        <v>1</v>
      </c>
      <c r="BC42" s="200" t="s">
        <v>1</v>
      </c>
      <c r="BD42" s="200" t="s">
        <v>1</v>
      </c>
      <c r="BE42" s="109" t="s">
        <v>1</v>
      </c>
      <c r="BF42" s="109" t="s">
        <v>1</v>
      </c>
      <c r="BG42" s="200" t="s">
        <v>1</v>
      </c>
      <c r="BH42" s="200">
        <v>0.95</v>
      </c>
      <c r="BI42" s="92" t="s">
        <v>94</v>
      </c>
      <c r="BJ42" s="92">
        <v>49</v>
      </c>
      <c r="BK42" s="92">
        <v>1391</v>
      </c>
      <c r="BL42" s="92" t="s">
        <v>72</v>
      </c>
      <c r="BM42" s="92" t="s">
        <v>74</v>
      </c>
      <c r="BN42" s="92">
        <v>283</v>
      </c>
      <c r="BO42" s="92">
        <v>221</v>
      </c>
      <c r="BP42" s="92" t="s">
        <v>72</v>
      </c>
      <c r="BQ42" s="108" t="s">
        <v>1</v>
      </c>
      <c r="BR42" s="108" t="s">
        <v>1</v>
      </c>
      <c r="BS42" s="108" t="s">
        <v>1</v>
      </c>
      <c r="BT42" s="108" t="s">
        <v>1</v>
      </c>
      <c r="BU42" s="108" t="s">
        <v>1</v>
      </c>
      <c r="BV42" s="189" t="s">
        <v>1</v>
      </c>
      <c r="BW42" s="189" t="s">
        <v>1</v>
      </c>
      <c r="BX42" s="189" t="s">
        <v>1</v>
      </c>
      <c r="BY42" s="189" t="s">
        <v>1</v>
      </c>
      <c r="BZ42" s="189" t="s">
        <v>1</v>
      </c>
      <c r="CA42" s="189" t="s">
        <v>1</v>
      </c>
      <c r="CB42" s="190" t="s">
        <v>1</v>
      </c>
      <c r="CC42" s="191" t="s">
        <v>1</v>
      </c>
      <c r="CD42" s="190" t="s">
        <v>1</v>
      </c>
      <c r="CE42" s="240" t="s">
        <v>184</v>
      </c>
      <c r="CF42" s="108" t="s">
        <v>1</v>
      </c>
    </row>
    <row r="43" ht="29" customHeight="1" spans="1:84">
      <c r="A43" s="107">
        <v>45146</v>
      </c>
      <c r="B43" s="197" t="s">
        <v>99</v>
      </c>
      <c r="C43" s="92" t="s">
        <v>71</v>
      </c>
      <c r="D43" s="30" t="s">
        <v>1</v>
      </c>
      <c r="E43" s="30" t="s">
        <v>1</v>
      </c>
      <c r="F43" s="109" t="e">
        <f>E43-3.5</f>
        <v>#VALUE!</v>
      </c>
      <c r="G43" s="109" t="s">
        <v>1</v>
      </c>
      <c r="H43" s="108" t="s">
        <v>1</v>
      </c>
      <c r="I43" s="109">
        <v>12</v>
      </c>
      <c r="J43" s="141" t="str">
        <f t="shared" si="1"/>
        <v/>
      </c>
      <c r="K43" s="211" t="str">
        <f>IFERROR(E43/#REF!,"")</f>
        <v/>
      </c>
      <c r="L43" s="30">
        <v>52044</v>
      </c>
      <c r="M43" s="75" t="s">
        <v>72</v>
      </c>
      <c r="N43" s="109" t="s">
        <v>1</v>
      </c>
      <c r="O43" s="109" t="s">
        <v>1</v>
      </c>
      <c r="P43" s="109" t="s">
        <v>1</v>
      </c>
      <c r="Q43" s="109" t="s">
        <v>1</v>
      </c>
      <c r="R43" s="109" t="s">
        <v>1</v>
      </c>
      <c r="S43" s="109" t="s">
        <v>1</v>
      </c>
      <c r="T43" s="109" t="s">
        <v>1</v>
      </c>
      <c r="U43" s="109" t="s">
        <v>1</v>
      </c>
      <c r="V43" s="92" t="s">
        <v>1</v>
      </c>
      <c r="W43" s="92" t="s">
        <v>72</v>
      </c>
      <c r="X43" s="92" t="s">
        <v>1</v>
      </c>
      <c r="Y43" s="92" t="s">
        <v>72</v>
      </c>
      <c r="Z43" s="92" t="s">
        <v>1</v>
      </c>
      <c r="AA43" s="236" t="s">
        <v>72</v>
      </c>
      <c r="AB43" s="92" t="s">
        <v>1</v>
      </c>
      <c r="AC43" s="92" t="s">
        <v>72</v>
      </c>
      <c r="AD43" s="92" t="s">
        <v>1</v>
      </c>
      <c r="AE43" s="92" t="s">
        <v>72</v>
      </c>
      <c r="AF43" s="92" t="s">
        <v>1</v>
      </c>
      <c r="AG43" s="92" t="s">
        <v>72</v>
      </c>
      <c r="AH43" s="92">
        <v>3571</v>
      </c>
      <c r="AI43" s="92" t="s">
        <v>72</v>
      </c>
      <c r="AJ43" s="92">
        <v>473</v>
      </c>
      <c r="AK43" s="92" t="s">
        <v>72</v>
      </c>
      <c r="AL43" s="92">
        <v>96</v>
      </c>
      <c r="AM43" s="92" t="s">
        <v>72</v>
      </c>
      <c r="AN43" s="92">
        <v>960</v>
      </c>
      <c r="AO43" s="92" t="s">
        <v>72</v>
      </c>
      <c r="AP43" s="92">
        <v>1380</v>
      </c>
      <c r="AQ43" s="92" t="s">
        <v>72</v>
      </c>
      <c r="AR43" s="92">
        <v>266</v>
      </c>
      <c r="AS43" s="92" t="s">
        <v>72</v>
      </c>
      <c r="AT43" s="200" t="s">
        <v>1</v>
      </c>
      <c r="AU43" s="109" t="s">
        <v>1</v>
      </c>
      <c r="AV43" s="109" t="s">
        <v>1</v>
      </c>
      <c r="AW43" s="109" t="s">
        <v>1</v>
      </c>
      <c r="AX43" s="109" t="s">
        <v>1</v>
      </c>
      <c r="AY43" s="200" t="s">
        <v>1</v>
      </c>
      <c r="AZ43" s="200" t="s">
        <v>1</v>
      </c>
      <c r="BA43" s="109" t="s">
        <v>1</v>
      </c>
      <c r="BB43" s="109" t="s">
        <v>1</v>
      </c>
      <c r="BC43" s="200" t="s">
        <v>1</v>
      </c>
      <c r="BD43" s="200" t="s">
        <v>1</v>
      </c>
      <c r="BE43" s="109" t="s">
        <v>1</v>
      </c>
      <c r="BF43" s="109" t="s">
        <v>1</v>
      </c>
      <c r="BG43" s="200" t="s">
        <v>1</v>
      </c>
      <c r="BH43" s="200">
        <v>1</v>
      </c>
      <c r="BI43" s="92" t="s">
        <v>94</v>
      </c>
      <c r="BJ43" s="92">
        <v>44</v>
      </c>
      <c r="BK43" s="92">
        <v>1446</v>
      </c>
      <c r="BL43" s="92" t="s">
        <v>72</v>
      </c>
      <c r="BM43" s="92" t="s">
        <v>74</v>
      </c>
      <c r="BN43" s="92">
        <v>359</v>
      </c>
      <c r="BO43" s="92">
        <v>176</v>
      </c>
      <c r="BP43" s="92" t="s">
        <v>72</v>
      </c>
      <c r="BQ43" s="108" t="s">
        <v>1</v>
      </c>
      <c r="BR43" s="108" t="s">
        <v>1</v>
      </c>
      <c r="BS43" s="108" t="s">
        <v>1</v>
      </c>
      <c r="BT43" s="108" t="s">
        <v>1</v>
      </c>
      <c r="BU43" s="108" t="s">
        <v>1</v>
      </c>
      <c r="BV43" s="189" t="s">
        <v>78</v>
      </c>
      <c r="BW43" s="189" t="s">
        <v>83</v>
      </c>
      <c r="BX43" s="189" t="s">
        <v>87</v>
      </c>
      <c r="BY43" s="189" t="s">
        <v>84</v>
      </c>
      <c r="BZ43" s="190" t="s">
        <v>145</v>
      </c>
      <c r="CA43" s="190" t="s">
        <v>92</v>
      </c>
      <c r="CB43" s="191" t="s">
        <v>150</v>
      </c>
      <c r="CC43" s="189" t="s">
        <v>86</v>
      </c>
      <c r="CD43" s="189" t="s">
        <v>79</v>
      </c>
      <c r="CE43" s="191" t="s">
        <v>185</v>
      </c>
      <c r="CF43" s="108" t="s">
        <v>1</v>
      </c>
    </row>
    <row r="44" ht="29" customHeight="1" spans="1:84">
      <c r="A44" s="107">
        <v>45147</v>
      </c>
      <c r="B44" s="202" t="s">
        <v>100</v>
      </c>
      <c r="C44" s="92" t="s">
        <v>71</v>
      </c>
      <c r="D44" s="30" t="s">
        <v>1</v>
      </c>
      <c r="E44" s="30" t="s">
        <v>1</v>
      </c>
      <c r="F44" s="109" t="e">
        <f>E44-1.4</f>
        <v>#VALUE!</v>
      </c>
      <c r="G44" s="109" t="s">
        <v>1</v>
      </c>
      <c r="H44" s="108" t="s">
        <v>1</v>
      </c>
      <c r="I44" s="109">
        <v>6</v>
      </c>
      <c r="J44" s="141" t="str">
        <f t="shared" si="1"/>
        <v/>
      </c>
      <c r="K44" s="211" t="str">
        <f>IFERROR(E44/#REF!,"")</f>
        <v/>
      </c>
      <c r="L44" s="30">
        <v>23493</v>
      </c>
      <c r="M44" s="75" t="s">
        <v>72</v>
      </c>
      <c r="N44" s="109" t="s">
        <v>1</v>
      </c>
      <c r="O44" s="109" t="s">
        <v>1</v>
      </c>
      <c r="P44" s="109" t="s">
        <v>1</v>
      </c>
      <c r="Q44" s="109" t="s">
        <v>1</v>
      </c>
      <c r="R44" s="109" t="s">
        <v>1</v>
      </c>
      <c r="S44" s="109" t="s">
        <v>1</v>
      </c>
      <c r="T44" s="109" t="s">
        <v>1</v>
      </c>
      <c r="U44" s="109" t="s">
        <v>1</v>
      </c>
      <c r="V44" s="92" t="s">
        <v>1</v>
      </c>
      <c r="W44" s="92" t="s">
        <v>72</v>
      </c>
      <c r="X44" s="92" t="s">
        <v>1</v>
      </c>
      <c r="Y44" s="92" t="s">
        <v>72</v>
      </c>
      <c r="Z44" s="92" t="s">
        <v>1</v>
      </c>
      <c r="AA44" s="236" t="s">
        <v>72</v>
      </c>
      <c r="AB44" s="92" t="s">
        <v>1</v>
      </c>
      <c r="AC44" s="92" t="s">
        <v>72</v>
      </c>
      <c r="AD44" s="92" t="s">
        <v>1</v>
      </c>
      <c r="AE44" s="92" t="s">
        <v>72</v>
      </c>
      <c r="AF44" s="92" t="s">
        <v>1</v>
      </c>
      <c r="AG44" s="92" t="s">
        <v>72</v>
      </c>
      <c r="AH44" s="92">
        <v>3289</v>
      </c>
      <c r="AI44" s="92" t="s">
        <v>72</v>
      </c>
      <c r="AJ44" s="92">
        <v>341</v>
      </c>
      <c r="AK44" s="92" t="s">
        <v>72</v>
      </c>
      <c r="AL44" s="92">
        <v>109</v>
      </c>
      <c r="AM44" s="92" t="s">
        <v>72</v>
      </c>
      <c r="AN44" s="92">
        <v>1047</v>
      </c>
      <c r="AO44" s="92" t="s">
        <v>72</v>
      </c>
      <c r="AP44" s="92">
        <v>1244</v>
      </c>
      <c r="AQ44" s="92" t="s">
        <v>72</v>
      </c>
      <c r="AR44" s="92">
        <v>278</v>
      </c>
      <c r="AS44" s="92" t="s">
        <v>72</v>
      </c>
      <c r="AT44" s="200" t="s">
        <v>1</v>
      </c>
      <c r="AU44" s="109" t="s">
        <v>1</v>
      </c>
      <c r="AV44" s="109" t="s">
        <v>1</v>
      </c>
      <c r="AW44" s="109" t="s">
        <v>1</v>
      </c>
      <c r="AX44" s="109" t="s">
        <v>1</v>
      </c>
      <c r="AY44" s="200" t="s">
        <v>1</v>
      </c>
      <c r="AZ44" s="200" t="s">
        <v>1</v>
      </c>
      <c r="BA44" s="109" t="s">
        <v>1</v>
      </c>
      <c r="BB44" s="109" t="s">
        <v>1</v>
      </c>
      <c r="BC44" s="200" t="s">
        <v>1</v>
      </c>
      <c r="BD44" s="200" t="s">
        <v>1</v>
      </c>
      <c r="BE44" s="109" t="s">
        <v>1</v>
      </c>
      <c r="BF44" s="109" t="s">
        <v>1</v>
      </c>
      <c r="BG44" s="200" t="s">
        <v>1</v>
      </c>
      <c r="BH44" s="200">
        <v>1</v>
      </c>
      <c r="BI44" s="92" t="s">
        <v>94</v>
      </c>
      <c r="BJ44" s="92">
        <v>38</v>
      </c>
      <c r="BK44" s="92">
        <v>1716</v>
      </c>
      <c r="BL44" s="92" t="s">
        <v>72</v>
      </c>
      <c r="BM44" s="92" t="s">
        <v>74</v>
      </c>
      <c r="BN44" s="92">
        <v>454</v>
      </c>
      <c r="BO44" s="92">
        <v>119</v>
      </c>
      <c r="BP44" s="92" t="s">
        <v>72</v>
      </c>
      <c r="BQ44" s="108" t="s">
        <v>1</v>
      </c>
      <c r="BR44" s="108" t="s">
        <v>1</v>
      </c>
      <c r="BS44" s="108" t="s">
        <v>1</v>
      </c>
      <c r="BT44" s="108" t="s">
        <v>1</v>
      </c>
      <c r="BU44" s="108" t="s">
        <v>1</v>
      </c>
      <c r="BV44" s="189" t="s">
        <v>1</v>
      </c>
      <c r="BW44" s="189" t="s">
        <v>1</v>
      </c>
      <c r="BX44" s="189" t="s">
        <v>1</v>
      </c>
      <c r="BY44" s="189" t="s">
        <v>1</v>
      </c>
      <c r="BZ44" s="190" t="s">
        <v>1</v>
      </c>
      <c r="CA44" s="190" t="s">
        <v>1</v>
      </c>
      <c r="CB44" s="191" t="s">
        <v>1</v>
      </c>
      <c r="CC44" s="189" t="s">
        <v>1</v>
      </c>
      <c r="CD44" s="189" t="s">
        <v>1</v>
      </c>
      <c r="CE44" s="191" t="s">
        <v>1</v>
      </c>
      <c r="CF44" s="108" t="s">
        <v>1</v>
      </c>
    </row>
    <row r="45" ht="29" customHeight="1" spans="1:84">
      <c r="A45" s="107">
        <v>45148</v>
      </c>
      <c r="B45" s="202" t="s">
        <v>100</v>
      </c>
      <c r="C45" s="92" t="s">
        <v>71</v>
      </c>
      <c r="D45" s="30" t="s">
        <v>1</v>
      </c>
      <c r="E45" s="30" t="s">
        <v>1</v>
      </c>
      <c r="F45" s="109" t="e">
        <f>E45-1.75</f>
        <v>#VALUE!</v>
      </c>
      <c r="G45" s="109" t="s">
        <v>1</v>
      </c>
      <c r="H45" s="108" t="s">
        <v>1</v>
      </c>
      <c r="I45" s="109">
        <v>6</v>
      </c>
      <c r="J45" s="141" t="str">
        <f t="shared" si="1"/>
        <v/>
      </c>
      <c r="K45" s="211" t="str">
        <f>IFERROR(E45/#REF!,"")</f>
        <v/>
      </c>
      <c r="L45" s="30">
        <v>21994</v>
      </c>
      <c r="M45" s="75" t="s">
        <v>72</v>
      </c>
      <c r="N45" s="109" t="s">
        <v>1</v>
      </c>
      <c r="O45" s="109">
        <v>3.2</v>
      </c>
      <c r="P45" s="109" t="s">
        <v>1</v>
      </c>
      <c r="Q45" s="109" t="s">
        <v>1</v>
      </c>
      <c r="R45" s="109" t="s">
        <v>1</v>
      </c>
      <c r="S45" s="109" t="s">
        <v>1</v>
      </c>
      <c r="T45" s="109" t="s">
        <v>1</v>
      </c>
      <c r="U45" s="109" t="s">
        <v>1</v>
      </c>
      <c r="V45" s="92" t="s">
        <v>1</v>
      </c>
      <c r="W45" s="92" t="s">
        <v>72</v>
      </c>
      <c r="X45" s="92" t="s">
        <v>1</v>
      </c>
      <c r="Y45" s="92" t="s">
        <v>72</v>
      </c>
      <c r="Z45" s="92" t="s">
        <v>1</v>
      </c>
      <c r="AA45" s="236" t="s">
        <v>72</v>
      </c>
      <c r="AB45" s="92" t="s">
        <v>1</v>
      </c>
      <c r="AC45" s="92" t="s">
        <v>72</v>
      </c>
      <c r="AD45" s="92" t="s">
        <v>1</v>
      </c>
      <c r="AE45" s="92" t="s">
        <v>72</v>
      </c>
      <c r="AF45" s="92" t="s">
        <v>1</v>
      </c>
      <c r="AG45" s="92" t="s">
        <v>72</v>
      </c>
      <c r="AH45" s="92">
        <v>3314</v>
      </c>
      <c r="AI45" s="92" t="s">
        <v>72</v>
      </c>
      <c r="AJ45" s="92">
        <v>386</v>
      </c>
      <c r="AK45" s="92" t="s">
        <v>72</v>
      </c>
      <c r="AL45" s="92">
        <v>89</v>
      </c>
      <c r="AM45" s="92" t="s">
        <v>72</v>
      </c>
      <c r="AN45" s="92">
        <v>1313</v>
      </c>
      <c r="AO45" s="92" t="s">
        <v>72</v>
      </c>
      <c r="AP45" s="92">
        <v>1386</v>
      </c>
      <c r="AQ45" s="92" t="s">
        <v>72</v>
      </c>
      <c r="AR45" s="92">
        <v>304</v>
      </c>
      <c r="AS45" s="92" t="s">
        <v>72</v>
      </c>
      <c r="AT45" s="200" t="s">
        <v>1</v>
      </c>
      <c r="AU45" s="109" t="s">
        <v>1</v>
      </c>
      <c r="AV45" s="198">
        <v>158</v>
      </c>
      <c r="AW45" s="92" t="s">
        <v>72</v>
      </c>
      <c r="AX45" s="141">
        <v>0.0403061224489796</v>
      </c>
      <c r="AY45" s="200" t="s">
        <v>186</v>
      </c>
      <c r="AZ45" s="207">
        <v>10</v>
      </c>
      <c r="BA45" s="241" t="s">
        <v>72</v>
      </c>
      <c r="BB45" s="141">
        <v>0.0632911392405063</v>
      </c>
      <c r="BC45" s="200" t="s">
        <v>186</v>
      </c>
      <c r="BD45" s="200" t="s">
        <v>1</v>
      </c>
      <c r="BE45" s="109" t="s">
        <v>1</v>
      </c>
      <c r="BF45" s="109" t="s">
        <v>1</v>
      </c>
      <c r="BG45" s="200" t="s">
        <v>1</v>
      </c>
      <c r="BH45" s="200">
        <v>1</v>
      </c>
      <c r="BI45" s="92" t="s">
        <v>94</v>
      </c>
      <c r="BJ45" s="92">
        <v>44</v>
      </c>
      <c r="BK45" s="92">
        <v>1441</v>
      </c>
      <c r="BL45" s="92" t="s">
        <v>72</v>
      </c>
      <c r="BM45" s="92" t="s">
        <v>74</v>
      </c>
      <c r="BN45" s="92">
        <v>289</v>
      </c>
      <c r="BO45" s="92">
        <v>444</v>
      </c>
      <c r="BP45" s="92" t="s">
        <v>72</v>
      </c>
      <c r="BQ45" s="108" t="s">
        <v>1</v>
      </c>
      <c r="BR45" s="108" t="s">
        <v>1</v>
      </c>
      <c r="BS45" s="108" t="s">
        <v>1</v>
      </c>
      <c r="BT45" s="108" t="s">
        <v>1</v>
      </c>
      <c r="BU45" s="108" t="s">
        <v>1</v>
      </c>
      <c r="BV45" s="189" t="s">
        <v>1</v>
      </c>
      <c r="BW45" s="189" t="s">
        <v>1</v>
      </c>
      <c r="BX45" s="189" t="s">
        <v>1</v>
      </c>
      <c r="BY45" s="189" t="s">
        <v>1</v>
      </c>
      <c r="BZ45" s="190" t="s">
        <v>1</v>
      </c>
      <c r="CA45" s="190" t="s">
        <v>1</v>
      </c>
      <c r="CB45" s="191" t="s">
        <v>1</v>
      </c>
      <c r="CC45" s="189" t="s">
        <v>1</v>
      </c>
      <c r="CD45" s="189" t="s">
        <v>1</v>
      </c>
      <c r="CE45" s="191" t="s">
        <v>1</v>
      </c>
      <c r="CF45" s="108" t="s">
        <v>1</v>
      </c>
    </row>
    <row r="46" ht="29" customHeight="1" spans="1:84">
      <c r="A46" s="107">
        <v>45149</v>
      </c>
      <c r="B46" s="203" t="s">
        <v>89</v>
      </c>
      <c r="C46" s="92" t="s">
        <v>71</v>
      </c>
      <c r="D46" s="30" t="s">
        <v>1</v>
      </c>
      <c r="E46" s="30" t="s">
        <v>1</v>
      </c>
      <c r="F46" s="109" t="s">
        <v>1</v>
      </c>
      <c r="G46" s="109" t="s">
        <v>1</v>
      </c>
      <c r="H46" s="108" t="s">
        <v>1</v>
      </c>
      <c r="I46" s="109">
        <v>0</v>
      </c>
      <c r="J46" s="141" t="str">
        <f t="shared" si="1"/>
        <v/>
      </c>
      <c r="K46" s="211" t="str">
        <f>IFERROR(E46/#REF!,"")</f>
        <v/>
      </c>
      <c r="L46" s="30">
        <v>47887</v>
      </c>
      <c r="M46" s="75" t="s">
        <v>72</v>
      </c>
      <c r="N46" s="109" t="s">
        <v>1</v>
      </c>
      <c r="O46" s="109">
        <v>4.5</v>
      </c>
      <c r="P46" s="109" t="s">
        <v>1</v>
      </c>
      <c r="Q46" s="109" t="s">
        <v>1</v>
      </c>
      <c r="R46" s="109" t="s">
        <v>1</v>
      </c>
      <c r="S46" s="109" t="s">
        <v>1</v>
      </c>
      <c r="T46" s="109" t="s">
        <v>1</v>
      </c>
      <c r="U46" s="109" t="s">
        <v>1</v>
      </c>
      <c r="V46" s="92" t="s">
        <v>1</v>
      </c>
      <c r="W46" s="92" t="s">
        <v>72</v>
      </c>
      <c r="X46" s="92" t="s">
        <v>1</v>
      </c>
      <c r="Y46" s="92" t="s">
        <v>72</v>
      </c>
      <c r="Z46" s="92" t="s">
        <v>1</v>
      </c>
      <c r="AA46" s="236" t="s">
        <v>72</v>
      </c>
      <c r="AB46" s="92" t="s">
        <v>1</v>
      </c>
      <c r="AC46" s="92" t="s">
        <v>72</v>
      </c>
      <c r="AD46" s="92" t="s">
        <v>1</v>
      </c>
      <c r="AE46" s="92" t="s">
        <v>72</v>
      </c>
      <c r="AF46" s="92" t="s">
        <v>1</v>
      </c>
      <c r="AG46" s="92" t="s">
        <v>72</v>
      </c>
      <c r="AH46" s="92">
        <v>3355</v>
      </c>
      <c r="AI46" s="92" t="s">
        <v>72</v>
      </c>
      <c r="AJ46" s="92">
        <v>498</v>
      </c>
      <c r="AK46" s="92" t="s">
        <v>72</v>
      </c>
      <c r="AL46" s="92">
        <v>80</v>
      </c>
      <c r="AM46" s="92" t="s">
        <v>72</v>
      </c>
      <c r="AN46" s="92">
        <v>1318</v>
      </c>
      <c r="AO46" s="92" t="s">
        <v>72</v>
      </c>
      <c r="AP46" s="92">
        <v>1379</v>
      </c>
      <c r="AQ46" s="92" t="s">
        <v>72</v>
      </c>
      <c r="AR46" s="92">
        <v>260</v>
      </c>
      <c r="AS46" s="92" t="s">
        <v>72</v>
      </c>
      <c r="AT46" s="200" t="s">
        <v>1</v>
      </c>
      <c r="AU46" s="109" t="s">
        <v>1</v>
      </c>
      <c r="AV46" s="198">
        <v>198</v>
      </c>
      <c r="AW46" s="109" t="s">
        <v>1</v>
      </c>
      <c r="AX46" s="141">
        <v>0.048577036310108</v>
      </c>
      <c r="AY46" s="200" t="s">
        <v>186</v>
      </c>
      <c r="AZ46" s="207" t="s">
        <v>108</v>
      </c>
      <c r="BA46" s="109" t="s">
        <v>1</v>
      </c>
      <c r="BB46" s="141">
        <v>0.0656565656565657</v>
      </c>
      <c r="BC46" s="200" t="s">
        <v>103</v>
      </c>
      <c r="BD46" s="200" t="s">
        <v>1</v>
      </c>
      <c r="BE46" s="109" t="s">
        <v>1</v>
      </c>
      <c r="BF46" s="109" t="s">
        <v>1</v>
      </c>
      <c r="BG46" s="200" t="s">
        <v>1</v>
      </c>
      <c r="BH46" s="200">
        <v>1</v>
      </c>
      <c r="BI46" s="92" t="s">
        <v>94</v>
      </c>
      <c r="BJ46" s="92">
        <v>49</v>
      </c>
      <c r="BK46" s="92">
        <v>1190</v>
      </c>
      <c r="BL46" s="92" t="s">
        <v>72</v>
      </c>
      <c r="BM46" s="92" t="s">
        <v>74</v>
      </c>
      <c r="BN46" s="92">
        <v>341</v>
      </c>
      <c r="BO46" s="92">
        <v>398</v>
      </c>
      <c r="BP46" s="92" t="s">
        <v>72</v>
      </c>
      <c r="BQ46" s="108" t="s">
        <v>1</v>
      </c>
      <c r="BR46" s="108" t="s">
        <v>1</v>
      </c>
      <c r="BS46" s="108" t="s">
        <v>1</v>
      </c>
      <c r="BT46" s="108" t="s">
        <v>1</v>
      </c>
      <c r="BU46" s="108" t="s">
        <v>1</v>
      </c>
      <c r="BV46" s="189" t="s">
        <v>1</v>
      </c>
      <c r="BW46" s="189" t="s">
        <v>1</v>
      </c>
      <c r="BX46" s="189" t="s">
        <v>1</v>
      </c>
      <c r="BY46" s="189" t="s">
        <v>1</v>
      </c>
      <c r="BZ46" s="190" t="s">
        <v>1</v>
      </c>
      <c r="CA46" s="190" t="s">
        <v>1</v>
      </c>
      <c r="CB46" s="191" t="s">
        <v>1</v>
      </c>
      <c r="CC46" s="189" t="s">
        <v>1</v>
      </c>
      <c r="CD46" s="189" t="s">
        <v>1</v>
      </c>
      <c r="CE46" s="191" t="s">
        <v>1</v>
      </c>
      <c r="CF46" s="108" t="s">
        <v>1</v>
      </c>
    </row>
    <row r="47" ht="29" customHeight="1" spans="1:84">
      <c r="A47" s="107">
        <v>45150</v>
      </c>
      <c r="B47" s="203" t="s">
        <v>89</v>
      </c>
      <c r="C47" s="92" t="s">
        <v>71</v>
      </c>
      <c r="D47" s="30" t="s">
        <v>1</v>
      </c>
      <c r="E47" s="30" t="s">
        <v>1</v>
      </c>
      <c r="F47" s="109" t="str">
        <f>E47</f>
        <v/>
      </c>
      <c r="G47" s="109" t="s">
        <v>1</v>
      </c>
      <c r="H47" s="108" t="s">
        <v>1</v>
      </c>
      <c r="I47" s="109">
        <v>0</v>
      </c>
      <c r="J47" s="141" t="str">
        <f t="shared" si="1"/>
        <v/>
      </c>
      <c r="K47" s="211" t="str">
        <f>IFERROR(E47/#REF!,"")</f>
        <v/>
      </c>
      <c r="L47" s="30">
        <v>43687</v>
      </c>
      <c r="M47" s="75" t="s">
        <v>72</v>
      </c>
      <c r="N47" s="109" t="s">
        <v>1</v>
      </c>
      <c r="O47" s="109">
        <v>5.5</v>
      </c>
      <c r="P47" s="109" t="s">
        <v>1</v>
      </c>
      <c r="Q47" s="109" t="s">
        <v>1</v>
      </c>
      <c r="R47" s="109" t="s">
        <v>1</v>
      </c>
      <c r="S47" s="109" t="s">
        <v>1</v>
      </c>
      <c r="T47" s="109" t="s">
        <v>1</v>
      </c>
      <c r="U47" s="109" t="s">
        <v>1</v>
      </c>
      <c r="V47" s="92" t="s">
        <v>1</v>
      </c>
      <c r="W47" s="92" t="s">
        <v>72</v>
      </c>
      <c r="X47" s="92" t="s">
        <v>1</v>
      </c>
      <c r="Y47" s="92" t="s">
        <v>72</v>
      </c>
      <c r="Z47" s="92" t="s">
        <v>1</v>
      </c>
      <c r="AA47" s="236" t="s">
        <v>72</v>
      </c>
      <c r="AB47" s="92" t="s">
        <v>1</v>
      </c>
      <c r="AC47" s="92" t="s">
        <v>72</v>
      </c>
      <c r="AD47" s="92" t="s">
        <v>1</v>
      </c>
      <c r="AE47" s="92" t="s">
        <v>72</v>
      </c>
      <c r="AF47" s="92" t="s">
        <v>1</v>
      </c>
      <c r="AG47" s="92" t="s">
        <v>72</v>
      </c>
      <c r="AH47" s="92">
        <v>3442</v>
      </c>
      <c r="AI47" s="92" t="s">
        <v>72</v>
      </c>
      <c r="AJ47" s="92">
        <v>671</v>
      </c>
      <c r="AK47" s="92" t="s">
        <v>72</v>
      </c>
      <c r="AL47" s="92">
        <v>61</v>
      </c>
      <c r="AM47" s="92" t="s">
        <v>72</v>
      </c>
      <c r="AN47" s="92">
        <v>1793</v>
      </c>
      <c r="AO47" s="92" t="s">
        <v>72</v>
      </c>
      <c r="AP47" s="92">
        <v>1471</v>
      </c>
      <c r="AQ47" s="92" t="s">
        <v>72</v>
      </c>
      <c r="AR47" s="92">
        <v>226</v>
      </c>
      <c r="AS47" s="92" t="s">
        <v>72</v>
      </c>
      <c r="AT47" s="200" t="s">
        <v>1</v>
      </c>
      <c r="AU47" s="109" t="s">
        <v>1</v>
      </c>
      <c r="AV47" s="198">
        <v>164</v>
      </c>
      <c r="AW47" s="109" t="s">
        <v>1</v>
      </c>
      <c r="AX47" s="141">
        <v>0.0356832027850305</v>
      </c>
      <c r="AY47" s="200" t="s">
        <v>186</v>
      </c>
      <c r="AZ47" s="207" t="s">
        <v>133</v>
      </c>
      <c r="BA47" s="109" t="s">
        <v>1</v>
      </c>
      <c r="BB47" s="141">
        <v>0.128048780487805</v>
      </c>
      <c r="BC47" s="200" t="s">
        <v>103</v>
      </c>
      <c r="BD47" s="200" t="s">
        <v>1</v>
      </c>
      <c r="BE47" s="109" t="s">
        <v>1</v>
      </c>
      <c r="BF47" s="109" t="s">
        <v>1</v>
      </c>
      <c r="BG47" s="200" t="s">
        <v>1</v>
      </c>
      <c r="BH47" s="200">
        <v>1</v>
      </c>
      <c r="BI47" s="92" t="s">
        <v>94</v>
      </c>
      <c r="BJ47" s="92">
        <v>41</v>
      </c>
      <c r="BK47" s="92">
        <v>1590</v>
      </c>
      <c r="BL47" s="92" t="s">
        <v>72</v>
      </c>
      <c r="BM47" s="92" t="s">
        <v>74</v>
      </c>
      <c r="BN47" s="92">
        <v>261</v>
      </c>
      <c r="BO47" s="92">
        <v>548</v>
      </c>
      <c r="BP47" s="92" t="s">
        <v>72</v>
      </c>
      <c r="BQ47" s="108" t="s">
        <v>1</v>
      </c>
      <c r="BR47" s="108" t="s">
        <v>1</v>
      </c>
      <c r="BS47" s="108" t="s">
        <v>1</v>
      </c>
      <c r="BT47" s="108" t="s">
        <v>1</v>
      </c>
      <c r="BU47" s="108" t="s">
        <v>1</v>
      </c>
      <c r="BV47" s="189" t="s">
        <v>1</v>
      </c>
      <c r="BW47" s="189" t="s">
        <v>1</v>
      </c>
      <c r="BX47" s="189" t="s">
        <v>1</v>
      </c>
      <c r="BY47" s="189" t="s">
        <v>1</v>
      </c>
      <c r="BZ47" s="190" t="s">
        <v>1</v>
      </c>
      <c r="CA47" s="190" t="s">
        <v>1</v>
      </c>
      <c r="CB47" s="191" t="s">
        <v>1</v>
      </c>
      <c r="CC47" s="189" t="s">
        <v>1</v>
      </c>
      <c r="CD47" s="189" t="s">
        <v>1</v>
      </c>
      <c r="CE47" s="191" t="s">
        <v>1</v>
      </c>
      <c r="CF47" s="108" t="s">
        <v>1</v>
      </c>
    </row>
    <row r="48" ht="29" customHeight="1" spans="1:84">
      <c r="A48" s="107">
        <v>45151</v>
      </c>
      <c r="B48" s="203" t="s">
        <v>89</v>
      </c>
      <c r="C48" s="92" t="s">
        <v>71</v>
      </c>
      <c r="D48" s="30" t="s">
        <v>1</v>
      </c>
      <c r="E48" s="30" t="s">
        <v>1</v>
      </c>
      <c r="F48" s="109" t="str">
        <f>E48</f>
        <v/>
      </c>
      <c r="G48" s="109" t="s">
        <v>1</v>
      </c>
      <c r="H48" s="108" t="s">
        <v>1</v>
      </c>
      <c r="I48" s="109">
        <v>0</v>
      </c>
      <c r="J48" s="141" t="str">
        <f t="shared" si="1"/>
        <v/>
      </c>
      <c r="K48" s="211" t="str">
        <f>IFERROR(E48/#REF!,"")</f>
        <v/>
      </c>
      <c r="L48" s="30">
        <v>57182</v>
      </c>
      <c r="M48" s="75" t="s">
        <v>72</v>
      </c>
      <c r="N48" s="109" t="s">
        <v>1</v>
      </c>
      <c r="O48" s="109">
        <v>4.4</v>
      </c>
      <c r="P48" s="109" t="s">
        <v>1</v>
      </c>
      <c r="Q48" s="109" t="s">
        <v>1</v>
      </c>
      <c r="R48" s="109" t="s">
        <v>1</v>
      </c>
      <c r="S48" s="109" t="s">
        <v>1</v>
      </c>
      <c r="T48" s="109" t="s">
        <v>1</v>
      </c>
      <c r="U48" s="109" t="s">
        <v>1</v>
      </c>
      <c r="V48" s="92" t="s">
        <v>1</v>
      </c>
      <c r="W48" s="92" t="s">
        <v>72</v>
      </c>
      <c r="X48" s="92" t="s">
        <v>1</v>
      </c>
      <c r="Y48" s="92" t="s">
        <v>72</v>
      </c>
      <c r="Z48" s="92" t="s">
        <v>1</v>
      </c>
      <c r="AA48" s="236" t="s">
        <v>72</v>
      </c>
      <c r="AB48" s="92" t="s">
        <v>1</v>
      </c>
      <c r="AC48" s="92" t="s">
        <v>72</v>
      </c>
      <c r="AD48" s="92" t="s">
        <v>1</v>
      </c>
      <c r="AE48" s="92" t="s">
        <v>72</v>
      </c>
      <c r="AF48" s="92" t="s">
        <v>1</v>
      </c>
      <c r="AG48" s="92" t="s">
        <v>72</v>
      </c>
      <c r="AH48" s="92">
        <v>3884</v>
      </c>
      <c r="AI48" s="92" t="s">
        <v>72</v>
      </c>
      <c r="AJ48" s="92">
        <v>700</v>
      </c>
      <c r="AK48" s="92" t="s">
        <v>72</v>
      </c>
      <c r="AL48" s="92">
        <v>68</v>
      </c>
      <c r="AM48" s="92" t="s">
        <v>72</v>
      </c>
      <c r="AN48" s="92">
        <v>1783</v>
      </c>
      <c r="AO48" s="92" t="s">
        <v>72</v>
      </c>
      <c r="AP48" s="92">
        <v>1591</v>
      </c>
      <c r="AQ48" s="92" t="s">
        <v>72</v>
      </c>
      <c r="AR48" s="92">
        <v>286</v>
      </c>
      <c r="AS48" s="92" t="s">
        <v>72</v>
      </c>
      <c r="AT48" s="200" t="s">
        <v>1</v>
      </c>
      <c r="AU48" s="109" t="s">
        <v>1</v>
      </c>
      <c r="AV48" s="198">
        <v>149</v>
      </c>
      <c r="AW48" s="109" t="s">
        <v>1</v>
      </c>
      <c r="AX48" s="141">
        <v>0.0305140282613148</v>
      </c>
      <c r="AY48" s="200" t="s">
        <v>186</v>
      </c>
      <c r="AZ48" s="207" t="s">
        <v>117</v>
      </c>
      <c r="BA48" s="109" t="s">
        <v>1</v>
      </c>
      <c r="BB48" s="141">
        <v>0.114093959731544</v>
      </c>
      <c r="BC48" s="200" t="s">
        <v>103</v>
      </c>
      <c r="BD48" s="200" t="s">
        <v>1</v>
      </c>
      <c r="BE48" s="109" t="s">
        <v>1</v>
      </c>
      <c r="BF48" s="109" t="s">
        <v>1</v>
      </c>
      <c r="BG48" s="200" t="s">
        <v>1</v>
      </c>
      <c r="BH48" s="200">
        <v>0.93</v>
      </c>
      <c r="BI48" s="92" t="s">
        <v>94</v>
      </c>
      <c r="BJ48" s="92">
        <v>41</v>
      </c>
      <c r="BK48" s="92">
        <v>1591</v>
      </c>
      <c r="BL48" s="92" t="s">
        <v>72</v>
      </c>
      <c r="BM48" s="92" t="s">
        <v>74</v>
      </c>
      <c r="BN48" s="92">
        <v>249</v>
      </c>
      <c r="BO48" s="92">
        <v>568</v>
      </c>
      <c r="BP48" s="92" t="s">
        <v>72</v>
      </c>
      <c r="BQ48" s="108" t="s">
        <v>1</v>
      </c>
      <c r="BR48" s="108" t="s">
        <v>1</v>
      </c>
      <c r="BS48" s="108" t="s">
        <v>1</v>
      </c>
      <c r="BT48" s="108" t="s">
        <v>1</v>
      </c>
      <c r="BU48" s="108" t="s">
        <v>1</v>
      </c>
      <c r="BV48" s="189" t="s">
        <v>1</v>
      </c>
      <c r="BW48" s="189" t="s">
        <v>1</v>
      </c>
      <c r="BX48" s="189" t="s">
        <v>1</v>
      </c>
      <c r="BY48" s="189" t="s">
        <v>1</v>
      </c>
      <c r="BZ48" s="190" t="s">
        <v>1</v>
      </c>
      <c r="CA48" s="190" t="s">
        <v>1</v>
      </c>
      <c r="CB48" s="191" t="s">
        <v>1</v>
      </c>
      <c r="CC48" s="189" t="s">
        <v>1</v>
      </c>
      <c r="CD48" s="189" t="s">
        <v>1</v>
      </c>
      <c r="CE48" s="191" t="s">
        <v>1</v>
      </c>
      <c r="CF48" s="108" t="s">
        <v>1</v>
      </c>
    </row>
    <row r="49" ht="29" customHeight="1" spans="1:84">
      <c r="A49" s="107">
        <v>45152</v>
      </c>
      <c r="B49" s="197" t="s">
        <v>104</v>
      </c>
      <c r="C49" s="92" t="s">
        <v>71</v>
      </c>
      <c r="D49" s="30" t="s">
        <v>1</v>
      </c>
      <c r="E49" s="30" t="s">
        <v>1</v>
      </c>
      <c r="F49" s="109" t="str">
        <f>E49</f>
        <v/>
      </c>
      <c r="G49" s="109" t="s">
        <v>1</v>
      </c>
      <c r="H49" s="108" t="s">
        <v>1</v>
      </c>
      <c r="I49" s="109">
        <v>36</v>
      </c>
      <c r="J49" s="141" t="str">
        <f t="shared" si="1"/>
        <v/>
      </c>
      <c r="K49" s="211" t="str">
        <f>IFERROR(E49/#REF!,"")</f>
        <v/>
      </c>
      <c r="L49" s="30">
        <v>149389</v>
      </c>
      <c r="M49" s="75" t="s">
        <v>72</v>
      </c>
      <c r="N49" s="109" t="s">
        <v>1</v>
      </c>
      <c r="O49" s="109">
        <v>14.7</v>
      </c>
      <c r="P49" s="109" t="s">
        <v>1</v>
      </c>
      <c r="Q49" s="109" t="s">
        <v>1</v>
      </c>
      <c r="R49" s="109" t="s">
        <v>1</v>
      </c>
      <c r="S49" s="109" t="s">
        <v>1</v>
      </c>
      <c r="T49" s="109" t="s">
        <v>1</v>
      </c>
      <c r="U49" s="109" t="s">
        <v>1</v>
      </c>
      <c r="V49" s="92" t="s">
        <v>1</v>
      </c>
      <c r="W49" s="92" t="s">
        <v>72</v>
      </c>
      <c r="X49" s="92" t="s">
        <v>1</v>
      </c>
      <c r="Y49" s="92" t="s">
        <v>72</v>
      </c>
      <c r="Z49" s="92" t="s">
        <v>1</v>
      </c>
      <c r="AA49" s="236" t="s">
        <v>72</v>
      </c>
      <c r="AB49" s="92" t="s">
        <v>1</v>
      </c>
      <c r="AC49" s="92" t="s">
        <v>72</v>
      </c>
      <c r="AD49" s="92" t="s">
        <v>1</v>
      </c>
      <c r="AE49" s="92" t="s">
        <v>72</v>
      </c>
      <c r="AF49" s="92" t="s">
        <v>1</v>
      </c>
      <c r="AG49" s="92" t="s">
        <v>72</v>
      </c>
      <c r="AH49" s="92">
        <v>4704</v>
      </c>
      <c r="AI49" s="92" t="s">
        <v>72</v>
      </c>
      <c r="AJ49" s="92">
        <v>1009</v>
      </c>
      <c r="AK49" s="92" t="s">
        <v>72</v>
      </c>
      <c r="AL49" s="92">
        <v>128</v>
      </c>
      <c r="AM49" s="92" t="s">
        <v>72</v>
      </c>
      <c r="AN49" s="92">
        <v>2096</v>
      </c>
      <c r="AO49" s="92" t="s">
        <v>72</v>
      </c>
      <c r="AP49" s="92">
        <v>1639</v>
      </c>
      <c r="AQ49" s="92" t="s">
        <v>72</v>
      </c>
      <c r="AR49" s="92">
        <v>338</v>
      </c>
      <c r="AS49" s="92" t="s">
        <v>72</v>
      </c>
      <c r="AT49" s="200" t="s">
        <v>1</v>
      </c>
      <c r="AU49" s="109" t="s">
        <v>1</v>
      </c>
      <c r="AV49" s="198">
        <v>252</v>
      </c>
      <c r="AW49" s="109" t="s">
        <v>1</v>
      </c>
      <c r="AX49" s="141">
        <v>0.0441485634197617</v>
      </c>
      <c r="AY49" s="200" t="s">
        <v>186</v>
      </c>
      <c r="AZ49" s="207" t="s">
        <v>187</v>
      </c>
      <c r="BA49" s="109" t="s">
        <v>1</v>
      </c>
      <c r="BB49" s="141">
        <v>0.202380952380952</v>
      </c>
      <c r="BC49" s="200" t="s">
        <v>103</v>
      </c>
      <c r="BD49" s="200" t="s">
        <v>1</v>
      </c>
      <c r="BE49" s="109" t="s">
        <v>1</v>
      </c>
      <c r="BF49" s="109" t="s">
        <v>1</v>
      </c>
      <c r="BG49" s="200" t="s">
        <v>1</v>
      </c>
      <c r="BH49" s="200">
        <v>0.93</v>
      </c>
      <c r="BI49" s="92" t="s">
        <v>94</v>
      </c>
      <c r="BJ49" s="92">
        <v>38</v>
      </c>
      <c r="BK49" s="92">
        <v>1759</v>
      </c>
      <c r="BL49" s="92" t="s">
        <v>72</v>
      </c>
      <c r="BM49" s="92" t="s">
        <v>74</v>
      </c>
      <c r="BN49" s="92">
        <v>243</v>
      </c>
      <c r="BO49" s="92">
        <v>574</v>
      </c>
      <c r="BP49" s="92" t="s">
        <v>72</v>
      </c>
      <c r="BQ49" s="108" t="s">
        <v>1</v>
      </c>
      <c r="BR49" s="108" t="s">
        <v>1</v>
      </c>
      <c r="BS49" s="108" t="s">
        <v>1</v>
      </c>
      <c r="BT49" s="108" t="s">
        <v>1</v>
      </c>
      <c r="BU49" s="108" t="s">
        <v>1</v>
      </c>
      <c r="BV49" s="189" t="s">
        <v>1</v>
      </c>
      <c r="BW49" s="189" t="s">
        <v>1</v>
      </c>
      <c r="BX49" s="189" t="s">
        <v>1</v>
      </c>
      <c r="BY49" s="189" t="s">
        <v>1</v>
      </c>
      <c r="BZ49" s="190" t="s">
        <v>1</v>
      </c>
      <c r="CA49" s="190" t="s">
        <v>1</v>
      </c>
      <c r="CB49" s="191" t="s">
        <v>1</v>
      </c>
      <c r="CC49" s="189" t="s">
        <v>1</v>
      </c>
      <c r="CD49" s="189" t="s">
        <v>1</v>
      </c>
      <c r="CE49" s="191" t="s">
        <v>1</v>
      </c>
      <c r="CF49" s="108" t="s">
        <v>1</v>
      </c>
    </row>
    <row r="50" ht="29" customHeight="1" spans="1:84">
      <c r="A50" s="107">
        <v>45153</v>
      </c>
      <c r="B50" s="197" t="s">
        <v>99</v>
      </c>
      <c r="C50" s="92" t="s">
        <v>71</v>
      </c>
      <c r="D50" s="30" t="s">
        <v>1</v>
      </c>
      <c r="E50" s="30" t="s">
        <v>1</v>
      </c>
      <c r="F50" s="109" t="e">
        <f>E50-3.8</f>
        <v>#VALUE!</v>
      </c>
      <c r="G50" s="109" t="s">
        <v>1</v>
      </c>
      <c r="H50" s="108" t="s">
        <v>1</v>
      </c>
      <c r="I50" s="109">
        <v>16</v>
      </c>
      <c r="J50" s="141" t="str">
        <f t="shared" si="1"/>
        <v/>
      </c>
      <c r="K50" s="211" t="str">
        <f>IFERROR(E50/#REF!,"")</f>
        <v/>
      </c>
      <c r="L50" s="30">
        <v>71590</v>
      </c>
      <c r="M50" s="75" t="s">
        <v>72</v>
      </c>
      <c r="N50" s="109" t="s">
        <v>1</v>
      </c>
      <c r="O50" s="109">
        <v>5.9</v>
      </c>
      <c r="P50" s="109" t="s">
        <v>1</v>
      </c>
      <c r="Q50" s="109" t="s">
        <v>1</v>
      </c>
      <c r="R50" s="109" t="s">
        <v>1</v>
      </c>
      <c r="S50" s="109" t="s">
        <v>1</v>
      </c>
      <c r="T50" s="109" t="s">
        <v>1</v>
      </c>
      <c r="U50" s="109" t="s">
        <v>1</v>
      </c>
      <c r="V50" s="92" t="s">
        <v>1</v>
      </c>
      <c r="W50" s="92" t="s">
        <v>72</v>
      </c>
      <c r="X50" s="92" t="s">
        <v>1</v>
      </c>
      <c r="Y50" s="92" t="s">
        <v>72</v>
      </c>
      <c r="Z50" s="92" t="s">
        <v>1</v>
      </c>
      <c r="AA50" s="236" t="s">
        <v>72</v>
      </c>
      <c r="AB50" s="92" t="s">
        <v>1</v>
      </c>
      <c r="AC50" s="92" t="s">
        <v>72</v>
      </c>
      <c r="AD50" s="92" t="s">
        <v>1</v>
      </c>
      <c r="AE50" s="92" t="s">
        <v>72</v>
      </c>
      <c r="AF50" s="92" t="s">
        <v>1</v>
      </c>
      <c r="AG50" s="92" t="s">
        <v>72</v>
      </c>
      <c r="AH50" s="92">
        <v>3787</v>
      </c>
      <c r="AI50" s="92" t="s">
        <v>72</v>
      </c>
      <c r="AJ50" s="92">
        <v>831</v>
      </c>
      <c r="AK50" s="92" t="s">
        <v>72</v>
      </c>
      <c r="AL50" s="92">
        <v>101</v>
      </c>
      <c r="AM50" s="92" t="s">
        <v>72</v>
      </c>
      <c r="AN50" s="92">
        <v>1719</v>
      </c>
      <c r="AO50" s="92" t="s">
        <v>72</v>
      </c>
      <c r="AP50" s="92">
        <v>1406</v>
      </c>
      <c r="AQ50" s="92" t="s">
        <v>72</v>
      </c>
      <c r="AR50" s="92">
        <v>250</v>
      </c>
      <c r="AS50" s="92" t="s">
        <v>72</v>
      </c>
      <c r="AT50" s="200" t="s">
        <v>1</v>
      </c>
      <c r="AU50" s="109" t="s">
        <v>1</v>
      </c>
      <c r="AV50" s="198">
        <v>190</v>
      </c>
      <c r="AW50" s="109" t="s">
        <v>1</v>
      </c>
      <c r="AX50" s="141">
        <v>0.0397655922980326</v>
      </c>
      <c r="AY50" s="200" t="s">
        <v>186</v>
      </c>
      <c r="AZ50" s="207" t="s">
        <v>133</v>
      </c>
      <c r="BA50" s="109" t="s">
        <v>1</v>
      </c>
      <c r="BB50" s="141">
        <v>0.110526315789474</v>
      </c>
      <c r="BC50" s="200" t="s">
        <v>103</v>
      </c>
      <c r="BD50" s="200" t="s">
        <v>1</v>
      </c>
      <c r="BE50" s="109" t="s">
        <v>1</v>
      </c>
      <c r="BF50" s="109" t="s">
        <v>1</v>
      </c>
      <c r="BG50" s="200" t="s">
        <v>1</v>
      </c>
      <c r="BH50" s="200">
        <v>1</v>
      </c>
      <c r="BI50" s="92" t="s">
        <v>73</v>
      </c>
      <c r="BJ50" s="92">
        <v>64</v>
      </c>
      <c r="BK50" s="92">
        <v>1185</v>
      </c>
      <c r="BL50" s="92" t="s">
        <v>72</v>
      </c>
      <c r="BM50" s="92" t="s">
        <v>74</v>
      </c>
      <c r="BN50" s="92">
        <v>338</v>
      </c>
      <c r="BO50" s="92">
        <v>397</v>
      </c>
      <c r="BP50" s="92" t="s">
        <v>72</v>
      </c>
      <c r="BQ50" s="108" t="s">
        <v>1</v>
      </c>
      <c r="BR50" s="108" t="s">
        <v>1</v>
      </c>
      <c r="BS50" s="108" t="s">
        <v>1</v>
      </c>
      <c r="BT50" s="108" t="s">
        <v>1</v>
      </c>
      <c r="BU50" s="108" t="s">
        <v>1</v>
      </c>
      <c r="BV50" s="189" t="s">
        <v>78</v>
      </c>
      <c r="BW50" s="189" t="s">
        <v>83</v>
      </c>
      <c r="BX50" s="189" t="s">
        <v>84</v>
      </c>
      <c r="BY50" s="190" t="s">
        <v>92</v>
      </c>
      <c r="BZ50" s="189" t="s">
        <v>86</v>
      </c>
      <c r="CA50" s="189" t="s">
        <v>105</v>
      </c>
      <c r="CB50" s="189" t="s">
        <v>87</v>
      </c>
      <c r="CC50" s="189" t="s">
        <v>79</v>
      </c>
      <c r="CD50" s="189" t="s">
        <v>107</v>
      </c>
      <c r="CE50" s="190" t="s">
        <v>145</v>
      </c>
      <c r="CF50" s="108" t="s">
        <v>1</v>
      </c>
    </row>
    <row r="51" ht="29" customHeight="1" spans="1:84">
      <c r="A51" s="107">
        <v>45154</v>
      </c>
      <c r="B51" s="202" t="s">
        <v>100</v>
      </c>
      <c r="C51" s="92" t="s">
        <v>71</v>
      </c>
      <c r="D51" s="30" t="s">
        <v>1</v>
      </c>
      <c r="E51" s="30" t="s">
        <v>1</v>
      </c>
      <c r="F51" s="109" t="e">
        <f>E51-2</f>
        <v>#VALUE!</v>
      </c>
      <c r="G51" s="109" t="s">
        <v>1</v>
      </c>
      <c r="H51" s="108" t="s">
        <v>1</v>
      </c>
      <c r="I51" s="109">
        <v>0</v>
      </c>
      <c r="J51" s="141" t="str">
        <f t="shared" si="1"/>
        <v/>
      </c>
      <c r="K51" s="211" t="str">
        <f>IFERROR(E51/#REF!,"")</f>
        <v/>
      </c>
      <c r="L51" s="30">
        <v>64783</v>
      </c>
      <c r="M51" s="75" t="s">
        <v>72</v>
      </c>
      <c r="N51" s="109" t="s">
        <v>1</v>
      </c>
      <c r="O51" s="109">
        <v>4.8</v>
      </c>
      <c r="P51" s="109" t="s">
        <v>1</v>
      </c>
      <c r="Q51" s="109" t="s">
        <v>1</v>
      </c>
      <c r="R51" s="109" t="s">
        <v>1</v>
      </c>
      <c r="S51" s="109" t="s">
        <v>1</v>
      </c>
      <c r="T51" s="109" t="s">
        <v>1</v>
      </c>
      <c r="U51" s="109" t="s">
        <v>1</v>
      </c>
      <c r="V51" s="92" t="s">
        <v>1</v>
      </c>
      <c r="W51" s="92" t="s">
        <v>72</v>
      </c>
      <c r="X51" s="92" t="s">
        <v>1</v>
      </c>
      <c r="Y51" s="92" t="s">
        <v>72</v>
      </c>
      <c r="Z51" s="92" t="s">
        <v>1</v>
      </c>
      <c r="AA51" s="236" t="s">
        <v>72</v>
      </c>
      <c r="AB51" s="92" t="s">
        <v>1</v>
      </c>
      <c r="AC51" s="92" t="s">
        <v>72</v>
      </c>
      <c r="AD51" s="92" t="s">
        <v>1</v>
      </c>
      <c r="AE51" s="92" t="s">
        <v>72</v>
      </c>
      <c r="AF51" s="92" t="s">
        <v>1</v>
      </c>
      <c r="AG51" s="92" t="s">
        <v>72</v>
      </c>
      <c r="AH51" s="92">
        <v>3252</v>
      </c>
      <c r="AI51" s="92" t="s">
        <v>72</v>
      </c>
      <c r="AJ51" s="92">
        <v>666</v>
      </c>
      <c r="AK51" s="92" t="s">
        <v>72</v>
      </c>
      <c r="AL51" s="92">
        <v>86</v>
      </c>
      <c r="AM51" s="92" t="s">
        <v>72</v>
      </c>
      <c r="AN51" s="92">
        <v>1964</v>
      </c>
      <c r="AO51" s="92" t="s">
        <v>72</v>
      </c>
      <c r="AP51" s="92">
        <v>1214</v>
      </c>
      <c r="AQ51" s="92" t="s">
        <v>72</v>
      </c>
      <c r="AR51" s="92">
        <v>222</v>
      </c>
      <c r="AS51" s="92" t="s">
        <v>72</v>
      </c>
      <c r="AT51" s="200" t="s">
        <v>1</v>
      </c>
      <c r="AU51" s="109" t="s">
        <v>1</v>
      </c>
      <c r="AV51" s="198">
        <v>146</v>
      </c>
      <c r="AW51" s="109" t="s">
        <v>1</v>
      </c>
      <c r="AX51" s="141">
        <v>0.0321373541712525</v>
      </c>
      <c r="AY51" s="200" t="s">
        <v>186</v>
      </c>
      <c r="AZ51" s="207" t="s">
        <v>188</v>
      </c>
      <c r="BA51" s="109" t="s">
        <v>1</v>
      </c>
      <c r="BB51" s="141">
        <v>0.10958904109589</v>
      </c>
      <c r="BC51" s="200" t="s">
        <v>103</v>
      </c>
      <c r="BD51" s="200" t="s">
        <v>1</v>
      </c>
      <c r="BE51" s="109" t="s">
        <v>1</v>
      </c>
      <c r="BF51" s="109" t="s">
        <v>1</v>
      </c>
      <c r="BG51" s="200" t="s">
        <v>1</v>
      </c>
      <c r="BH51" s="200">
        <v>1</v>
      </c>
      <c r="BI51" s="92" t="s">
        <v>73</v>
      </c>
      <c r="BJ51" s="92">
        <v>58</v>
      </c>
      <c r="BK51" s="92">
        <v>1114</v>
      </c>
      <c r="BL51" s="92" t="s">
        <v>72</v>
      </c>
      <c r="BM51" s="92" t="s">
        <v>74</v>
      </c>
      <c r="BN51" s="92">
        <v>366</v>
      </c>
      <c r="BO51" s="92">
        <v>369</v>
      </c>
      <c r="BP51" s="92" t="s">
        <v>72</v>
      </c>
      <c r="BQ51" s="108" t="s">
        <v>1</v>
      </c>
      <c r="BR51" s="108" t="s">
        <v>1</v>
      </c>
      <c r="BS51" s="108" t="s">
        <v>1</v>
      </c>
      <c r="BT51" s="108" t="s">
        <v>1</v>
      </c>
      <c r="BU51" s="108" t="s">
        <v>1</v>
      </c>
      <c r="BV51" s="189" t="s">
        <v>1</v>
      </c>
      <c r="BW51" s="189" t="s">
        <v>1</v>
      </c>
      <c r="BX51" s="189" t="s">
        <v>1</v>
      </c>
      <c r="BY51" s="190" t="s">
        <v>1</v>
      </c>
      <c r="BZ51" s="189" t="s">
        <v>1</v>
      </c>
      <c r="CA51" s="189" t="s">
        <v>1</v>
      </c>
      <c r="CB51" s="189" t="s">
        <v>1</v>
      </c>
      <c r="CC51" s="189" t="s">
        <v>1</v>
      </c>
      <c r="CD51" s="189" t="s">
        <v>1</v>
      </c>
      <c r="CE51" s="190" t="s">
        <v>1</v>
      </c>
      <c r="CF51" s="108" t="s">
        <v>1</v>
      </c>
    </row>
    <row r="52" ht="29" customHeight="1" spans="1:84">
      <c r="A52" s="107">
        <v>45155</v>
      </c>
      <c r="B52" s="197" t="s">
        <v>104</v>
      </c>
      <c r="C52" s="92" t="s">
        <v>71</v>
      </c>
      <c r="D52" s="30" t="s">
        <v>1</v>
      </c>
      <c r="E52" s="30" t="s">
        <v>1</v>
      </c>
      <c r="F52" s="109" t="e">
        <f>E52-0.35</f>
        <v>#VALUE!</v>
      </c>
      <c r="G52" s="109" t="s">
        <v>1</v>
      </c>
      <c r="H52" s="108" t="s">
        <v>1</v>
      </c>
      <c r="I52" s="109">
        <v>21</v>
      </c>
      <c r="J52" s="141" t="str">
        <f t="shared" si="1"/>
        <v/>
      </c>
      <c r="K52" s="211" t="str">
        <f>IFERROR(E52/#REF!,"")</f>
        <v/>
      </c>
      <c r="L52" s="30">
        <v>59163</v>
      </c>
      <c r="M52" s="75" t="s">
        <v>72</v>
      </c>
      <c r="N52" s="109" t="s">
        <v>1</v>
      </c>
      <c r="O52" s="109">
        <v>4.1</v>
      </c>
      <c r="P52" s="109" t="s">
        <v>1</v>
      </c>
      <c r="Q52" s="109" t="s">
        <v>1</v>
      </c>
      <c r="R52" s="109" t="s">
        <v>1</v>
      </c>
      <c r="S52" s="109" t="s">
        <v>1</v>
      </c>
      <c r="T52" s="109" t="s">
        <v>1</v>
      </c>
      <c r="U52" s="109" t="s">
        <v>1</v>
      </c>
      <c r="V52" s="92" t="s">
        <v>1</v>
      </c>
      <c r="W52" s="92" t="s">
        <v>72</v>
      </c>
      <c r="X52" s="92" t="s">
        <v>1</v>
      </c>
      <c r="Y52" s="92" t="s">
        <v>72</v>
      </c>
      <c r="Z52" s="92" t="s">
        <v>1</v>
      </c>
      <c r="AA52" s="236" t="s">
        <v>72</v>
      </c>
      <c r="AB52" s="92" t="s">
        <v>1</v>
      </c>
      <c r="AC52" s="92" t="s">
        <v>72</v>
      </c>
      <c r="AD52" s="92" t="s">
        <v>1</v>
      </c>
      <c r="AE52" s="92" t="s">
        <v>72</v>
      </c>
      <c r="AF52" s="92" t="s">
        <v>1</v>
      </c>
      <c r="AG52" s="92" t="s">
        <v>72</v>
      </c>
      <c r="AH52" s="92">
        <v>3278</v>
      </c>
      <c r="AI52" s="92" t="s">
        <v>72</v>
      </c>
      <c r="AJ52" s="92">
        <v>733</v>
      </c>
      <c r="AK52" s="92" t="s">
        <v>72</v>
      </c>
      <c r="AL52" s="92">
        <v>88</v>
      </c>
      <c r="AM52" s="92" t="s">
        <v>72</v>
      </c>
      <c r="AN52" s="92">
        <v>1517</v>
      </c>
      <c r="AO52" s="92" t="s">
        <v>72</v>
      </c>
      <c r="AP52" s="92">
        <v>1220</v>
      </c>
      <c r="AQ52" s="92" t="s">
        <v>72</v>
      </c>
      <c r="AR52" s="92">
        <v>191</v>
      </c>
      <c r="AS52" s="92" t="s">
        <v>72</v>
      </c>
      <c r="AT52" s="200" t="s">
        <v>1</v>
      </c>
      <c r="AU52" s="109" t="s">
        <v>1</v>
      </c>
      <c r="AV52" s="198">
        <v>202</v>
      </c>
      <c r="AW52" s="109" t="s">
        <v>1</v>
      </c>
      <c r="AX52" s="141">
        <v>0.0481985206394655</v>
      </c>
      <c r="AY52" s="200" t="s">
        <v>186</v>
      </c>
      <c r="AZ52" s="207" t="s">
        <v>131</v>
      </c>
      <c r="BA52" s="109" t="s">
        <v>1</v>
      </c>
      <c r="BB52" s="141">
        <v>0.0742574257425743</v>
      </c>
      <c r="BC52" s="200" t="s">
        <v>103</v>
      </c>
      <c r="BD52" s="200" t="s">
        <v>1</v>
      </c>
      <c r="BE52" s="109" t="s">
        <v>1</v>
      </c>
      <c r="BF52" s="109" t="s">
        <v>1</v>
      </c>
      <c r="BG52" s="200" t="s">
        <v>1</v>
      </c>
      <c r="BH52" s="200">
        <v>1</v>
      </c>
      <c r="BI52" s="92" t="s">
        <v>73</v>
      </c>
      <c r="BJ52" s="92">
        <v>58</v>
      </c>
      <c r="BK52" s="92">
        <v>1104</v>
      </c>
      <c r="BL52" s="92" t="s">
        <v>72</v>
      </c>
      <c r="BM52" s="92" t="s">
        <v>74</v>
      </c>
      <c r="BN52" s="92">
        <v>323</v>
      </c>
      <c r="BO52" s="92">
        <v>406</v>
      </c>
      <c r="BP52" s="92" t="s">
        <v>72</v>
      </c>
      <c r="BQ52" s="108" t="s">
        <v>1</v>
      </c>
      <c r="BR52" s="108" t="s">
        <v>1</v>
      </c>
      <c r="BS52" s="108" t="s">
        <v>1</v>
      </c>
      <c r="BT52" s="108" t="s">
        <v>1</v>
      </c>
      <c r="BU52" s="108" t="s">
        <v>1</v>
      </c>
      <c r="BV52" s="189" t="s">
        <v>1</v>
      </c>
      <c r="BW52" s="189" t="s">
        <v>1</v>
      </c>
      <c r="BX52" s="189" t="s">
        <v>1</v>
      </c>
      <c r="BY52" s="190" t="s">
        <v>1</v>
      </c>
      <c r="BZ52" s="189" t="s">
        <v>1</v>
      </c>
      <c r="CA52" s="189" t="s">
        <v>1</v>
      </c>
      <c r="CB52" s="189" t="s">
        <v>1</v>
      </c>
      <c r="CC52" s="189" t="s">
        <v>1</v>
      </c>
      <c r="CD52" s="189" t="s">
        <v>1</v>
      </c>
      <c r="CE52" s="190" t="s">
        <v>1</v>
      </c>
      <c r="CF52" s="108" t="s">
        <v>1</v>
      </c>
    </row>
    <row r="53" ht="29" customHeight="1" spans="1:84">
      <c r="A53" s="107">
        <v>45156</v>
      </c>
      <c r="B53" s="197" t="s">
        <v>99</v>
      </c>
      <c r="C53" s="92" t="s">
        <v>71</v>
      </c>
      <c r="D53" s="30" t="s">
        <v>1</v>
      </c>
      <c r="E53" s="30" t="s">
        <v>1</v>
      </c>
      <c r="F53" s="109" t="e">
        <f>E53-1</f>
        <v>#VALUE!</v>
      </c>
      <c r="G53" s="109" t="s">
        <v>1</v>
      </c>
      <c r="H53" s="108" t="s">
        <v>1</v>
      </c>
      <c r="I53" s="109">
        <v>14</v>
      </c>
      <c r="J53" s="141" t="str">
        <f t="shared" si="1"/>
        <v/>
      </c>
      <c r="K53" s="211" t="str">
        <f>IFERROR(E53/#REF!,"")</f>
        <v/>
      </c>
      <c r="L53" s="30">
        <v>74289</v>
      </c>
      <c r="M53" s="75" t="s">
        <v>72</v>
      </c>
      <c r="N53" s="109" t="s">
        <v>1</v>
      </c>
      <c r="O53" s="109">
        <v>5.41</v>
      </c>
      <c r="P53" s="109" t="s">
        <v>1</v>
      </c>
      <c r="Q53" s="109" t="s">
        <v>1</v>
      </c>
      <c r="R53" s="109" t="s">
        <v>1</v>
      </c>
      <c r="S53" s="109" t="s">
        <v>1</v>
      </c>
      <c r="T53" s="109" t="s">
        <v>1</v>
      </c>
      <c r="U53" s="109" t="s">
        <v>1</v>
      </c>
      <c r="V53" s="92" t="s">
        <v>1</v>
      </c>
      <c r="W53" s="92" t="s">
        <v>72</v>
      </c>
      <c r="X53" s="92" t="s">
        <v>1</v>
      </c>
      <c r="Y53" s="92" t="s">
        <v>72</v>
      </c>
      <c r="Z53" s="92" t="s">
        <v>1</v>
      </c>
      <c r="AA53" s="236" t="s">
        <v>72</v>
      </c>
      <c r="AB53" s="92" t="s">
        <v>1</v>
      </c>
      <c r="AC53" s="92" t="s">
        <v>72</v>
      </c>
      <c r="AD53" s="92" t="s">
        <v>1</v>
      </c>
      <c r="AE53" s="92" t="s">
        <v>72</v>
      </c>
      <c r="AF53" s="92" t="s">
        <v>1</v>
      </c>
      <c r="AG53" s="92" t="s">
        <v>72</v>
      </c>
      <c r="AH53" s="92">
        <v>4040</v>
      </c>
      <c r="AI53" s="92" t="s">
        <v>72</v>
      </c>
      <c r="AJ53" s="92">
        <v>590</v>
      </c>
      <c r="AK53" s="92" t="s">
        <v>72</v>
      </c>
      <c r="AL53" s="92">
        <v>85</v>
      </c>
      <c r="AM53" s="92" t="s">
        <v>72</v>
      </c>
      <c r="AN53" s="92">
        <v>1360</v>
      </c>
      <c r="AO53" s="92" t="s">
        <v>72</v>
      </c>
      <c r="AP53" s="92">
        <v>1293</v>
      </c>
      <c r="AQ53" s="92" t="s">
        <v>72</v>
      </c>
      <c r="AR53" s="92">
        <v>869</v>
      </c>
      <c r="AS53" s="92" t="s">
        <v>72</v>
      </c>
      <c r="AT53" s="200" t="s">
        <v>1</v>
      </c>
      <c r="AU53" s="109" t="s">
        <v>1</v>
      </c>
      <c r="AV53" s="198">
        <v>168</v>
      </c>
      <c r="AW53" s="109" t="s">
        <v>1</v>
      </c>
      <c r="AX53" s="141">
        <v>0.035472972972973</v>
      </c>
      <c r="AY53" s="200" t="s">
        <v>186</v>
      </c>
      <c r="AZ53" s="207" t="s">
        <v>189</v>
      </c>
      <c r="BA53" s="109" t="s">
        <v>1</v>
      </c>
      <c r="BB53" s="141">
        <v>0.0654761904761905</v>
      </c>
      <c r="BC53" s="200" t="s">
        <v>103</v>
      </c>
      <c r="BD53" s="200" t="s">
        <v>1</v>
      </c>
      <c r="BE53" s="109" t="s">
        <v>1</v>
      </c>
      <c r="BF53" s="109" t="s">
        <v>1</v>
      </c>
      <c r="BG53" s="200" t="s">
        <v>1</v>
      </c>
      <c r="BH53" s="200">
        <v>1</v>
      </c>
      <c r="BI53" s="92" t="s">
        <v>94</v>
      </c>
      <c r="BJ53" s="92">
        <v>38</v>
      </c>
      <c r="BK53" s="92">
        <v>1475</v>
      </c>
      <c r="BL53" s="92" t="s">
        <v>72</v>
      </c>
      <c r="BM53" s="92" t="s">
        <v>74</v>
      </c>
      <c r="BN53" s="92">
        <v>280</v>
      </c>
      <c r="BO53" s="92">
        <v>447</v>
      </c>
      <c r="BP53" s="92" t="s">
        <v>72</v>
      </c>
      <c r="BQ53" s="108" t="s">
        <v>1</v>
      </c>
      <c r="BR53" s="108" t="s">
        <v>1</v>
      </c>
      <c r="BS53" s="108" t="s">
        <v>1</v>
      </c>
      <c r="BT53" s="108" t="s">
        <v>1</v>
      </c>
      <c r="BU53" s="108" t="s">
        <v>1</v>
      </c>
      <c r="BV53" s="189" t="s">
        <v>1</v>
      </c>
      <c r="BW53" s="189" t="s">
        <v>1</v>
      </c>
      <c r="BX53" s="189" t="s">
        <v>1</v>
      </c>
      <c r="BY53" s="190" t="s">
        <v>1</v>
      </c>
      <c r="BZ53" s="189" t="s">
        <v>1</v>
      </c>
      <c r="CA53" s="189" t="s">
        <v>1</v>
      </c>
      <c r="CB53" s="189" t="s">
        <v>1</v>
      </c>
      <c r="CC53" s="189" t="s">
        <v>1</v>
      </c>
      <c r="CD53" s="189" t="s">
        <v>1</v>
      </c>
      <c r="CE53" s="190" t="s">
        <v>1</v>
      </c>
      <c r="CF53" s="108" t="s">
        <v>1</v>
      </c>
    </row>
    <row r="54" ht="29" customHeight="1" spans="1:84">
      <c r="A54" s="107">
        <v>45157</v>
      </c>
      <c r="B54" s="202" t="s">
        <v>100</v>
      </c>
      <c r="C54" s="92" t="s">
        <v>71</v>
      </c>
      <c r="D54" s="30" t="s">
        <v>1</v>
      </c>
      <c r="E54" s="30" t="s">
        <v>1</v>
      </c>
      <c r="F54" s="109" t="str">
        <f>E54</f>
        <v/>
      </c>
      <c r="G54" s="109" t="s">
        <v>1</v>
      </c>
      <c r="H54" s="108" t="s">
        <v>1</v>
      </c>
      <c r="I54" s="109">
        <v>6</v>
      </c>
      <c r="J54" s="141" t="str">
        <f t="shared" si="1"/>
        <v/>
      </c>
      <c r="K54" s="211" t="str">
        <f>IFERROR(E54/#REF!,"")</f>
        <v/>
      </c>
      <c r="L54" s="30">
        <v>35290</v>
      </c>
      <c r="M54" s="75" t="s">
        <v>72</v>
      </c>
      <c r="N54" s="109" t="s">
        <v>1</v>
      </c>
      <c r="O54" s="109">
        <v>2.63</v>
      </c>
      <c r="P54" s="109" t="s">
        <v>1</v>
      </c>
      <c r="Q54" s="109" t="s">
        <v>1</v>
      </c>
      <c r="R54" s="109" t="s">
        <v>1</v>
      </c>
      <c r="S54" s="109" t="s">
        <v>1</v>
      </c>
      <c r="T54" s="109" t="s">
        <v>1</v>
      </c>
      <c r="U54" s="109" t="s">
        <v>1</v>
      </c>
      <c r="V54" s="92" t="s">
        <v>1</v>
      </c>
      <c r="W54" s="92" t="s">
        <v>72</v>
      </c>
      <c r="X54" s="92" t="s">
        <v>1</v>
      </c>
      <c r="Y54" s="92" t="s">
        <v>72</v>
      </c>
      <c r="Z54" s="92" t="s">
        <v>1</v>
      </c>
      <c r="AA54" s="236" t="s">
        <v>72</v>
      </c>
      <c r="AB54" s="92" t="s">
        <v>1</v>
      </c>
      <c r="AC54" s="92" t="s">
        <v>72</v>
      </c>
      <c r="AD54" s="92" t="s">
        <v>1</v>
      </c>
      <c r="AE54" s="92" t="s">
        <v>72</v>
      </c>
      <c r="AF54" s="92" t="s">
        <v>1</v>
      </c>
      <c r="AG54" s="92" t="s">
        <v>72</v>
      </c>
      <c r="AH54" s="92">
        <v>3751</v>
      </c>
      <c r="AI54" s="92" t="s">
        <v>72</v>
      </c>
      <c r="AJ54" s="92">
        <v>367</v>
      </c>
      <c r="AK54" s="92" t="s">
        <v>72</v>
      </c>
      <c r="AL54" s="92">
        <v>71</v>
      </c>
      <c r="AM54" s="92" t="s">
        <v>72</v>
      </c>
      <c r="AN54" s="92">
        <v>1600</v>
      </c>
      <c r="AO54" s="92" t="s">
        <v>72</v>
      </c>
      <c r="AP54" s="92">
        <v>1223</v>
      </c>
      <c r="AQ54" s="92" t="s">
        <v>72</v>
      </c>
      <c r="AR54" s="92">
        <v>833</v>
      </c>
      <c r="AS54" s="92" t="s">
        <v>72</v>
      </c>
      <c r="AT54" s="200" t="s">
        <v>1</v>
      </c>
      <c r="AU54" s="109" t="s">
        <v>1</v>
      </c>
      <c r="AV54" s="207">
        <v>134</v>
      </c>
      <c r="AW54" s="109" t="s">
        <v>1</v>
      </c>
      <c r="AX54" s="141">
        <v>0.0287430287430287</v>
      </c>
      <c r="AY54" s="200" t="s">
        <v>186</v>
      </c>
      <c r="AZ54" s="207" t="s">
        <v>190</v>
      </c>
      <c r="BA54" s="109" t="s">
        <v>1</v>
      </c>
      <c r="BB54" s="141">
        <v>0.0597014925373134</v>
      </c>
      <c r="BC54" s="200" t="s">
        <v>103</v>
      </c>
      <c r="BD54" s="200" t="s">
        <v>1</v>
      </c>
      <c r="BE54" s="109" t="s">
        <v>1</v>
      </c>
      <c r="BF54" s="109" t="s">
        <v>1</v>
      </c>
      <c r="BG54" s="200" t="s">
        <v>1</v>
      </c>
      <c r="BH54" s="200">
        <v>1</v>
      </c>
      <c r="BI54" s="92" t="s">
        <v>73</v>
      </c>
      <c r="BJ54" s="92">
        <v>54</v>
      </c>
      <c r="BK54" s="92">
        <v>1257</v>
      </c>
      <c r="BL54" s="92" t="s">
        <v>72</v>
      </c>
      <c r="BM54" s="92" t="s">
        <v>74</v>
      </c>
      <c r="BN54" s="92">
        <v>341</v>
      </c>
      <c r="BO54" s="92">
        <v>401</v>
      </c>
      <c r="BP54" s="92" t="s">
        <v>72</v>
      </c>
      <c r="BQ54" s="108" t="s">
        <v>1</v>
      </c>
      <c r="BR54" s="108" t="s">
        <v>1</v>
      </c>
      <c r="BS54" s="108" t="s">
        <v>1</v>
      </c>
      <c r="BT54" s="108" t="s">
        <v>1</v>
      </c>
      <c r="BU54" s="108" t="s">
        <v>1</v>
      </c>
      <c r="BV54" s="189" t="s">
        <v>1</v>
      </c>
      <c r="BW54" s="189" t="s">
        <v>1</v>
      </c>
      <c r="BX54" s="189" t="s">
        <v>1</v>
      </c>
      <c r="BY54" s="190" t="s">
        <v>1</v>
      </c>
      <c r="BZ54" s="189" t="s">
        <v>1</v>
      </c>
      <c r="CA54" s="189" t="s">
        <v>1</v>
      </c>
      <c r="CB54" s="189" t="s">
        <v>1</v>
      </c>
      <c r="CC54" s="189" t="s">
        <v>1</v>
      </c>
      <c r="CD54" s="189" t="s">
        <v>1</v>
      </c>
      <c r="CE54" s="190" t="s">
        <v>1</v>
      </c>
      <c r="CF54" s="108" t="s">
        <v>1</v>
      </c>
    </row>
    <row r="55" ht="29" customHeight="1" spans="1:84">
      <c r="A55" s="107">
        <v>45158</v>
      </c>
      <c r="B55" s="202" t="s">
        <v>100</v>
      </c>
      <c r="C55" s="92" t="s">
        <v>71</v>
      </c>
      <c r="D55" s="30" t="s">
        <v>1</v>
      </c>
      <c r="E55" s="30" t="s">
        <v>1</v>
      </c>
      <c r="F55" s="109" t="str">
        <f>E55</f>
        <v/>
      </c>
      <c r="G55" s="109" t="s">
        <v>1</v>
      </c>
      <c r="H55" s="108" t="s">
        <v>1</v>
      </c>
      <c r="I55" s="109">
        <v>6</v>
      </c>
      <c r="J55" s="141" t="str">
        <f t="shared" si="1"/>
        <v/>
      </c>
      <c r="K55" s="211" t="str">
        <f>IFERROR(E55/#REF!,"")</f>
        <v/>
      </c>
      <c r="L55" s="30">
        <v>47467</v>
      </c>
      <c r="M55" s="75" t="s">
        <v>72</v>
      </c>
      <c r="N55" s="109" t="s">
        <v>1</v>
      </c>
      <c r="O55" s="109">
        <v>1.7</v>
      </c>
      <c r="P55" s="109" t="s">
        <v>1</v>
      </c>
      <c r="Q55" s="109" t="s">
        <v>1</v>
      </c>
      <c r="R55" s="109" t="s">
        <v>1</v>
      </c>
      <c r="S55" s="109" t="s">
        <v>1</v>
      </c>
      <c r="T55" s="109" t="s">
        <v>1</v>
      </c>
      <c r="U55" s="109" t="s">
        <v>1</v>
      </c>
      <c r="V55" s="92" t="s">
        <v>1</v>
      </c>
      <c r="W55" s="92" t="s">
        <v>72</v>
      </c>
      <c r="X55" s="92" t="s">
        <v>1</v>
      </c>
      <c r="Y55" s="92" t="s">
        <v>72</v>
      </c>
      <c r="Z55" s="92" t="s">
        <v>1</v>
      </c>
      <c r="AA55" s="236" t="s">
        <v>72</v>
      </c>
      <c r="AB55" s="92" t="s">
        <v>1</v>
      </c>
      <c r="AC55" s="92" t="s">
        <v>72</v>
      </c>
      <c r="AD55" s="92" t="s">
        <v>1</v>
      </c>
      <c r="AE55" s="92" t="s">
        <v>72</v>
      </c>
      <c r="AF55" s="92" t="s">
        <v>1</v>
      </c>
      <c r="AG55" s="92" t="s">
        <v>72</v>
      </c>
      <c r="AH55" s="92">
        <v>3879</v>
      </c>
      <c r="AI55" s="92" t="s">
        <v>72</v>
      </c>
      <c r="AJ55" s="92">
        <v>553</v>
      </c>
      <c r="AK55" s="92" t="s">
        <v>72</v>
      </c>
      <c r="AL55" s="92">
        <v>98</v>
      </c>
      <c r="AM55" s="92" t="s">
        <v>72</v>
      </c>
      <c r="AN55" s="92">
        <v>1664</v>
      </c>
      <c r="AO55" s="92" t="s">
        <v>72</v>
      </c>
      <c r="AP55" s="92">
        <v>1320</v>
      </c>
      <c r="AQ55" s="92" t="s">
        <v>72</v>
      </c>
      <c r="AR55" s="92">
        <v>802</v>
      </c>
      <c r="AS55" s="92" t="s">
        <v>72</v>
      </c>
      <c r="AT55" s="200" t="s">
        <v>1</v>
      </c>
      <c r="AU55" s="109" t="s">
        <v>1</v>
      </c>
      <c r="AV55" s="207">
        <v>148</v>
      </c>
      <c r="AW55" s="109" t="s">
        <v>1</v>
      </c>
      <c r="AX55" s="141">
        <v>0.0299777192627101</v>
      </c>
      <c r="AY55" s="200" t="s">
        <v>186</v>
      </c>
      <c r="AZ55" s="207" t="s">
        <v>191</v>
      </c>
      <c r="BA55" s="109" t="s">
        <v>1</v>
      </c>
      <c r="BB55" s="141">
        <v>0.0405405405405405</v>
      </c>
      <c r="BC55" s="200" t="s">
        <v>103</v>
      </c>
      <c r="BD55" s="200" t="s">
        <v>1</v>
      </c>
      <c r="BE55" s="109" t="s">
        <v>1</v>
      </c>
      <c r="BF55" s="109" t="s">
        <v>1</v>
      </c>
      <c r="BG55" s="200" t="s">
        <v>1</v>
      </c>
      <c r="BH55" s="200">
        <v>1</v>
      </c>
      <c r="BI55" s="92" t="s">
        <v>73</v>
      </c>
      <c r="BJ55" s="92">
        <v>62</v>
      </c>
      <c r="BK55" s="92">
        <v>1224</v>
      </c>
      <c r="BL55" s="92" t="s">
        <v>72</v>
      </c>
      <c r="BM55" s="92" t="s">
        <v>74</v>
      </c>
      <c r="BN55" s="92">
        <v>370</v>
      </c>
      <c r="BO55" s="92">
        <v>398</v>
      </c>
      <c r="BP55" s="92" t="s">
        <v>72</v>
      </c>
      <c r="BQ55" s="108" t="s">
        <v>1</v>
      </c>
      <c r="BR55" s="108" t="s">
        <v>1</v>
      </c>
      <c r="BS55" s="108" t="s">
        <v>1</v>
      </c>
      <c r="BT55" s="108" t="s">
        <v>1</v>
      </c>
      <c r="BU55" s="108" t="s">
        <v>1</v>
      </c>
      <c r="BV55" s="189" t="s">
        <v>1</v>
      </c>
      <c r="BW55" s="189" t="s">
        <v>1</v>
      </c>
      <c r="BX55" s="189" t="s">
        <v>1</v>
      </c>
      <c r="BY55" s="190" t="s">
        <v>1</v>
      </c>
      <c r="BZ55" s="189" t="s">
        <v>1</v>
      </c>
      <c r="CA55" s="189" t="s">
        <v>1</v>
      </c>
      <c r="CB55" s="189" t="s">
        <v>1</v>
      </c>
      <c r="CC55" s="189" t="s">
        <v>1</v>
      </c>
      <c r="CD55" s="189" t="s">
        <v>1</v>
      </c>
      <c r="CE55" s="190" t="s">
        <v>1</v>
      </c>
      <c r="CF55" s="108" t="s">
        <v>1</v>
      </c>
    </row>
    <row r="56" ht="29" customHeight="1" spans="1:84">
      <c r="A56" s="107">
        <v>45159</v>
      </c>
      <c r="B56" s="202" t="s">
        <v>100</v>
      </c>
      <c r="C56" s="92" t="s">
        <v>71</v>
      </c>
      <c r="D56" s="30" t="s">
        <v>1</v>
      </c>
      <c r="E56" s="30" t="s">
        <v>1</v>
      </c>
      <c r="F56" s="109" t="e">
        <f>E56-1.4</f>
        <v>#VALUE!</v>
      </c>
      <c r="G56" s="109" t="s">
        <v>1</v>
      </c>
      <c r="H56" s="108" t="s">
        <v>1</v>
      </c>
      <c r="I56" s="109">
        <v>8</v>
      </c>
      <c r="J56" s="141" t="str">
        <f t="shared" si="1"/>
        <v/>
      </c>
      <c r="K56" s="211" t="str">
        <f>IFERROR(E56/#REF!,"")</f>
        <v/>
      </c>
      <c r="L56" s="30">
        <v>64664</v>
      </c>
      <c r="M56" s="75" t="s">
        <v>72</v>
      </c>
      <c r="N56" s="109" t="s">
        <v>1</v>
      </c>
      <c r="O56" s="109">
        <v>2.61</v>
      </c>
      <c r="P56" s="109" t="s">
        <v>1</v>
      </c>
      <c r="Q56" s="109" t="s">
        <v>1</v>
      </c>
      <c r="R56" s="109" t="s">
        <v>1</v>
      </c>
      <c r="S56" s="109" t="s">
        <v>1</v>
      </c>
      <c r="T56" s="109" t="s">
        <v>1</v>
      </c>
      <c r="U56" s="109" t="s">
        <v>1</v>
      </c>
      <c r="V56" s="92" t="s">
        <v>1</v>
      </c>
      <c r="W56" s="92" t="s">
        <v>72</v>
      </c>
      <c r="X56" s="92" t="s">
        <v>1</v>
      </c>
      <c r="Y56" s="92" t="s">
        <v>72</v>
      </c>
      <c r="Z56" s="92" t="s">
        <v>1</v>
      </c>
      <c r="AA56" s="236" t="s">
        <v>72</v>
      </c>
      <c r="AB56" s="92" t="s">
        <v>1</v>
      </c>
      <c r="AC56" s="92" t="s">
        <v>72</v>
      </c>
      <c r="AD56" s="92" t="s">
        <v>1</v>
      </c>
      <c r="AE56" s="92" t="s">
        <v>72</v>
      </c>
      <c r="AF56" s="92" t="s">
        <v>1</v>
      </c>
      <c r="AG56" s="92" t="s">
        <v>72</v>
      </c>
      <c r="AH56" s="92">
        <v>4271</v>
      </c>
      <c r="AI56" s="92" t="s">
        <v>72</v>
      </c>
      <c r="AJ56" s="92">
        <v>486</v>
      </c>
      <c r="AK56" s="92" t="s">
        <v>72</v>
      </c>
      <c r="AL56" s="92">
        <v>76</v>
      </c>
      <c r="AM56" s="92" t="s">
        <v>72</v>
      </c>
      <c r="AN56" s="92">
        <v>1579</v>
      </c>
      <c r="AO56" s="92" t="s">
        <v>72</v>
      </c>
      <c r="AP56" s="92">
        <v>1618</v>
      </c>
      <c r="AQ56" s="92" t="s">
        <v>72</v>
      </c>
      <c r="AR56" s="92">
        <v>835</v>
      </c>
      <c r="AS56" s="92" t="s">
        <v>72</v>
      </c>
      <c r="AT56" s="200" t="s">
        <v>1</v>
      </c>
      <c r="AU56" s="109" t="s">
        <v>1</v>
      </c>
      <c r="AV56" s="207" t="s">
        <v>192</v>
      </c>
      <c r="AW56" s="109" t="s">
        <v>1</v>
      </c>
      <c r="AX56" s="141">
        <v>0.0326044513861773</v>
      </c>
      <c r="AY56" s="200" t="s">
        <v>1</v>
      </c>
      <c r="AZ56" s="207">
        <v>9</v>
      </c>
      <c r="BA56" s="109" t="s">
        <v>1</v>
      </c>
      <c r="BB56" s="141">
        <v>0.0538922155688623</v>
      </c>
      <c r="BC56" s="200" t="s">
        <v>1</v>
      </c>
      <c r="BD56" s="200" t="s">
        <v>1</v>
      </c>
      <c r="BE56" s="109" t="s">
        <v>1</v>
      </c>
      <c r="BF56" s="109" t="s">
        <v>1</v>
      </c>
      <c r="BG56" s="200" t="s">
        <v>1</v>
      </c>
      <c r="BH56" s="200">
        <v>1</v>
      </c>
      <c r="BI56" s="92" t="s">
        <v>94</v>
      </c>
      <c r="BJ56" s="92">
        <v>39</v>
      </c>
      <c r="BK56" s="92">
        <v>1728</v>
      </c>
      <c r="BL56" s="92" t="s">
        <v>72</v>
      </c>
      <c r="BM56" s="92" t="s">
        <v>74</v>
      </c>
      <c r="BN56" s="92">
        <v>233</v>
      </c>
      <c r="BO56" s="92">
        <v>598</v>
      </c>
      <c r="BP56" s="92" t="s">
        <v>72</v>
      </c>
      <c r="BQ56" s="108" t="s">
        <v>1</v>
      </c>
      <c r="BR56" s="108" t="s">
        <v>1</v>
      </c>
      <c r="BS56" s="108" t="s">
        <v>1</v>
      </c>
      <c r="BT56" s="108" t="s">
        <v>1</v>
      </c>
      <c r="BU56" s="108" t="s">
        <v>1</v>
      </c>
      <c r="BV56" s="189" t="s">
        <v>1</v>
      </c>
      <c r="BW56" s="189" t="s">
        <v>1</v>
      </c>
      <c r="BX56" s="189" t="s">
        <v>1</v>
      </c>
      <c r="BY56" s="190" t="s">
        <v>1</v>
      </c>
      <c r="BZ56" s="189" t="s">
        <v>1</v>
      </c>
      <c r="CA56" s="189" t="s">
        <v>1</v>
      </c>
      <c r="CB56" s="189" t="s">
        <v>1</v>
      </c>
      <c r="CC56" s="189" t="s">
        <v>1</v>
      </c>
      <c r="CD56" s="189" t="s">
        <v>1</v>
      </c>
      <c r="CE56" s="190" t="s">
        <v>1</v>
      </c>
      <c r="CF56" s="108" t="s">
        <v>1</v>
      </c>
    </row>
    <row r="57" ht="29" customHeight="1" spans="1:84">
      <c r="A57" s="107">
        <v>45160</v>
      </c>
      <c r="B57" s="202" t="s">
        <v>100</v>
      </c>
      <c r="C57" s="92" t="s">
        <v>71</v>
      </c>
      <c r="D57" s="30" t="s">
        <v>1</v>
      </c>
      <c r="E57" s="30" t="s">
        <v>1</v>
      </c>
      <c r="F57" s="109" t="e">
        <f>E57-1.7</f>
        <v>#VALUE!</v>
      </c>
      <c r="G57" s="109" t="s">
        <v>1</v>
      </c>
      <c r="H57" s="108" t="s">
        <v>1</v>
      </c>
      <c r="I57" s="109">
        <v>0</v>
      </c>
      <c r="J57" s="141" t="str">
        <f t="shared" si="1"/>
        <v/>
      </c>
      <c r="K57" s="211" t="str">
        <f>IFERROR(E57/#REF!,"")</f>
        <v/>
      </c>
      <c r="L57" s="172">
        <v>51867</v>
      </c>
      <c r="M57" s="75" t="s">
        <v>72</v>
      </c>
      <c r="N57" s="109" t="s">
        <v>1</v>
      </c>
      <c r="O57" s="109">
        <v>2.84</v>
      </c>
      <c r="P57" s="109" t="s">
        <v>1</v>
      </c>
      <c r="Q57" s="109" t="s">
        <v>1</v>
      </c>
      <c r="R57" s="109" t="s">
        <v>1</v>
      </c>
      <c r="S57" s="109" t="s">
        <v>1</v>
      </c>
      <c r="T57" s="109" t="s">
        <v>1</v>
      </c>
      <c r="U57" s="109" t="s">
        <v>1</v>
      </c>
      <c r="V57" s="92" t="s">
        <v>1</v>
      </c>
      <c r="W57" s="92" t="s">
        <v>72</v>
      </c>
      <c r="X57" s="92" t="s">
        <v>1</v>
      </c>
      <c r="Y57" s="92" t="s">
        <v>72</v>
      </c>
      <c r="Z57" s="92" t="s">
        <v>1</v>
      </c>
      <c r="AA57" s="236" t="s">
        <v>72</v>
      </c>
      <c r="AB57" s="92" t="s">
        <v>1</v>
      </c>
      <c r="AC57" s="92" t="s">
        <v>72</v>
      </c>
      <c r="AD57" s="92" t="s">
        <v>1</v>
      </c>
      <c r="AE57" s="92" t="s">
        <v>72</v>
      </c>
      <c r="AF57" s="92" t="s">
        <v>1</v>
      </c>
      <c r="AG57" s="92" t="s">
        <v>72</v>
      </c>
      <c r="AH57" s="92">
        <v>3744</v>
      </c>
      <c r="AI57" s="92" t="s">
        <v>72</v>
      </c>
      <c r="AJ57" s="92">
        <v>509</v>
      </c>
      <c r="AK57" s="92" t="s">
        <v>72</v>
      </c>
      <c r="AL57" s="92">
        <v>72</v>
      </c>
      <c r="AM57" s="92" t="s">
        <v>72</v>
      </c>
      <c r="AN57" s="92">
        <v>1511</v>
      </c>
      <c r="AO57" s="92" t="s">
        <v>72</v>
      </c>
      <c r="AP57" s="92">
        <v>1281</v>
      </c>
      <c r="AQ57" s="92" t="s">
        <v>72</v>
      </c>
      <c r="AR57" s="92">
        <v>826</v>
      </c>
      <c r="AS57" s="92" t="s">
        <v>72</v>
      </c>
      <c r="AT57" s="200" t="s">
        <v>1</v>
      </c>
      <c r="AU57" s="109" t="s">
        <v>1</v>
      </c>
      <c r="AV57" s="207" t="s">
        <v>193</v>
      </c>
      <c r="AW57" s="109" t="s">
        <v>1</v>
      </c>
      <c r="AX57" s="141">
        <v>0.0283642567711666</v>
      </c>
      <c r="AY57" s="200" t="s">
        <v>1</v>
      </c>
      <c r="AZ57" s="207">
        <v>10</v>
      </c>
      <c r="BA57" s="109" t="s">
        <v>1</v>
      </c>
      <c r="BB57" s="141">
        <v>0.075187969924812</v>
      </c>
      <c r="BC57" s="200" t="s">
        <v>1</v>
      </c>
      <c r="BD57" s="200" t="s">
        <v>1</v>
      </c>
      <c r="BE57" s="109" t="s">
        <v>1</v>
      </c>
      <c r="BF57" s="109" t="s">
        <v>1</v>
      </c>
      <c r="BG57" s="200" t="s">
        <v>1</v>
      </c>
      <c r="BH57" s="200">
        <v>1</v>
      </c>
      <c r="BI57" s="92" t="s">
        <v>73</v>
      </c>
      <c r="BJ57" s="92">
        <v>55</v>
      </c>
      <c r="BK57" s="92">
        <v>1119</v>
      </c>
      <c r="BL57" s="92" t="s">
        <v>72</v>
      </c>
      <c r="BM57" s="92" t="s">
        <v>74</v>
      </c>
      <c r="BN57" s="92">
        <v>385</v>
      </c>
      <c r="BO57" s="92">
        <v>329</v>
      </c>
      <c r="BP57" s="92" t="s">
        <v>72</v>
      </c>
      <c r="BQ57" s="108" t="s">
        <v>1</v>
      </c>
      <c r="BR57" s="108" t="s">
        <v>1</v>
      </c>
      <c r="BS57" s="108" t="s">
        <v>1</v>
      </c>
      <c r="BT57" s="108" t="s">
        <v>1</v>
      </c>
      <c r="BU57" s="108" t="s">
        <v>1</v>
      </c>
      <c r="BV57" s="189" t="s">
        <v>78</v>
      </c>
      <c r="BW57" s="189" t="s">
        <v>83</v>
      </c>
      <c r="BX57" s="189" t="s">
        <v>84</v>
      </c>
      <c r="BY57" s="189" t="s">
        <v>86</v>
      </c>
      <c r="BZ57" s="190" t="s">
        <v>92</v>
      </c>
      <c r="CA57" s="190" t="s">
        <v>145</v>
      </c>
      <c r="CB57" s="189" t="s">
        <v>79</v>
      </c>
      <c r="CC57" s="189" t="s">
        <v>87</v>
      </c>
      <c r="CD57" s="189" t="s">
        <v>81</v>
      </c>
      <c r="CE57" s="188" t="s">
        <v>181</v>
      </c>
      <c r="CF57" s="108" t="s">
        <v>1</v>
      </c>
    </row>
    <row r="58" ht="29" customHeight="1" spans="1:84">
      <c r="A58" s="107">
        <v>45161</v>
      </c>
      <c r="B58" s="203" t="s">
        <v>89</v>
      </c>
      <c r="C58" s="92" t="s">
        <v>71</v>
      </c>
      <c r="D58" s="30" t="s">
        <v>1</v>
      </c>
      <c r="E58" s="30" t="s">
        <v>1</v>
      </c>
      <c r="F58" s="109" t="e">
        <f>E58-2.4</f>
        <v>#VALUE!</v>
      </c>
      <c r="G58" s="109" t="s">
        <v>1</v>
      </c>
      <c r="H58" s="108" t="s">
        <v>1</v>
      </c>
      <c r="I58" s="109">
        <v>0</v>
      </c>
      <c r="J58" s="141" t="str">
        <f t="shared" si="1"/>
        <v/>
      </c>
      <c r="K58" s="211" t="str">
        <f>IFERROR(E58/#REF!,"")</f>
        <v/>
      </c>
      <c r="L58" s="172">
        <v>20</v>
      </c>
      <c r="M58" s="75" t="s">
        <v>72</v>
      </c>
      <c r="N58" s="109" t="s">
        <v>1</v>
      </c>
      <c r="O58" s="109">
        <v>4.2</v>
      </c>
      <c r="P58" s="109" t="s">
        <v>1</v>
      </c>
      <c r="Q58" s="109" t="s">
        <v>1</v>
      </c>
      <c r="R58" s="109" t="s">
        <v>1</v>
      </c>
      <c r="S58" s="109" t="s">
        <v>1</v>
      </c>
      <c r="T58" s="109" t="s">
        <v>1</v>
      </c>
      <c r="U58" s="109" t="s">
        <v>1</v>
      </c>
      <c r="V58" s="92" t="s">
        <v>1</v>
      </c>
      <c r="W58" s="92" t="s">
        <v>72</v>
      </c>
      <c r="X58" s="92" t="s">
        <v>1</v>
      </c>
      <c r="Y58" s="92" t="s">
        <v>72</v>
      </c>
      <c r="Z58" s="92" t="s">
        <v>1</v>
      </c>
      <c r="AA58" s="236" t="s">
        <v>72</v>
      </c>
      <c r="AB58" s="92" t="s">
        <v>1</v>
      </c>
      <c r="AC58" s="92" t="s">
        <v>72</v>
      </c>
      <c r="AD58" s="92" t="s">
        <v>1</v>
      </c>
      <c r="AE58" s="92" t="s">
        <v>72</v>
      </c>
      <c r="AF58" s="92" t="s">
        <v>1</v>
      </c>
      <c r="AG58" s="92" t="s">
        <v>72</v>
      </c>
      <c r="AH58" s="92">
        <v>9074</v>
      </c>
      <c r="AI58" s="92" t="s">
        <v>72</v>
      </c>
      <c r="AJ58" s="92">
        <v>806</v>
      </c>
      <c r="AK58" s="92" t="s">
        <v>72</v>
      </c>
      <c r="AL58" s="92">
        <v>102</v>
      </c>
      <c r="AM58" s="92" t="s">
        <v>72</v>
      </c>
      <c r="AN58" s="92">
        <v>1764</v>
      </c>
      <c r="AO58" s="92" t="s">
        <v>72</v>
      </c>
      <c r="AP58" s="92">
        <v>1424</v>
      </c>
      <c r="AQ58" s="92" t="s">
        <v>72</v>
      </c>
      <c r="AR58" s="92">
        <v>277</v>
      </c>
      <c r="AS58" s="92" t="s">
        <v>72</v>
      </c>
      <c r="AT58" s="200" t="s">
        <v>1</v>
      </c>
      <c r="AU58" s="109" t="s">
        <v>1</v>
      </c>
      <c r="AV58" s="207" t="s">
        <v>194</v>
      </c>
      <c r="AW58" s="109" t="s">
        <v>1</v>
      </c>
      <c r="AX58" s="141">
        <v>0.0322937403229374</v>
      </c>
      <c r="AY58" s="200" t="s">
        <v>1</v>
      </c>
      <c r="AZ58" s="207">
        <v>14</v>
      </c>
      <c r="BA58" s="109" t="s">
        <v>1</v>
      </c>
      <c r="BB58" s="141">
        <v>0.0958904109589041</v>
      </c>
      <c r="BC58" s="200" t="s">
        <v>1</v>
      </c>
      <c r="BD58" s="200" t="s">
        <v>1</v>
      </c>
      <c r="BE58" s="109" t="s">
        <v>1</v>
      </c>
      <c r="BF58" s="109" t="s">
        <v>1</v>
      </c>
      <c r="BG58" s="200" t="s">
        <v>1</v>
      </c>
      <c r="BH58" s="200" t="s">
        <v>1</v>
      </c>
      <c r="BI58" s="92" t="s">
        <v>94</v>
      </c>
      <c r="BJ58" s="92">
        <v>43</v>
      </c>
      <c r="BK58" s="92">
        <v>1393</v>
      </c>
      <c r="BL58" s="92" t="s">
        <v>72</v>
      </c>
      <c r="BM58" s="92" t="s">
        <v>74</v>
      </c>
      <c r="BN58" s="92">
        <v>333</v>
      </c>
      <c r="BO58" s="92">
        <v>409</v>
      </c>
      <c r="BP58" s="92" t="s">
        <v>72</v>
      </c>
      <c r="BQ58" s="108" t="s">
        <v>1</v>
      </c>
      <c r="BR58" s="108" t="s">
        <v>1</v>
      </c>
      <c r="BS58" s="108" t="s">
        <v>1</v>
      </c>
      <c r="BT58" s="108" t="s">
        <v>1</v>
      </c>
      <c r="BU58" s="108" t="s">
        <v>1</v>
      </c>
      <c r="BV58" s="189" t="s">
        <v>1</v>
      </c>
      <c r="BW58" s="189" t="s">
        <v>1</v>
      </c>
      <c r="BX58" s="189" t="s">
        <v>1</v>
      </c>
      <c r="BY58" s="189" t="s">
        <v>1</v>
      </c>
      <c r="BZ58" s="190" t="s">
        <v>1</v>
      </c>
      <c r="CA58" s="190" t="s">
        <v>1</v>
      </c>
      <c r="CB58" s="189" t="s">
        <v>1</v>
      </c>
      <c r="CC58" s="189" t="s">
        <v>1</v>
      </c>
      <c r="CD58" s="189" t="s">
        <v>1</v>
      </c>
      <c r="CE58" s="188" t="s">
        <v>1</v>
      </c>
      <c r="CF58" s="108" t="s">
        <v>1</v>
      </c>
    </row>
    <row r="59" ht="29" customHeight="1" spans="1:84">
      <c r="A59" s="107">
        <v>45162</v>
      </c>
      <c r="B59" s="197" t="s">
        <v>104</v>
      </c>
      <c r="C59" s="92" t="s">
        <v>71</v>
      </c>
      <c r="D59" s="30" t="s">
        <v>1</v>
      </c>
      <c r="E59" s="30" t="s">
        <v>1</v>
      </c>
      <c r="F59" s="109" t="str">
        <f>E59</f>
        <v/>
      </c>
      <c r="G59" s="109" t="s">
        <v>1</v>
      </c>
      <c r="H59" s="108" t="s">
        <v>1</v>
      </c>
      <c r="I59" s="109">
        <v>22</v>
      </c>
      <c r="J59" s="141" t="str">
        <f t="shared" si="1"/>
        <v/>
      </c>
      <c r="K59" s="211" t="str">
        <f>IFERROR(E59/#REF!,"")</f>
        <v/>
      </c>
      <c r="L59" s="172">
        <v>62382</v>
      </c>
      <c r="M59" s="75" t="s">
        <v>72</v>
      </c>
      <c r="N59" s="109" t="s">
        <v>1</v>
      </c>
      <c r="O59" s="109">
        <v>3.43</v>
      </c>
      <c r="P59" s="109" t="s">
        <v>1</v>
      </c>
      <c r="Q59" s="109" t="s">
        <v>1</v>
      </c>
      <c r="R59" s="109" t="s">
        <v>1</v>
      </c>
      <c r="S59" s="109" t="s">
        <v>1</v>
      </c>
      <c r="T59" s="109" t="s">
        <v>1</v>
      </c>
      <c r="U59" s="109" t="s">
        <v>1</v>
      </c>
      <c r="V59" s="92" t="s">
        <v>1</v>
      </c>
      <c r="W59" s="92" t="s">
        <v>72</v>
      </c>
      <c r="X59" s="92" t="s">
        <v>1</v>
      </c>
      <c r="Y59" s="92" t="s">
        <v>72</v>
      </c>
      <c r="Z59" s="92" t="s">
        <v>1</v>
      </c>
      <c r="AA59" s="236" t="s">
        <v>72</v>
      </c>
      <c r="AB59" s="92" t="s">
        <v>1</v>
      </c>
      <c r="AC59" s="92" t="s">
        <v>72</v>
      </c>
      <c r="AD59" s="92" t="s">
        <v>1</v>
      </c>
      <c r="AE59" s="92" t="s">
        <v>72</v>
      </c>
      <c r="AF59" s="92" t="s">
        <v>1</v>
      </c>
      <c r="AG59" s="92" t="s">
        <v>72</v>
      </c>
      <c r="AH59" s="92">
        <v>9339</v>
      </c>
      <c r="AI59" s="92" t="s">
        <v>72</v>
      </c>
      <c r="AJ59" s="92">
        <v>1045</v>
      </c>
      <c r="AK59" s="92" t="s">
        <v>72</v>
      </c>
      <c r="AL59" s="92">
        <v>130</v>
      </c>
      <c r="AM59" s="92" t="s">
        <v>72</v>
      </c>
      <c r="AN59" s="92">
        <v>1347</v>
      </c>
      <c r="AO59" s="92" t="s">
        <v>72</v>
      </c>
      <c r="AP59" s="92">
        <v>1319</v>
      </c>
      <c r="AQ59" s="92" t="s">
        <v>72</v>
      </c>
      <c r="AR59" s="92">
        <v>351</v>
      </c>
      <c r="AS59" s="92" t="s">
        <v>72</v>
      </c>
      <c r="AT59" s="200" t="s">
        <v>1</v>
      </c>
      <c r="AU59" s="109" t="s">
        <v>1</v>
      </c>
      <c r="AV59" s="207" t="s">
        <v>195</v>
      </c>
      <c r="AW59" s="109" t="s">
        <v>1</v>
      </c>
      <c r="AX59" s="141">
        <v>0.0394644115574348</v>
      </c>
      <c r="AY59" s="200" t="s">
        <v>1</v>
      </c>
      <c r="AZ59" s="207">
        <v>8</v>
      </c>
      <c r="BA59" s="109" t="s">
        <v>1</v>
      </c>
      <c r="BB59" s="141">
        <v>0.0476190476190476</v>
      </c>
      <c r="BC59" s="200" t="s">
        <v>1</v>
      </c>
      <c r="BD59" s="200" t="s">
        <v>1</v>
      </c>
      <c r="BE59" s="109" t="s">
        <v>1</v>
      </c>
      <c r="BF59" s="109" t="s">
        <v>1</v>
      </c>
      <c r="BG59" s="200" t="s">
        <v>1</v>
      </c>
      <c r="BH59" s="200" t="s">
        <v>1</v>
      </c>
      <c r="BI59" s="92" t="s">
        <v>94</v>
      </c>
      <c r="BJ59" s="92">
        <v>39</v>
      </c>
      <c r="BK59" s="92">
        <v>1557</v>
      </c>
      <c r="BL59" s="92" t="s">
        <v>72</v>
      </c>
      <c r="BM59" s="92" t="s">
        <v>74</v>
      </c>
      <c r="BN59" s="92">
        <v>299</v>
      </c>
      <c r="BO59" s="92">
        <v>443</v>
      </c>
      <c r="BP59" s="92" t="s">
        <v>72</v>
      </c>
      <c r="BQ59" s="108" t="s">
        <v>1</v>
      </c>
      <c r="BR59" s="108" t="s">
        <v>1</v>
      </c>
      <c r="BS59" s="108" t="s">
        <v>1</v>
      </c>
      <c r="BT59" s="108" t="s">
        <v>1</v>
      </c>
      <c r="BU59" s="108" t="s">
        <v>1</v>
      </c>
      <c r="BV59" s="189" t="s">
        <v>1</v>
      </c>
      <c r="BW59" s="189" t="s">
        <v>1</v>
      </c>
      <c r="BX59" s="189" t="s">
        <v>1</v>
      </c>
      <c r="BY59" s="189" t="s">
        <v>1</v>
      </c>
      <c r="BZ59" s="190" t="s">
        <v>1</v>
      </c>
      <c r="CA59" s="190" t="s">
        <v>1</v>
      </c>
      <c r="CB59" s="189" t="s">
        <v>1</v>
      </c>
      <c r="CC59" s="189" t="s">
        <v>1</v>
      </c>
      <c r="CD59" s="189" t="s">
        <v>1</v>
      </c>
      <c r="CE59" s="188" t="s">
        <v>1</v>
      </c>
      <c r="CF59" s="108" t="s">
        <v>1</v>
      </c>
    </row>
    <row r="60" ht="29" customHeight="1" spans="1:84">
      <c r="A60" s="107">
        <v>45163</v>
      </c>
      <c r="B60" s="197" t="s">
        <v>99</v>
      </c>
      <c r="C60" s="92" t="s">
        <v>71</v>
      </c>
      <c r="D60" s="30" t="s">
        <v>1</v>
      </c>
      <c r="E60" s="30" t="s">
        <v>1</v>
      </c>
      <c r="F60" s="109" t="e">
        <f>E60-0.7</f>
        <v>#VALUE!</v>
      </c>
      <c r="G60" s="109" t="s">
        <v>1</v>
      </c>
      <c r="H60" s="108" t="s">
        <v>1</v>
      </c>
      <c r="I60" s="109">
        <v>13</v>
      </c>
      <c r="J60" s="141" t="str">
        <f t="shared" si="1"/>
        <v/>
      </c>
      <c r="K60" s="211" t="str">
        <f>IFERROR(E60/#REF!,"")</f>
        <v/>
      </c>
      <c r="L60" s="172">
        <v>38390</v>
      </c>
      <c r="M60" s="75" t="s">
        <v>72</v>
      </c>
      <c r="N60" s="109" t="s">
        <v>1</v>
      </c>
      <c r="O60" s="109">
        <v>3.33</v>
      </c>
      <c r="P60" s="109" t="s">
        <v>1</v>
      </c>
      <c r="Q60" s="109" t="s">
        <v>1</v>
      </c>
      <c r="R60" s="109" t="s">
        <v>1</v>
      </c>
      <c r="S60" s="109" t="s">
        <v>1</v>
      </c>
      <c r="T60" s="109" t="s">
        <v>1</v>
      </c>
      <c r="U60" s="109" t="s">
        <v>1</v>
      </c>
      <c r="V60" s="92" t="s">
        <v>1</v>
      </c>
      <c r="W60" s="92" t="s">
        <v>72</v>
      </c>
      <c r="X60" s="92" t="s">
        <v>1</v>
      </c>
      <c r="Y60" s="92" t="s">
        <v>72</v>
      </c>
      <c r="Z60" s="92" t="s">
        <v>1</v>
      </c>
      <c r="AA60" s="236" t="s">
        <v>72</v>
      </c>
      <c r="AB60" s="92" t="s">
        <v>1</v>
      </c>
      <c r="AC60" s="92" t="s">
        <v>72</v>
      </c>
      <c r="AD60" s="92" t="s">
        <v>1</v>
      </c>
      <c r="AE60" s="92" t="s">
        <v>72</v>
      </c>
      <c r="AF60" s="92" t="s">
        <v>1</v>
      </c>
      <c r="AG60" s="92" t="s">
        <v>72</v>
      </c>
      <c r="AH60" s="92">
        <v>2919</v>
      </c>
      <c r="AI60" s="92" t="s">
        <v>72</v>
      </c>
      <c r="AJ60" s="92">
        <v>613</v>
      </c>
      <c r="AK60" s="92" t="s">
        <v>72</v>
      </c>
      <c r="AL60" s="92">
        <v>71</v>
      </c>
      <c r="AM60" s="92" t="s">
        <v>72</v>
      </c>
      <c r="AN60" s="92">
        <v>770</v>
      </c>
      <c r="AO60" s="92" t="s">
        <v>72</v>
      </c>
      <c r="AP60" s="92">
        <v>1075</v>
      </c>
      <c r="AQ60" s="92" t="s">
        <v>72</v>
      </c>
      <c r="AR60" s="92">
        <v>286</v>
      </c>
      <c r="AS60" s="92" t="s">
        <v>72</v>
      </c>
      <c r="AT60" s="200" t="s">
        <v>1</v>
      </c>
      <c r="AU60" s="109" t="s">
        <v>1</v>
      </c>
      <c r="AV60" s="207" t="s">
        <v>196</v>
      </c>
      <c r="AW60" s="109" t="s">
        <v>1</v>
      </c>
      <c r="AX60" s="141">
        <v>0.0391095066185319</v>
      </c>
      <c r="AY60" s="200" t="s">
        <v>1</v>
      </c>
      <c r="AZ60" s="207" t="s">
        <v>197</v>
      </c>
      <c r="BA60" s="109" t="s">
        <v>1</v>
      </c>
      <c r="BB60" s="141">
        <v>0.0692307692307692</v>
      </c>
      <c r="BC60" s="200" t="s">
        <v>1</v>
      </c>
      <c r="BD60" s="200" t="s">
        <v>1</v>
      </c>
      <c r="BE60" s="109" t="s">
        <v>1</v>
      </c>
      <c r="BF60" s="109" t="s">
        <v>1</v>
      </c>
      <c r="BG60" s="200" t="s">
        <v>1</v>
      </c>
      <c r="BH60" s="200" t="s">
        <v>1</v>
      </c>
      <c r="BI60" s="92" t="s">
        <v>94</v>
      </c>
      <c r="BJ60" s="92">
        <v>50</v>
      </c>
      <c r="BK60" s="125">
        <v>1296</v>
      </c>
      <c r="BL60" s="92" t="s">
        <v>72</v>
      </c>
      <c r="BM60" s="92" t="s">
        <v>74</v>
      </c>
      <c r="BN60" s="92">
        <v>414</v>
      </c>
      <c r="BO60" s="92">
        <v>322</v>
      </c>
      <c r="BP60" s="92" t="s">
        <v>72</v>
      </c>
      <c r="BQ60" s="108" t="s">
        <v>1</v>
      </c>
      <c r="BR60" s="108" t="s">
        <v>1</v>
      </c>
      <c r="BS60" s="108" t="s">
        <v>1</v>
      </c>
      <c r="BT60" s="108" t="s">
        <v>1</v>
      </c>
      <c r="BU60" s="108" t="s">
        <v>1</v>
      </c>
      <c r="BV60" s="189" t="s">
        <v>1</v>
      </c>
      <c r="BW60" s="189" t="s">
        <v>1</v>
      </c>
      <c r="BX60" s="189" t="s">
        <v>1</v>
      </c>
      <c r="BY60" s="189" t="s">
        <v>1</v>
      </c>
      <c r="BZ60" s="190" t="s">
        <v>1</v>
      </c>
      <c r="CA60" s="190" t="s">
        <v>1</v>
      </c>
      <c r="CB60" s="189" t="s">
        <v>1</v>
      </c>
      <c r="CC60" s="189" t="s">
        <v>1</v>
      </c>
      <c r="CD60" s="189" t="s">
        <v>1</v>
      </c>
      <c r="CE60" s="188" t="s">
        <v>1</v>
      </c>
      <c r="CF60" s="108" t="s">
        <v>1</v>
      </c>
    </row>
    <row r="61" ht="29" customHeight="1" spans="1:84">
      <c r="A61" s="107">
        <v>45164</v>
      </c>
      <c r="B61" s="202" t="s">
        <v>100</v>
      </c>
      <c r="C61" s="92" t="s">
        <v>71</v>
      </c>
      <c r="D61" s="30" t="s">
        <v>1</v>
      </c>
      <c r="E61" s="30" t="s">
        <v>1</v>
      </c>
      <c r="F61" s="109" t="str">
        <f>E61</f>
        <v/>
      </c>
      <c r="G61" s="109" t="s">
        <v>1</v>
      </c>
      <c r="H61" s="108" t="s">
        <v>1</v>
      </c>
      <c r="I61" s="109">
        <v>6</v>
      </c>
      <c r="J61" s="141" t="str">
        <f t="shared" si="1"/>
        <v/>
      </c>
      <c r="K61" s="211" t="str">
        <f>IFERROR(E61/#REF!,"")</f>
        <v/>
      </c>
      <c r="L61" s="172">
        <v>40670</v>
      </c>
      <c r="M61" s="75" t="s">
        <v>72</v>
      </c>
      <c r="N61" s="109" t="s">
        <v>1</v>
      </c>
      <c r="O61" s="109">
        <v>2.56</v>
      </c>
      <c r="P61" s="109" t="s">
        <v>1</v>
      </c>
      <c r="Q61" s="109" t="s">
        <v>1</v>
      </c>
      <c r="R61" s="109" t="s">
        <v>1</v>
      </c>
      <c r="S61" s="109" t="s">
        <v>1</v>
      </c>
      <c r="T61" s="109" t="s">
        <v>1</v>
      </c>
      <c r="U61" s="109" t="s">
        <v>1</v>
      </c>
      <c r="V61" s="92" t="s">
        <v>1</v>
      </c>
      <c r="W61" s="92" t="s">
        <v>72</v>
      </c>
      <c r="X61" s="92" t="s">
        <v>1</v>
      </c>
      <c r="Y61" s="92" t="s">
        <v>72</v>
      </c>
      <c r="Z61" s="92" t="s">
        <v>1</v>
      </c>
      <c r="AA61" s="236" t="s">
        <v>72</v>
      </c>
      <c r="AB61" s="92" t="s">
        <v>1</v>
      </c>
      <c r="AC61" s="92" t="s">
        <v>72</v>
      </c>
      <c r="AD61" s="92" t="s">
        <v>1</v>
      </c>
      <c r="AE61" s="92" t="s">
        <v>72</v>
      </c>
      <c r="AF61" s="92" t="s">
        <v>1</v>
      </c>
      <c r="AG61" s="92" t="s">
        <v>72</v>
      </c>
      <c r="AH61" s="92">
        <v>3333</v>
      </c>
      <c r="AI61" s="92" t="s">
        <v>72</v>
      </c>
      <c r="AJ61" s="92">
        <v>493</v>
      </c>
      <c r="AK61" s="92" t="s">
        <v>72</v>
      </c>
      <c r="AL61" s="92">
        <v>65</v>
      </c>
      <c r="AM61" s="92" t="s">
        <v>72</v>
      </c>
      <c r="AN61" s="92">
        <v>1419</v>
      </c>
      <c r="AO61" s="92" t="s">
        <v>72</v>
      </c>
      <c r="AP61" s="92">
        <v>1331</v>
      </c>
      <c r="AQ61" s="92" t="s">
        <v>72</v>
      </c>
      <c r="AR61" s="92">
        <v>325</v>
      </c>
      <c r="AS61" s="92" t="s">
        <v>72</v>
      </c>
      <c r="AT61" s="200" t="s">
        <v>1</v>
      </c>
      <c r="AU61" s="109" t="s">
        <v>1</v>
      </c>
      <c r="AV61" s="207" t="s">
        <v>198</v>
      </c>
      <c r="AW61" s="109" t="s">
        <v>1</v>
      </c>
      <c r="AX61" s="141">
        <v>0.0308143800440205</v>
      </c>
      <c r="AY61" s="200" t="s">
        <v>1</v>
      </c>
      <c r="AZ61" s="207" t="s">
        <v>197</v>
      </c>
      <c r="BA61" s="109" t="s">
        <v>1</v>
      </c>
      <c r="BB61" s="141">
        <v>0.0714285714285714</v>
      </c>
      <c r="BC61" s="200" t="s">
        <v>1</v>
      </c>
      <c r="BD61" s="200" t="s">
        <v>1</v>
      </c>
      <c r="BE61" s="109" t="s">
        <v>1</v>
      </c>
      <c r="BF61" s="109" t="s">
        <v>1</v>
      </c>
      <c r="BG61" s="200" t="s">
        <v>1</v>
      </c>
      <c r="BH61" s="200" t="s">
        <v>1</v>
      </c>
      <c r="BI61" s="92" t="s">
        <v>73</v>
      </c>
      <c r="BJ61" s="125">
        <v>51</v>
      </c>
      <c r="BK61" s="125">
        <v>1460</v>
      </c>
      <c r="BL61" s="92" t="s">
        <v>72</v>
      </c>
      <c r="BM61" s="92" t="s">
        <v>74</v>
      </c>
      <c r="BN61" s="92">
        <v>340</v>
      </c>
      <c r="BO61" s="92">
        <v>465</v>
      </c>
      <c r="BP61" s="92" t="s">
        <v>72</v>
      </c>
      <c r="BQ61" s="108" t="s">
        <v>1</v>
      </c>
      <c r="BR61" s="108" t="s">
        <v>1</v>
      </c>
      <c r="BS61" s="108" t="s">
        <v>1</v>
      </c>
      <c r="BT61" s="108" t="s">
        <v>1</v>
      </c>
      <c r="BU61" s="108" t="s">
        <v>1</v>
      </c>
      <c r="BV61" s="189" t="s">
        <v>1</v>
      </c>
      <c r="BW61" s="189" t="s">
        <v>1</v>
      </c>
      <c r="BX61" s="189" t="s">
        <v>1</v>
      </c>
      <c r="BY61" s="189" t="s">
        <v>1</v>
      </c>
      <c r="BZ61" s="190" t="s">
        <v>1</v>
      </c>
      <c r="CA61" s="190" t="s">
        <v>1</v>
      </c>
      <c r="CB61" s="189" t="s">
        <v>1</v>
      </c>
      <c r="CC61" s="189" t="s">
        <v>1</v>
      </c>
      <c r="CD61" s="189" t="s">
        <v>1</v>
      </c>
      <c r="CE61" s="188" t="s">
        <v>1</v>
      </c>
      <c r="CF61" s="108" t="s">
        <v>1</v>
      </c>
    </row>
    <row r="62" ht="29" customHeight="1" spans="1:84">
      <c r="A62" s="107">
        <v>45165</v>
      </c>
      <c r="B62" s="202" t="s">
        <v>100</v>
      </c>
      <c r="C62" s="92" t="s">
        <v>71</v>
      </c>
      <c r="D62" s="30" t="s">
        <v>1</v>
      </c>
      <c r="E62" s="30" t="s">
        <v>1</v>
      </c>
      <c r="F62" s="109" t="e">
        <f>E62-0.3</f>
        <v>#VALUE!</v>
      </c>
      <c r="G62" s="109" t="s">
        <v>1</v>
      </c>
      <c r="H62" s="108" t="s">
        <v>1</v>
      </c>
      <c r="I62" s="109">
        <v>6</v>
      </c>
      <c r="J62" s="141" t="str">
        <f t="shared" si="1"/>
        <v/>
      </c>
      <c r="K62" s="211" t="str">
        <f>IFERROR(E62/#REF!,"")</f>
        <v/>
      </c>
      <c r="L62" s="172">
        <v>37986</v>
      </c>
      <c r="M62" s="75" t="s">
        <v>72</v>
      </c>
      <c r="N62" s="109" t="s">
        <v>1</v>
      </c>
      <c r="O62" s="109">
        <v>4.78</v>
      </c>
      <c r="P62" s="109" t="s">
        <v>1</v>
      </c>
      <c r="Q62" s="109" t="s">
        <v>1</v>
      </c>
      <c r="R62" s="109" t="s">
        <v>1</v>
      </c>
      <c r="S62" s="109" t="s">
        <v>1</v>
      </c>
      <c r="T62" s="109" t="s">
        <v>1</v>
      </c>
      <c r="U62" s="109" t="s">
        <v>1</v>
      </c>
      <c r="V62" s="92" t="s">
        <v>1</v>
      </c>
      <c r="W62" s="92" t="s">
        <v>72</v>
      </c>
      <c r="X62" s="92" t="s">
        <v>1</v>
      </c>
      <c r="Y62" s="92" t="s">
        <v>72</v>
      </c>
      <c r="Z62" s="92" t="s">
        <v>1</v>
      </c>
      <c r="AA62" s="236" t="s">
        <v>72</v>
      </c>
      <c r="AB62" s="92" t="s">
        <v>1</v>
      </c>
      <c r="AC62" s="92" t="s">
        <v>72</v>
      </c>
      <c r="AD62" s="92" t="s">
        <v>1</v>
      </c>
      <c r="AE62" s="92" t="s">
        <v>72</v>
      </c>
      <c r="AF62" s="92" t="s">
        <v>1</v>
      </c>
      <c r="AG62" s="92" t="s">
        <v>72</v>
      </c>
      <c r="AH62" s="92">
        <v>3784</v>
      </c>
      <c r="AI62" s="92" t="s">
        <v>72</v>
      </c>
      <c r="AJ62" s="92">
        <v>351</v>
      </c>
      <c r="AK62" s="92" t="s">
        <v>72</v>
      </c>
      <c r="AL62" s="92">
        <v>87</v>
      </c>
      <c r="AM62" s="92" t="s">
        <v>72</v>
      </c>
      <c r="AN62" s="92">
        <v>1345</v>
      </c>
      <c r="AO62" s="92" t="s">
        <v>72</v>
      </c>
      <c r="AP62" s="92">
        <v>1555</v>
      </c>
      <c r="AQ62" s="92" t="s">
        <v>72</v>
      </c>
      <c r="AR62" s="92">
        <v>337</v>
      </c>
      <c r="AS62" s="92" t="s">
        <v>72</v>
      </c>
      <c r="AT62" s="200" t="s">
        <v>1</v>
      </c>
      <c r="AU62" s="109" t="s">
        <v>1</v>
      </c>
      <c r="AV62" s="207" t="s">
        <v>199</v>
      </c>
      <c r="AW62" s="109" t="s">
        <v>1</v>
      </c>
      <c r="AX62" s="141">
        <v>0.0396085740913327</v>
      </c>
      <c r="AY62" s="200" t="s">
        <v>1</v>
      </c>
      <c r="AZ62" s="207" t="s">
        <v>200</v>
      </c>
      <c r="BA62" s="109" t="s">
        <v>1</v>
      </c>
      <c r="BB62" s="141">
        <v>0.0764705882352941</v>
      </c>
      <c r="BC62" s="200" t="s">
        <v>1</v>
      </c>
      <c r="BD62" s="200" t="s">
        <v>1</v>
      </c>
      <c r="BE62" s="109" t="s">
        <v>1</v>
      </c>
      <c r="BF62" s="109" t="s">
        <v>1</v>
      </c>
      <c r="BG62" s="200" t="s">
        <v>1</v>
      </c>
      <c r="BH62" s="200" t="s">
        <v>1</v>
      </c>
      <c r="BI62" s="92" t="s">
        <v>94</v>
      </c>
      <c r="BJ62" s="92">
        <v>44</v>
      </c>
      <c r="BK62" s="125">
        <v>1758</v>
      </c>
      <c r="BL62" s="92" t="s">
        <v>72</v>
      </c>
      <c r="BM62" s="92" t="s">
        <v>74</v>
      </c>
      <c r="BN62" s="92">
        <v>290</v>
      </c>
      <c r="BO62" s="92">
        <v>549</v>
      </c>
      <c r="BP62" s="92" t="s">
        <v>72</v>
      </c>
      <c r="BQ62" s="108" t="s">
        <v>1</v>
      </c>
      <c r="BR62" s="108" t="s">
        <v>1</v>
      </c>
      <c r="BS62" s="108" t="s">
        <v>1</v>
      </c>
      <c r="BT62" s="108" t="s">
        <v>1</v>
      </c>
      <c r="BU62" s="108" t="s">
        <v>1</v>
      </c>
      <c r="BV62" s="189" t="s">
        <v>1</v>
      </c>
      <c r="BW62" s="189" t="s">
        <v>1</v>
      </c>
      <c r="BX62" s="189" t="s">
        <v>1</v>
      </c>
      <c r="BY62" s="189" t="s">
        <v>1</v>
      </c>
      <c r="BZ62" s="190" t="s">
        <v>1</v>
      </c>
      <c r="CA62" s="190" t="s">
        <v>1</v>
      </c>
      <c r="CB62" s="189" t="s">
        <v>1</v>
      </c>
      <c r="CC62" s="189" t="s">
        <v>1</v>
      </c>
      <c r="CD62" s="189" t="s">
        <v>1</v>
      </c>
      <c r="CE62" s="188" t="s">
        <v>1</v>
      </c>
      <c r="CF62" s="108" t="s">
        <v>1</v>
      </c>
    </row>
    <row r="63" ht="29" customHeight="1" spans="1:84">
      <c r="A63" s="107">
        <v>45166</v>
      </c>
      <c r="B63" s="202" t="s">
        <v>100</v>
      </c>
      <c r="C63" s="92" t="s">
        <v>71</v>
      </c>
      <c r="D63" s="30" t="s">
        <v>1</v>
      </c>
      <c r="E63" s="30" t="s">
        <v>1</v>
      </c>
      <c r="F63" s="109" t="str">
        <f t="shared" ref="F63:F126" si="2">E63</f>
        <v/>
      </c>
      <c r="G63" s="109" t="s">
        <v>1</v>
      </c>
      <c r="H63" s="108" t="s">
        <v>1</v>
      </c>
      <c r="I63" s="109">
        <v>8</v>
      </c>
      <c r="J63" s="141" t="str">
        <f t="shared" si="1"/>
        <v/>
      </c>
      <c r="K63" s="211" t="str">
        <f>IFERROR(E63/#REF!,"")</f>
        <v/>
      </c>
      <c r="L63" s="172">
        <v>40388</v>
      </c>
      <c r="M63" s="75" t="s">
        <v>72</v>
      </c>
      <c r="N63" s="109" t="s">
        <v>1</v>
      </c>
      <c r="O63" s="109">
        <v>2.51</v>
      </c>
      <c r="P63" s="109" t="s">
        <v>1</v>
      </c>
      <c r="Q63" s="109" t="s">
        <v>1</v>
      </c>
      <c r="R63" s="109" t="s">
        <v>1</v>
      </c>
      <c r="S63" s="109" t="s">
        <v>1</v>
      </c>
      <c r="T63" s="109" t="s">
        <v>1</v>
      </c>
      <c r="U63" s="109" t="s">
        <v>1</v>
      </c>
      <c r="V63" s="92" t="s">
        <v>1</v>
      </c>
      <c r="W63" s="92" t="s">
        <v>72</v>
      </c>
      <c r="X63" s="92" t="s">
        <v>1</v>
      </c>
      <c r="Y63" s="92" t="s">
        <v>72</v>
      </c>
      <c r="Z63" s="92" t="s">
        <v>1</v>
      </c>
      <c r="AA63" s="236" t="s">
        <v>72</v>
      </c>
      <c r="AB63" s="92" t="s">
        <v>1</v>
      </c>
      <c r="AC63" s="92" t="s">
        <v>72</v>
      </c>
      <c r="AD63" s="92" t="s">
        <v>1</v>
      </c>
      <c r="AE63" s="92" t="s">
        <v>72</v>
      </c>
      <c r="AF63" s="92" t="s">
        <v>1</v>
      </c>
      <c r="AG63" s="92" t="s">
        <v>72</v>
      </c>
      <c r="AH63" s="92">
        <v>3362</v>
      </c>
      <c r="AI63" s="92" t="s">
        <v>72</v>
      </c>
      <c r="AJ63" s="92">
        <v>314</v>
      </c>
      <c r="AK63" s="92" t="s">
        <v>72</v>
      </c>
      <c r="AL63" s="92">
        <v>70</v>
      </c>
      <c r="AM63" s="92" t="s">
        <v>72</v>
      </c>
      <c r="AN63" s="92">
        <v>1287</v>
      </c>
      <c r="AO63" s="92" t="s">
        <v>72</v>
      </c>
      <c r="AP63" s="92">
        <v>1281</v>
      </c>
      <c r="AQ63" s="92" t="s">
        <v>72</v>
      </c>
      <c r="AR63" s="92">
        <v>421</v>
      </c>
      <c r="AS63" s="92" t="s">
        <v>72</v>
      </c>
      <c r="AT63" s="200" t="s">
        <v>1</v>
      </c>
      <c r="AU63" s="109" t="s">
        <v>1</v>
      </c>
      <c r="AV63" s="207" t="s">
        <v>201</v>
      </c>
      <c r="AW63" s="109" t="s">
        <v>1</v>
      </c>
      <c r="AX63" s="141">
        <v>0.0316135558927668</v>
      </c>
      <c r="AY63" s="200" t="s">
        <v>1</v>
      </c>
      <c r="AZ63" s="207" t="s">
        <v>202</v>
      </c>
      <c r="BA63" s="109" t="s">
        <v>1</v>
      </c>
      <c r="BB63" s="141">
        <v>0.048</v>
      </c>
      <c r="BC63" s="200" t="s">
        <v>1</v>
      </c>
      <c r="BD63" s="200" t="s">
        <v>1</v>
      </c>
      <c r="BE63" s="109" t="s">
        <v>1</v>
      </c>
      <c r="BF63" s="109" t="s">
        <v>1</v>
      </c>
      <c r="BG63" s="200" t="s">
        <v>1</v>
      </c>
      <c r="BH63" s="200" t="s">
        <v>1</v>
      </c>
      <c r="BI63" s="92" t="s">
        <v>73</v>
      </c>
      <c r="BJ63" s="92">
        <v>63</v>
      </c>
      <c r="BK63" s="125">
        <v>1320</v>
      </c>
      <c r="BL63" s="92" t="s">
        <v>72</v>
      </c>
      <c r="BM63" s="92" t="s">
        <v>74</v>
      </c>
      <c r="BN63" s="92">
        <v>404</v>
      </c>
      <c r="BO63" s="92">
        <v>386</v>
      </c>
      <c r="BP63" s="92" t="s">
        <v>72</v>
      </c>
      <c r="BQ63" s="108" t="s">
        <v>1</v>
      </c>
      <c r="BR63" s="108" t="s">
        <v>1</v>
      </c>
      <c r="BS63" s="108" t="s">
        <v>1</v>
      </c>
      <c r="BT63" s="108" t="s">
        <v>1</v>
      </c>
      <c r="BU63" s="108" t="s">
        <v>1</v>
      </c>
      <c r="BV63" s="189" t="s">
        <v>1</v>
      </c>
      <c r="BW63" s="189" t="s">
        <v>1</v>
      </c>
      <c r="BX63" s="189" t="s">
        <v>1</v>
      </c>
      <c r="BY63" s="189" t="s">
        <v>1</v>
      </c>
      <c r="BZ63" s="190" t="s">
        <v>1</v>
      </c>
      <c r="CA63" s="190" t="s">
        <v>1</v>
      </c>
      <c r="CB63" s="189" t="s">
        <v>1</v>
      </c>
      <c r="CC63" s="189" t="s">
        <v>1</v>
      </c>
      <c r="CD63" s="189" t="s">
        <v>1</v>
      </c>
      <c r="CE63" s="188" t="s">
        <v>1</v>
      </c>
      <c r="CF63" s="108" t="s">
        <v>1</v>
      </c>
    </row>
    <row r="64" ht="29" customHeight="1" spans="1:84">
      <c r="A64" s="107">
        <v>45167</v>
      </c>
      <c r="B64" s="203" t="s">
        <v>89</v>
      </c>
      <c r="C64" s="92" t="s">
        <v>71</v>
      </c>
      <c r="D64" s="30" t="s">
        <v>1</v>
      </c>
      <c r="E64" s="30" t="s">
        <v>1</v>
      </c>
      <c r="F64" s="109" t="str">
        <f t="shared" si="2"/>
        <v/>
      </c>
      <c r="G64" s="109" t="s">
        <v>1</v>
      </c>
      <c r="H64" s="108" t="s">
        <v>1</v>
      </c>
      <c r="I64" s="109">
        <v>0</v>
      </c>
      <c r="J64" s="141" t="str">
        <f t="shared" si="1"/>
        <v/>
      </c>
      <c r="K64" s="211" t="str">
        <f>IFERROR(E64/#REF!,"")</f>
        <v/>
      </c>
      <c r="L64" s="172">
        <v>5898</v>
      </c>
      <c r="M64" s="75" t="s">
        <v>72</v>
      </c>
      <c r="N64" s="109" t="s">
        <v>1</v>
      </c>
      <c r="O64" s="109">
        <v>4.63</v>
      </c>
      <c r="P64" s="109" t="s">
        <v>1</v>
      </c>
      <c r="Q64" s="109" t="s">
        <v>1</v>
      </c>
      <c r="R64" s="109" t="s">
        <v>1</v>
      </c>
      <c r="S64" s="109" t="s">
        <v>1</v>
      </c>
      <c r="T64" s="109" t="s">
        <v>1</v>
      </c>
      <c r="U64" s="109" t="s">
        <v>1</v>
      </c>
      <c r="V64" s="92" t="s">
        <v>1</v>
      </c>
      <c r="W64" s="92" t="s">
        <v>72</v>
      </c>
      <c r="X64" s="92" t="s">
        <v>1</v>
      </c>
      <c r="Y64" s="92" t="s">
        <v>72</v>
      </c>
      <c r="Z64" s="92" t="s">
        <v>1</v>
      </c>
      <c r="AA64" s="236" t="s">
        <v>72</v>
      </c>
      <c r="AB64" s="92" t="s">
        <v>1</v>
      </c>
      <c r="AC64" s="92" t="s">
        <v>72</v>
      </c>
      <c r="AD64" s="92" t="s">
        <v>1</v>
      </c>
      <c r="AE64" s="92" t="s">
        <v>72</v>
      </c>
      <c r="AF64" s="92" t="s">
        <v>1</v>
      </c>
      <c r="AG64" s="92" t="s">
        <v>72</v>
      </c>
      <c r="AH64" s="125">
        <v>2628</v>
      </c>
      <c r="AI64" s="92" t="s">
        <v>72</v>
      </c>
      <c r="AJ64" s="92">
        <v>568</v>
      </c>
      <c r="AK64" s="92" t="s">
        <v>72</v>
      </c>
      <c r="AL64" s="92">
        <v>83</v>
      </c>
      <c r="AM64" s="92" t="s">
        <v>72</v>
      </c>
      <c r="AN64" s="125">
        <v>1455</v>
      </c>
      <c r="AO64" s="92" t="s">
        <v>72</v>
      </c>
      <c r="AP64" s="125">
        <v>1154</v>
      </c>
      <c r="AQ64" s="92" t="s">
        <v>72</v>
      </c>
      <c r="AR64" s="92">
        <v>376</v>
      </c>
      <c r="AS64" s="92" t="s">
        <v>72</v>
      </c>
      <c r="AT64" s="200" t="s">
        <v>1</v>
      </c>
      <c r="AU64" s="109" t="s">
        <v>1</v>
      </c>
      <c r="AV64" s="207" t="s">
        <v>203</v>
      </c>
      <c r="AW64" s="109" t="s">
        <v>1</v>
      </c>
      <c r="AX64" s="141">
        <v>0.0341067285382831</v>
      </c>
      <c r="AY64" s="200" t="s">
        <v>1</v>
      </c>
      <c r="AZ64" s="207" t="s">
        <v>188</v>
      </c>
      <c r="BA64" s="109" t="s">
        <v>1</v>
      </c>
      <c r="BB64" s="141">
        <v>0.108843537414966</v>
      </c>
      <c r="BC64" s="200" t="s">
        <v>1</v>
      </c>
      <c r="BD64" s="200" t="s">
        <v>1</v>
      </c>
      <c r="BE64" s="109" t="s">
        <v>1</v>
      </c>
      <c r="BF64" s="109" t="s">
        <v>1</v>
      </c>
      <c r="BG64" s="200" t="s">
        <v>1</v>
      </c>
      <c r="BH64" s="200" t="s">
        <v>1</v>
      </c>
      <c r="BI64" s="92" t="s">
        <v>73</v>
      </c>
      <c r="BJ64" s="92">
        <v>68</v>
      </c>
      <c r="BK64" s="125">
        <v>1153</v>
      </c>
      <c r="BL64" s="92" t="s">
        <v>72</v>
      </c>
      <c r="BM64" s="92" t="s">
        <v>74</v>
      </c>
      <c r="BN64" s="92">
        <v>415</v>
      </c>
      <c r="BO64" s="92">
        <v>396</v>
      </c>
      <c r="BP64" s="92" t="s">
        <v>72</v>
      </c>
      <c r="BQ64" s="108" t="s">
        <v>1</v>
      </c>
      <c r="BR64" s="108" t="s">
        <v>1</v>
      </c>
      <c r="BS64" s="108" t="s">
        <v>1</v>
      </c>
      <c r="BT64" s="108" t="s">
        <v>1</v>
      </c>
      <c r="BU64" s="108" t="s">
        <v>1</v>
      </c>
      <c r="BV64" s="189" t="s">
        <v>78</v>
      </c>
      <c r="BW64" s="189" t="s">
        <v>83</v>
      </c>
      <c r="BX64" s="190" t="s">
        <v>145</v>
      </c>
      <c r="BY64" s="189" t="s">
        <v>84</v>
      </c>
      <c r="BZ64" s="191" t="s">
        <v>150</v>
      </c>
      <c r="CA64" s="189" t="s">
        <v>86</v>
      </c>
      <c r="CB64" s="190" t="s">
        <v>92</v>
      </c>
      <c r="CC64" s="188" t="s">
        <v>141</v>
      </c>
      <c r="CD64" s="189" t="s">
        <v>87</v>
      </c>
      <c r="CE64" s="189" t="s">
        <v>105</v>
      </c>
      <c r="CF64" s="108" t="s">
        <v>1</v>
      </c>
    </row>
    <row r="65" ht="29" customHeight="1" spans="1:84">
      <c r="A65" s="107">
        <v>45168</v>
      </c>
      <c r="B65" s="203" t="s">
        <v>89</v>
      </c>
      <c r="C65" s="92" t="s">
        <v>71</v>
      </c>
      <c r="D65" s="30" t="s">
        <v>1</v>
      </c>
      <c r="E65" s="30" t="s">
        <v>1</v>
      </c>
      <c r="F65" s="109" t="str">
        <f t="shared" si="2"/>
        <v/>
      </c>
      <c r="G65" s="109" t="s">
        <v>1</v>
      </c>
      <c r="H65" s="108" t="s">
        <v>1</v>
      </c>
      <c r="I65" s="109">
        <v>0</v>
      </c>
      <c r="J65" s="141" t="str">
        <f t="shared" si="1"/>
        <v/>
      </c>
      <c r="K65" s="211" t="str">
        <f>IFERROR(E65/#REF!,"")</f>
        <v/>
      </c>
      <c r="L65" s="172">
        <v>7798</v>
      </c>
      <c r="M65" s="75" t="s">
        <v>72</v>
      </c>
      <c r="N65" s="109" t="s">
        <v>1</v>
      </c>
      <c r="O65" s="109">
        <v>4.35</v>
      </c>
      <c r="P65" s="109" t="s">
        <v>1</v>
      </c>
      <c r="Q65" s="109" t="s">
        <v>1</v>
      </c>
      <c r="R65" s="109" t="s">
        <v>1</v>
      </c>
      <c r="S65" s="109" t="s">
        <v>1</v>
      </c>
      <c r="T65" s="109" t="s">
        <v>1</v>
      </c>
      <c r="U65" s="109" t="s">
        <v>1</v>
      </c>
      <c r="V65" s="92" t="s">
        <v>1</v>
      </c>
      <c r="W65" s="92" t="s">
        <v>72</v>
      </c>
      <c r="X65" s="92" t="s">
        <v>1</v>
      </c>
      <c r="Y65" s="92" t="s">
        <v>72</v>
      </c>
      <c r="Z65" s="92" t="s">
        <v>1</v>
      </c>
      <c r="AA65" s="236" t="s">
        <v>72</v>
      </c>
      <c r="AB65" s="92" t="s">
        <v>1</v>
      </c>
      <c r="AC65" s="92" t="s">
        <v>72</v>
      </c>
      <c r="AD65" s="92" t="s">
        <v>1</v>
      </c>
      <c r="AE65" s="92" t="s">
        <v>72</v>
      </c>
      <c r="AF65" s="92" t="s">
        <v>1</v>
      </c>
      <c r="AG65" s="92" t="s">
        <v>72</v>
      </c>
      <c r="AH65" s="125">
        <v>2635</v>
      </c>
      <c r="AI65" s="92" t="s">
        <v>72</v>
      </c>
      <c r="AJ65" s="92">
        <v>628</v>
      </c>
      <c r="AK65" s="92" t="s">
        <v>72</v>
      </c>
      <c r="AL65" s="92">
        <v>95</v>
      </c>
      <c r="AM65" s="92" t="s">
        <v>72</v>
      </c>
      <c r="AN65" s="125">
        <v>1310</v>
      </c>
      <c r="AO65" s="92" t="s">
        <v>72</v>
      </c>
      <c r="AP65" s="125">
        <v>1234</v>
      </c>
      <c r="AQ65" s="92" t="s">
        <v>72</v>
      </c>
      <c r="AR65" s="92">
        <v>350</v>
      </c>
      <c r="AS65" s="92" t="s">
        <v>72</v>
      </c>
      <c r="AT65" s="200" t="s">
        <v>1</v>
      </c>
      <c r="AU65" s="109" t="s">
        <v>1</v>
      </c>
      <c r="AV65" s="198">
        <v>160</v>
      </c>
      <c r="AW65" s="109" t="s">
        <v>1</v>
      </c>
      <c r="AX65" s="141">
        <v>0.0377536573855592</v>
      </c>
      <c r="AY65" s="200" t="s">
        <v>1</v>
      </c>
      <c r="AZ65" s="207" t="s">
        <v>131</v>
      </c>
      <c r="BA65" s="109" t="s">
        <v>1</v>
      </c>
      <c r="BB65" s="141">
        <v>0.09375</v>
      </c>
      <c r="BC65" s="200" t="s">
        <v>1</v>
      </c>
      <c r="BD65" s="200" t="s">
        <v>1</v>
      </c>
      <c r="BE65" s="109" t="s">
        <v>1</v>
      </c>
      <c r="BF65" s="109" t="s">
        <v>1</v>
      </c>
      <c r="BG65" s="200" t="s">
        <v>1</v>
      </c>
      <c r="BH65" s="200" t="s">
        <v>1</v>
      </c>
      <c r="BI65" s="92" t="s">
        <v>94</v>
      </c>
      <c r="BJ65" s="92">
        <v>46</v>
      </c>
      <c r="BK65" s="125">
        <v>1393</v>
      </c>
      <c r="BL65" s="92" t="s">
        <v>72</v>
      </c>
      <c r="BM65" s="92" t="s">
        <v>74</v>
      </c>
      <c r="BN65" s="92">
        <v>365</v>
      </c>
      <c r="BO65" s="92">
        <v>451</v>
      </c>
      <c r="BP65" s="92" t="s">
        <v>72</v>
      </c>
      <c r="BQ65" s="108" t="s">
        <v>1</v>
      </c>
      <c r="BR65" s="108" t="s">
        <v>1</v>
      </c>
      <c r="BS65" s="108" t="s">
        <v>1</v>
      </c>
      <c r="BT65" s="108" t="s">
        <v>1</v>
      </c>
      <c r="BU65" s="108" t="s">
        <v>1</v>
      </c>
      <c r="BV65" s="189" t="s">
        <v>1</v>
      </c>
      <c r="BW65" s="189" t="s">
        <v>1</v>
      </c>
      <c r="BX65" s="190" t="s">
        <v>1</v>
      </c>
      <c r="BY65" s="189" t="s">
        <v>1</v>
      </c>
      <c r="BZ65" s="191" t="s">
        <v>1</v>
      </c>
      <c r="CA65" s="189" t="s">
        <v>1</v>
      </c>
      <c r="CB65" s="190" t="s">
        <v>1</v>
      </c>
      <c r="CC65" s="188" t="s">
        <v>1</v>
      </c>
      <c r="CD65" s="189" t="s">
        <v>1</v>
      </c>
      <c r="CE65" s="189" t="s">
        <v>1</v>
      </c>
      <c r="CF65" s="108" t="s">
        <v>1</v>
      </c>
    </row>
    <row r="66" ht="29" customHeight="1" spans="1:84">
      <c r="A66" s="107">
        <v>45169</v>
      </c>
      <c r="B66" s="118" t="s">
        <v>123</v>
      </c>
      <c r="C66" s="92" t="s">
        <v>71</v>
      </c>
      <c r="D66" s="30" t="s">
        <v>1</v>
      </c>
      <c r="E66" s="30" t="s">
        <v>1</v>
      </c>
      <c r="F66" s="109" t="str">
        <f t="shared" si="2"/>
        <v/>
      </c>
      <c r="G66" s="109" t="s">
        <v>1</v>
      </c>
      <c r="H66" s="108" t="s">
        <v>1</v>
      </c>
      <c r="I66" s="109">
        <v>27</v>
      </c>
      <c r="J66" s="141" t="str">
        <f t="shared" si="1"/>
        <v/>
      </c>
      <c r="K66" s="211" t="str">
        <f>IFERROR(E66/#REF!,"")</f>
        <v/>
      </c>
      <c r="L66" s="172">
        <v>74176</v>
      </c>
      <c r="M66" s="75" t="s">
        <v>72</v>
      </c>
      <c r="N66" s="109" t="s">
        <v>1</v>
      </c>
      <c r="O66" s="109">
        <v>9.1</v>
      </c>
      <c r="P66" s="109" t="s">
        <v>1</v>
      </c>
      <c r="Q66" s="109" t="s">
        <v>1</v>
      </c>
      <c r="R66" s="109" t="s">
        <v>1</v>
      </c>
      <c r="S66" s="109" t="s">
        <v>1</v>
      </c>
      <c r="T66" s="109" t="s">
        <v>1</v>
      </c>
      <c r="U66" s="109" t="s">
        <v>1</v>
      </c>
      <c r="V66" s="92" t="s">
        <v>1</v>
      </c>
      <c r="W66" s="92" t="s">
        <v>72</v>
      </c>
      <c r="X66" s="92" t="s">
        <v>1</v>
      </c>
      <c r="Y66" s="92" t="s">
        <v>72</v>
      </c>
      <c r="Z66" s="92" t="s">
        <v>1</v>
      </c>
      <c r="AA66" s="236" t="s">
        <v>72</v>
      </c>
      <c r="AB66" s="92" t="s">
        <v>1</v>
      </c>
      <c r="AC66" s="92" t="s">
        <v>72</v>
      </c>
      <c r="AD66" s="92" t="s">
        <v>1</v>
      </c>
      <c r="AE66" s="92" t="s">
        <v>72</v>
      </c>
      <c r="AF66" s="92" t="s">
        <v>1</v>
      </c>
      <c r="AG66" s="92" t="s">
        <v>72</v>
      </c>
      <c r="AH66" s="125">
        <v>2751</v>
      </c>
      <c r="AI66" s="92" t="s">
        <v>72</v>
      </c>
      <c r="AJ66" s="92">
        <v>699</v>
      </c>
      <c r="AK66" s="92" t="s">
        <v>72</v>
      </c>
      <c r="AL66" s="92">
        <v>108</v>
      </c>
      <c r="AM66" s="92" t="s">
        <v>72</v>
      </c>
      <c r="AN66" s="92">
        <v>873</v>
      </c>
      <c r="AO66" s="92" t="s">
        <v>72</v>
      </c>
      <c r="AP66" s="125">
        <v>1261</v>
      </c>
      <c r="AQ66" s="92" t="s">
        <v>72</v>
      </c>
      <c r="AR66" s="92">
        <v>318</v>
      </c>
      <c r="AS66" s="92" t="s">
        <v>72</v>
      </c>
      <c r="AT66" s="200" t="s">
        <v>1</v>
      </c>
      <c r="AU66" s="109" t="s">
        <v>1</v>
      </c>
      <c r="AV66" s="198">
        <v>195</v>
      </c>
      <c r="AW66" s="109" t="s">
        <v>1</v>
      </c>
      <c r="AX66" s="141">
        <v>0.0484712900820283</v>
      </c>
      <c r="AY66" s="200" t="s">
        <v>1</v>
      </c>
      <c r="AZ66" s="207">
        <v>30</v>
      </c>
      <c r="BA66" s="109" t="s">
        <v>1</v>
      </c>
      <c r="BB66" s="141">
        <v>0.153846153846154</v>
      </c>
      <c r="BC66" s="200" t="s">
        <v>1</v>
      </c>
      <c r="BD66" s="200" t="s">
        <v>1</v>
      </c>
      <c r="BE66" s="109" t="s">
        <v>1</v>
      </c>
      <c r="BF66" s="109" t="s">
        <v>1</v>
      </c>
      <c r="BG66" s="200" t="s">
        <v>1</v>
      </c>
      <c r="BH66" s="200" t="s">
        <v>1</v>
      </c>
      <c r="BI66" s="92" t="s">
        <v>94</v>
      </c>
      <c r="BJ66" s="92">
        <v>50</v>
      </c>
      <c r="BK66" s="92">
        <v>1297</v>
      </c>
      <c r="BL66" s="92" t="s">
        <v>72</v>
      </c>
      <c r="BM66" s="92" t="s">
        <v>74</v>
      </c>
      <c r="BN66" s="92">
        <v>392</v>
      </c>
      <c r="BO66" s="92">
        <v>418</v>
      </c>
      <c r="BP66" s="92" t="s">
        <v>72</v>
      </c>
      <c r="BQ66" s="108" t="s">
        <v>1</v>
      </c>
      <c r="BR66" s="108" t="s">
        <v>1</v>
      </c>
      <c r="BS66" s="108" t="s">
        <v>1</v>
      </c>
      <c r="BT66" s="108" t="s">
        <v>1</v>
      </c>
      <c r="BU66" s="108" t="s">
        <v>1</v>
      </c>
      <c r="BV66" s="189" t="s">
        <v>1</v>
      </c>
      <c r="BW66" s="189" t="s">
        <v>1</v>
      </c>
      <c r="BX66" s="190" t="s">
        <v>1</v>
      </c>
      <c r="BY66" s="189" t="s">
        <v>1</v>
      </c>
      <c r="BZ66" s="191" t="s">
        <v>1</v>
      </c>
      <c r="CA66" s="189" t="s">
        <v>1</v>
      </c>
      <c r="CB66" s="190" t="s">
        <v>1</v>
      </c>
      <c r="CC66" s="188" t="s">
        <v>1</v>
      </c>
      <c r="CD66" s="189" t="s">
        <v>1</v>
      </c>
      <c r="CE66" s="189" t="s">
        <v>1</v>
      </c>
      <c r="CF66" s="108" t="s">
        <v>1</v>
      </c>
    </row>
    <row r="67" ht="29" customHeight="1" spans="1:84">
      <c r="A67" s="107">
        <v>45170</v>
      </c>
      <c r="B67" s="118" t="s">
        <v>1</v>
      </c>
      <c r="C67" s="92" t="s">
        <v>71</v>
      </c>
      <c r="D67" s="30" t="s">
        <v>1</v>
      </c>
      <c r="E67" s="30" t="s">
        <v>1</v>
      </c>
      <c r="F67" s="109" t="str">
        <f t="shared" si="2"/>
        <v/>
      </c>
      <c r="G67" s="109" t="s">
        <v>1</v>
      </c>
      <c r="H67" s="108" t="s">
        <v>1</v>
      </c>
      <c r="I67" s="109" t="s">
        <v>1</v>
      </c>
      <c r="J67" s="141" t="str">
        <f t="shared" si="1"/>
        <v/>
      </c>
      <c r="K67" s="211" t="str">
        <f>IFERROR(E67/#REF!,"")</f>
        <v/>
      </c>
      <c r="L67" s="30">
        <v>34289</v>
      </c>
      <c r="M67" s="75" t="s">
        <v>72</v>
      </c>
      <c r="N67" s="109" t="s">
        <v>1</v>
      </c>
      <c r="O67" s="109">
        <v>5.33</v>
      </c>
      <c r="P67" s="109" t="s">
        <v>1</v>
      </c>
      <c r="Q67" s="109" t="s">
        <v>1</v>
      </c>
      <c r="R67" s="109" t="s">
        <v>1</v>
      </c>
      <c r="S67" s="109" t="s">
        <v>1</v>
      </c>
      <c r="T67" s="109" t="s">
        <v>1</v>
      </c>
      <c r="U67" s="109" t="s">
        <v>1</v>
      </c>
      <c r="V67" s="92" t="s">
        <v>1</v>
      </c>
      <c r="W67" s="92" t="s">
        <v>72</v>
      </c>
      <c r="X67" s="92" t="s">
        <v>1</v>
      </c>
      <c r="Y67" s="92" t="s">
        <v>72</v>
      </c>
      <c r="Z67" s="92" t="s">
        <v>1</v>
      </c>
      <c r="AA67" s="236" t="s">
        <v>72</v>
      </c>
      <c r="AB67" s="92" t="s">
        <v>1</v>
      </c>
      <c r="AC67" s="92" t="s">
        <v>72</v>
      </c>
      <c r="AD67" s="92" t="s">
        <v>1</v>
      </c>
      <c r="AE67" s="92" t="s">
        <v>1</v>
      </c>
      <c r="AF67" s="92" t="s">
        <v>1</v>
      </c>
      <c r="AG67" s="92" t="s">
        <v>72</v>
      </c>
      <c r="AH67" s="125">
        <v>2550</v>
      </c>
      <c r="AI67" s="92" t="s">
        <v>72</v>
      </c>
      <c r="AJ67" s="92">
        <v>470</v>
      </c>
      <c r="AK67" s="92" t="s">
        <v>72</v>
      </c>
      <c r="AL67" s="92">
        <v>80</v>
      </c>
      <c r="AM67" s="92" t="s">
        <v>72</v>
      </c>
      <c r="AN67" s="125">
        <v>1206</v>
      </c>
      <c r="AO67" s="92" t="s">
        <v>72</v>
      </c>
      <c r="AP67" s="125">
        <v>1238</v>
      </c>
      <c r="AQ67" s="92" t="s">
        <v>72</v>
      </c>
      <c r="AR67" s="92">
        <v>259</v>
      </c>
      <c r="AS67" s="92" t="s">
        <v>72</v>
      </c>
      <c r="AT67" s="200" t="s">
        <v>1</v>
      </c>
      <c r="AU67" s="109" t="s">
        <v>1</v>
      </c>
      <c r="AV67" s="198">
        <v>172</v>
      </c>
      <c r="AW67" s="109" t="s">
        <v>1</v>
      </c>
      <c r="AX67" s="141">
        <v>0.0429892526868283</v>
      </c>
      <c r="AY67" s="200" t="s">
        <v>1</v>
      </c>
      <c r="AZ67" s="207">
        <v>14</v>
      </c>
      <c r="BA67" s="109" t="s">
        <v>1</v>
      </c>
      <c r="BB67" s="141">
        <v>0.0813953488372093</v>
      </c>
      <c r="BC67" s="200" t="s">
        <v>1</v>
      </c>
      <c r="BD67" s="200" t="s">
        <v>1</v>
      </c>
      <c r="BE67" s="109" t="s">
        <v>1</v>
      </c>
      <c r="BF67" s="109" t="s">
        <v>1</v>
      </c>
      <c r="BG67" s="200" t="s">
        <v>1</v>
      </c>
      <c r="BH67" s="200" t="s">
        <v>1</v>
      </c>
      <c r="BI67" s="92" t="s">
        <v>73</v>
      </c>
      <c r="BJ67" s="92">
        <v>53</v>
      </c>
      <c r="BK67" s="125">
        <v>1123</v>
      </c>
      <c r="BL67" s="92" t="s">
        <v>72</v>
      </c>
      <c r="BM67" s="92" t="s">
        <v>74</v>
      </c>
      <c r="BN67" s="92">
        <v>428</v>
      </c>
      <c r="BO67" s="92">
        <v>381</v>
      </c>
      <c r="BP67" s="92" t="s">
        <v>72</v>
      </c>
      <c r="BQ67" s="108" t="s">
        <v>1</v>
      </c>
      <c r="BR67" s="108" t="s">
        <v>1</v>
      </c>
      <c r="BS67" s="108" t="s">
        <v>1</v>
      </c>
      <c r="BT67" s="108" t="s">
        <v>1</v>
      </c>
      <c r="BU67" s="108" t="s">
        <v>1</v>
      </c>
      <c r="BV67" s="189" t="s">
        <v>1</v>
      </c>
      <c r="BW67" s="189" t="s">
        <v>1</v>
      </c>
      <c r="BX67" s="190" t="s">
        <v>1</v>
      </c>
      <c r="BY67" s="189" t="s">
        <v>1</v>
      </c>
      <c r="BZ67" s="191" t="s">
        <v>1</v>
      </c>
      <c r="CA67" s="189" t="s">
        <v>1</v>
      </c>
      <c r="CB67" s="190" t="s">
        <v>1</v>
      </c>
      <c r="CC67" s="188" t="s">
        <v>1</v>
      </c>
      <c r="CD67" s="189" t="s">
        <v>1</v>
      </c>
      <c r="CE67" s="189" t="s">
        <v>1</v>
      </c>
      <c r="CF67" s="108" t="s">
        <v>1</v>
      </c>
    </row>
    <row r="68" ht="29" customHeight="1" spans="1:84">
      <c r="A68" s="107">
        <v>45171</v>
      </c>
      <c r="B68" s="7" t="s">
        <v>125</v>
      </c>
      <c r="C68" s="92" t="s">
        <v>71</v>
      </c>
      <c r="D68" s="30" t="s">
        <v>1</v>
      </c>
      <c r="E68" s="30" t="s">
        <v>1</v>
      </c>
      <c r="F68" s="109" t="str">
        <f t="shared" si="2"/>
        <v/>
      </c>
      <c r="G68" s="109" t="s">
        <v>1</v>
      </c>
      <c r="H68" s="108" t="s">
        <v>1</v>
      </c>
      <c r="I68" s="109" t="s">
        <v>1</v>
      </c>
      <c r="J68" s="141" t="str">
        <f t="shared" si="1"/>
        <v/>
      </c>
      <c r="K68" s="211" t="str">
        <f>IFERROR(E68/#REF!,"")</f>
        <v/>
      </c>
      <c r="L68" s="30">
        <v>43069</v>
      </c>
      <c r="M68" s="75" t="s">
        <v>72</v>
      </c>
      <c r="N68" s="109" t="s">
        <v>1</v>
      </c>
      <c r="O68" s="109">
        <v>5.05</v>
      </c>
      <c r="P68" s="109" t="s">
        <v>1</v>
      </c>
      <c r="Q68" s="109" t="s">
        <v>1</v>
      </c>
      <c r="R68" s="109" t="s">
        <v>1</v>
      </c>
      <c r="S68" s="109" t="s">
        <v>1</v>
      </c>
      <c r="T68" s="109" t="s">
        <v>1</v>
      </c>
      <c r="U68" s="109" t="s">
        <v>1</v>
      </c>
      <c r="V68" s="92" t="s">
        <v>1</v>
      </c>
      <c r="W68" s="92" t="s">
        <v>72</v>
      </c>
      <c r="X68" s="92" t="s">
        <v>1</v>
      </c>
      <c r="Y68" s="92" t="s">
        <v>72</v>
      </c>
      <c r="Z68" s="92" t="s">
        <v>1</v>
      </c>
      <c r="AA68" s="236" t="s">
        <v>72</v>
      </c>
      <c r="AB68" s="92" t="s">
        <v>1</v>
      </c>
      <c r="AC68" s="92" t="s">
        <v>72</v>
      </c>
      <c r="AD68" s="92" t="s">
        <v>1</v>
      </c>
      <c r="AE68" s="92" t="s">
        <v>1</v>
      </c>
      <c r="AF68" s="92" t="s">
        <v>1</v>
      </c>
      <c r="AG68" s="92" t="s">
        <v>72</v>
      </c>
      <c r="AH68" s="125">
        <v>2481</v>
      </c>
      <c r="AI68" s="92" t="s">
        <v>72</v>
      </c>
      <c r="AJ68" s="92">
        <v>504</v>
      </c>
      <c r="AK68" s="92" t="s">
        <v>72</v>
      </c>
      <c r="AL68" s="92">
        <v>111</v>
      </c>
      <c r="AM68" s="92" t="s">
        <v>72</v>
      </c>
      <c r="AN68" s="125">
        <v>1466</v>
      </c>
      <c r="AO68" s="92" t="s">
        <v>72</v>
      </c>
      <c r="AP68" s="125">
        <v>1157</v>
      </c>
      <c r="AQ68" s="92" t="s">
        <v>72</v>
      </c>
      <c r="AR68" s="92">
        <v>264</v>
      </c>
      <c r="AS68" s="92" t="s">
        <v>72</v>
      </c>
      <c r="AT68" s="200" t="s">
        <v>1</v>
      </c>
      <c r="AU68" s="109" t="s">
        <v>1</v>
      </c>
      <c r="AV68" s="198">
        <v>172</v>
      </c>
      <c r="AW68" s="109" t="s">
        <v>1</v>
      </c>
      <c r="AX68" s="141">
        <v>0.0410403245048914</v>
      </c>
      <c r="AY68" s="200" t="s">
        <v>1</v>
      </c>
      <c r="AZ68" s="207">
        <v>15</v>
      </c>
      <c r="BA68" s="109" t="s">
        <v>1</v>
      </c>
      <c r="BB68" s="141">
        <v>0.0872093023255814</v>
      </c>
      <c r="BC68" s="200" t="s">
        <v>1</v>
      </c>
      <c r="BD68" s="200" t="s">
        <v>1</v>
      </c>
      <c r="BE68" s="109" t="s">
        <v>1</v>
      </c>
      <c r="BF68" s="109" t="s">
        <v>1</v>
      </c>
      <c r="BG68" s="200" t="s">
        <v>1</v>
      </c>
      <c r="BH68" s="200" t="s">
        <v>1</v>
      </c>
      <c r="BI68" s="92" t="s">
        <v>73</v>
      </c>
      <c r="BJ68" s="92">
        <v>64</v>
      </c>
      <c r="BK68" s="92">
        <v>1116</v>
      </c>
      <c r="BL68" s="92" t="s">
        <v>72</v>
      </c>
      <c r="BM68" s="92" t="s">
        <v>74</v>
      </c>
      <c r="BN68" s="92">
        <v>492</v>
      </c>
      <c r="BO68" s="92">
        <v>342</v>
      </c>
      <c r="BP68" s="92" t="s">
        <v>72</v>
      </c>
      <c r="BQ68" s="108" t="s">
        <v>1</v>
      </c>
      <c r="BR68" s="108" t="s">
        <v>1</v>
      </c>
      <c r="BS68" s="108" t="s">
        <v>1</v>
      </c>
      <c r="BT68" s="108" t="s">
        <v>1</v>
      </c>
      <c r="BU68" s="108" t="s">
        <v>1</v>
      </c>
      <c r="BV68" s="189" t="s">
        <v>1</v>
      </c>
      <c r="BW68" s="189" t="s">
        <v>1</v>
      </c>
      <c r="BX68" s="190" t="s">
        <v>1</v>
      </c>
      <c r="BY68" s="189" t="s">
        <v>1</v>
      </c>
      <c r="BZ68" s="191" t="s">
        <v>1</v>
      </c>
      <c r="CA68" s="189" t="s">
        <v>1</v>
      </c>
      <c r="CB68" s="190" t="s">
        <v>1</v>
      </c>
      <c r="CC68" s="188" t="s">
        <v>1</v>
      </c>
      <c r="CD68" s="189" t="s">
        <v>1</v>
      </c>
      <c r="CE68" s="189" t="s">
        <v>1</v>
      </c>
      <c r="CF68" s="108" t="s">
        <v>1</v>
      </c>
    </row>
    <row r="69" ht="29" customHeight="1" spans="1:84">
      <c r="A69" s="107">
        <v>45172</v>
      </c>
      <c r="B69" s="7" t="s">
        <v>89</v>
      </c>
      <c r="C69" s="92" t="s">
        <v>71</v>
      </c>
      <c r="D69" s="30" t="s">
        <v>1</v>
      </c>
      <c r="E69" s="30" t="s">
        <v>1</v>
      </c>
      <c r="F69" s="109" t="str">
        <f t="shared" si="2"/>
        <v/>
      </c>
      <c r="G69" s="109" t="s">
        <v>1</v>
      </c>
      <c r="H69" s="108" t="s">
        <v>1</v>
      </c>
      <c r="I69" s="109" t="s">
        <v>1</v>
      </c>
      <c r="J69" s="141" t="str">
        <f t="shared" ref="J69:J127" si="3">IFERROR(E69/I69,"")</f>
        <v/>
      </c>
      <c r="K69" s="211" t="str">
        <f>IFERROR(E69/#REF!,"")</f>
        <v/>
      </c>
      <c r="L69" s="172">
        <v>8698</v>
      </c>
      <c r="M69" s="75" t="s">
        <v>72</v>
      </c>
      <c r="N69" s="109" t="s">
        <v>1</v>
      </c>
      <c r="O69" s="109">
        <v>2.54</v>
      </c>
      <c r="P69" s="109" t="s">
        <v>1</v>
      </c>
      <c r="Q69" s="109" t="s">
        <v>1</v>
      </c>
      <c r="R69" s="109" t="s">
        <v>1</v>
      </c>
      <c r="S69" s="109" t="s">
        <v>1</v>
      </c>
      <c r="T69" s="109" t="s">
        <v>1</v>
      </c>
      <c r="U69" s="109" t="s">
        <v>1</v>
      </c>
      <c r="V69" s="92" t="s">
        <v>1</v>
      </c>
      <c r="W69" s="92" t="s">
        <v>72</v>
      </c>
      <c r="X69" s="92" t="s">
        <v>1</v>
      </c>
      <c r="Y69" s="92" t="s">
        <v>72</v>
      </c>
      <c r="Z69" s="92" t="s">
        <v>1</v>
      </c>
      <c r="AA69" s="236" t="s">
        <v>72</v>
      </c>
      <c r="AB69" s="92" t="s">
        <v>1</v>
      </c>
      <c r="AC69" s="92" t="s">
        <v>72</v>
      </c>
      <c r="AD69" s="92" t="s">
        <v>1</v>
      </c>
      <c r="AE69" s="92" t="s">
        <v>1</v>
      </c>
      <c r="AF69" s="92" t="s">
        <v>1</v>
      </c>
      <c r="AG69" s="92" t="s">
        <v>72</v>
      </c>
      <c r="AH69" s="125">
        <v>2323</v>
      </c>
      <c r="AI69" s="92" t="s">
        <v>72</v>
      </c>
      <c r="AJ69" s="92">
        <v>575</v>
      </c>
      <c r="AK69" s="92" t="s">
        <v>72</v>
      </c>
      <c r="AL69" s="92">
        <v>69</v>
      </c>
      <c r="AM69" s="92" t="s">
        <v>72</v>
      </c>
      <c r="AN69" s="125">
        <v>1298</v>
      </c>
      <c r="AO69" s="92" t="s">
        <v>72</v>
      </c>
      <c r="AP69" s="92">
        <v>899</v>
      </c>
      <c r="AQ69" s="92" t="s">
        <v>72</v>
      </c>
      <c r="AR69" s="92">
        <v>313</v>
      </c>
      <c r="AS69" s="92" t="s">
        <v>72</v>
      </c>
      <c r="AT69" s="200" t="s">
        <v>1</v>
      </c>
      <c r="AU69" s="109" t="s">
        <v>1</v>
      </c>
      <c r="AV69" s="198">
        <v>162</v>
      </c>
      <c r="AW69" s="109" t="s">
        <v>1</v>
      </c>
      <c r="AX69" s="141">
        <v>0.0412423625254583</v>
      </c>
      <c r="AY69" s="200" t="s">
        <v>1</v>
      </c>
      <c r="AZ69" s="207">
        <v>5</v>
      </c>
      <c r="BA69" s="109" t="s">
        <v>1</v>
      </c>
      <c r="BB69" s="141">
        <v>0.0308641975308642</v>
      </c>
      <c r="BC69" s="200" t="s">
        <v>1</v>
      </c>
      <c r="BD69" s="200" t="s">
        <v>1</v>
      </c>
      <c r="BE69" s="109" t="s">
        <v>1</v>
      </c>
      <c r="BF69" s="109" t="s">
        <v>1</v>
      </c>
      <c r="BG69" s="200" t="s">
        <v>1</v>
      </c>
      <c r="BH69" s="200" t="s">
        <v>1</v>
      </c>
      <c r="BI69" s="92" t="s">
        <v>73</v>
      </c>
      <c r="BJ69" s="92">
        <v>113</v>
      </c>
      <c r="BK69" s="92">
        <v>677</v>
      </c>
      <c r="BL69" s="92" t="s">
        <v>72</v>
      </c>
      <c r="BM69" s="92" t="s">
        <v>74</v>
      </c>
      <c r="BN69" s="92">
        <v>660</v>
      </c>
      <c r="BO69" s="92">
        <v>246</v>
      </c>
      <c r="BP69" s="92" t="s">
        <v>72</v>
      </c>
      <c r="BQ69" s="108" t="s">
        <v>1</v>
      </c>
      <c r="BR69" s="108" t="s">
        <v>1</v>
      </c>
      <c r="BS69" s="108" t="s">
        <v>1</v>
      </c>
      <c r="BT69" s="108" t="s">
        <v>1</v>
      </c>
      <c r="BU69" s="108" t="s">
        <v>1</v>
      </c>
      <c r="BV69" s="189" t="s">
        <v>1</v>
      </c>
      <c r="BW69" s="189" t="s">
        <v>1</v>
      </c>
      <c r="BX69" s="190" t="s">
        <v>1</v>
      </c>
      <c r="BY69" s="189" t="s">
        <v>1</v>
      </c>
      <c r="BZ69" s="191" t="s">
        <v>1</v>
      </c>
      <c r="CA69" s="189" t="s">
        <v>1</v>
      </c>
      <c r="CB69" s="190" t="s">
        <v>1</v>
      </c>
      <c r="CC69" s="188" t="s">
        <v>1</v>
      </c>
      <c r="CD69" s="189" t="s">
        <v>1</v>
      </c>
      <c r="CE69" s="189" t="s">
        <v>1</v>
      </c>
      <c r="CF69" s="108" t="s">
        <v>1</v>
      </c>
    </row>
    <row r="70" ht="29" customHeight="1" spans="1:84">
      <c r="A70" s="107">
        <v>45173</v>
      </c>
      <c r="B70" s="7" t="s">
        <v>126</v>
      </c>
      <c r="C70" s="92" t="s">
        <v>71</v>
      </c>
      <c r="D70" s="30" t="s">
        <v>1</v>
      </c>
      <c r="E70" s="30" t="s">
        <v>1</v>
      </c>
      <c r="F70" s="109" t="str">
        <f t="shared" si="2"/>
        <v/>
      </c>
      <c r="G70" s="109" t="s">
        <v>1</v>
      </c>
      <c r="H70" s="108" t="s">
        <v>1</v>
      </c>
      <c r="I70" s="109" t="s">
        <v>1</v>
      </c>
      <c r="J70" s="141" t="str">
        <f t="shared" si="3"/>
        <v/>
      </c>
      <c r="K70" s="211" t="str">
        <f>IFERROR(E70/#REF!,"")</f>
        <v/>
      </c>
      <c r="L70" s="172">
        <v>84456</v>
      </c>
      <c r="M70" s="75" t="s">
        <v>72</v>
      </c>
      <c r="N70" s="109" t="s">
        <v>1</v>
      </c>
      <c r="O70" s="109">
        <v>6.3</v>
      </c>
      <c r="P70" s="109" t="s">
        <v>1</v>
      </c>
      <c r="Q70" s="109" t="s">
        <v>1</v>
      </c>
      <c r="R70" s="109" t="s">
        <v>1</v>
      </c>
      <c r="S70" s="109" t="s">
        <v>1</v>
      </c>
      <c r="T70" s="109" t="s">
        <v>1</v>
      </c>
      <c r="U70" s="109" t="s">
        <v>1</v>
      </c>
      <c r="V70" s="92" t="s">
        <v>1</v>
      </c>
      <c r="W70" s="92" t="s">
        <v>72</v>
      </c>
      <c r="X70" s="92" t="s">
        <v>1</v>
      </c>
      <c r="Y70" s="92" t="s">
        <v>72</v>
      </c>
      <c r="Z70" s="92" t="s">
        <v>1</v>
      </c>
      <c r="AA70" s="236" t="s">
        <v>72</v>
      </c>
      <c r="AB70" s="92" t="s">
        <v>1</v>
      </c>
      <c r="AC70" s="92" t="s">
        <v>72</v>
      </c>
      <c r="AD70" s="92" t="s">
        <v>1</v>
      </c>
      <c r="AE70" s="92" t="s">
        <v>1</v>
      </c>
      <c r="AF70" s="92" t="s">
        <v>1</v>
      </c>
      <c r="AG70" s="92" t="s">
        <v>72</v>
      </c>
      <c r="AH70" s="125">
        <v>2294</v>
      </c>
      <c r="AI70" s="92" t="s">
        <v>72</v>
      </c>
      <c r="AJ70" s="92">
        <v>551</v>
      </c>
      <c r="AK70" s="92" t="s">
        <v>72</v>
      </c>
      <c r="AL70" s="92">
        <v>102</v>
      </c>
      <c r="AM70" s="92" t="s">
        <v>72</v>
      </c>
      <c r="AN70" s="125">
        <v>1179</v>
      </c>
      <c r="AO70" s="92" t="s">
        <v>72</v>
      </c>
      <c r="AP70" s="92">
        <v>906</v>
      </c>
      <c r="AQ70" s="92" t="s">
        <v>72</v>
      </c>
      <c r="AR70" s="92">
        <v>299</v>
      </c>
      <c r="AS70" s="92" t="s">
        <v>72</v>
      </c>
      <c r="AT70" s="200" t="s">
        <v>1</v>
      </c>
      <c r="AU70" s="109" t="s">
        <v>1</v>
      </c>
      <c r="AV70" s="198">
        <v>157</v>
      </c>
      <c r="AW70" s="109" t="s">
        <v>1</v>
      </c>
      <c r="AX70" s="141">
        <v>0.0415343915343915</v>
      </c>
      <c r="AY70" s="200" t="s">
        <v>1</v>
      </c>
      <c r="AZ70" s="207">
        <v>20</v>
      </c>
      <c r="BA70" s="109" t="s">
        <v>1</v>
      </c>
      <c r="BB70" s="141">
        <v>0.127388535031847</v>
      </c>
      <c r="BC70" s="200" t="s">
        <v>1</v>
      </c>
      <c r="BD70" s="200" t="s">
        <v>1</v>
      </c>
      <c r="BE70" s="109" t="s">
        <v>1</v>
      </c>
      <c r="BF70" s="109" t="s">
        <v>1</v>
      </c>
      <c r="BG70" s="200" t="s">
        <v>1</v>
      </c>
      <c r="BH70" s="200" t="s">
        <v>1</v>
      </c>
      <c r="BI70" s="92" t="s">
        <v>74</v>
      </c>
      <c r="BJ70" s="92">
        <v>109</v>
      </c>
      <c r="BK70" s="92">
        <v>696</v>
      </c>
      <c r="BL70" s="92" t="s">
        <v>72</v>
      </c>
      <c r="BM70" s="92" t="s">
        <v>74</v>
      </c>
      <c r="BN70" s="92">
        <v>630</v>
      </c>
      <c r="BO70" s="92">
        <v>237</v>
      </c>
      <c r="BP70" s="92" t="s">
        <v>72</v>
      </c>
      <c r="BQ70" s="108" t="s">
        <v>1</v>
      </c>
      <c r="BR70" s="108" t="s">
        <v>1</v>
      </c>
      <c r="BS70" s="108" t="s">
        <v>1</v>
      </c>
      <c r="BT70" s="108" t="s">
        <v>1</v>
      </c>
      <c r="BU70" s="108" t="s">
        <v>1</v>
      </c>
      <c r="BV70" s="189" t="s">
        <v>1</v>
      </c>
      <c r="BW70" s="189" t="s">
        <v>1</v>
      </c>
      <c r="BX70" s="190" t="s">
        <v>1</v>
      </c>
      <c r="BY70" s="189" t="s">
        <v>1</v>
      </c>
      <c r="BZ70" s="191" t="s">
        <v>1</v>
      </c>
      <c r="CA70" s="189" t="s">
        <v>1</v>
      </c>
      <c r="CB70" s="190" t="s">
        <v>1</v>
      </c>
      <c r="CC70" s="188" t="s">
        <v>1</v>
      </c>
      <c r="CD70" s="189" t="s">
        <v>1</v>
      </c>
      <c r="CE70" s="189" t="s">
        <v>1</v>
      </c>
      <c r="CF70" s="108" t="s">
        <v>1</v>
      </c>
    </row>
    <row r="71" ht="29" customHeight="1" spans="1:84">
      <c r="A71" s="107">
        <v>45174</v>
      </c>
      <c r="B71" s="7" t="s">
        <v>89</v>
      </c>
      <c r="C71" s="92" t="s">
        <v>71</v>
      </c>
      <c r="D71" s="30" t="s">
        <v>1</v>
      </c>
      <c r="E71" s="30" t="s">
        <v>1</v>
      </c>
      <c r="F71" s="109" t="str">
        <f t="shared" si="2"/>
        <v/>
      </c>
      <c r="G71" s="109" t="s">
        <v>1</v>
      </c>
      <c r="H71" s="108" t="s">
        <v>1</v>
      </c>
      <c r="I71" s="109" t="s">
        <v>1</v>
      </c>
      <c r="J71" s="141" t="str">
        <f t="shared" si="3"/>
        <v/>
      </c>
      <c r="K71" s="211" t="str">
        <f>IFERROR(E71/#REF!,"")</f>
        <v/>
      </c>
      <c r="L71" s="172">
        <v>21393</v>
      </c>
      <c r="M71" s="75" t="s">
        <v>72</v>
      </c>
      <c r="N71" s="109" t="s">
        <v>1</v>
      </c>
      <c r="O71" s="109">
        <v>4.18</v>
      </c>
      <c r="P71" s="109" t="s">
        <v>1</v>
      </c>
      <c r="Q71" s="109" t="s">
        <v>1</v>
      </c>
      <c r="R71" s="109" t="s">
        <v>1</v>
      </c>
      <c r="S71" s="109" t="s">
        <v>1</v>
      </c>
      <c r="T71" s="109" t="s">
        <v>1</v>
      </c>
      <c r="U71" s="109" t="s">
        <v>1</v>
      </c>
      <c r="V71" s="92" t="s">
        <v>1</v>
      </c>
      <c r="W71" s="92" t="s">
        <v>72</v>
      </c>
      <c r="X71" s="92" t="s">
        <v>1</v>
      </c>
      <c r="Y71" s="92" t="s">
        <v>72</v>
      </c>
      <c r="Z71" s="92" t="s">
        <v>1</v>
      </c>
      <c r="AA71" s="236" t="s">
        <v>72</v>
      </c>
      <c r="AB71" s="92" t="s">
        <v>1</v>
      </c>
      <c r="AC71" s="92" t="s">
        <v>72</v>
      </c>
      <c r="AD71" s="92" t="s">
        <v>1</v>
      </c>
      <c r="AE71" s="92" t="s">
        <v>1</v>
      </c>
      <c r="AF71" s="92" t="s">
        <v>1</v>
      </c>
      <c r="AG71" s="92" t="s">
        <v>72</v>
      </c>
      <c r="AH71" s="125">
        <v>2557</v>
      </c>
      <c r="AI71" s="92" t="s">
        <v>72</v>
      </c>
      <c r="AJ71" s="92">
        <v>692</v>
      </c>
      <c r="AK71" s="92" t="s">
        <v>72</v>
      </c>
      <c r="AL71" s="92">
        <v>94</v>
      </c>
      <c r="AM71" s="92" t="s">
        <v>72</v>
      </c>
      <c r="AN71" s="125">
        <v>1028</v>
      </c>
      <c r="AO71" s="92" t="s">
        <v>72</v>
      </c>
      <c r="AP71" s="125">
        <v>1226</v>
      </c>
      <c r="AQ71" s="92" t="s">
        <v>72</v>
      </c>
      <c r="AR71" s="92">
        <v>327</v>
      </c>
      <c r="AS71" s="92" t="s">
        <v>72</v>
      </c>
      <c r="AT71" s="200" t="s">
        <v>1</v>
      </c>
      <c r="AU71" s="109" t="s">
        <v>1</v>
      </c>
      <c r="AV71" s="207">
        <v>165</v>
      </c>
      <c r="AW71" s="109" t="s">
        <v>1</v>
      </c>
      <c r="AX71" s="141">
        <v>0.0414885592154891</v>
      </c>
      <c r="AY71" s="200" t="s">
        <v>1</v>
      </c>
      <c r="AZ71" s="207">
        <v>12</v>
      </c>
      <c r="BA71" s="109" t="s">
        <v>1</v>
      </c>
      <c r="BB71" s="141">
        <v>0.0727272727272727</v>
      </c>
      <c r="BC71" s="200" t="s">
        <v>1</v>
      </c>
      <c r="BD71" s="200" t="s">
        <v>1</v>
      </c>
      <c r="BE71" s="109" t="s">
        <v>1</v>
      </c>
      <c r="BF71" s="109" t="s">
        <v>1</v>
      </c>
      <c r="BG71" s="200" t="s">
        <v>1</v>
      </c>
      <c r="BH71" s="200" t="s">
        <v>1</v>
      </c>
      <c r="BI71" s="92" t="s">
        <v>73</v>
      </c>
      <c r="BJ71" s="92">
        <v>60</v>
      </c>
      <c r="BK71" s="92">
        <v>1174</v>
      </c>
      <c r="BL71" s="92" t="s">
        <v>72</v>
      </c>
      <c r="BM71" s="92" t="s">
        <v>74</v>
      </c>
      <c r="BN71" s="92">
        <v>379</v>
      </c>
      <c r="BO71" s="92">
        <v>363</v>
      </c>
      <c r="BP71" s="92" t="s">
        <v>72</v>
      </c>
      <c r="BQ71" s="108" t="s">
        <v>1</v>
      </c>
      <c r="BR71" s="108" t="s">
        <v>1</v>
      </c>
      <c r="BS71" s="108" t="s">
        <v>1</v>
      </c>
      <c r="BT71" s="108" t="s">
        <v>1</v>
      </c>
      <c r="BU71" s="108" t="s">
        <v>1</v>
      </c>
      <c r="BV71" s="189" t="s">
        <v>78</v>
      </c>
      <c r="BW71" s="189" t="s">
        <v>86</v>
      </c>
      <c r="BX71" s="189" t="s">
        <v>83</v>
      </c>
      <c r="BY71" s="190" t="s">
        <v>92</v>
      </c>
      <c r="BZ71" s="189" t="s">
        <v>84</v>
      </c>
      <c r="CA71" s="190" t="s">
        <v>145</v>
      </c>
      <c r="CB71" s="189" t="s">
        <v>87</v>
      </c>
      <c r="CC71" s="189" t="s">
        <v>169</v>
      </c>
      <c r="CD71" s="105" t="s">
        <v>170</v>
      </c>
      <c r="CE71" s="189" t="s">
        <v>79</v>
      </c>
      <c r="CF71" s="108" t="s">
        <v>1</v>
      </c>
    </row>
    <row r="72" ht="29" customHeight="1" spans="1:84">
      <c r="A72" s="107">
        <v>45175</v>
      </c>
      <c r="B72" s="7" t="s">
        <v>89</v>
      </c>
      <c r="C72" s="92" t="s">
        <v>71</v>
      </c>
      <c r="D72" s="30" t="s">
        <v>1</v>
      </c>
      <c r="E72" s="30" t="s">
        <v>1</v>
      </c>
      <c r="F72" s="109" t="str">
        <f t="shared" si="2"/>
        <v/>
      </c>
      <c r="G72" s="109" t="s">
        <v>1</v>
      </c>
      <c r="H72" s="108" t="s">
        <v>1</v>
      </c>
      <c r="I72" s="109" t="s">
        <v>1</v>
      </c>
      <c r="J72" s="141" t="str">
        <f t="shared" si="3"/>
        <v/>
      </c>
      <c r="K72" s="211" t="str">
        <f>IFERROR(E72/#REF!,"")</f>
        <v/>
      </c>
      <c r="L72" s="172">
        <v>12107</v>
      </c>
      <c r="M72" s="75" t="s">
        <v>72</v>
      </c>
      <c r="N72" s="109" t="s">
        <v>1</v>
      </c>
      <c r="O72" s="109">
        <v>5.45</v>
      </c>
      <c r="P72" s="109" t="s">
        <v>1</v>
      </c>
      <c r="Q72" s="109" t="s">
        <v>1</v>
      </c>
      <c r="R72" s="109" t="s">
        <v>1</v>
      </c>
      <c r="S72" s="109" t="s">
        <v>1</v>
      </c>
      <c r="T72" s="109" t="s">
        <v>1</v>
      </c>
      <c r="U72" s="109" t="s">
        <v>1</v>
      </c>
      <c r="V72" s="92" t="s">
        <v>1</v>
      </c>
      <c r="W72" s="92" t="s">
        <v>72</v>
      </c>
      <c r="X72" s="92" t="s">
        <v>1</v>
      </c>
      <c r="Y72" s="92" t="s">
        <v>72</v>
      </c>
      <c r="Z72" s="92" t="s">
        <v>1</v>
      </c>
      <c r="AA72" s="236" t="s">
        <v>72</v>
      </c>
      <c r="AB72" s="92" t="s">
        <v>1</v>
      </c>
      <c r="AC72" s="92" t="s">
        <v>72</v>
      </c>
      <c r="AD72" s="92" t="s">
        <v>1</v>
      </c>
      <c r="AE72" s="92" t="s">
        <v>1</v>
      </c>
      <c r="AF72" s="92" t="s">
        <v>1</v>
      </c>
      <c r="AG72" s="92" t="s">
        <v>72</v>
      </c>
      <c r="AH72" s="125">
        <v>2615</v>
      </c>
      <c r="AI72" s="92" t="s">
        <v>72</v>
      </c>
      <c r="AJ72" s="92">
        <v>776</v>
      </c>
      <c r="AK72" s="92" t="s">
        <v>72</v>
      </c>
      <c r="AL72" s="92">
        <v>135</v>
      </c>
      <c r="AM72" s="92" t="s">
        <v>72</v>
      </c>
      <c r="AN72" s="125">
        <v>1122</v>
      </c>
      <c r="AO72" s="92" t="s">
        <v>72</v>
      </c>
      <c r="AP72" s="125">
        <v>1176</v>
      </c>
      <c r="AQ72" s="92" t="s">
        <v>72</v>
      </c>
      <c r="AR72" s="92">
        <v>344</v>
      </c>
      <c r="AS72" s="92" t="s">
        <v>72</v>
      </c>
      <c r="AT72" s="200" t="s">
        <v>1</v>
      </c>
      <c r="AU72" s="109" t="s">
        <v>1</v>
      </c>
      <c r="AV72" s="207" t="s">
        <v>204</v>
      </c>
      <c r="AW72" s="109" t="s">
        <v>1</v>
      </c>
      <c r="AX72" s="141">
        <v>0.0431758215399376</v>
      </c>
      <c r="AY72" s="200" t="s">
        <v>1</v>
      </c>
      <c r="AZ72" s="207" t="s">
        <v>133</v>
      </c>
      <c r="BA72" s="109" t="s">
        <v>1</v>
      </c>
      <c r="BB72" s="141">
        <v>0.116666666666667</v>
      </c>
      <c r="BC72" s="200" t="s">
        <v>1</v>
      </c>
      <c r="BD72" s="200" t="s">
        <v>1</v>
      </c>
      <c r="BE72" s="109" t="s">
        <v>1</v>
      </c>
      <c r="BF72" s="109" t="s">
        <v>1</v>
      </c>
      <c r="BG72" s="200" t="s">
        <v>1</v>
      </c>
      <c r="BH72" s="200" t="s">
        <v>1</v>
      </c>
      <c r="BI72" s="92" t="s">
        <v>73</v>
      </c>
      <c r="BJ72" s="92">
        <v>53</v>
      </c>
      <c r="BK72" s="92">
        <v>1248</v>
      </c>
      <c r="BL72" s="92" t="s">
        <v>72</v>
      </c>
      <c r="BM72" s="92" t="s">
        <v>74</v>
      </c>
      <c r="BN72" s="92">
        <v>376</v>
      </c>
      <c r="BO72" s="92">
        <v>356</v>
      </c>
      <c r="BP72" s="92" t="s">
        <v>72</v>
      </c>
      <c r="BQ72" s="108" t="s">
        <v>1</v>
      </c>
      <c r="BR72" s="108" t="s">
        <v>1</v>
      </c>
      <c r="BS72" s="108" t="s">
        <v>1</v>
      </c>
      <c r="BT72" s="108" t="s">
        <v>1</v>
      </c>
      <c r="BU72" s="108" t="s">
        <v>1</v>
      </c>
      <c r="BV72" s="189" t="s">
        <v>1</v>
      </c>
      <c r="BW72" s="189" t="s">
        <v>1</v>
      </c>
      <c r="BX72" s="189" t="s">
        <v>1</v>
      </c>
      <c r="BY72" s="190" t="s">
        <v>1</v>
      </c>
      <c r="BZ72" s="189" t="s">
        <v>1</v>
      </c>
      <c r="CA72" s="190" t="s">
        <v>1</v>
      </c>
      <c r="CB72" s="189" t="s">
        <v>1</v>
      </c>
      <c r="CC72" s="189" t="s">
        <v>1</v>
      </c>
      <c r="CD72" s="105" t="s">
        <v>1</v>
      </c>
      <c r="CE72" s="189" t="s">
        <v>1</v>
      </c>
      <c r="CF72" s="108" t="s">
        <v>1</v>
      </c>
    </row>
    <row r="73" ht="29" customHeight="1" spans="1:84">
      <c r="A73" s="107">
        <v>45176</v>
      </c>
      <c r="B73" s="7" t="s">
        <v>129</v>
      </c>
      <c r="C73" s="92" t="s">
        <v>71</v>
      </c>
      <c r="D73" s="30" t="s">
        <v>1</v>
      </c>
      <c r="E73" s="30" t="s">
        <v>1</v>
      </c>
      <c r="F73" s="109" t="str">
        <f t="shared" si="2"/>
        <v/>
      </c>
      <c r="G73" s="109" t="s">
        <v>1</v>
      </c>
      <c r="H73" s="108" t="s">
        <v>1</v>
      </c>
      <c r="I73" s="109" t="s">
        <v>1</v>
      </c>
      <c r="J73" s="141" t="str">
        <f t="shared" si="3"/>
        <v/>
      </c>
      <c r="K73" s="211" t="str">
        <f>IFERROR(E73/#REF!,"")</f>
        <v/>
      </c>
      <c r="L73" s="172">
        <v>79557</v>
      </c>
      <c r="M73" s="75" t="s">
        <v>72</v>
      </c>
      <c r="N73" s="109" t="s">
        <v>1</v>
      </c>
      <c r="O73" s="109">
        <v>7.77</v>
      </c>
      <c r="P73" s="109" t="s">
        <v>1</v>
      </c>
      <c r="Q73" s="109" t="s">
        <v>1</v>
      </c>
      <c r="R73" s="109" t="s">
        <v>1</v>
      </c>
      <c r="S73" s="109" t="s">
        <v>1</v>
      </c>
      <c r="T73" s="109" t="s">
        <v>1</v>
      </c>
      <c r="U73" s="109" t="s">
        <v>1</v>
      </c>
      <c r="V73" s="92" t="s">
        <v>1</v>
      </c>
      <c r="W73" s="92" t="s">
        <v>72</v>
      </c>
      <c r="X73" s="92" t="s">
        <v>1</v>
      </c>
      <c r="Y73" s="92" t="s">
        <v>72</v>
      </c>
      <c r="Z73" s="92" t="s">
        <v>1</v>
      </c>
      <c r="AA73" s="236" t="s">
        <v>72</v>
      </c>
      <c r="AB73" s="92" t="s">
        <v>1</v>
      </c>
      <c r="AC73" s="92" t="s">
        <v>72</v>
      </c>
      <c r="AD73" s="92" t="s">
        <v>1</v>
      </c>
      <c r="AE73" s="92" t="s">
        <v>1</v>
      </c>
      <c r="AF73" s="92" t="s">
        <v>1</v>
      </c>
      <c r="AG73" s="92" t="s">
        <v>72</v>
      </c>
      <c r="AH73" s="125">
        <v>2706</v>
      </c>
      <c r="AI73" s="92" t="s">
        <v>72</v>
      </c>
      <c r="AJ73" s="92">
        <v>626</v>
      </c>
      <c r="AK73" s="92" t="s">
        <v>72</v>
      </c>
      <c r="AL73" s="92">
        <v>132</v>
      </c>
      <c r="AM73" s="92" t="s">
        <v>72</v>
      </c>
      <c r="AN73" s="92">
        <v>941</v>
      </c>
      <c r="AO73" s="92" t="s">
        <v>72</v>
      </c>
      <c r="AP73" s="125">
        <v>1251</v>
      </c>
      <c r="AQ73" s="92" t="s">
        <v>72</v>
      </c>
      <c r="AR73" s="92">
        <v>390</v>
      </c>
      <c r="AS73" s="92" t="s">
        <v>72</v>
      </c>
      <c r="AT73" s="200" t="s">
        <v>1</v>
      </c>
      <c r="AU73" s="109" t="s">
        <v>1</v>
      </c>
      <c r="AV73" s="207" t="s">
        <v>205</v>
      </c>
      <c r="AW73" s="109" t="s">
        <v>1</v>
      </c>
      <c r="AX73" s="141">
        <v>0.0531620055429579</v>
      </c>
      <c r="AY73" s="200" t="s">
        <v>1</v>
      </c>
      <c r="AZ73" s="207" t="s">
        <v>206</v>
      </c>
      <c r="BA73" s="109" t="s">
        <v>1</v>
      </c>
      <c r="BB73" s="141">
        <v>0.113744075829384</v>
      </c>
      <c r="BC73" s="200" t="s">
        <v>1</v>
      </c>
      <c r="BD73" s="200" t="s">
        <v>1</v>
      </c>
      <c r="BE73" s="109" t="s">
        <v>1</v>
      </c>
      <c r="BF73" s="109" t="s">
        <v>1</v>
      </c>
      <c r="BG73" s="200" t="s">
        <v>1</v>
      </c>
      <c r="BH73" s="200" t="s">
        <v>1</v>
      </c>
      <c r="BI73" s="92" t="s">
        <v>73</v>
      </c>
      <c r="BJ73" s="92">
        <v>57</v>
      </c>
      <c r="BK73" s="92">
        <v>1231</v>
      </c>
      <c r="BL73" s="92" t="s">
        <v>72</v>
      </c>
      <c r="BM73" s="92" t="s">
        <v>74</v>
      </c>
      <c r="BN73" s="92">
        <v>350</v>
      </c>
      <c r="BO73" s="92">
        <v>381</v>
      </c>
      <c r="BP73" s="92" t="s">
        <v>72</v>
      </c>
      <c r="BQ73" s="108" t="s">
        <v>1</v>
      </c>
      <c r="BR73" s="108" t="s">
        <v>1</v>
      </c>
      <c r="BS73" s="108" t="s">
        <v>1</v>
      </c>
      <c r="BT73" s="108" t="s">
        <v>1</v>
      </c>
      <c r="BU73" s="108" t="s">
        <v>1</v>
      </c>
      <c r="BV73" s="189" t="s">
        <v>1</v>
      </c>
      <c r="BW73" s="189" t="s">
        <v>1</v>
      </c>
      <c r="BX73" s="189" t="s">
        <v>1</v>
      </c>
      <c r="BY73" s="190" t="s">
        <v>1</v>
      </c>
      <c r="BZ73" s="189" t="s">
        <v>1</v>
      </c>
      <c r="CA73" s="190" t="s">
        <v>1</v>
      </c>
      <c r="CB73" s="189" t="s">
        <v>1</v>
      </c>
      <c r="CC73" s="189" t="s">
        <v>1</v>
      </c>
      <c r="CD73" s="105" t="s">
        <v>1</v>
      </c>
      <c r="CE73" s="189" t="s">
        <v>1</v>
      </c>
      <c r="CF73" s="108" t="s">
        <v>1</v>
      </c>
    </row>
    <row r="74" ht="29" customHeight="1" spans="1:84">
      <c r="A74" s="107">
        <v>45177</v>
      </c>
      <c r="B74" s="7" t="s">
        <v>1</v>
      </c>
      <c r="C74" s="92" t="s">
        <v>71</v>
      </c>
      <c r="D74" s="30" t="s">
        <v>1</v>
      </c>
      <c r="E74" s="30" t="s">
        <v>1</v>
      </c>
      <c r="F74" s="109" t="str">
        <f t="shared" si="2"/>
        <v/>
      </c>
      <c r="G74" s="109" t="s">
        <v>1</v>
      </c>
      <c r="H74" s="108" t="s">
        <v>1</v>
      </c>
      <c r="I74" s="109" t="s">
        <v>1</v>
      </c>
      <c r="J74" s="141" t="str">
        <f t="shared" si="3"/>
        <v/>
      </c>
      <c r="K74" s="211" t="str">
        <f>IFERROR(E74/#REF!,"")</f>
        <v/>
      </c>
      <c r="L74" s="30">
        <v>37389</v>
      </c>
      <c r="M74" s="75" t="s">
        <v>72</v>
      </c>
      <c r="N74" s="109" t="s">
        <v>1</v>
      </c>
      <c r="O74" s="109">
        <v>3.89</v>
      </c>
      <c r="P74" s="109" t="s">
        <v>1</v>
      </c>
      <c r="Q74" s="109" t="s">
        <v>1</v>
      </c>
      <c r="R74" s="109" t="s">
        <v>1</v>
      </c>
      <c r="S74" s="109" t="s">
        <v>1</v>
      </c>
      <c r="T74" s="109" t="s">
        <v>1</v>
      </c>
      <c r="U74" s="109" t="s">
        <v>1</v>
      </c>
      <c r="V74" s="92" t="s">
        <v>1</v>
      </c>
      <c r="W74" s="92" t="s">
        <v>72</v>
      </c>
      <c r="X74" s="92" t="s">
        <v>1</v>
      </c>
      <c r="Y74" s="92" t="s">
        <v>72</v>
      </c>
      <c r="Z74" s="92" t="s">
        <v>1</v>
      </c>
      <c r="AA74" s="236" t="s">
        <v>72</v>
      </c>
      <c r="AB74" s="92" t="s">
        <v>1</v>
      </c>
      <c r="AC74" s="92" t="s">
        <v>72</v>
      </c>
      <c r="AD74" s="92" t="s">
        <v>1</v>
      </c>
      <c r="AE74" s="92" t="s">
        <v>1</v>
      </c>
      <c r="AF74" s="92" t="s">
        <v>1</v>
      </c>
      <c r="AG74" s="92" t="s">
        <v>72</v>
      </c>
      <c r="AH74" s="125">
        <v>3292</v>
      </c>
      <c r="AI74" s="125" t="s">
        <v>72</v>
      </c>
      <c r="AJ74" s="125">
        <v>555</v>
      </c>
      <c r="AK74" s="125" t="s">
        <v>72</v>
      </c>
      <c r="AL74" s="125">
        <v>81</v>
      </c>
      <c r="AM74" s="125" t="s">
        <v>72</v>
      </c>
      <c r="AN74" s="125">
        <v>1016</v>
      </c>
      <c r="AO74" s="125" t="s">
        <v>72</v>
      </c>
      <c r="AP74" s="125">
        <v>1237</v>
      </c>
      <c r="AQ74" s="125" t="s">
        <v>72</v>
      </c>
      <c r="AR74" s="125">
        <v>271</v>
      </c>
      <c r="AS74" s="92" t="s">
        <v>72</v>
      </c>
      <c r="AT74" s="200" t="s">
        <v>1</v>
      </c>
      <c r="AU74" s="109" t="s">
        <v>1</v>
      </c>
      <c r="AV74" s="207" t="s">
        <v>207</v>
      </c>
      <c r="AW74" s="109" t="s">
        <v>1</v>
      </c>
      <c r="AX74" s="141">
        <v>0.0438172043010753</v>
      </c>
      <c r="AY74" s="200" t="s">
        <v>1</v>
      </c>
      <c r="AZ74" s="207" t="s">
        <v>153</v>
      </c>
      <c r="BA74" s="109" t="s">
        <v>1</v>
      </c>
      <c r="BB74" s="141">
        <v>0.0858895705521472</v>
      </c>
      <c r="BC74" s="200" t="s">
        <v>1</v>
      </c>
      <c r="BD74" s="200" t="s">
        <v>1</v>
      </c>
      <c r="BE74" s="109" t="s">
        <v>1</v>
      </c>
      <c r="BF74" s="109" t="s">
        <v>1</v>
      </c>
      <c r="BG74" s="200" t="s">
        <v>1</v>
      </c>
      <c r="BH74" s="200" t="s">
        <v>1</v>
      </c>
      <c r="BI74" s="92" t="s">
        <v>73</v>
      </c>
      <c r="BJ74" s="92">
        <v>72</v>
      </c>
      <c r="BK74" s="92">
        <v>1002</v>
      </c>
      <c r="BL74" s="92" t="s">
        <v>72</v>
      </c>
      <c r="BM74" s="92" t="s">
        <v>74</v>
      </c>
      <c r="BN74" s="92">
        <v>441</v>
      </c>
      <c r="BO74" s="92">
        <v>297</v>
      </c>
      <c r="BP74" s="92" t="s">
        <v>72</v>
      </c>
      <c r="BQ74" s="108" t="s">
        <v>1</v>
      </c>
      <c r="BR74" s="108" t="s">
        <v>1</v>
      </c>
      <c r="BS74" s="108" t="s">
        <v>1</v>
      </c>
      <c r="BT74" s="108" t="s">
        <v>1</v>
      </c>
      <c r="BU74" s="108" t="s">
        <v>1</v>
      </c>
      <c r="BV74" s="189" t="s">
        <v>1</v>
      </c>
      <c r="BW74" s="189" t="s">
        <v>1</v>
      </c>
      <c r="BX74" s="189" t="s">
        <v>1</v>
      </c>
      <c r="BY74" s="190" t="s">
        <v>1</v>
      </c>
      <c r="BZ74" s="189" t="s">
        <v>1</v>
      </c>
      <c r="CA74" s="190" t="s">
        <v>1</v>
      </c>
      <c r="CB74" s="189" t="s">
        <v>1</v>
      </c>
      <c r="CC74" s="189" t="s">
        <v>1</v>
      </c>
      <c r="CD74" s="105" t="s">
        <v>1</v>
      </c>
      <c r="CE74" s="189" t="s">
        <v>1</v>
      </c>
      <c r="CF74" s="108" t="s">
        <v>1</v>
      </c>
    </row>
    <row r="75" ht="29" customHeight="1" spans="1:84">
      <c r="A75" s="107">
        <v>45178</v>
      </c>
      <c r="B75" s="7" t="s">
        <v>1</v>
      </c>
      <c r="C75" s="92" t="s">
        <v>71</v>
      </c>
      <c r="D75" s="30" t="s">
        <v>1</v>
      </c>
      <c r="E75" s="30" t="s">
        <v>1</v>
      </c>
      <c r="F75" s="109" t="str">
        <f t="shared" si="2"/>
        <v/>
      </c>
      <c r="G75" s="109" t="s">
        <v>1</v>
      </c>
      <c r="H75" s="108" t="s">
        <v>1</v>
      </c>
      <c r="I75" s="109" t="s">
        <v>1</v>
      </c>
      <c r="J75" s="141" t="str">
        <f t="shared" si="3"/>
        <v/>
      </c>
      <c r="K75" s="211" t="str">
        <f>IFERROR(E75/#REF!,"")</f>
        <v/>
      </c>
      <c r="L75" s="30">
        <v>38570</v>
      </c>
      <c r="M75" s="75" t="s">
        <v>72</v>
      </c>
      <c r="N75" s="109" t="s">
        <v>1</v>
      </c>
      <c r="O75" s="109">
        <v>5.11</v>
      </c>
      <c r="P75" s="109" t="s">
        <v>1</v>
      </c>
      <c r="Q75" s="109" t="s">
        <v>1</v>
      </c>
      <c r="R75" s="109" t="s">
        <v>1</v>
      </c>
      <c r="S75" s="109" t="s">
        <v>1</v>
      </c>
      <c r="T75" s="109" t="s">
        <v>1</v>
      </c>
      <c r="U75" s="109" t="s">
        <v>1</v>
      </c>
      <c r="V75" s="92" t="s">
        <v>1</v>
      </c>
      <c r="W75" s="92" t="s">
        <v>72</v>
      </c>
      <c r="X75" s="92" t="s">
        <v>1</v>
      </c>
      <c r="Y75" s="92" t="s">
        <v>72</v>
      </c>
      <c r="Z75" s="92" t="s">
        <v>1</v>
      </c>
      <c r="AA75" s="236" t="s">
        <v>72</v>
      </c>
      <c r="AB75" s="92" t="s">
        <v>1</v>
      </c>
      <c r="AC75" s="92" t="s">
        <v>72</v>
      </c>
      <c r="AD75" s="92" t="s">
        <v>1</v>
      </c>
      <c r="AE75" s="92" t="s">
        <v>1</v>
      </c>
      <c r="AF75" s="92" t="s">
        <v>1</v>
      </c>
      <c r="AG75" s="92" t="s">
        <v>72</v>
      </c>
      <c r="AH75" s="125">
        <v>3647</v>
      </c>
      <c r="AI75" s="125" t="s">
        <v>72</v>
      </c>
      <c r="AJ75" s="125">
        <v>551</v>
      </c>
      <c r="AK75" s="125" t="s">
        <v>72</v>
      </c>
      <c r="AL75" s="125">
        <v>74</v>
      </c>
      <c r="AM75" s="125" t="s">
        <v>72</v>
      </c>
      <c r="AN75" s="125">
        <v>1145</v>
      </c>
      <c r="AO75" s="125" t="s">
        <v>72</v>
      </c>
      <c r="AP75" s="125">
        <v>1420</v>
      </c>
      <c r="AQ75" s="125" t="s">
        <v>72</v>
      </c>
      <c r="AR75" s="125">
        <v>303</v>
      </c>
      <c r="AS75" s="92" t="s">
        <v>72</v>
      </c>
      <c r="AT75" s="200" t="s">
        <v>1</v>
      </c>
      <c r="AU75" s="109" t="s">
        <v>1</v>
      </c>
      <c r="AV75" s="207" t="s">
        <v>208</v>
      </c>
      <c r="AW75" s="109" t="s">
        <v>1</v>
      </c>
      <c r="AX75" s="141">
        <v>0.0417276720351391</v>
      </c>
      <c r="AY75" s="200" t="s">
        <v>1</v>
      </c>
      <c r="AZ75" s="207" t="s">
        <v>155</v>
      </c>
      <c r="BA75" s="109" t="s">
        <v>1</v>
      </c>
      <c r="BB75" s="141">
        <v>0.0994152046783626</v>
      </c>
      <c r="BC75" s="200" t="s">
        <v>1</v>
      </c>
      <c r="BD75" s="200" t="s">
        <v>1</v>
      </c>
      <c r="BE75" s="109" t="s">
        <v>1</v>
      </c>
      <c r="BF75" s="109" t="s">
        <v>1</v>
      </c>
      <c r="BG75" s="200" t="s">
        <v>1</v>
      </c>
      <c r="BH75" s="200" t="s">
        <v>1</v>
      </c>
      <c r="BI75" s="92" t="s">
        <v>73</v>
      </c>
      <c r="BJ75" s="92">
        <v>74</v>
      </c>
      <c r="BK75" s="92">
        <v>1163</v>
      </c>
      <c r="BL75" s="92" t="s">
        <v>72</v>
      </c>
      <c r="BM75" s="92" t="s">
        <v>74</v>
      </c>
      <c r="BN75" s="92">
        <v>453</v>
      </c>
      <c r="BO75" s="92">
        <v>323</v>
      </c>
      <c r="BP75" s="92" t="s">
        <v>72</v>
      </c>
      <c r="BQ75" s="108" t="s">
        <v>1</v>
      </c>
      <c r="BR75" s="108" t="s">
        <v>1</v>
      </c>
      <c r="BS75" s="108" t="s">
        <v>1</v>
      </c>
      <c r="BT75" s="108" t="s">
        <v>1</v>
      </c>
      <c r="BU75" s="108" t="s">
        <v>1</v>
      </c>
      <c r="BV75" s="189" t="s">
        <v>1</v>
      </c>
      <c r="BW75" s="189" t="s">
        <v>1</v>
      </c>
      <c r="BX75" s="189" t="s">
        <v>1</v>
      </c>
      <c r="BY75" s="190" t="s">
        <v>1</v>
      </c>
      <c r="BZ75" s="189" t="s">
        <v>1</v>
      </c>
      <c r="CA75" s="190" t="s">
        <v>1</v>
      </c>
      <c r="CB75" s="189" t="s">
        <v>1</v>
      </c>
      <c r="CC75" s="189" t="s">
        <v>1</v>
      </c>
      <c r="CD75" s="105" t="s">
        <v>1</v>
      </c>
      <c r="CE75" s="189" t="s">
        <v>1</v>
      </c>
      <c r="CF75" s="108" t="s">
        <v>1</v>
      </c>
    </row>
    <row r="76" ht="29" customHeight="1" spans="1:84">
      <c r="A76" s="107">
        <v>45179</v>
      </c>
      <c r="B76" s="7" t="s">
        <v>89</v>
      </c>
      <c r="C76" s="92" t="s">
        <v>71</v>
      </c>
      <c r="D76" s="30" t="s">
        <v>1</v>
      </c>
      <c r="E76" s="30" t="s">
        <v>1</v>
      </c>
      <c r="F76" s="109" t="str">
        <f t="shared" si="2"/>
        <v/>
      </c>
      <c r="G76" s="109" t="s">
        <v>1</v>
      </c>
      <c r="H76" s="108" t="s">
        <v>1</v>
      </c>
      <c r="I76" s="109" t="s">
        <v>1</v>
      </c>
      <c r="J76" s="141" t="str">
        <f t="shared" si="3"/>
        <v/>
      </c>
      <c r="K76" s="211" t="str">
        <f>IFERROR(E76/#REF!,"")</f>
        <v/>
      </c>
      <c r="L76" s="172">
        <v>37272</v>
      </c>
      <c r="M76" s="75" t="s">
        <v>72</v>
      </c>
      <c r="N76" s="109" t="s">
        <v>1</v>
      </c>
      <c r="O76" s="109">
        <v>3.8</v>
      </c>
      <c r="P76" s="109" t="s">
        <v>1</v>
      </c>
      <c r="Q76" s="109" t="s">
        <v>1</v>
      </c>
      <c r="R76" s="109" t="s">
        <v>1</v>
      </c>
      <c r="S76" s="109" t="s">
        <v>1</v>
      </c>
      <c r="T76" s="109" t="s">
        <v>1</v>
      </c>
      <c r="U76" s="109" t="s">
        <v>1</v>
      </c>
      <c r="V76" s="92" t="s">
        <v>1</v>
      </c>
      <c r="W76" s="92" t="s">
        <v>72</v>
      </c>
      <c r="X76" s="92" t="s">
        <v>1</v>
      </c>
      <c r="Y76" s="92" t="s">
        <v>72</v>
      </c>
      <c r="Z76" s="92" t="s">
        <v>1</v>
      </c>
      <c r="AA76" s="236" t="s">
        <v>72</v>
      </c>
      <c r="AB76" s="92" t="s">
        <v>1</v>
      </c>
      <c r="AC76" s="92" t="s">
        <v>72</v>
      </c>
      <c r="AD76" s="92" t="s">
        <v>1</v>
      </c>
      <c r="AE76" s="92" t="s">
        <v>1</v>
      </c>
      <c r="AF76" s="92" t="s">
        <v>1</v>
      </c>
      <c r="AG76" s="92" t="s">
        <v>72</v>
      </c>
      <c r="AH76" s="125">
        <v>3568</v>
      </c>
      <c r="AI76" s="125" t="s">
        <v>72</v>
      </c>
      <c r="AJ76" s="125">
        <v>496</v>
      </c>
      <c r="AK76" s="125" t="s">
        <v>72</v>
      </c>
      <c r="AL76" s="125">
        <v>77</v>
      </c>
      <c r="AM76" s="125" t="s">
        <v>72</v>
      </c>
      <c r="AN76" s="125">
        <v>1133</v>
      </c>
      <c r="AO76" s="125" t="s">
        <v>72</v>
      </c>
      <c r="AP76" s="125">
        <v>1371</v>
      </c>
      <c r="AQ76" s="125" t="s">
        <v>72</v>
      </c>
      <c r="AR76" s="125">
        <v>289</v>
      </c>
      <c r="AS76" s="92" t="s">
        <v>72</v>
      </c>
      <c r="AT76" s="200" t="s">
        <v>1</v>
      </c>
      <c r="AU76" s="109" t="s">
        <v>1</v>
      </c>
      <c r="AV76" s="207" t="s">
        <v>209</v>
      </c>
      <c r="AW76" s="109" t="s">
        <v>1</v>
      </c>
      <c r="AX76" s="141">
        <v>0.0439156035328754</v>
      </c>
      <c r="AY76" s="200" t="s">
        <v>1</v>
      </c>
      <c r="AZ76" s="207" t="s">
        <v>210</v>
      </c>
      <c r="BA76" s="109" t="s">
        <v>1</v>
      </c>
      <c r="BB76" s="141">
        <v>0.0558659217877095</v>
      </c>
      <c r="BC76" s="200" t="s">
        <v>1</v>
      </c>
      <c r="BD76" s="200" t="s">
        <v>1</v>
      </c>
      <c r="BE76" s="109" t="s">
        <v>1</v>
      </c>
      <c r="BF76" s="109" t="s">
        <v>1</v>
      </c>
      <c r="BG76" s="200" t="s">
        <v>1</v>
      </c>
      <c r="BH76" s="200" t="s">
        <v>1</v>
      </c>
      <c r="BI76" s="92" t="s">
        <v>73</v>
      </c>
      <c r="BJ76" s="92">
        <v>78</v>
      </c>
      <c r="BK76" s="92">
        <v>1164</v>
      </c>
      <c r="BL76" s="92" t="s">
        <v>72</v>
      </c>
      <c r="BM76" s="92" t="s">
        <v>74</v>
      </c>
      <c r="BN76" s="92">
        <v>360</v>
      </c>
      <c r="BO76" s="92">
        <v>404</v>
      </c>
      <c r="BP76" s="92" t="s">
        <v>72</v>
      </c>
      <c r="BQ76" s="108" t="s">
        <v>1</v>
      </c>
      <c r="BR76" s="108" t="s">
        <v>1</v>
      </c>
      <c r="BS76" s="108" t="s">
        <v>1</v>
      </c>
      <c r="BT76" s="108" t="s">
        <v>1</v>
      </c>
      <c r="BU76" s="108" t="s">
        <v>1</v>
      </c>
      <c r="BV76" s="189" t="s">
        <v>1</v>
      </c>
      <c r="BW76" s="189" t="s">
        <v>1</v>
      </c>
      <c r="BX76" s="189" t="s">
        <v>1</v>
      </c>
      <c r="BY76" s="190" t="s">
        <v>1</v>
      </c>
      <c r="BZ76" s="189" t="s">
        <v>1</v>
      </c>
      <c r="CA76" s="190" t="s">
        <v>1</v>
      </c>
      <c r="CB76" s="189" t="s">
        <v>1</v>
      </c>
      <c r="CC76" s="189" t="s">
        <v>1</v>
      </c>
      <c r="CD76" s="105" t="s">
        <v>1</v>
      </c>
      <c r="CE76" s="189" t="s">
        <v>1</v>
      </c>
      <c r="CF76" s="108" t="s">
        <v>1</v>
      </c>
    </row>
    <row r="77" ht="29" customHeight="1" spans="1:84">
      <c r="A77" s="107">
        <v>45180</v>
      </c>
      <c r="B77" s="7" t="s">
        <v>89</v>
      </c>
      <c r="C77" s="92" t="s">
        <v>71</v>
      </c>
      <c r="D77" s="30" t="s">
        <v>1</v>
      </c>
      <c r="E77" s="30" t="s">
        <v>1</v>
      </c>
      <c r="F77" s="109" t="str">
        <f t="shared" si="2"/>
        <v/>
      </c>
      <c r="G77" s="109" t="s">
        <v>1</v>
      </c>
      <c r="H77" s="108" t="s">
        <v>1</v>
      </c>
      <c r="I77" s="109" t="s">
        <v>1</v>
      </c>
      <c r="J77" s="141" t="str">
        <f t="shared" si="3"/>
        <v/>
      </c>
      <c r="K77" s="211" t="str">
        <f>IFERROR(E77/#REF!,"")</f>
        <v/>
      </c>
      <c r="L77" s="172">
        <v>74579</v>
      </c>
      <c r="M77" s="75" t="s">
        <v>72</v>
      </c>
      <c r="N77" s="109" t="s">
        <v>1</v>
      </c>
      <c r="O77" s="109">
        <v>4.1</v>
      </c>
      <c r="P77" s="109" t="s">
        <v>1</v>
      </c>
      <c r="Q77" s="109" t="s">
        <v>1</v>
      </c>
      <c r="R77" s="109" t="s">
        <v>1</v>
      </c>
      <c r="S77" s="109" t="s">
        <v>1</v>
      </c>
      <c r="T77" s="109" t="s">
        <v>1</v>
      </c>
      <c r="U77" s="109" t="s">
        <v>1</v>
      </c>
      <c r="V77" s="92" t="s">
        <v>1</v>
      </c>
      <c r="W77" s="92" t="s">
        <v>72</v>
      </c>
      <c r="X77" s="92" t="s">
        <v>1</v>
      </c>
      <c r="Y77" s="92" t="s">
        <v>72</v>
      </c>
      <c r="Z77" s="92" t="s">
        <v>1</v>
      </c>
      <c r="AA77" s="236" t="s">
        <v>72</v>
      </c>
      <c r="AB77" s="92" t="s">
        <v>1</v>
      </c>
      <c r="AC77" s="92" t="s">
        <v>72</v>
      </c>
      <c r="AD77" s="92" t="s">
        <v>1</v>
      </c>
      <c r="AE77" s="92" t="s">
        <v>1</v>
      </c>
      <c r="AF77" s="92" t="s">
        <v>1</v>
      </c>
      <c r="AG77" s="92" t="s">
        <v>72</v>
      </c>
      <c r="AH77" s="125">
        <v>2684</v>
      </c>
      <c r="AI77" s="92" t="s">
        <v>72</v>
      </c>
      <c r="AJ77" s="92">
        <v>527</v>
      </c>
      <c r="AK77" s="92" t="s">
        <v>72</v>
      </c>
      <c r="AL77" s="92">
        <v>80</v>
      </c>
      <c r="AM77" s="92" t="s">
        <v>72</v>
      </c>
      <c r="AN77" s="125">
        <v>1015</v>
      </c>
      <c r="AO77" s="92" t="s">
        <v>72</v>
      </c>
      <c r="AP77" s="125">
        <v>1351</v>
      </c>
      <c r="AQ77" s="92" t="s">
        <v>72</v>
      </c>
      <c r="AR77" s="92">
        <v>317</v>
      </c>
      <c r="AS77" s="92" t="s">
        <v>72</v>
      </c>
      <c r="AT77" s="200" t="s">
        <v>1</v>
      </c>
      <c r="AU77" s="109" t="s">
        <v>1</v>
      </c>
      <c r="AV77" s="207" t="s">
        <v>211</v>
      </c>
      <c r="AW77" s="109" t="s">
        <v>1</v>
      </c>
      <c r="AX77" s="141">
        <v>0.0532663316582915</v>
      </c>
      <c r="AY77" s="200" t="s">
        <v>1</v>
      </c>
      <c r="AZ77" s="207" t="s">
        <v>200</v>
      </c>
      <c r="BA77" s="109" t="s">
        <v>1</v>
      </c>
      <c r="BB77" s="141">
        <v>0.0613207547169811</v>
      </c>
      <c r="BC77" s="200" t="s">
        <v>1</v>
      </c>
      <c r="BD77" s="200" t="s">
        <v>1</v>
      </c>
      <c r="BE77" s="109" t="s">
        <v>1</v>
      </c>
      <c r="BF77" s="109" t="s">
        <v>1</v>
      </c>
      <c r="BG77" s="200" t="s">
        <v>1</v>
      </c>
      <c r="BH77" s="200" t="s">
        <v>1</v>
      </c>
      <c r="BI77" s="92" t="s">
        <v>73</v>
      </c>
      <c r="BJ77" s="92">
        <v>60</v>
      </c>
      <c r="BK77" s="92">
        <v>1279</v>
      </c>
      <c r="BL77" s="92" t="s">
        <v>72</v>
      </c>
      <c r="BM77" s="92" t="s">
        <v>74</v>
      </c>
      <c r="BN77" s="92">
        <v>347</v>
      </c>
      <c r="BO77" s="92">
        <v>376</v>
      </c>
      <c r="BP77" s="92" t="s">
        <v>72</v>
      </c>
      <c r="BQ77" s="108" t="s">
        <v>1</v>
      </c>
      <c r="BR77" s="108" t="s">
        <v>1</v>
      </c>
      <c r="BS77" s="108" t="s">
        <v>1</v>
      </c>
      <c r="BT77" s="108" t="s">
        <v>1</v>
      </c>
      <c r="BU77" s="108" t="s">
        <v>1</v>
      </c>
      <c r="BV77" s="189" t="s">
        <v>1</v>
      </c>
      <c r="BW77" s="189" t="s">
        <v>1</v>
      </c>
      <c r="BX77" s="189" t="s">
        <v>1</v>
      </c>
      <c r="BY77" s="190" t="s">
        <v>1</v>
      </c>
      <c r="BZ77" s="189" t="s">
        <v>1</v>
      </c>
      <c r="CA77" s="190" t="s">
        <v>1</v>
      </c>
      <c r="CB77" s="189" t="s">
        <v>1</v>
      </c>
      <c r="CC77" s="189" t="s">
        <v>1</v>
      </c>
      <c r="CD77" s="105" t="s">
        <v>1</v>
      </c>
      <c r="CE77" s="189" t="s">
        <v>1</v>
      </c>
      <c r="CF77" s="108" t="s">
        <v>1</v>
      </c>
    </row>
    <row r="78" ht="29" customHeight="1" spans="1:84">
      <c r="A78" s="107">
        <v>45181</v>
      </c>
      <c r="B78" s="7" t="s">
        <v>89</v>
      </c>
      <c r="C78" s="92" t="s">
        <v>71</v>
      </c>
      <c r="D78" s="30" t="s">
        <v>1</v>
      </c>
      <c r="E78" s="30" t="s">
        <v>1</v>
      </c>
      <c r="F78" s="109" t="str">
        <f t="shared" si="2"/>
        <v/>
      </c>
      <c r="G78" s="109" t="s">
        <v>1</v>
      </c>
      <c r="H78" s="108" t="s">
        <v>1</v>
      </c>
      <c r="I78" s="109" t="s">
        <v>1</v>
      </c>
      <c r="J78" s="141" t="str">
        <f t="shared" si="3"/>
        <v/>
      </c>
      <c r="K78" s="211" t="str">
        <f>IFERROR(E78/#REF!,"")</f>
        <v/>
      </c>
      <c r="L78" s="172">
        <v>28250</v>
      </c>
      <c r="M78" s="75" t="s">
        <v>72</v>
      </c>
      <c r="N78" s="109" t="s">
        <v>1</v>
      </c>
      <c r="O78" s="109">
        <v>6.05</v>
      </c>
      <c r="P78" s="109" t="s">
        <v>1</v>
      </c>
      <c r="Q78" s="109" t="s">
        <v>1</v>
      </c>
      <c r="R78" s="109" t="s">
        <v>1</v>
      </c>
      <c r="S78" s="109" t="s">
        <v>1</v>
      </c>
      <c r="T78" s="109" t="s">
        <v>1</v>
      </c>
      <c r="U78" s="109" t="s">
        <v>1</v>
      </c>
      <c r="V78" s="92" t="s">
        <v>1</v>
      </c>
      <c r="W78" s="92" t="s">
        <v>72</v>
      </c>
      <c r="X78" s="92" t="s">
        <v>1</v>
      </c>
      <c r="Y78" s="92" t="s">
        <v>72</v>
      </c>
      <c r="Z78" s="92" t="s">
        <v>1</v>
      </c>
      <c r="AA78" s="236" t="s">
        <v>72</v>
      </c>
      <c r="AB78" s="92" t="s">
        <v>1</v>
      </c>
      <c r="AC78" s="92" t="s">
        <v>72</v>
      </c>
      <c r="AD78" s="92" t="s">
        <v>1</v>
      </c>
      <c r="AE78" s="92" t="s">
        <v>1</v>
      </c>
      <c r="AF78" s="92" t="s">
        <v>1</v>
      </c>
      <c r="AG78" s="92" t="s">
        <v>72</v>
      </c>
      <c r="AH78" s="125">
        <v>2698</v>
      </c>
      <c r="AI78" s="92" t="s">
        <v>72</v>
      </c>
      <c r="AJ78" s="92">
        <v>474</v>
      </c>
      <c r="AK78" s="92" t="s">
        <v>72</v>
      </c>
      <c r="AL78" s="92">
        <v>85</v>
      </c>
      <c r="AM78" s="92" t="s">
        <v>72</v>
      </c>
      <c r="AN78" s="125">
        <v>1137</v>
      </c>
      <c r="AO78" s="92" t="s">
        <v>72</v>
      </c>
      <c r="AP78" s="125">
        <v>1426</v>
      </c>
      <c r="AQ78" s="92" t="s">
        <v>72</v>
      </c>
      <c r="AR78" s="92">
        <v>275</v>
      </c>
      <c r="AS78" s="92" t="s">
        <v>72</v>
      </c>
      <c r="AT78" s="200" t="s">
        <v>1</v>
      </c>
      <c r="AU78" s="109" t="s">
        <v>1</v>
      </c>
      <c r="AV78" s="207" t="s">
        <v>212</v>
      </c>
      <c r="AW78" s="109" t="s">
        <v>1</v>
      </c>
      <c r="AX78" s="141">
        <v>0.0454208837324118</v>
      </c>
      <c r="AY78" s="200" t="s">
        <v>1</v>
      </c>
      <c r="AZ78" s="207" t="s">
        <v>153</v>
      </c>
      <c r="BA78" s="109" t="s">
        <v>1</v>
      </c>
      <c r="BB78" s="141">
        <v>0.0760869565217391</v>
      </c>
      <c r="BC78" s="200" t="s">
        <v>1</v>
      </c>
      <c r="BD78" s="200" t="s">
        <v>1</v>
      </c>
      <c r="BE78" s="109" t="s">
        <v>1</v>
      </c>
      <c r="BF78" s="109" t="s">
        <v>1</v>
      </c>
      <c r="BG78" s="200" t="s">
        <v>1</v>
      </c>
      <c r="BH78" s="200" t="s">
        <v>1</v>
      </c>
      <c r="BI78" s="92" t="s">
        <v>73</v>
      </c>
      <c r="BJ78" s="92">
        <v>59</v>
      </c>
      <c r="BK78" s="92">
        <v>1204</v>
      </c>
      <c r="BL78" s="92" t="s">
        <v>72</v>
      </c>
      <c r="BM78" s="92" t="s">
        <v>74</v>
      </c>
      <c r="BN78" s="92">
        <v>324</v>
      </c>
      <c r="BO78" s="92">
        <v>396</v>
      </c>
      <c r="BP78" s="92" t="s">
        <v>72</v>
      </c>
      <c r="BQ78" s="108" t="s">
        <v>1</v>
      </c>
      <c r="BR78" s="108" t="s">
        <v>1</v>
      </c>
      <c r="BS78" s="108" t="s">
        <v>1</v>
      </c>
      <c r="BT78" s="108" t="s">
        <v>1</v>
      </c>
      <c r="BU78" s="108" t="s">
        <v>1</v>
      </c>
      <c r="BV78" s="189" t="s">
        <v>78</v>
      </c>
      <c r="BW78" s="189" t="s">
        <v>87</v>
      </c>
      <c r="BX78" s="190" t="s">
        <v>92</v>
      </c>
      <c r="BY78" s="189" t="s">
        <v>76</v>
      </c>
      <c r="BZ78" s="189" t="s">
        <v>83</v>
      </c>
      <c r="CA78" s="189" t="s">
        <v>84</v>
      </c>
      <c r="CB78" s="189" t="s">
        <v>105</v>
      </c>
      <c r="CC78" s="189" t="s">
        <v>86</v>
      </c>
      <c r="CD78" s="189" t="s">
        <v>128</v>
      </c>
      <c r="CE78" s="105" t="s">
        <v>170</v>
      </c>
      <c r="CF78" s="108" t="s">
        <v>1</v>
      </c>
    </row>
    <row r="79" ht="29" customHeight="1" spans="1:84">
      <c r="A79" s="107">
        <v>45182</v>
      </c>
      <c r="B79" s="7" t="s">
        <v>89</v>
      </c>
      <c r="C79" s="92" t="s">
        <v>71</v>
      </c>
      <c r="D79" s="30" t="s">
        <v>1</v>
      </c>
      <c r="E79" s="30" t="s">
        <v>1</v>
      </c>
      <c r="F79" s="109" t="str">
        <f t="shared" si="2"/>
        <v/>
      </c>
      <c r="G79" s="109" t="s">
        <v>1</v>
      </c>
      <c r="H79" s="108" t="s">
        <v>1</v>
      </c>
      <c r="I79" s="109" t="s">
        <v>1</v>
      </c>
      <c r="J79" s="141" t="str">
        <f t="shared" si="3"/>
        <v/>
      </c>
      <c r="K79" s="211" t="str">
        <f>IFERROR(E79/#REF!,"")</f>
        <v/>
      </c>
      <c r="L79" s="172">
        <v>13996</v>
      </c>
      <c r="M79" s="75" t="s">
        <v>72</v>
      </c>
      <c r="N79" s="109" t="s">
        <v>1</v>
      </c>
      <c r="O79" s="109">
        <v>2.63</v>
      </c>
      <c r="P79" s="109" t="s">
        <v>1</v>
      </c>
      <c r="Q79" s="109" t="s">
        <v>1</v>
      </c>
      <c r="R79" s="109" t="s">
        <v>1</v>
      </c>
      <c r="S79" s="109" t="s">
        <v>1</v>
      </c>
      <c r="T79" s="109" t="s">
        <v>1</v>
      </c>
      <c r="U79" s="109" t="s">
        <v>1</v>
      </c>
      <c r="V79" s="92" t="s">
        <v>1</v>
      </c>
      <c r="W79" s="92" t="s">
        <v>72</v>
      </c>
      <c r="X79" s="92" t="s">
        <v>1</v>
      </c>
      <c r="Y79" s="92" t="s">
        <v>72</v>
      </c>
      <c r="Z79" s="92" t="s">
        <v>1</v>
      </c>
      <c r="AA79" s="236" t="s">
        <v>72</v>
      </c>
      <c r="AB79" s="92" t="s">
        <v>1</v>
      </c>
      <c r="AC79" s="92" t="s">
        <v>72</v>
      </c>
      <c r="AD79" s="92" t="s">
        <v>1</v>
      </c>
      <c r="AE79" s="92" t="s">
        <v>1</v>
      </c>
      <c r="AF79" s="92" t="s">
        <v>1</v>
      </c>
      <c r="AG79" s="92" t="s">
        <v>72</v>
      </c>
      <c r="AH79" s="125">
        <v>2336</v>
      </c>
      <c r="AI79" s="92" t="s">
        <v>72</v>
      </c>
      <c r="AJ79" s="92">
        <v>472</v>
      </c>
      <c r="AK79" s="92" t="s">
        <v>72</v>
      </c>
      <c r="AL79" s="92">
        <v>82</v>
      </c>
      <c r="AM79" s="92" t="s">
        <v>72</v>
      </c>
      <c r="AN79" s="92">
        <v>825</v>
      </c>
      <c r="AO79" s="92" t="s">
        <v>72</v>
      </c>
      <c r="AP79" s="125">
        <v>1177</v>
      </c>
      <c r="AQ79" s="92" t="s">
        <v>72</v>
      </c>
      <c r="AR79" s="92">
        <v>233</v>
      </c>
      <c r="AS79" s="92" t="s">
        <v>72</v>
      </c>
      <c r="AT79" s="200" t="s">
        <v>1</v>
      </c>
      <c r="AU79" s="109" t="s">
        <v>1</v>
      </c>
      <c r="AV79" s="207" t="s">
        <v>213</v>
      </c>
      <c r="AW79" s="109" t="s">
        <v>1</v>
      </c>
      <c r="AX79" s="141">
        <v>0.0455346650998825</v>
      </c>
      <c r="AY79" s="200" t="s">
        <v>1</v>
      </c>
      <c r="AZ79" s="207" t="s">
        <v>214</v>
      </c>
      <c r="BA79" s="109" t="s">
        <v>1</v>
      </c>
      <c r="BB79" s="141">
        <v>0.0516129032258065</v>
      </c>
      <c r="BC79" s="200" t="s">
        <v>1</v>
      </c>
      <c r="BD79" s="200" t="s">
        <v>1</v>
      </c>
      <c r="BE79" s="109" t="s">
        <v>1</v>
      </c>
      <c r="BF79" s="109" t="s">
        <v>1</v>
      </c>
      <c r="BG79" s="200" t="s">
        <v>1</v>
      </c>
      <c r="BH79" s="200" t="s">
        <v>1</v>
      </c>
      <c r="BI79" s="92" t="s">
        <v>73</v>
      </c>
      <c r="BJ79" s="92">
        <v>59</v>
      </c>
      <c r="BK79" s="92">
        <v>1186</v>
      </c>
      <c r="BL79" s="92" t="s">
        <v>72</v>
      </c>
      <c r="BM79" s="92" t="s">
        <v>74</v>
      </c>
      <c r="BN79" s="92">
        <v>358</v>
      </c>
      <c r="BO79" s="92">
        <v>369</v>
      </c>
      <c r="BP79" s="92" t="s">
        <v>72</v>
      </c>
      <c r="BQ79" s="108" t="s">
        <v>1</v>
      </c>
      <c r="BR79" s="108" t="s">
        <v>1</v>
      </c>
      <c r="BS79" s="108" t="s">
        <v>1</v>
      </c>
      <c r="BT79" s="108" t="s">
        <v>1</v>
      </c>
      <c r="BU79" s="108" t="s">
        <v>1</v>
      </c>
      <c r="BV79" s="189" t="s">
        <v>1</v>
      </c>
      <c r="BW79" s="189" t="s">
        <v>1</v>
      </c>
      <c r="BX79" s="190" t="s">
        <v>1</v>
      </c>
      <c r="BY79" s="189" t="s">
        <v>1</v>
      </c>
      <c r="BZ79" s="189" t="s">
        <v>1</v>
      </c>
      <c r="CA79" s="189" t="s">
        <v>1</v>
      </c>
      <c r="CB79" s="189" t="s">
        <v>1</v>
      </c>
      <c r="CC79" s="189" t="s">
        <v>1</v>
      </c>
      <c r="CD79" s="189" t="s">
        <v>1</v>
      </c>
      <c r="CE79" s="105" t="s">
        <v>1</v>
      </c>
      <c r="CF79" s="108" t="s">
        <v>1</v>
      </c>
    </row>
    <row r="80" ht="29" customHeight="1" spans="1:84">
      <c r="A80" s="107">
        <v>45183</v>
      </c>
      <c r="B80" s="118" t="s">
        <v>126</v>
      </c>
      <c r="C80" s="92" t="s">
        <v>71</v>
      </c>
      <c r="D80" s="30" t="s">
        <v>1</v>
      </c>
      <c r="E80" s="30" t="s">
        <v>1</v>
      </c>
      <c r="F80" s="109" t="str">
        <f t="shared" si="2"/>
        <v/>
      </c>
      <c r="G80" s="109" t="s">
        <v>1</v>
      </c>
      <c r="H80" s="108" t="s">
        <v>1</v>
      </c>
      <c r="I80" s="109" t="s">
        <v>1</v>
      </c>
      <c r="J80" s="141" t="str">
        <f t="shared" si="3"/>
        <v/>
      </c>
      <c r="K80" s="211" t="str">
        <f>IFERROR(E80/#REF!,"")</f>
        <v/>
      </c>
      <c r="L80" s="172">
        <v>19594</v>
      </c>
      <c r="M80" s="75" t="s">
        <v>72</v>
      </c>
      <c r="N80" s="109" t="s">
        <v>1</v>
      </c>
      <c r="O80" s="32" t="s">
        <v>1</v>
      </c>
      <c r="P80" s="109" t="s">
        <v>1</v>
      </c>
      <c r="Q80" s="109" t="s">
        <v>1</v>
      </c>
      <c r="R80" s="109" t="s">
        <v>1</v>
      </c>
      <c r="S80" s="109" t="s">
        <v>1</v>
      </c>
      <c r="T80" s="109" t="s">
        <v>1</v>
      </c>
      <c r="U80" s="109" t="s">
        <v>1</v>
      </c>
      <c r="V80" s="92" t="s">
        <v>1</v>
      </c>
      <c r="W80" s="92" t="s">
        <v>72</v>
      </c>
      <c r="X80" s="92" t="s">
        <v>1</v>
      </c>
      <c r="Y80" s="92" t="s">
        <v>72</v>
      </c>
      <c r="Z80" s="92" t="s">
        <v>1</v>
      </c>
      <c r="AA80" s="236" t="s">
        <v>72</v>
      </c>
      <c r="AB80" s="92" t="s">
        <v>1</v>
      </c>
      <c r="AC80" s="92" t="s">
        <v>72</v>
      </c>
      <c r="AD80" s="92" t="s">
        <v>1</v>
      </c>
      <c r="AE80" s="92" t="s">
        <v>1</v>
      </c>
      <c r="AF80" s="92" t="s">
        <v>1</v>
      </c>
      <c r="AG80" s="92" t="s">
        <v>72</v>
      </c>
      <c r="AH80" s="125">
        <v>2386</v>
      </c>
      <c r="AI80" s="92" t="s">
        <v>72</v>
      </c>
      <c r="AJ80" s="125">
        <v>565</v>
      </c>
      <c r="AK80" s="92" t="s">
        <v>72</v>
      </c>
      <c r="AL80" s="92">
        <v>77</v>
      </c>
      <c r="AM80" s="92" t="s">
        <v>72</v>
      </c>
      <c r="AN80" s="92">
        <v>1134</v>
      </c>
      <c r="AO80" s="92" t="s">
        <v>72</v>
      </c>
      <c r="AP80" s="92">
        <v>999</v>
      </c>
      <c r="AQ80" s="92" t="s">
        <v>72</v>
      </c>
      <c r="AR80" s="92">
        <v>281</v>
      </c>
      <c r="AS80" s="92" t="s">
        <v>72</v>
      </c>
      <c r="AT80" s="200" t="s">
        <v>1</v>
      </c>
      <c r="AU80" s="109" t="s">
        <v>1</v>
      </c>
      <c r="AV80" s="108">
        <v>135</v>
      </c>
      <c r="AW80" s="109" t="s">
        <v>1</v>
      </c>
      <c r="AX80" s="141">
        <v>0.0353866317169069</v>
      </c>
      <c r="AY80" s="200" t="s">
        <v>1</v>
      </c>
      <c r="AZ80" s="108">
        <v>12</v>
      </c>
      <c r="BA80" s="109" t="s">
        <v>1</v>
      </c>
      <c r="BB80" s="141">
        <v>0.0888888888888889</v>
      </c>
      <c r="BC80" s="200" t="s">
        <v>1</v>
      </c>
      <c r="BD80" s="200" t="s">
        <v>1</v>
      </c>
      <c r="BE80" s="109" t="s">
        <v>1</v>
      </c>
      <c r="BF80" s="109" t="s">
        <v>1</v>
      </c>
      <c r="BG80" s="200" t="s">
        <v>1</v>
      </c>
      <c r="BH80" s="200" t="s">
        <v>1</v>
      </c>
      <c r="BI80" s="92" t="s">
        <v>73</v>
      </c>
      <c r="BJ80" s="92">
        <v>63</v>
      </c>
      <c r="BK80" s="92">
        <v>1094</v>
      </c>
      <c r="BL80" s="92" t="s">
        <v>72</v>
      </c>
      <c r="BM80" s="92" t="s">
        <v>74</v>
      </c>
      <c r="BN80" s="92">
        <v>451</v>
      </c>
      <c r="BO80" s="92">
        <v>291</v>
      </c>
      <c r="BP80" s="92" t="s">
        <v>72</v>
      </c>
      <c r="BQ80" s="108" t="s">
        <v>1</v>
      </c>
      <c r="BR80" s="108" t="s">
        <v>1</v>
      </c>
      <c r="BS80" s="108" t="s">
        <v>1</v>
      </c>
      <c r="BT80" s="108" t="s">
        <v>1</v>
      </c>
      <c r="BU80" s="108" t="s">
        <v>1</v>
      </c>
      <c r="BV80" s="189" t="s">
        <v>1</v>
      </c>
      <c r="BW80" s="189" t="s">
        <v>1</v>
      </c>
      <c r="BX80" s="190" t="s">
        <v>1</v>
      </c>
      <c r="BY80" s="189" t="s">
        <v>1</v>
      </c>
      <c r="BZ80" s="189" t="s">
        <v>1</v>
      </c>
      <c r="CA80" s="189" t="s">
        <v>1</v>
      </c>
      <c r="CB80" s="189" t="s">
        <v>1</v>
      </c>
      <c r="CC80" s="189" t="s">
        <v>1</v>
      </c>
      <c r="CD80" s="189" t="s">
        <v>1</v>
      </c>
      <c r="CE80" s="105" t="s">
        <v>1</v>
      </c>
      <c r="CF80" s="108" t="s">
        <v>1</v>
      </c>
    </row>
    <row r="81" ht="29" customHeight="1" spans="1:84">
      <c r="A81" s="107">
        <v>45184</v>
      </c>
      <c r="B81" s="118" t="s">
        <v>1</v>
      </c>
      <c r="C81" s="92" t="s">
        <v>71</v>
      </c>
      <c r="D81" s="30" t="s">
        <v>1</v>
      </c>
      <c r="E81" s="30" t="s">
        <v>1</v>
      </c>
      <c r="F81" s="109" t="str">
        <f t="shared" si="2"/>
        <v/>
      </c>
      <c r="G81" s="109" t="s">
        <v>1</v>
      </c>
      <c r="H81" s="108" t="s">
        <v>1</v>
      </c>
      <c r="I81" s="109" t="s">
        <v>1</v>
      </c>
      <c r="J81" s="141" t="str">
        <f t="shared" si="3"/>
        <v/>
      </c>
      <c r="K81" s="211" t="str">
        <f>IFERROR(E81/#REF!,"")</f>
        <v/>
      </c>
      <c r="L81" s="30">
        <v>64562</v>
      </c>
      <c r="M81" s="75" t="s">
        <v>72</v>
      </c>
      <c r="N81" s="109" t="s">
        <v>1</v>
      </c>
      <c r="O81" s="32" t="s">
        <v>1</v>
      </c>
      <c r="P81" s="109" t="s">
        <v>1</v>
      </c>
      <c r="Q81" s="109" t="s">
        <v>1</v>
      </c>
      <c r="R81" s="109" t="s">
        <v>1</v>
      </c>
      <c r="S81" s="109" t="s">
        <v>1</v>
      </c>
      <c r="T81" s="109" t="s">
        <v>1</v>
      </c>
      <c r="U81" s="109" t="s">
        <v>1</v>
      </c>
      <c r="V81" s="92" t="s">
        <v>1</v>
      </c>
      <c r="W81" s="92" t="s">
        <v>72</v>
      </c>
      <c r="X81" s="92" t="s">
        <v>1</v>
      </c>
      <c r="Y81" s="92" t="s">
        <v>72</v>
      </c>
      <c r="Z81" s="92" t="s">
        <v>1</v>
      </c>
      <c r="AA81" s="236" t="s">
        <v>72</v>
      </c>
      <c r="AB81" s="92" t="s">
        <v>1</v>
      </c>
      <c r="AC81" s="92" t="s">
        <v>72</v>
      </c>
      <c r="AD81" s="92" t="s">
        <v>1</v>
      </c>
      <c r="AE81" s="92" t="s">
        <v>1</v>
      </c>
      <c r="AF81" s="92" t="s">
        <v>1</v>
      </c>
      <c r="AG81" s="92" t="s">
        <v>72</v>
      </c>
      <c r="AH81" s="125">
        <v>2696</v>
      </c>
      <c r="AI81" s="125" t="s">
        <v>72</v>
      </c>
      <c r="AJ81" s="125">
        <v>543</v>
      </c>
      <c r="AK81" s="125" t="s">
        <v>72</v>
      </c>
      <c r="AL81" s="125">
        <v>89</v>
      </c>
      <c r="AM81" s="125" t="s">
        <v>72</v>
      </c>
      <c r="AN81" s="125">
        <v>1058</v>
      </c>
      <c r="AO81" s="125" t="s">
        <v>72</v>
      </c>
      <c r="AP81" s="125">
        <v>1111</v>
      </c>
      <c r="AQ81" s="125" t="s">
        <v>72</v>
      </c>
      <c r="AR81" s="125">
        <v>254</v>
      </c>
      <c r="AS81" s="92" t="s">
        <v>72</v>
      </c>
      <c r="AT81" s="200" t="s">
        <v>1</v>
      </c>
      <c r="AU81" s="109" t="s">
        <v>1</v>
      </c>
      <c r="AV81" s="108">
        <v>190</v>
      </c>
      <c r="AW81" s="109" t="s">
        <v>1</v>
      </c>
      <c r="AX81" s="141">
        <v>0.0472401790154152</v>
      </c>
      <c r="AY81" s="200" t="s">
        <v>1</v>
      </c>
      <c r="AZ81" s="108">
        <v>27</v>
      </c>
      <c r="BA81" s="109" t="s">
        <v>1</v>
      </c>
      <c r="BB81" s="141">
        <v>0.142105263157895</v>
      </c>
      <c r="BC81" s="200" t="s">
        <v>1</v>
      </c>
      <c r="BD81" s="200" t="s">
        <v>1</v>
      </c>
      <c r="BE81" s="109" t="s">
        <v>1</v>
      </c>
      <c r="BF81" s="109" t="s">
        <v>1</v>
      </c>
      <c r="BG81" s="200" t="s">
        <v>1</v>
      </c>
      <c r="BH81" s="200" t="s">
        <v>1</v>
      </c>
      <c r="BI81" s="92" t="s">
        <v>73</v>
      </c>
      <c r="BJ81" s="92">
        <v>67</v>
      </c>
      <c r="BK81" s="92">
        <v>1047</v>
      </c>
      <c r="BL81" s="92" t="s">
        <v>72</v>
      </c>
      <c r="BM81" s="92" t="s">
        <v>74</v>
      </c>
      <c r="BN81" s="92">
        <v>320</v>
      </c>
      <c r="BO81" s="92">
        <v>409</v>
      </c>
      <c r="BP81" s="92" t="s">
        <v>72</v>
      </c>
      <c r="BQ81" s="108" t="s">
        <v>1</v>
      </c>
      <c r="BR81" s="108" t="s">
        <v>1</v>
      </c>
      <c r="BS81" s="108" t="s">
        <v>1</v>
      </c>
      <c r="BT81" s="108" t="s">
        <v>1</v>
      </c>
      <c r="BU81" s="108" t="s">
        <v>1</v>
      </c>
      <c r="BV81" s="189" t="s">
        <v>1</v>
      </c>
      <c r="BW81" s="189" t="s">
        <v>1</v>
      </c>
      <c r="BX81" s="190" t="s">
        <v>1</v>
      </c>
      <c r="BY81" s="189" t="s">
        <v>1</v>
      </c>
      <c r="BZ81" s="189" t="s">
        <v>1</v>
      </c>
      <c r="CA81" s="189" t="s">
        <v>1</v>
      </c>
      <c r="CB81" s="189" t="s">
        <v>1</v>
      </c>
      <c r="CC81" s="189" t="s">
        <v>1</v>
      </c>
      <c r="CD81" s="189" t="s">
        <v>1</v>
      </c>
      <c r="CE81" s="105" t="s">
        <v>1</v>
      </c>
      <c r="CF81" s="108" t="s">
        <v>1</v>
      </c>
    </row>
    <row r="82" ht="29" customHeight="1" spans="1:84">
      <c r="A82" s="107">
        <v>45185</v>
      </c>
      <c r="B82" s="7" t="s">
        <v>89</v>
      </c>
      <c r="C82" s="92" t="s">
        <v>71</v>
      </c>
      <c r="D82" s="30" t="s">
        <v>1</v>
      </c>
      <c r="E82" s="30" t="s">
        <v>1</v>
      </c>
      <c r="F82" s="109" t="str">
        <f t="shared" si="2"/>
        <v/>
      </c>
      <c r="G82" s="109" t="s">
        <v>1</v>
      </c>
      <c r="H82" s="108" t="s">
        <v>1</v>
      </c>
      <c r="I82" s="109" t="s">
        <v>1</v>
      </c>
      <c r="J82" s="141" t="str">
        <f t="shared" si="3"/>
        <v/>
      </c>
      <c r="K82" s="211" t="str">
        <f>IFERROR(E82/#REF!,"")</f>
        <v/>
      </c>
      <c r="L82" s="30">
        <v>13596</v>
      </c>
      <c r="M82" s="75" t="s">
        <v>72</v>
      </c>
      <c r="N82" s="109" t="s">
        <v>1</v>
      </c>
      <c r="O82" s="32" t="s">
        <v>1</v>
      </c>
      <c r="P82" s="109" t="s">
        <v>1</v>
      </c>
      <c r="Q82" s="109" t="s">
        <v>1</v>
      </c>
      <c r="R82" s="109" t="s">
        <v>1</v>
      </c>
      <c r="S82" s="109" t="s">
        <v>1</v>
      </c>
      <c r="T82" s="109" t="s">
        <v>1</v>
      </c>
      <c r="U82" s="109" t="s">
        <v>1</v>
      </c>
      <c r="V82" s="92" t="s">
        <v>1</v>
      </c>
      <c r="W82" s="92" t="s">
        <v>72</v>
      </c>
      <c r="X82" s="92" t="s">
        <v>1</v>
      </c>
      <c r="Y82" s="92" t="s">
        <v>72</v>
      </c>
      <c r="Z82" s="92" t="s">
        <v>1</v>
      </c>
      <c r="AA82" s="236" t="s">
        <v>72</v>
      </c>
      <c r="AB82" s="92" t="s">
        <v>1</v>
      </c>
      <c r="AC82" s="92" t="s">
        <v>72</v>
      </c>
      <c r="AD82" s="92" t="s">
        <v>1</v>
      </c>
      <c r="AE82" s="92" t="s">
        <v>1</v>
      </c>
      <c r="AF82" s="92" t="s">
        <v>1</v>
      </c>
      <c r="AG82" s="92" t="s">
        <v>72</v>
      </c>
      <c r="AH82" s="125">
        <v>2735</v>
      </c>
      <c r="AI82" s="125" t="s">
        <v>72</v>
      </c>
      <c r="AJ82" s="125">
        <v>564</v>
      </c>
      <c r="AK82" s="125" t="s">
        <v>72</v>
      </c>
      <c r="AL82" s="125">
        <v>77</v>
      </c>
      <c r="AM82" s="125" t="s">
        <v>72</v>
      </c>
      <c r="AN82" s="125">
        <v>1173</v>
      </c>
      <c r="AO82" s="125" t="s">
        <v>72</v>
      </c>
      <c r="AP82" s="125">
        <v>1245</v>
      </c>
      <c r="AQ82" s="125" t="s">
        <v>72</v>
      </c>
      <c r="AR82" s="125">
        <v>275</v>
      </c>
      <c r="AS82" s="92" t="s">
        <v>72</v>
      </c>
      <c r="AT82" s="200" t="s">
        <v>1</v>
      </c>
      <c r="AU82" s="109" t="s">
        <v>1</v>
      </c>
      <c r="AV82" s="108">
        <v>170</v>
      </c>
      <c r="AW82" s="109" t="s">
        <v>1</v>
      </c>
      <c r="AX82" s="141" t="s">
        <v>1</v>
      </c>
      <c r="AY82" s="200" t="s">
        <v>1</v>
      </c>
      <c r="AZ82" s="108">
        <v>18</v>
      </c>
      <c r="BA82" s="109" t="s">
        <v>1</v>
      </c>
      <c r="BB82" s="141" t="s">
        <v>1</v>
      </c>
      <c r="BC82" s="200" t="s">
        <v>1</v>
      </c>
      <c r="BD82" s="200" t="s">
        <v>1</v>
      </c>
      <c r="BE82" s="109" t="s">
        <v>1</v>
      </c>
      <c r="BF82" s="109" t="s">
        <v>1</v>
      </c>
      <c r="BG82" s="200" t="s">
        <v>1</v>
      </c>
      <c r="BH82" s="200" t="s">
        <v>1</v>
      </c>
      <c r="BI82" s="92" t="s">
        <v>73</v>
      </c>
      <c r="BJ82" s="92">
        <v>57</v>
      </c>
      <c r="BK82" s="92">
        <v>1263</v>
      </c>
      <c r="BL82" s="92" t="s">
        <v>72</v>
      </c>
      <c r="BM82" s="92" t="s">
        <v>74</v>
      </c>
      <c r="BN82" s="92">
        <v>300</v>
      </c>
      <c r="BO82" s="92">
        <v>462</v>
      </c>
      <c r="BP82" s="92" t="s">
        <v>72</v>
      </c>
      <c r="BQ82" s="108" t="s">
        <v>1</v>
      </c>
      <c r="BR82" s="108" t="s">
        <v>1</v>
      </c>
      <c r="BS82" s="108" t="s">
        <v>1</v>
      </c>
      <c r="BT82" s="108" t="s">
        <v>1</v>
      </c>
      <c r="BU82" s="108" t="s">
        <v>1</v>
      </c>
      <c r="BV82" s="189" t="s">
        <v>1</v>
      </c>
      <c r="BW82" s="189" t="s">
        <v>1</v>
      </c>
      <c r="BX82" s="190" t="s">
        <v>1</v>
      </c>
      <c r="BY82" s="189" t="s">
        <v>1</v>
      </c>
      <c r="BZ82" s="189" t="s">
        <v>1</v>
      </c>
      <c r="CA82" s="189" t="s">
        <v>1</v>
      </c>
      <c r="CB82" s="189" t="s">
        <v>1</v>
      </c>
      <c r="CC82" s="189" t="s">
        <v>1</v>
      </c>
      <c r="CD82" s="189" t="s">
        <v>1</v>
      </c>
      <c r="CE82" s="105" t="s">
        <v>1</v>
      </c>
      <c r="CF82" s="108" t="s">
        <v>1</v>
      </c>
    </row>
    <row r="83" ht="29" customHeight="1" spans="1:84">
      <c r="A83" s="107">
        <v>45186</v>
      </c>
      <c r="B83" s="7" t="s">
        <v>89</v>
      </c>
      <c r="C83" s="92" t="s">
        <v>71</v>
      </c>
      <c r="D83" s="30" t="s">
        <v>1</v>
      </c>
      <c r="E83" s="30" t="s">
        <v>1</v>
      </c>
      <c r="F83" s="109" t="str">
        <f t="shared" si="2"/>
        <v/>
      </c>
      <c r="G83" s="109" t="s">
        <v>1</v>
      </c>
      <c r="H83" s="108" t="s">
        <v>1</v>
      </c>
      <c r="I83" s="109" t="s">
        <v>1</v>
      </c>
      <c r="J83" s="141" t="str">
        <f t="shared" si="3"/>
        <v/>
      </c>
      <c r="K83" s="211" t="str">
        <f>IFERROR(E83/#REF!,"")</f>
        <v/>
      </c>
      <c r="L83" s="172">
        <v>8408</v>
      </c>
      <c r="M83" s="75" t="s">
        <v>72</v>
      </c>
      <c r="N83" s="109" t="s">
        <v>1</v>
      </c>
      <c r="O83" s="32" t="s">
        <v>1</v>
      </c>
      <c r="P83" s="109" t="s">
        <v>1</v>
      </c>
      <c r="Q83" s="109" t="s">
        <v>1</v>
      </c>
      <c r="R83" s="109" t="s">
        <v>1</v>
      </c>
      <c r="S83" s="109" t="s">
        <v>1</v>
      </c>
      <c r="T83" s="109" t="s">
        <v>1</v>
      </c>
      <c r="U83" s="109" t="s">
        <v>1</v>
      </c>
      <c r="V83" s="92" t="s">
        <v>1</v>
      </c>
      <c r="W83" s="92" t="s">
        <v>72</v>
      </c>
      <c r="X83" s="92" t="s">
        <v>1</v>
      </c>
      <c r="Y83" s="92" t="s">
        <v>72</v>
      </c>
      <c r="Z83" s="92" t="s">
        <v>1</v>
      </c>
      <c r="AA83" s="236" t="s">
        <v>72</v>
      </c>
      <c r="AB83" s="92" t="s">
        <v>1</v>
      </c>
      <c r="AC83" s="92" t="s">
        <v>72</v>
      </c>
      <c r="AD83" s="92" t="s">
        <v>1</v>
      </c>
      <c r="AE83" s="92" t="s">
        <v>1</v>
      </c>
      <c r="AF83" s="92" t="s">
        <v>1</v>
      </c>
      <c r="AG83" s="92" t="s">
        <v>72</v>
      </c>
      <c r="AH83" s="125">
        <v>2991</v>
      </c>
      <c r="AI83" s="125" t="s">
        <v>72</v>
      </c>
      <c r="AJ83" s="125">
        <v>662</v>
      </c>
      <c r="AK83" s="125" t="s">
        <v>72</v>
      </c>
      <c r="AL83" s="125">
        <v>113</v>
      </c>
      <c r="AM83" s="125" t="s">
        <v>72</v>
      </c>
      <c r="AN83" s="125">
        <v>929</v>
      </c>
      <c r="AO83" s="125" t="s">
        <v>72</v>
      </c>
      <c r="AP83" s="125">
        <v>1493</v>
      </c>
      <c r="AQ83" s="125" t="s">
        <v>72</v>
      </c>
      <c r="AR83" s="125">
        <v>336</v>
      </c>
      <c r="AS83" s="92" t="s">
        <v>72</v>
      </c>
      <c r="AT83" s="200" t="s">
        <v>1</v>
      </c>
      <c r="AU83" s="109" t="s">
        <v>1</v>
      </c>
      <c r="AV83" s="108">
        <v>187</v>
      </c>
      <c r="AW83" s="109" t="s">
        <v>1</v>
      </c>
      <c r="AX83" s="141" t="s">
        <v>1</v>
      </c>
      <c r="AY83" s="200" t="s">
        <v>1</v>
      </c>
      <c r="AZ83" s="108">
        <v>23</v>
      </c>
      <c r="BA83" s="109" t="s">
        <v>1</v>
      </c>
      <c r="BB83" s="141" t="s">
        <v>1</v>
      </c>
      <c r="BC83" s="200" t="s">
        <v>1</v>
      </c>
      <c r="BD83" s="200" t="s">
        <v>1</v>
      </c>
      <c r="BE83" s="109" t="s">
        <v>1</v>
      </c>
      <c r="BF83" s="109" t="s">
        <v>1</v>
      </c>
      <c r="BG83" s="200" t="s">
        <v>1</v>
      </c>
      <c r="BH83" s="200" t="s">
        <v>1</v>
      </c>
      <c r="BI83" s="92" t="s">
        <v>73</v>
      </c>
      <c r="BJ83" s="92">
        <v>51</v>
      </c>
      <c r="BK83" s="92">
        <v>1672</v>
      </c>
      <c r="BL83" s="92" t="s">
        <v>72</v>
      </c>
      <c r="BM83" s="92" t="s">
        <v>74</v>
      </c>
      <c r="BN83" s="92">
        <v>265</v>
      </c>
      <c r="BO83" s="92">
        <v>571</v>
      </c>
      <c r="BP83" s="92" t="s">
        <v>72</v>
      </c>
      <c r="BQ83" s="108" t="s">
        <v>1</v>
      </c>
      <c r="BR83" s="108" t="s">
        <v>1</v>
      </c>
      <c r="BS83" s="108" t="s">
        <v>1</v>
      </c>
      <c r="BT83" s="108" t="s">
        <v>1</v>
      </c>
      <c r="BU83" s="108" t="s">
        <v>1</v>
      </c>
      <c r="BV83" s="189" t="s">
        <v>1</v>
      </c>
      <c r="BW83" s="189" t="s">
        <v>1</v>
      </c>
      <c r="BX83" s="190" t="s">
        <v>1</v>
      </c>
      <c r="BY83" s="189" t="s">
        <v>1</v>
      </c>
      <c r="BZ83" s="189" t="s">
        <v>1</v>
      </c>
      <c r="CA83" s="189" t="s">
        <v>1</v>
      </c>
      <c r="CB83" s="189" t="s">
        <v>1</v>
      </c>
      <c r="CC83" s="189" t="s">
        <v>1</v>
      </c>
      <c r="CD83" s="189" t="s">
        <v>1</v>
      </c>
      <c r="CE83" s="105" t="s">
        <v>1</v>
      </c>
      <c r="CF83" s="108" t="s">
        <v>1</v>
      </c>
    </row>
    <row r="84" ht="29" customHeight="1" spans="1:84">
      <c r="A84" s="107">
        <v>45187</v>
      </c>
      <c r="B84" s="7" t="s">
        <v>89</v>
      </c>
      <c r="C84" s="92" t="s">
        <v>71</v>
      </c>
      <c r="D84" s="30" t="s">
        <v>1</v>
      </c>
      <c r="E84" s="30" t="s">
        <v>1</v>
      </c>
      <c r="F84" s="109" t="str">
        <f t="shared" si="2"/>
        <v/>
      </c>
      <c r="G84" s="109" t="s">
        <v>1</v>
      </c>
      <c r="H84" s="108" t="s">
        <v>1</v>
      </c>
      <c r="I84" s="109" t="s">
        <v>1</v>
      </c>
      <c r="J84" s="141" t="str">
        <f t="shared" si="3"/>
        <v/>
      </c>
      <c r="K84" s="211" t="str">
        <f>IFERROR(E84/#REF!,"")</f>
        <v/>
      </c>
      <c r="L84" s="172">
        <v>5499</v>
      </c>
      <c r="M84" s="75" t="s">
        <v>72</v>
      </c>
      <c r="N84" s="109" t="s">
        <v>1</v>
      </c>
      <c r="O84" s="32" t="s">
        <v>1</v>
      </c>
      <c r="P84" s="109" t="s">
        <v>1</v>
      </c>
      <c r="Q84" s="109" t="s">
        <v>1</v>
      </c>
      <c r="R84" s="109" t="s">
        <v>1</v>
      </c>
      <c r="S84" s="109" t="s">
        <v>1</v>
      </c>
      <c r="T84" s="109" t="s">
        <v>1</v>
      </c>
      <c r="U84" s="109" t="s">
        <v>1</v>
      </c>
      <c r="V84" s="92" t="s">
        <v>1</v>
      </c>
      <c r="W84" s="92" t="s">
        <v>72</v>
      </c>
      <c r="X84" s="92" t="s">
        <v>1</v>
      </c>
      <c r="Y84" s="92" t="s">
        <v>72</v>
      </c>
      <c r="Z84" s="92" t="s">
        <v>1</v>
      </c>
      <c r="AA84" s="236" t="s">
        <v>72</v>
      </c>
      <c r="AB84" s="92" t="s">
        <v>1</v>
      </c>
      <c r="AC84" s="92" t="s">
        <v>72</v>
      </c>
      <c r="AD84" s="92" t="s">
        <v>1</v>
      </c>
      <c r="AE84" s="92" t="s">
        <v>1</v>
      </c>
      <c r="AF84" s="92" t="s">
        <v>1</v>
      </c>
      <c r="AG84" s="92" t="s">
        <v>72</v>
      </c>
      <c r="AH84" s="125">
        <v>3472</v>
      </c>
      <c r="AI84" s="125" t="s">
        <v>72</v>
      </c>
      <c r="AJ84" s="125">
        <v>562</v>
      </c>
      <c r="AK84" s="125" t="s">
        <v>72</v>
      </c>
      <c r="AL84" s="125">
        <v>104</v>
      </c>
      <c r="AM84" s="125" t="s">
        <v>72</v>
      </c>
      <c r="AN84" s="125">
        <v>1131</v>
      </c>
      <c r="AO84" s="125" t="s">
        <v>72</v>
      </c>
      <c r="AP84" s="125">
        <v>1319</v>
      </c>
      <c r="AQ84" s="125" t="s">
        <v>72</v>
      </c>
      <c r="AR84" s="125">
        <v>322</v>
      </c>
      <c r="AS84" s="92" t="s">
        <v>72</v>
      </c>
      <c r="AT84" s="200" t="s">
        <v>1</v>
      </c>
      <c r="AU84" s="109" t="s">
        <v>1</v>
      </c>
      <c r="AV84" s="108">
        <v>150</v>
      </c>
      <c r="AW84" s="109" t="s">
        <v>1</v>
      </c>
      <c r="AX84" s="141" t="s">
        <v>1</v>
      </c>
      <c r="AY84" s="200" t="s">
        <v>1</v>
      </c>
      <c r="AZ84" s="108">
        <v>13</v>
      </c>
      <c r="BA84" s="109" t="s">
        <v>1</v>
      </c>
      <c r="BB84" s="141" t="s">
        <v>1</v>
      </c>
      <c r="BC84" s="200" t="s">
        <v>1</v>
      </c>
      <c r="BD84" s="200" t="s">
        <v>1</v>
      </c>
      <c r="BE84" s="109" t="s">
        <v>1</v>
      </c>
      <c r="BF84" s="109" t="s">
        <v>1</v>
      </c>
      <c r="BG84" s="200" t="s">
        <v>1</v>
      </c>
      <c r="BH84" s="200" t="s">
        <v>1</v>
      </c>
      <c r="BI84" s="92" t="s">
        <v>74</v>
      </c>
      <c r="BJ84" s="92">
        <v>49</v>
      </c>
      <c r="BK84" s="92">
        <v>1486</v>
      </c>
      <c r="BL84" s="92" t="s">
        <v>72</v>
      </c>
      <c r="BM84" s="92" t="s">
        <v>74</v>
      </c>
      <c r="BN84" s="92">
        <v>297</v>
      </c>
      <c r="BO84" s="92">
        <v>467</v>
      </c>
      <c r="BP84" s="92" t="s">
        <v>72</v>
      </c>
      <c r="BQ84" s="108" t="s">
        <v>1</v>
      </c>
      <c r="BR84" s="108" t="s">
        <v>1</v>
      </c>
      <c r="BS84" s="108" t="s">
        <v>1</v>
      </c>
      <c r="BT84" s="108" t="s">
        <v>1</v>
      </c>
      <c r="BU84" s="108" t="s">
        <v>1</v>
      </c>
      <c r="BV84" s="189" t="s">
        <v>1</v>
      </c>
      <c r="BW84" s="189" t="s">
        <v>1</v>
      </c>
      <c r="BX84" s="190" t="s">
        <v>1</v>
      </c>
      <c r="BY84" s="189" t="s">
        <v>1</v>
      </c>
      <c r="BZ84" s="189" t="s">
        <v>1</v>
      </c>
      <c r="CA84" s="189" t="s">
        <v>1</v>
      </c>
      <c r="CB84" s="189" t="s">
        <v>1</v>
      </c>
      <c r="CC84" s="189" t="s">
        <v>1</v>
      </c>
      <c r="CD84" s="189" t="s">
        <v>1</v>
      </c>
      <c r="CE84" s="105" t="s">
        <v>1</v>
      </c>
      <c r="CF84" s="108" t="s">
        <v>1</v>
      </c>
    </row>
    <row r="85" ht="29" customHeight="1" spans="1:84">
      <c r="A85" s="107">
        <v>45188</v>
      </c>
      <c r="B85" s="7" t="s">
        <v>126</v>
      </c>
      <c r="C85" s="92" t="s">
        <v>71</v>
      </c>
      <c r="D85" s="30" t="s">
        <v>1</v>
      </c>
      <c r="E85" s="30" t="s">
        <v>1</v>
      </c>
      <c r="F85" s="109" t="str">
        <f t="shared" si="2"/>
        <v/>
      </c>
      <c r="G85" s="109" t="s">
        <v>1</v>
      </c>
      <c r="H85" s="108" t="s">
        <v>1</v>
      </c>
      <c r="I85" s="109" t="s">
        <v>1</v>
      </c>
      <c r="J85" s="141" t="str">
        <f t="shared" si="3"/>
        <v/>
      </c>
      <c r="K85" s="211" t="str">
        <f>IFERROR(E85/#REF!,"")</f>
        <v/>
      </c>
      <c r="L85" s="30">
        <v>73988</v>
      </c>
      <c r="M85" s="75" t="s">
        <v>72</v>
      </c>
      <c r="N85" s="109" t="s">
        <v>1</v>
      </c>
      <c r="O85" s="32" t="s">
        <v>1</v>
      </c>
      <c r="P85" s="109" t="s">
        <v>1</v>
      </c>
      <c r="Q85" s="109" t="s">
        <v>1</v>
      </c>
      <c r="R85" s="109" t="s">
        <v>1</v>
      </c>
      <c r="S85" s="109" t="s">
        <v>1</v>
      </c>
      <c r="T85" s="109" t="s">
        <v>1</v>
      </c>
      <c r="U85" s="109" t="s">
        <v>1</v>
      </c>
      <c r="V85" s="92" t="s">
        <v>1</v>
      </c>
      <c r="W85" s="92" t="s">
        <v>72</v>
      </c>
      <c r="X85" s="92" t="s">
        <v>1</v>
      </c>
      <c r="Y85" s="92" t="s">
        <v>72</v>
      </c>
      <c r="Z85" s="92" t="s">
        <v>1</v>
      </c>
      <c r="AA85" s="236" t="s">
        <v>72</v>
      </c>
      <c r="AB85" s="92" t="s">
        <v>1</v>
      </c>
      <c r="AC85" s="92" t="s">
        <v>72</v>
      </c>
      <c r="AD85" s="92" t="s">
        <v>1</v>
      </c>
      <c r="AE85" s="92" t="s">
        <v>1</v>
      </c>
      <c r="AF85" s="92" t="s">
        <v>1</v>
      </c>
      <c r="AG85" s="92" t="s">
        <v>72</v>
      </c>
      <c r="AH85" s="125">
        <v>3124</v>
      </c>
      <c r="AI85" s="92" t="s">
        <v>72</v>
      </c>
      <c r="AJ85" s="92">
        <v>464</v>
      </c>
      <c r="AK85" s="92" t="s">
        <v>72</v>
      </c>
      <c r="AL85" s="92">
        <v>102</v>
      </c>
      <c r="AM85" s="92" t="s">
        <v>72</v>
      </c>
      <c r="AN85" s="92">
        <v>825</v>
      </c>
      <c r="AO85" s="92" t="s">
        <v>72</v>
      </c>
      <c r="AP85" s="125">
        <v>1625</v>
      </c>
      <c r="AQ85" s="92" t="s">
        <v>72</v>
      </c>
      <c r="AR85" s="92">
        <v>372</v>
      </c>
      <c r="AS85" s="92" t="s">
        <v>72</v>
      </c>
      <c r="AT85" s="200" t="s">
        <v>1</v>
      </c>
      <c r="AU85" s="109" t="s">
        <v>1</v>
      </c>
      <c r="AV85" s="108">
        <v>221</v>
      </c>
      <c r="AW85" s="109" t="s">
        <v>1</v>
      </c>
      <c r="AX85" s="141" t="s">
        <v>1</v>
      </c>
      <c r="AY85" s="200" t="s">
        <v>1</v>
      </c>
      <c r="AZ85" s="108">
        <v>33</v>
      </c>
      <c r="BA85" s="109" t="s">
        <v>1</v>
      </c>
      <c r="BB85" s="141" t="s">
        <v>1</v>
      </c>
      <c r="BC85" s="200" t="s">
        <v>1</v>
      </c>
      <c r="BD85" s="200" t="s">
        <v>1</v>
      </c>
      <c r="BE85" s="109" t="s">
        <v>1</v>
      </c>
      <c r="BF85" s="109" t="s">
        <v>1</v>
      </c>
      <c r="BG85" s="200" t="s">
        <v>1</v>
      </c>
      <c r="BH85" s="200" t="s">
        <v>1</v>
      </c>
      <c r="BI85" s="92" t="s">
        <v>94</v>
      </c>
      <c r="BJ85" s="92">
        <v>39</v>
      </c>
      <c r="BK85" s="92">
        <v>1649</v>
      </c>
      <c r="BL85" s="92" t="s">
        <v>72</v>
      </c>
      <c r="BM85" s="92" t="s">
        <v>74</v>
      </c>
      <c r="BN85" s="92">
        <v>243</v>
      </c>
      <c r="BO85" s="92">
        <v>563</v>
      </c>
      <c r="BP85" s="92" t="s">
        <v>72</v>
      </c>
      <c r="BQ85" s="108" t="s">
        <v>1</v>
      </c>
      <c r="BR85" s="108" t="s">
        <v>1</v>
      </c>
      <c r="BS85" s="108" t="s">
        <v>1</v>
      </c>
      <c r="BT85" s="108" t="s">
        <v>1</v>
      </c>
      <c r="BU85" s="108" t="s">
        <v>1</v>
      </c>
      <c r="BV85" s="108" t="s">
        <v>1</v>
      </c>
      <c r="BW85" s="108" t="s">
        <v>1</v>
      </c>
      <c r="BX85" s="108" t="s">
        <v>1</v>
      </c>
      <c r="BY85" s="108" t="s">
        <v>1</v>
      </c>
      <c r="BZ85" s="108" t="s">
        <v>1</v>
      </c>
      <c r="CA85" s="108" t="s">
        <v>1</v>
      </c>
      <c r="CB85" s="108" t="s">
        <v>1</v>
      </c>
      <c r="CC85" s="108" t="s">
        <v>1</v>
      </c>
      <c r="CD85" s="108" t="s">
        <v>1</v>
      </c>
      <c r="CE85" s="108" t="s">
        <v>1</v>
      </c>
      <c r="CF85" s="108" t="s">
        <v>1</v>
      </c>
    </row>
    <row r="86" ht="29" customHeight="1" spans="1:84">
      <c r="A86" s="107">
        <v>45189</v>
      </c>
      <c r="B86" s="7" t="s">
        <v>125</v>
      </c>
      <c r="C86" s="92" t="s">
        <v>71</v>
      </c>
      <c r="D86" s="30" t="s">
        <v>1</v>
      </c>
      <c r="E86" s="30" t="s">
        <v>1</v>
      </c>
      <c r="F86" s="109" t="str">
        <f t="shared" si="2"/>
        <v/>
      </c>
      <c r="G86" s="109" t="s">
        <v>1</v>
      </c>
      <c r="H86" s="108" t="s">
        <v>1</v>
      </c>
      <c r="I86" s="109" t="s">
        <v>1</v>
      </c>
      <c r="J86" s="141" t="str">
        <f t="shared" si="3"/>
        <v/>
      </c>
      <c r="K86" s="211" t="str">
        <f>IFERROR(E86/#REF!,"")</f>
        <v/>
      </c>
      <c r="L86" s="178">
        <v>48085</v>
      </c>
      <c r="M86" s="75" t="s">
        <v>72</v>
      </c>
      <c r="N86" s="109" t="s">
        <v>1</v>
      </c>
      <c r="O86" s="32" t="s">
        <v>1</v>
      </c>
      <c r="P86" s="109" t="s">
        <v>1</v>
      </c>
      <c r="Q86" s="109" t="s">
        <v>1</v>
      </c>
      <c r="R86" s="109" t="s">
        <v>1</v>
      </c>
      <c r="S86" s="109" t="s">
        <v>1</v>
      </c>
      <c r="T86" s="109" t="s">
        <v>1</v>
      </c>
      <c r="U86" s="109" t="s">
        <v>1</v>
      </c>
      <c r="V86" s="92" t="s">
        <v>1</v>
      </c>
      <c r="W86" s="92">
        <v>1</v>
      </c>
      <c r="X86" s="92" t="s">
        <v>1</v>
      </c>
      <c r="Y86" s="92">
        <v>1</v>
      </c>
      <c r="Z86" s="92" t="s">
        <v>1</v>
      </c>
      <c r="AA86" s="236">
        <v>1</v>
      </c>
      <c r="AB86" s="92" t="s">
        <v>1</v>
      </c>
      <c r="AC86" s="92">
        <v>67</v>
      </c>
      <c r="AD86" s="92" t="s">
        <v>1</v>
      </c>
      <c r="AE86" s="92" t="s">
        <v>1</v>
      </c>
      <c r="AF86" s="92" t="s">
        <v>1</v>
      </c>
      <c r="AG86" s="92">
        <v>0</v>
      </c>
      <c r="AH86" s="125">
        <v>2902</v>
      </c>
      <c r="AI86" s="125" t="s">
        <v>72</v>
      </c>
      <c r="AJ86" s="125">
        <v>458</v>
      </c>
      <c r="AK86" s="125" t="s">
        <v>72</v>
      </c>
      <c r="AL86" s="125">
        <v>90</v>
      </c>
      <c r="AM86" s="125" t="s">
        <v>72</v>
      </c>
      <c r="AN86" s="125">
        <v>851</v>
      </c>
      <c r="AO86" s="125" t="s">
        <v>72</v>
      </c>
      <c r="AP86" s="125">
        <v>1334</v>
      </c>
      <c r="AQ86" s="125" t="s">
        <v>72</v>
      </c>
      <c r="AR86" s="125">
        <v>289</v>
      </c>
      <c r="AS86" s="92" t="s">
        <v>72</v>
      </c>
      <c r="AT86" s="200" t="s">
        <v>1</v>
      </c>
      <c r="AU86" s="109" t="s">
        <v>1</v>
      </c>
      <c r="AV86" s="108">
        <v>181</v>
      </c>
      <c r="AW86" s="109" t="s">
        <v>1</v>
      </c>
      <c r="AX86" s="141" t="s">
        <v>1</v>
      </c>
      <c r="AY86" s="200" t="s">
        <v>1</v>
      </c>
      <c r="AZ86" s="108">
        <v>22</v>
      </c>
      <c r="BA86" s="109" t="s">
        <v>1</v>
      </c>
      <c r="BB86" s="141" t="s">
        <v>1</v>
      </c>
      <c r="BC86" s="200" t="s">
        <v>1</v>
      </c>
      <c r="BD86" s="200" t="s">
        <v>1</v>
      </c>
      <c r="BE86" s="109" t="s">
        <v>1</v>
      </c>
      <c r="BF86" s="109" t="s">
        <v>1</v>
      </c>
      <c r="BG86" s="200" t="s">
        <v>1</v>
      </c>
      <c r="BH86" s="200" t="s">
        <v>1</v>
      </c>
      <c r="BI86" s="92" t="s">
        <v>73</v>
      </c>
      <c r="BJ86" s="92">
        <v>55</v>
      </c>
      <c r="BK86" s="92">
        <v>1262</v>
      </c>
      <c r="BL86" s="92" t="s">
        <v>72</v>
      </c>
      <c r="BM86" s="92" t="s">
        <v>74</v>
      </c>
      <c r="BN86" s="92">
        <v>322</v>
      </c>
      <c r="BO86" s="92">
        <v>428</v>
      </c>
      <c r="BP86" s="92" t="s">
        <v>72</v>
      </c>
      <c r="BQ86" s="108" t="s">
        <v>1</v>
      </c>
      <c r="BR86" s="108" t="s">
        <v>1</v>
      </c>
      <c r="BS86" s="108" t="s">
        <v>1</v>
      </c>
      <c r="BT86" s="108" t="s">
        <v>1</v>
      </c>
      <c r="BU86" s="108" t="s">
        <v>1</v>
      </c>
      <c r="BV86" s="108" t="s">
        <v>1</v>
      </c>
      <c r="BW86" s="108" t="s">
        <v>1</v>
      </c>
      <c r="BX86" s="108" t="s">
        <v>1</v>
      </c>
      <c r="BY86" s="108" t="s">
        <v>1</v>
      </c>
      <c r="BZ86" s="108" t="s">
        <v>1</v>
      </c>
      <c r="CA86" s="108" t="s">
        <v>1</v>
      </c>
      <c r="CB86" s="108" t="s">
        <v>1</v>
      </c>
      <c r="CC86" s="108" t="s">
        <v>1</v>
      </c>
      <c r="CD86" s="108" t="s">
        <v>1</v>
      </c>
      <c r="CE86" s="108" t="s">
        <v>1</v>
      </c>
      <c r="CF86" s="108" t="s">
        <v>1</v>
      </c>
    </row>
    <row r="87" ht="29" customHeight="1" spans="1:84">
      <c r="A87" s="107">
        <v>45190</v>
      </c>
      <c r="B87" s="7" t="s">
        <v>89</v>
      </c>
      <c r="C87" s="92" t="s">
        <v>71</v>
      </c>
      <c r="D87" s="30" t="s">
        <v>1</v>
      </c>
      <c r="E87" s="30" t="s">
        <v>1</v>
      </c>
      <c r="F87" s="109" t="str">
        <f t="shared" si="2"/>
        <v/>
      </c>
      <c r="G87" s="109" t="s">
        <v>1</v>
      </c>
      <c r="H87" s="108" t="s">
        <v>1</v>
      </c>
      <c r="I87" s="109" t="s">
        <v>1</v>
      </c>
      <c r="J87" s="141" t="str">
        <f t="shared" si="3"/>
        <v/>
      </c>
      <c r="K87" s="211" t="str">
        <f>IFERROR(E87/#REF!,"")</f>
        <v/>
      </c>
      <c r="L87" s="172">
        <v>21803</v>
      </c>
      <c r="M87" s="75" t="s">
        <v>72</v>
      </c>
      <c r="N87" s="109" t="s">
        <v>1</v>
      </c>
      <c r="O87" s="32" t="s">
        <v>1</v>
      </c>
      <c r="P87" s="109" t="s">
        <v>1</v>
      </c>
      <c r="Q87" s="109" t="s">
        <v>1</v>
      </c>
      <c r="R87" s="109" t="s">
        <v>1</v>
      </c>
      <c r="S87" s="109" t="s">
        <v>1</v>
      </c>
      <c r="T87" s="109" t="s">
        <v>1</v>
      </c>
      <c r="U87" s="109" t="s">
        <v>1</v>
      </c>
      <c r="V87" s="92" t="s">
        <v>1</v>
      </c>
      <c r="W87" s="92">
        <v>1</v>
      </c>
      <c r="X87" s="92" t="s">
        <v>1</v>
      </c>
      <c r="Y87" s="92">
        <v>1</v>
      </c>
      <c r="Z87" s="92" t="s">
        <v>1</v>
      </c>
      <c r="AA87" s="236">
        <v>1</v>
      </c>
      <c r="AB87" s="92" t="s">
        <v>1</v>
      </c>
      <c r="AC87" s="92">
        <v>216</v>
      </c>
      <c r="AD87" s="92" t="s">
        <v>1</v>
      </c>
      <c r="AE87" s="92" t="s">
        <v>1</v>
      </c>
      <c r="AF87" s="92" t="s">
        <v>1</v>
      </c>
      <c r="AG87" s="92">
        <v>0</v>
      </c>
      <c r="AH87" s="125">
        <v>2709</v>
      </c>
      <c r="AI87" s="125" t="s">
        <v>72</v>
      </c>
      <c r="AJ87" s="125">
        <v>483</v>
      </c>
      <c r="AK87" s="125" t="s">
        <v>72</v>
      </c>
      <c r="AL87" s="125">
        <v>95</v>
      </c>
      <c r="AM87" s="125" t="s">
        <v>72</v>
      </c>
      <c r="AN87" s="125">
        <v>1062</v>
      </c>
      <c r="AO87" s="125" t="s">
        <v>72</v>
      </c>
      <c r="AP87" s="125">
        <v>1295</v>
      </c>
      <c r="AQ87" s="125" t="s">
        <v>72</v>
      </c>
      <c r="AR87" s="125">
        <v>289</v>
      </c>
      <c r="AS87" s="92" t="s">
        <v>72</v>
      </c>
      <c r="AT87" s="200" t="s">
        <v>1</v>
      </c>
      <c r="AU87" s="109" t="s">
        <v>1</v>
      </c>
      <c r="AV87" s="108">
        <v>181</v>
      </c>
      <c r="AW87" s="109" t="s">
        <v>1</v>
      </c>
      <c r="AX87" s="141" t="s">
        <v>1</v>
      </c>
      <c r="AY87" s="200" t="s">
        <v>1</v>
      </c>
      <c r="AZ87" s="108">
        <v>25</v>
      </c>
      <c r="BA87" s="109" t="s">
        <v>1</v>
      </c>
      <c r="BB87" s="141" t="s">
        <v>1</v>
      </c>
      <c r="BC87" s="200" t="s">
        <v>1</v>
      </c>
      <c r="BD87" s="200" t="s">
        <v>1</v>
      </c>
      <c r="BE87" s="109" t="s">
        <v>1</v>
      </c>
      <c r="BF87" s="109" t="s">
        <v>1</v>
      </c>
      <c r="BG87" s="200" t="s">
        <v>1</v>
      </c>
      <c r="BH87" s="200" t="s">
        <v>1</v>
      </c>
      <c r="BI87" s="92" t="s">
        <v>73</v>
      </c>
      <c r="BJ87" s="92">
        <v>51</v>
      </c>
      <c r="BK87" s="92">
        <v>1205</v>
      </c>
      <c r="BL87" s="92" t="s">
        <v>72</v>
      </c>
      <c r="BM87" s="92" t="s">
        <v>74</v>
      </c>
      <c r="BN87" s="92">
        <v>401</v>
      </c>
      <c r="BO87" s="92">
        <v>343</v>
      </c>
      <c r="BP87" s="92" t="s">
        <v>72</v>
      </c>
      <c r="BQ87" s="108" t="s">
        <v>1</v>
      </c>
      <c r="BR87" s="108" t="s">
        <v>1</v>
      </c>
      <c r="BS87" s="108" t="s">
        <v>1</v>
      </c>
      <c r="BT87" s="108" t="s">
        <v>1</v>
      </c>
      <c r="BU87" s="108" t="s">
        <v>1</v>
      </c>
      <c r="BV87" s="108" t="s">
        <v>1</v>
      </c>
      <c r="BW87" s="108" t="s">
        <v>1</v>
      </c>
      <c r="BX87" s="108" t="s">
        <v>1</v>
      </c>
      <c r="BY87" s="108" t="s">
        <v>1</v>
      </c>
      <c r="BZ87" s="108" t="s">
        <v>1</v>
      </c>
      <c r="CA87" s="108" t="s">
        <v>1</v>
      </c>
      <c r="CB87" s="108" t="s">
        <v>1</v>
      </c>
      <c r="CC87" s="108" t="s">
        <v>1</v>
      </c>
      <c r="CD87" s="108" t="s">
        <v>1</v>
      </c>
      <c r="CE87" s="108" t="s">
        <v>1</v>
      </c>
      <c r="CF87" s="108" t="s">
        <v>1</v>
      </c>
    </row>
    <row r="88" ht="29" customHeight="1" spans="1:84">
      <c r="A88" s="107">
        <v>45191</v>
      </c>
      <c r="B88" s="7" t="s">
        <v>89</v>
      </c>
      <c r="C88" s="92" t="s">
        <v>71</v>
      </c>
      <c r="D88" s="30" t="s">
        <v>1</v>
      </c>
      <c r="E88" s="30" t="s">
        <v>1</v>
      </c>
      <c r="F88" s="109" t="str">
        <f t="shared" si="2"/>
        <v/>
      </c>
      <c r="G88" s="109" t="s">
        <v>1</v>
      </c>
      <c r="H88" s="108" t="s">
        <v>1</v>
      </c>
      <c r="I88" s="109" t="s">
        <v>1</v>
      </c>
      <c r="J88" s="141" t="str">
        <f t="shared" si="3"/>
        <v/>
      </c>
      <c r="K88" s="211" t="str">
        <f>IFERROR(E88/#REF!,"")</f>
        <v/>
      </c>
      <c r="L88" s="30">
        <v>35271</v>
      </c>
      <c r="M88" s="75" t="s">
        <v>72</v>
      </c>
      <c r="N88" s="109" t="s">
        <v>1</v>
      </c>
      <c r="O88" s="32" t="s">
        <v>1</v>
      </c>
      <c r="P88" s="109" t="s">
        <v>1</v>
      </c>
      <c r="Q88" s="109" t="s">
        <v>1</v>
      </c>
      <c r="R88" s="109" t="s">
        <v>1</v>
      </c>
      <c r="S88" s="109" t="s">
        <v>1</v>
      </c>
      <c r="T88" s="109" t="s">
        <v>1</v>
      </c>
      <c r="U88" s="109" t="s">
        <v>1</v>
      </c>
      <c r="V88" s="92" t="s">
        <v>1</v>
      </c>
      <c r="W88" s="92">
        <v>1</v>
      </c>
      <c r="X88" s="92" t="s">
        <v>1</v>
      </c>
      <c r="Y88" s="92">
        <v>1</v>
      </c>
      <c r="Z88" s="92" t="s">
        <v>1</v>
      </c>
      <c r="AA88" s="236">
        <v>1</v>
      </c>
      <c r="AB88" s="92" t="s">
        <v>1</v>
      </c>
      <c r="AC88" s="92">
        <v>300</v>
      </c>
      <c r="AD88" s="92" t="s">
        <v>1</v>
      </c>
      <c r="AE88" s="92" t="s">
        <v>1</v>
      </c>
      <c r="AF88" s="92" t="s">
        <v>1</v>
      </c>
      <c r="AG88" s="92">
        <v>0</v>
      </c>
      <c r="AH88" s="125">
        <v>2158</v>
      </c>
      <c r="AI88" s="125" t="s">
        <v>72</v>
      </c>
      <c r="AJ88" s="125">
        <v>468</v>
      </c>
      <c r="AK88" s="125" t="s">
        <v>72</v>
      </c>
      <c r="AL88" s="125">
        <v>72</v>
      </c>
      <c r="AM88" s="125" t="s">
        <v>72</v>
      </c>
      <c r="AN88" s="125">
        <v>1224</v>
      </c>
      <c r="AO88" s="125" t="s">
        <v>72</v>
      </c>
      <c r="AP88" s="125">
        <v>837</v>
      </c>
      <c r="AQ88" s="125" t="s">
        <v>72</v>
      </c>
      <c r="AR88" s="125">
        <v>230</v>
      </c>
      <c r="AS88" s="92" t="s">
        <v>72</v>
      </c>
      <c r="AT88" s="200" t="s">
        <v>1</v>
      </c>
      <c r="AU88" s="109" t="s">
        <v>1</v>
      </c>
      <c r="AV88" s="108">
        <v>156</v>
      </c>
      <c r="AW88" s="109" t="s">
        <v>1</v>
      </c>
      <c r="AX88" s="141" t="s">
        <v>1</v>
      </c>
      <c r="AY88" s="200" t="s">
        <v>1</v>
      </c>
      <c r="AZ88" s="108">
        <v>16</v>
      </c>
      <c r="BA88" s="109" t="s">
        <v>1</v>
      </c>
      <c r="BB88" s="141" t="s">
        <v>1</v>
      </c>
      <c r="BC88" s="200" t="s">
        <v>1</v>
      </c>
      <c r="BD88" s="200" t="s">
        <v>1</v>
      </c>
      <c r="BE88" s="109" t="s">
        <v>1</v>
      </c>
      <c r="BF88" s="109" t="s">
        <v>1</v>
      </c>
      <c r="BG88" s="200" t="s">
        <v>1</v>
      </c>
      <c r="BH88" s="200" t="s">
        <v>1</v>
      </c>
      <c r="BI88" s="92" t="s">
        <v>73</v>
      </c>
      <c r="BJ88" s="92">
        <v>71</v>
      </c>
      <c r="BK88" s="92">
        <v>874</v>
      </c>
      <c r="BL88" s="92" t="s">
        <v>72</v>
      </c>
      <c r="BM88" s="92" t="s">
        <v>74</v>
      </c>
      <c r="BN88" s="92">
        <v>463</v>
      </c>
      <c r="BO88" s="92">
        <v>259</v>
      </c>
      <c r="BP88" s="92" t="s">
        <v>72</v>
      </c>
      <c r="BQ88" s="108" t="s">
        <v>1</v>
      </c>
      <c r="BR88" s="108" t="s">
        <v>1</v>
      </c>
      <c r="BS88" s="108" t="s">
        <v>1</v>
      </c>
      <c r="BT88" s="108" t="s">
        <v>1</v>
      </c>
      <c r="BU88" s="108" t="s">
        <v>1</v>
      </c>
      <c r="BV88" s="108" t="s">
        <v>1</v>
      </c>
      <c r="BW88" s="108" t="s">
        <v>1</v>
      </c>
      <c r="BX88" s="108" t="s">
        <v>1</v>
      </c>
      <c r="BY88" s="108" t="s">
        <v>1</v>
      </c>
      <c r="BZ88" s="108" t="s">
        <v>1</v>
      </c>
      <c r="CA88" s="108" t="s">
        <v>1</v>
      </c>
      <c r="CB88" s="108" t="s">
        <v>1</v>
      </c>
      <c r="CC88" s="108" t="s">
        <v>1</v>
      </c>
      <c r="CD88" s="108" t="s">
        <v>1</v>
      </c>
      <c r="CE88" s="108" t="s">
        <v>1</v>
      </c>
      <c r="CF88" s="108" t="s">
        <v>1</v>
      </c>
    </row>
    <row r="89" ht="29" customHeight="1" spans="1:84">
      <c r="A89" s="107">
        <v>45192</v>
      </c>
      <c r="B89" s="7" t="s">
        <v>89</v>
      </c>
      <c r="C89" s="92" t="s">
        <v>71</v>
      </c>
      <c r="D89" s="30" t="s">
        <v>1</v>
      </c>
      <c r="E89" s="30" t="s">
        <v>1</v>
      </c>
      <c r="F89" s="109" t="str">
        <f t="shared" si="2"/>
        <v/>
      </c>
      <c r="G89" s="109" t="s">
        <v>1</v>
      </c>
      <c r="H89" s="108" t="s">
        <v>1</v>
      </c>
      <c r="I89" s="109" t="s">
        <v>1</v>
      </c>
      <c r="J89" s="141" t="str">
        <f t="shared" si="3"/>
        <v/>
      </c>
      <c r="K89" s="211" t="str">
        <f>IFERROR(E89/#REF!,"")</f>
        <v/>
      </c>
      <c r="L89" s="30">
        <v>41788</v>
      </c>
      <c r="M89" s="75" t="s">
        <v>72</v>
      </c>
      <c r="N89" s="109" t="s">
        <v>1</v>
      </c>
      <c r="O89" s="32" t="s">
        <v>1</v>
      </c>
      <c r="P89" s="109" t="s">
        <v>1</v>
      </c>
      <c r="Q89" s="109" t="s">
        <v>1</v>
      </c>
      <c r="R89" s="109" t="s">
        <v>1</v>
      </c>
      <c r="S89" s="109" t="s">
        <v>1</v>
      </c>
      <c r="T89" s="109" t="s">
        <v>1</v>
      </c>
      <c r="U89" s="109" t="s">
        <v>1</v>
      </c>
      <c r="V89" s="92" t="s">
        <v>1</v>
      </c>
      <c r="W89" s="92">
        <v>6</v>
      </c>
      <c r="X89" s="92" t="s">
        <v>1</v>
      </c>
      <c r="Y89" s="92">
        <v>2</v>
      </c>
      <c r="Z89" s="92" t="s">
        <v>1</v>
      </c>
      <c r="AA89" s="236">
        <v>3</v>
      </c>
      <c r="AB89" s="92" t="s">
        <v>1</v>
      </c>
      <c r="AC89" s="92">
        <v>250.5</v>
      </c>
      <c r="AD89" s="92" t="s">
        <v>1</v>
      </c>
      <c r="AE89" s="92" t="s">
        <v>1</v>
      </c>
      <c r="AF89" s="92" t="s">
        <v>1</v>
      </c>
      <c r="AG89" s="92">
        <v>0</v>
      </c>
      <c r="AH89" s="125">
        <v>2535</v>
      </c>
      <c r="AI89" s="125" t="s">
        <v>72</v>
      </c>
      <c r="AJ89" s="125">
        <v>643</v>
      </c>
      <c r="AK89" s="125" t="s">
        <v>72</v>
      </c>
      <c r="AL89" s="125">
        <v>67</v>
      </c>
      <c r="AM89" s="125" t="s">
        <v>72</v>
      </c>
      <c r="AN89" s="125">
        <v>1195</v>
      </c>
      <c r="AO89" s="125" t="s">
        <v>72</v>
      </c>
      <c r="AP89" s="125">
        <v>1111</v>
      </c>
      <c r="AQ89" s="125" t="s">
        <v>72</v>
      </c>
      <c r="AR89" s="125">
        <v>325</v>
      </c>
      <c r="AS89" s="92" t="s">
        <v>72</v>
      </c>
      <c r="AT89" s="200" t="s">
        <v>1</v>
      </c>
      <c r="AU89" s="109" t="s">
        <v>1</v>
      </c>
      <c r="AV89" s="108">
        <v>168</v>
      </c>
      <c r="AW89" s="109" t="s">
        <v>1</v>
      </c>
      <c r="AX89" s="141" t="s">
        <v>1</v>
      </c>
      <c r="AY89" s="200" t="s">
        <v>1</v>
      </c>
      <c r="AZ89" s="108">
        <v>15</v>
      </c>
      <c r="BA89" s="109" t="s">
        <v>1</v>
      </c>
      <c r="BB89" s="141" t="s">
        <v>1</v>
      </c>
      <c r="BC89" s="200" t="s">
        <v>1</v>
      </c>
      <c r="BD89" s="200" t="s">
        <v>1</v>
      </c>
      <c r="BE89" s="109" t="s">
        <v>1</v>
      </c>
      <c r="BF89" s="109" t="s">
        <v>1</v>
      </c>
      <c r="BG89" s="200" t="s">
        <v>1</v>
      </c>
      <c r="BH89" s="200" t="s">
        <v>1</v>
      </c>
      <c r="BI89" s="92" t="s">
        <v>73</v>
      </c>
      <c r="BJ89" s="92">
        <v>70</v>
      </c>
      <c r="BK89" s="92">
        <v>1019</v>
      </c>
      <c r="BL89" s="92" t="s">
        <v>72</v>
      </c>
      <c r="BM89" s="92" t="s">
        <v>74</v>
      </c>
      <c r="BN89" s="92">
        <v>458</v>
      </c>
      <c r="BO89" s="92">
        <v>297</v>
      </c>
      <c r="BP89" s="92" t="s">
        <v>72</v>
      </c>
      <c r="BQ89" s="108" t="s">
        <v>1</v>
      </c>
      <c r="BR89" s="108" t="s">
        <v>1</v>
      </c>
      <c r="BS89" s="108" t="s">
        <v>1</v>
      </c>
      <c r="BT89" s="108" t="s">
        <v>1</v>
      </c>
      <c r="BU89" s="108" t="s">
        <v>1</v>
      </c>
      <c r="BV89" s="108" t="s">
        <v>1</v>
      </c>
      <c r="BW89" s="108" t="s">
        <v>1</v>
      </c>
      <c r="BX89" s="108" t="s">
        <v>1</v>
      </c>
      <c r="BY89" s="108" t="s">
        <v>1</v>
      </c>
      <c r="BZ89" s="108" t="s">
        <v>1</v>
      </c>
      <c r="CA89" s="108" t="s">
        <v>1</v>
      </c>
      <c r="CB89" s="108" t="s">
        <v>1</v>
      </c>
      <c r="CC89" s="108" t="s">
        <v>1</v>
      </c>
      <c r="CD89" s="108" t="s">
        <v>1</v>
      </c>
      <c r="CE89" s="108" t="s">
        <v>1</v>
      </c>
      <c r="CF89" s="108" t="s">
        <v>1</v>
      </c>
    </row>
    <row r="90" ht="29" customHeight="1" spans="1:84">
      <c r="A90" s="107">
        <v>45193</v>
      </c>
      <c r="B90" s="7" t="s">
        <v>126</v>
      </c>
      <c r="C90" s="92" t="s">
        <v>71</v>
      </c>
      <c r="D90" s="30" t="s">
        <v>1</v>
      </c>
      <c r="E90" s="30" t="s">
        <v>1</v>
      </c>
      <c r="F90" s="109" t="str">
        <f t="shared" si="2"/>
        <v/>
      </c>
      <c r="G90" s="109" t="s">
        <v>1</v>
      </c>
      <c r="H90" s="108" t="s">
        <v>1</v>
      </c>
      <c r="I90" s="109" t="s">
        <v>1</v>
      </c>
      <c r="J90" s="141" t="str">
        <f t="shared" si="3"/>
        <v/>
      </c>
      <c r="K90" s="211" t="str">
        <f>IFERROR(E90/#REF!,"")</f>
        <v/>
      </c>
      <c r="L90" s="172">
        <v>97354</v>
      </c>
      <c r="M90" s="209" t="s">
        <v>72</v>
      </c>
      <c r="N90" s="109" t="s">
        <v>1</v>
      </c>
      <c r="O90" s="32" t="s">
        <v>1</v>
      </c>
      <c r="P90" s="109" t="s">
        <v>1</v>
      </c>
      <c r="Q90" s="109" t="s">
        <v>1</v>
      </c>
      <c r="R90" s="109" t="s">
        <v>1</v>
      </c>
      <c r="S90" s="109" t="s">
        <v>1</v>
      </c>
      <c r="T90" s="109" t="s">
        <v>1</v>
      </c>
      <c r="U90" s="109" t="s">
        <v>1</v>
      </c>
      <c r="V90" s="92" t="s">
        <v>1</v>
      </c>
      <c r="W90" s="92">
        <v>3</v>
      </c>
      <c r="X90" s="92" t="s">
        <v>1</v>
      </c>
      <c r="Y90" s="92">
        <v>1</v>
      </c>
      <c r="Z90" s="92" t="s">
        <v>1</v>
      </c>
      <c r="AA90" s="236">
        <v>3</v>
      </c>
      <c r="AB90" s="92" t="s">
        <v>1</v>
      </c>
      <c r="AC90" s="92">
        <v>53</v>
      </c>
      <c r="AD90" s="92" t="s">
        <v>1</v>
      </c>
      <c r="AE90" s="92" t="s">
        <v>1</v>
      </c>
      <c r="AF90" s="92" t="s">
        <v>1</v>
      </c>
      <c r="AG90" s="92">
        <v>0</v>
      </c>
      <c r="AH90" s="125">
        <v>3341</v>
      </c>
      <c r="AI90" s="125" t="s">
        <v>72</v>
      </c>
      <c r="AJ90" s="125">
        <v>656</v>
      </c>
      <c r="AK90" s="125" t="s">
        <v>72</v>
      </c>
      <c r="AL90" s="125">
        <v>100</v>
      </c>
      <c r="AM90" s="125" t="s">
        <v>72</v>
      </c>
      <c r="AN90" s="125">
        <v>888</v>
      </c>
      <c r="AO90" s="125" t="s">
        <v>72</v>
      </c>
      <c r="AP90" s="125">
        <v>1516</v>
      </c>
      <c r="AQ90" s="125" t="s">
        <v>72</v>
      </c>
      <c r="AR90" s="125">
        <v>386</v>
      </c>
      <c r="AS90" s="125" t="s">
        <v>72</v>
      </c>
      <c r="AT90" s="200" t="s">
        <v>1</v>
      </c>
      <c r="AU90" s="109" t="s">
        <v>1</v>
      </c>
      <c r="AV90" s="108">
        <v>187</v>
      </c>
      <c r="AW90" s="109" t="s">
        <v>1</v>
      </c>
      <c r="AX90" s="141" t="s">
        <v>1</v>
      </c>
      <c r="AY90" s="200" t="s">
        <v>1</v>
      </c>
      <c r="AZ90" s="108">
        <v>22</v>
      </c>
      <c r="BA90" s="109" t="s">
        <v>1</v>
      </c>
      <c r="BB90" s="141" t="s">
        <v>1</v>
      </c>
      <c r="BC90" s="200" t="s">
        <v>1</v>
      </c>
      <c r="BD90" s="200" t="s">
        <v>1</v>
      </c>
      <c r="BE90" s="109" t="s">
        <v>1</v>
      </c>
      <c r="BF90" s="109" t="s">
        <v>1</v>
      </c>
      <c r="BG90" s="200" t="s">
        <v>1</v>
      </c>
      <c r="BH90" s="200" t="s">
        <v>1</v>
      </c>
      <c r="BI90" s="92" t="s">
        <v>73</v>
      </c>
      <c r="BJ90" s="92">
        <v>51</v>
      </c>
      <c r="BK90" s="92">
        <v>1490</v>
      </c>
      <c r="BL90" s="92" t="s">
        <v>72</v>
      </c>
      <c r="BM90" s="92" t="s">
        <v>74</v>
      </c>
      <c r="BN90" s="92">
        <v>330</v>
      </c>
      <c r="BO90" s="92">
        <v>489</v>
      </c>
      <c r="BP90" s="92" t="s">
        <v>72</v>
      </c>
      <c r="BQ90" s="108" t="s">
        <v>1</v>
      </c>
      <c r="BR90" s="108" t="s">
        <v>1</v>
      </c>
      <c r="BS90" s="108" t="s">
        <v>1</v>
      </c>
      <c r="BT90" s="108" t="s">
        <v>1</v>
      </c>
      <c r="BU90" s="108" t="s">
        <v>1</v>
      </c>
      <c r="BV90" s="108" t="s">
        <v>1</v>
      </c>
      <c r="BW90" s="108" t="s">
        <v>1</v>
      </c>
      <c r="BX90" s="108" t="s">
        <v>1</v>
      </c>
      <c r="BY90" s="108" t="s">
        <v>1</v>
      </c>
      <c r="BZ90" s="108" t="s">
        <v>1</v>
      </c>
      <c r="CA90" s="108" t="s">
        <v>1</v>
      </c>
      <c r="CB90" s="108" t="s">
        <v>1</v>
      </c>
      <c r="CC90" s="108" t="s">
        <v>1</v>
      </c>
      <c r="CD90" s="108" t="s">
        <v>1</v>
      </c>
      <c r="CE90" s="108" t="s">
        <v>1</v>
      </c>
      <c r="CF90" s="108" t="s">
        <v>1</v>
      </c>
    </row>
    <row r="91" ht="29" customHeight="1" spans="1:84">
      <c r="A91" s="107">
        <v>45194</v>
      </c>
      <c r="B91" s="7" t="s">
        <v>125</v>
      </c>
      <c r="C91" s="109" t="s">
        <v>89</v>
      </c>
      <c r="D91" s="30" t="s">
        <v>1</v>
      </c>
      <c r="E91" s="30" t="s">
        <v>1</v>
      </c>
      <c r="F91" s="109" t="str">
        <f t="shared" si="2"/>
        <v/>
      </c>
      <c r="G91" s="109" t="s">
        <v>1</v>
      </c>
      <c r="H91" s="108" t="s">
        <v>1</v>
      </c>
      <c r="I91" s="109" t="s">
        <v>1</v>
      </c>
      <c r="J91" s="141" t="str">
        <f t="shared" si="3"/>
        <v/>
      </c>
      <c r="K91" s="211" t="str">
        <f>IFERROR(E91/#REF!,"")</f>
        <v/>
      </c>
      <c r="L91" s="30">
        <v>34789</v>
      </c>
      <c r="M91" s="122">
        <v>0</v>
      </c>
      <c r="N91" s="242" t="s">
        <v>1</v>
      </c>
      <c r="O91" s="32" t="s">
        <v>1</v>
      </c>
      <c r="P91" s="109" t="s">
        <v>1</v>
      </c>
      <c r="Q91" s="109" t="s">
        <v>1</v>
      </c>
      <c r="R91" s="109" t="s">
        <v>1</v>
      </c>
      <c r="S91" s="109" t="s">
        <v>1</v>
      </c>
      <c r="T91" s="109" t="s">
        <v>1</v>
      </c>
      <c r="U91" s="109" t="s">
        <v>1</v>
      </c>
      <c r="V91" s="92" t="s">
        <v>1</v>
      </c>
      <c r="W91" s="92">
        <v>201</v>
      </c>
      <c r="X91" s="92" t="s">
        <v>1</v>
      </c>
      <c r="Y91" s="92">
        <v>76</v>
      </c>
      <c r="Z91" s="92" t="s">
        <v>1</v>
      </c>
      <c r="AA91" s="236">
        <v>2.64</v>
      </c>
      <c r="AB91" s="92" t="s">
        <v>1</v>
      </c>
      <c r="AC91" s="92">
        <v>109.21</v>
      </c>
      <c r="AD91" s="92" t="s">
        <v>1</v>
      </c>
      <c r="AE91" s="92" t="s">
        <v>1</v>
      </c>
      <c r="AF91" s="92" t="s">
        <v>1</v>
      </c>
      <c r="AG91" s="92">
        <v>0</v>
      </c>
      <c r="AH91" s="125">
        <v>3195</v>
      </c>
      <c r="AI91" s="125" t="s">
        <v>72</v>
      </c>
      <c r="AJ91" s="125">
        <v>369</v>
      </c>
      <c r="AK91" s="125" t="s">
        <v>72</v>
      </c>
      <c r="AL91" s="125">
        <v>98</v>
      </c>
      <c r="AM91" s="125" t="s">
        <v>72</v>
      </c>
      <c r="AN91" s="125">
        <v>863</v>
      </c>
      <c r="AO91" s="125" t="s">
        <v>72</v>
      </c>
      <c r="AP91" s="125">
        <v>1344</v>
      </c>
      <c r="AQ91" s="125" t="s">
        <v>72</v>
      </c>
      <c r="AR91" s="125">
        <v>307</v>
      </c>
      <c r="AS91" s="125" t="s">
        <v>72</v>
      </c>
      <c r="AT91" s="200" t="s">
        <v>1</v>
      </c>
      <c r="AU91" s="109" t="s">
        <v>1</v>
      </c>
      <c r="AV91" s="108">
        <v>204</v>
      </c>
      <c r="AW91" s="109" t="s">
        <v>1</v>
      </c>
      <c r="AX91" s="141" t="s">
        <v>1</v>
      </c>
      <c r="AY91" s="200" t="s">
        <v>1</v>
      </c>
      <c r="AZ91" s="108">
        <v>21</v>
      </c>
      <c r="BA91" s="109" t="s">
        <v>1</v>
      </c>
      <c r="BB91" s="141" t="s">
        <v>1</v>
      </c>
      <c r="BC91" s="200" t="s">
        <v>1</v>
      </c>
      <c r="BD91" s="200" t="s">
        <v>1</v>
      </c>
      <c r="BE91" s="109" t="s">
        <v>1</v>
      </c>
      <c r="BF91" s="109" t="s">
        <v>1</v>
      </c>
      <c r="BG91" s="200" t="s">
        <v>1</v>
      </c>
      <c r="BH91" s="200" t="s">
        <v>1</v>
      </c>
      <c r="BI91" s="92" t="s">
        <v>94</v>
      </c>
      <c r="BJ91" s="92">
        <v>48</v>
      </c>
      <c r="BK91" s="92">
        <v>1382</v>
      </c>
      <c r="BL91" s="92" t="s">
        <v>72</v>
      </c>
      <c r="BM91" s="92" t="s">
        <v>74</v>
      </c>
      <c r="BN91" s="92">
        <v>345</v>
      </c>
      <c r="BO91" s="92">
        <v>423</v>
      </c>
      <c r="BP91" s="92" t="s">
        <v>72</v>
      </c>
      <c r="BQ91" s="108" t="s">
        <v>1</v>
      </c>
      <c r="BR91" s="108" t="s">
        <v>1</v>
      </c>
      <c r="BS91" s="108" t="s">
        <v>1</v>
      </c>
      <c r="BT91" s="108" t="s">
        <v>1</v>
      </c>
      <c r="BU91" s="108" t="s">
        <v>1</v>
      </c>
      <c r="BV91" s="108" t="s">
        <v>1</v>
      </c>
      <c r="BW91" s="108" t="s">
        <v>1</v>
      </c>
      <c r="BX91" s="108" t="s">
        <v>1</v>
      </c>
      <c r="BY91" s="108" t="s">
        <v>1</v>
      </c>
      <c r="BZ91" s="108" t="s">
        <v>1</v>
      </c>
      <c r="CA91" s="108" t="s">
        <v>1</v>
      </c>
      <c r="CB91" s="108" t="s">
        <v>1</v>
      </c>
      <c r="CC91" s="108" t="s">
        <v>1</v>
      </c>
      <c r="CD91" s="108" t="s">
        <v>1</v>
      </c>
      <c r="CE91" s="108" t="s">
        <v>1</v>
      </c>
      <c r="CF91" s="108" t="s">
        <v>1</v>
      </c>
    </row>
    <row r="92" ht="29" customHeight="1" spans="1:84">
      <c r="A92" s="107">
        <v>45195</v>
      </c>
      <c r="B92" s="7" t="s">
        <v>89</v>
      </c>
      <c r="C92" s="109" t="s">
        <v>89</v>
      </c>
      <c r="D92" s="30" t="s">
        <v>1</v>
      </c>
      <c r="E92" s="30" t="s">
        <v>1</v>
      </c>
      <c r="F92" s="109" t="str">
        <f t="shared" si="2"/>
        <v/>
      </c>
      <c r="G92" s="109" t="s">
        <v>1</v>
      </c>
      <c r="H92" s="108" t="s">
        <v>1</v>
      </c>
      <c r="I92" s="109" t="s">
        <v>1</v>
      </c>
      <c r="J92" s="141" t="str">
        <f t="shared" si="3"/>
        <v/>
      </c>
      <c r="K92" s="211" t="str">
        <f>IFERROR(E92/#REF!,"")</f>
        <v/>
      </c>
      <c r="L92" s="172">
        <v>16096</v>
      </c>
      <c r="M92" s="122">
        <v>0</v>
      </c>
      <c r="N92" s="242" t="s">
        <v>1</v>
      </c>
      <c r="O92" s="32" t="s">
        <v>1</v>
      </c>
      <c r="P92" s="109" t="s">
        <v>1</v>
      </c>
      <c r="Q92" s="109" t="s">
        <v>1</v>
      </c>
      <c r="R92" s="109" t="s">
        <v>1</v>
      </c>
      <c r="S92" s="109" t="s">
        <v>1</v>
      </c>
      <c r="T92" s="109" t="s">
        <v>1</v>
      </c>
      <c r="U92" s="109" t="s">
        <v>1</v>
      </c>
      <c r="V92" s="92" t="s">
        <v>1</v>
      </c>
      <c r="W92" s="92">
        <v>383</v>
      </c>
      <c r="X92" s="92" t="s">
        <v>1</v>
      </c>
      <c r="Y92" s="92">
        <v>196</v>
      </c>
      <c r="Z92" s="92" t="s">
        <v>1</v>
      </c>
      <c r="AA92" s="236">
        <v>1.95</v>
      </c>
      <c r="AB92" s="92" t="s">
        <v>1</v>
      </c>
      <c r="AC92" s="92">
        <v>100.69</v>
      </c>
      <c r="AD92" s="92" t="s">
        <v>1</v>
      </c>
      <c r="AE92" s="92" t="s">
        <v>1</v>
      </c>
      <c r="AF92" s="92" t="s">
        <v>1</v>
      </c>
      <c r="AG92" s="92">
        <v>0</v>
      </c>
      <c r="AH92" s="125">
        <v>2386</v>
      </c>
      <c r="AI92" s="125" t="s">
        <v>72</v>
      </c>
      <c r="AJ92" s="125">
        <v>378</v>
      </c>
      <c r="AK92" s="125" t="s">
        <v>72</v>
      </c>
      <c r="AL92" s="125">
        <v>73</v>
      </c>
      <c r="AM92" s="125" t="s">
        <v>72</v>
      </c>
      <c r="AN92" s="125">
        <v>920</v>
      </c>
      <c r="AO92" s="125" t="s">
        <v>72</v>
      </c>
      <c r="AP92" s="125">
        <v>1000</v>
      </c>
      <c r="AQ92" s="125" t="s">
        <v>72</v>
      </c>
      <c r="AR92" s="125">
        <v>299</v>
      </c>
      <c r="AS92" s="125" t="s">
        <v>72</v>
      </c>
      <c r="AT92" s="200" t="s">
        <v>1</v>
      </c>
      <c r="AU92" s="109" t="s">
        <v>1</v>
      </c>
      <c r="AV92" s="108">
        <v>145</v>
      </c>
      <c r="AW92" s="109" t="s">
        <v>1</v>
      </c>
      <c r="AX92" s="141" t="s">
        <v>1</v>
      </c>
      <c r="AY92" s="200" t="s">
        <v>1</v>
      </c>
      <c r="AZ92" s="108">
        <v>0</v>
      </c>
      <c r="BA92" s="109" t="s">
        <v>1</v>
      </c>
      <c r="BB92" s="141" t="s">
        <v>1</v>
      </c>
      <c r="BC92" s="200" t="s">
        <v>1</v>
      </c>
      <c r="BD92" s="200" t="s">
        <v>1</v>
      </c>
      <c r="BE92" s="109" t="s">
        <v>1</v>
      </c>
      <c r="BF92" s="109" t="s">
        <v>1</v>
      </c>
      <c r="BG92" s="200" t="s">
        <v>1</v>
      </c>
      <c r="BH92" s="200" t="s">
        <v>1</v>
      </c>
      <c r="BI92" s="92" t="s">
        <v>73</v>
      </c>
      <c r="BJ92" s="92">
        <v>83</v>
      </c>
      <c r="BK92" s="92">
        <v>833</v>
      </c>
      <c r="BL92" s="92" t="s">
        <v>72</v>
      </c>
      <c r="BM92" s="92" t="s">
        <v>74</v>
      </c>
      <c r="BN92" s="92">
        <v>572</v>
      </c>
      <c r="BO92" s="92">
        <v>242</v>
      </c>
      <c r="BP92" s="92" t="s">
        <v>72</v>
      </c>
      <c r="BQ92" s="108" t="s">
        <v>1</v>
      </c>
      <c r="BR92" s="108" t="s">
        <v>1</v>
      </c>
      <c r="BS92" s="108" t="s">
        <v>1</v>
      </c>
      <c r="BT92" s="108" t="s">
        <v>1</v>
      </c>
      <c r="BU92" s="108" t="s">
        <v>1</v>
      </c>
      <c r="BV92" s="108" t="s">
        <v>1</v>
      </c>
      <c r="BW92" s="108" t="s">
        <v>1</v>
      </c>
      <c r="BX92" s="108" t="s">
        <v>1</v>
      </c>
      <c r="BY92" s="108" t="s">
        <v>1</v>
      </c>
      <c r="BZ92" s="108" t="s">
        <v>1</v>
      </c>
      <c r="CA92" s="108" t="s">
        <v>1</v>
      </c>
      <c r="CB92" s="108" t="s">
        <v>1</v>
      </c>
      <c r="CC92" s="108" t="s">
        <v>1</v>
      </c>
      <c r="CD92" s="108" t="s">
        <v>1</v>
      </c>
      <c r="CE92" s="108" t="s">
        <v>1</v>
      </c>
      <c r="CF92" s="108" t="s">
        <v>1</v>
      </c>
    </row>
    <row r="93" ht="29" customHeight="1" spans="1:84">
      <c r="A93" s="107">
        <v>45196</v>
      </c>
      <c r="B93" s="7" t="s">
        <v>89</v>
      </c>
      <c r="C93" s="109" t="s">
        <v>89</v>
      </c>
      <c r="D93" s="30" t="s">
        <v>1</v>
      </c>
      <c r="E93" s="30" t="s">
        <v>1</v>
      </c>
      <c r="F93" s="109" t="str">
        <f t="shared" si="2"/>
        <v/>
      </c>
      <c r="G93" s="109" t="s">
        <v>1</v>
      </c>
      <c r="H93" s="108" t="s">
        <v>1</v>
      </c>
      <c r="I93" s="109" t="s">
        <v>1</v>
      </c>
      <c r="J93" s="141" t="str">
        <f t="shared" si="3"/>
        <v/>
      </c>
      <c r="K93" s="211" t="str">
        <f>IFERROR(E93/#REF!,"")</f>
        <v/>
      </c>
      <c r="L93" s="172">
        <v>5598</v>
      </c>
      <c r="M93" s="122">
        <v>0</v>
      </c>
      <c r="N93" s="242" t="s">
        <v>1</v>
      </c>
      <c r="O93" s="32" t="s">
        <v>1</v>
      </c>
      <c r="P93" s="109" t="s">
        <v>1</v>
      </c>
      <c r="Q93" s="109" t="s">
        <v>1</v>
      </c>
      <c r="R93" s="109" t="s">
        <v>1</v>
      </c>
      <c r="S93" s="109" t="s">
        <v>1</v>
      </c>
      <c r="T93" s="109" t="s">
        <v>1</v>
      </c>
      <c r="U93" s="109" t="s">
        <v>1</v>
      </c>
      <c r="V93" s="92" t="s">
        <v>1</v>
      </c>
      <c r="W93" s="92">
        <v>1079</v>
      </c>
      <c r="X93" s="92" t="s">
        <v>1</v>
      </c>
      <c r="Y93" s="92">
        <v>760</v>
      </c>
      <c r="Z93" s="92" t="s">
        <v>1</v>
      </c>
      <c r="AA93" s="236">
        <v>1.42</v>
      </c>
      <c r="AB93" s="92" t="s">
        <v>1</v>
      </c>
      <c r="AC93" s="92">
        <v>34.97</v>
      </c>
      <c r="AD93" s="92" t="s">
        <v>1</v>
      </c>
      <c r="AE93" s="92" t="s">
        <v>1</v>
      </c>
      <c r="AF93" s="92" t="s">
        <v>1</v>
      </c>
      <c r="AG93" s="92">
        <v>0</v>
      </c>
      <c r="AH93" s="125">
        <v>2227</v>
      </c>
      <c r="AI93" s="125" t="s">
        <v>72</v>
      </c>
      <c r="AJ93" s="125">
        <v>599</v>
      </c>
      <c r="AK93" s="125" t="s">
        <v>72</v>
      </c>
      <c r="AL93" s="125">
        <v>84</v>
      </c>
      <c r="AM93" s="125" t="s">
        <v>72</v>
      </c>
      <c r="AN93" s="125">
        <v>1009</v>
      </c>
      <c r="AO93" s="125" t="s">
        <v>72</v>
      </c>
      <c r="AP93" s="125">
        <v>914</v>
      </c>
      <c r="AQ93" s="125" t="s">
        <v>72</v>
      </c>
      <c r="AR93" s="125">
        <v>211</v>
      </c>
      <c r="AS93" s="125" t="s">
        <v>72</v>
      </c>
      <c r="AT93" s="200" t="s">
        <v>1</v>
      </c>
      <c r="AU93" s="109" t="s">
        <v>1</v>
      </c>
      <c r="AV93" s="108">
        <v>164</v>
      </c>
      <c r="AW93" s="109" t="s">
        <v>1</v>
      </c>
      <c r="AX93" s="141" t="s">
        <v>1</v>
      </c>
      <c r="AY93" s="200" t="s">
        <v>1</v>
      </c>
      <c r="AZ93" s="108">
        <v>17</v>
      </c>
      <c r="BA93" s="109" t="s">
        <v>1</v>
      </c>
      <c r="BB93" s="141" t="s">
        <v>1</v>
      </c>
      <c r="BC93" s="200" t="s">
        <v>1</v>
      </c>
      <c r="BD93" s="200" t="s">
        <v>1</v>
      </c>
      <c r="BE93" s="109" t="s">
        <v>1</v>
      </c>
      <c r="BF93" s="109" t="s">
        <v>1</v>
      </c>
      <c r="BG93" s="200" t="s">
        <v>1</v>
      </c>
      <c r="BH93" s="200" t="s">
        <v>1</v>
      </c>
      <c r="BI93" s="92" t="s">
        <v>73</v>
      </c>
      <c r="BJ93" s="92">
        <v>88</v>
      </c>
      <c r="BK93" s="92">
        <v>783</v>
      </c>
      <c r="BL93" s="92">
        <v>145</v>
      </c>
      <c r="BM93" s="92" t="s">
        <v>74</v>
      </c>
      <c r="BN93" s="92">
        <v>468</v>
      </c>
      <c r="BO93" s="92">
        <v>292</v>
      </c>
      <c r="BP93" s="92">
        <v>22</v>
      </c>
      <c r="BQ93" s="108" t="s">
        <v>1</v>
      </c>
      <c r="BR93" s="108" t="s">
        <v>1</v>
      </c>
      <c r="BS93" s="108" t="s">
        <v>1</v>
      </c>
      <c r="BT93" s="108" t="s">
        <v>1</v>
      </c>
      <c r="BU93" s="108" t="s">
        <v>1</v>
      </c>
      <c r="BV93" s="108" t="s">
        <v>1</v>
      </c>
      <c r="BW93" s="108" t="s">
        <v>1</v>
      </c>
      <c r="BX93" s="108" t="s">
        <v>1</v>
      </c>
      <c r="BY93" s="108" t="s">
        <v>1</v>
      </c>
      <c r="BZ93" s="108" t="s">
        <v>1</v>
      </c>
      <c r="CA93" s="108" t="s">
        <v>1</v>
      </c>
      <c r="CB93" s="108" t="s">
        <v>1</v>
      </c>
      <c r="CC93" s="108" t="s">
        <v>1</v>
      </c>
      <c r="CD93" s="108" t="s">
        <v>1</v>
      </c>
      <c r="CE93" s="108" t="s">
        <v>1</v>
      </c>
      <c r="CF93" s="108" t="s">
        <v>1</v>
      </c>
    </row>
    <row r="94" ht="29" customHeight="1" spans="1:84">
      <c r="A94" s="107">
        <v>45197</v>
      </c>
      <c r="B94" s="7" t="s">
        <v>126</v>
      </c>
      <c r="C94" s="109" t="s">
        <v>89</v>
      </c>
      <c r="D94" s="30" t="s">
        <v>1</v>
      </c>
      <c r="E94" s="30" t="s">
        <v>1</v>
      </c>
      <c r="F94" s="109" t="str">
        <f t="shared" si="2"/>
        <v/>
      </c>
      <c r="G94" s="109" t="s">
        <v>1</v>
      </c>
      <c r="H94" s="108" t="s">
        <v>1</v>
      </c>
      <c r="I94" s="109" t="s">
        <v>1</v>
      </c>
      <c r="J94" s="141" t="str">
        <f t="shared" si="3"/>
        <v/>
      </c>
      <c r="K94" s="211" t="str">
        <f>IFERROR(E94/#REF!,"")</f>
        <v/>
      </c>
      <c r="L94" s="30">
        <v>74658</v>
      </c>
      <c r="M94" s="122">
        <v>14316</v>
      </c>
      <c r="N94" s="242" t="s">
        <v>1</v>
      </c>
      <c r="O94" s="32" t="s">
        <v>1</v>
      </c>
      <c r="P94" s="109" t="s">
        <v>1</v>
      </c>
      <c r="Q94" s="109" t="s">
        <v>1</v>
      </c>
      <c r="R94" s="109" t="s">
        <v>1</v>
      </c>
      <c r="S94" s="109" t="s">
        <v>1</v>
      </c>
      <c r="T94" s="109" t="s">
        <v>1</v>
      </c>
      <c r="U94" s="109" t="s">
        <v>1</v>
      </c>
      <c r="V94" s="92" t="s">
        <v>1</v>
      </c>
      <c r="W94" s="92">
        <v>1781</v>
      </c>
      <c r="X94" s="92" t="s">
        <v>1</v>
      </c>
      <c r="Y94" s="92">
        <v>863</v>
      </c>
      <c r="Z94" s="92" t="s">
        <v>1</v>
      </c>
      <c r="AA94" s="236">
        <v>2.06</v>
      </c>
      <c r="AB94" s="92" t="s">
        <v>1</v>
      </c>
      <c r="AC94" s="92">
        <v>68.61</v>
      </c>
      <c r="AD94" s="92" t="s">
        <v>1</v>
      </c>
      <c r="AE94" s="92" t="s">
        <v>1</v>
      </c>
      <c r="AF94" s="92" t="s">
        <v>1</v>
      </c>
      <c r="AG94" s="92">
        <v>0</v>
      </c>
      <c r="AH94" s="125">
        <v>2089</v>
      </c>
      <c r="AI94" s="125" t="s">
        <v>72</v>
      </c>
      <c r="AJ94" s="125">
        <v>585</v>
      </c>
      <c r="AK94" s="125" t="s">
        <v>72</v>
      </c>
      <c r="AL94" s="125">
        <v>70</v>
      </c>
      <c r="AM94" s="125" t="s">
        <v>72</v>
      </c>
      <c r="AN94" s="125">
        <v>1289</v>
      </c>
      <c r="AO94" s="125" t="s">
        <v>72</v>
      </c>
      <c r="AP94" s="125">
        <v>793</v>
      </c>
      <c r="AQ94" s="125" t="s">
        <v>72</v>
      </c>
      <c r="AR94" s="125">
        <v>227</v>
      </c>
      <c r="AS94" s="125" t="s">
        <v>72</v>
      </c>
      <c r="AT94" s="200" t="s">
        <v>1</v>
      </c>
      <c r="AU94" s="109" t="s">
        <v>1</v>
      </c>
      <c r="AV94" s="108">
        <v>172</v>
      </c>
      <c r="AW94" s="109" t="s">
        <v>1</v>
      </c>
      <c r="AX94" s="141" t="s">
        <v>1</v>
      </c>
      <c r="AY94" s="200" t="s">
        <v>1</v>
      </c>
      <c r="AZ94" s="108">
        <v>21</v>
      </c>
      <c r="BA94" s="109" t="s">
        <v>1</v>
      </c>
      <c r="BB94" s="141" t="s">
        <v>1</v>
      </c>
      <c r="BC94" s="200" t="s">
        <v>1</v>
      </c>
      <c r="BD94" s="200" t="s">
        <v>1</v>
      </c>
      <c r="BE94" s="109" t="s">
        <v>1</v>
      </c>
      <c r="BF94" s="109" t="s">
        <v>1</v>
      </c>
      <c r="BG94" s="200" t="s">
        <v>1</v>
      </c>
      <c r="BH94" s="200" t="s">
        <v>1</v>
      </c>
      <c r="BI94" s="92" t="s">
        <v>73</v>
      </c>
      <c r="BJ94" s="92">
        <v>86</v>
      </c>
      <c r="BK94" s="92">
        <v>681</v>
      </c>
      <c r="BL94" s="92">
        <v>227</v>
      </c>
      <c r="BM94" s="92" t="s">
        <v>74</v>
      </c>
      <c r="BN94" s="92">
        <v>587</v>
      </c>
      <c r="BO94" s="92">
        <v>203</v>
      </c>
      <c r="BP94" s="92">
        <v>40</v>
      </c>
      <c r="BQ94" s="108" t="s">
        <v>1</v>
      </c>
      <c r="BR94" s="108" t="s">
        <v>1</v>
      </c>
      <c r="BS94" s="108" t="s">
        <v>1</v>
      </c>
      <c r="BT94" s="108" t="s">
        <v>1</v>
      </c>
      <c r="BU94" s="108" t="s">
        <v>1</v>
      </c>
      <c r="BV94" s="108" t="s">
        <v>1</v>
      </c>
      <c r="BW94" s="108" t="s">
        <v>1</v>
      </c>
      <c r="BX94" s="108" t="s">
        <v>1</v>
      </c>
      <c r="BY94" s="108" t="s">
        <v>1</v>
      </c>
      <c r="BZ94" s="108" t="s">
        <v>1</v>
      </c>
      <c r="CA94" s="108" t="s">
        <v>1</v>
      </c>
      <c r="CB94" s="108" t="s">
        <v>1</v>
      </c>
      <c r="CC94" s="108" t="s">
        <v>1</v>
      </c>
      <c r="CD94" s="108" t="s">
        <v>1</v>
      </c>
      <c r="CE94" s="108" t="s">
        <v>1</v>
      </c>
      <c r="CF94" s="108" t="s">
        <v>1</v>
      </c>
    </row>
    <row r="95" ht="29" customHeight="1" spans="1:84">
      <c r="A95" s="107">
        <v>45198</v>
      </c>
      <c r="B95" s="7" t="s">
        <v>125</v>
      </c>
      <c r="C95" s="109" t="s">
        <v>89</v>
      </c>
      <c r="D95" s="30" t="s">
        <v>1</v>
      </c>
      <c r="E95" s="30" t="s">
        <v>1</v>
      </c>
      <c r="F95" s="109" t="str">
        <f t="shared" si="2"/>
        <v/>
      </c>
      <c r="G95" s="109" t="s">
        <v>1</v>
      </c>
      <c r="H95" s="108" t="s">
        <v>1</v>
      </c>
      <c r="I95" s="109" t="s">
        <v>1</v>
      </c>
      <c r="J95" s="141" t="str">
        <f t="shared" si="3"/>
        <v/>
      </c>
      <c r="K95" s="211" t="str">
        <f>IFERROR(E95/#REF!,"")</f>
        <v/>
      </c>
      <c r="L95" s="30">
        <v>55199</v>
      </c>
      <c r="M95" s="122">
        <v>23075</v>
      </c>
      <c r="N95" s="242" t="s">
        <v>1</v>
      </c>
      <c r="O95" s="32" t="s">
        <v>1</v>
      </c>
      <c r="P95" s="109" t="s">
        <v>1</v>
      </c>
      <c r="Q95" s="109" t="s">
        <v>1</v>
      </c>
      <c r="R95" s="109" t="s">
        <v>1</v>
      </c>
      <c r="S95" s="109" t="s">
        <v>1</v>
      </c>
      <c r="T95" s="109" t="s">
        <v>1</v>
      </c>
      <c r="U95" s="109" t="s">
        <v>1</v>
      </c>
      <c r="V95" s="92" t="s">
        <v>1</v>
      </c>
      <c r="W95" s="92">
        <v>3073</v>
      </c>
      <c r="X95" s="92" t="s">
        <v>1</v>
      </c>
      <c r="Y95" s="92">
        <v>1554</v>
      </c>
      <c r="Z95" s="92" t="s">
        <v>1</v>
      </c>
      <c r="AA95" s="236">
        <v>1.98</v>
      </c>
      <c r="AB95" s="92" t="s">
        <v>1</v>
      </c>
      <c r="AC95" s="92">
        <v>76.64</v>
      </c>
      <c r="AD95" s="92" t="s">
        <v>1</v>
      </c>
      <c r="AE95" s="92" t="s">
        <v>1</v>
      </c>
      <c r="AF95" s="92" t="s">
        <v>1</v>
      </c>
      <c r="AG95" s="92">
        <v>0</v>
      </c>
      <c r="AH95" s="125">
        <v>2547</v>
      </c>
      <c r="AI95" s="125" t="s">
        <v>72</v>
      </c>
      <c r="AJ95" s="125">
        <v>578</v>
      </c>
      <c r="AK95" s="125" t="s">
        <v>72</v>
      </c>
      <c r="AL95" s="125">
        <v>43</v>
      </c>
      <c r="AM95" s="125" t="s">
        <v>72</v>
      </c>
      <c r="AN95" s="125">
        <v>695</v>
      </c>
      <c r="AO95" s="125" t="s">
        <v>72</v>
      </c>
      <c r="AP95" s="125">
        <v>881</v>
      </c>
      <c r="AQ95" s="125" t="s">
        <v>72</v>
      </c>
      <c r="AR95" s="125">
        <v>222</v>
      </c>
      <c r="AS95" s="125" t="s">
        <v>72</v>
      </c>
      <c r="AT95" s="200" t="s">
        <v>1</v>
      </c>
      <c r="AU95" s="109" t="s">
        <v>1</v>
      </c>
      <c r="AV95" s="108">
        <v>135</v>
      </c>
      <c r="AW95" s="109" t="s">
        <v>1</v>
      </c>
      <c r="AX95" s="141" t="s">
        <v>1</v>
      </c>
      <c r="AY95" s="200" t="s">
        <v>1</v>
      </c>
      <c r="AZ95" s="108">
        <v>18</v>
      </c>
      <c r="BA95" s="109" t="s">
        <v>1</v>
      </c>
      <c r="BB95" s="141" t="s">
        <v>1</v>
      </c>
      <c r="BC95" s="200" t="s">
        <v>1</v>
      </c>
      <c r="BD95" s="200" t="s">
        <v>1</v>
      </c>
      <c r="BE95" s="109" t="s">
        <v>1</v>
      </c>
      <c r="BF95" s="109" t="s">
        <v>1</v>
      </c>
      <c r="BG95" s="200" t="s">
        <v>1</v>
      </c>
      <c r="BH95" s="200" t="s">
        <v>1</v>
      </c>
      <c r="BI95" s="92" t="s">
        <v>73</v>
      </c>
      <c r="BJ95" s="92">
        <v>72</v>
      </c>
      <c r="BK95" s="92">
        <v>921</v>
      </c>
      <c r="BL95" s="92">
        <v>314</v>
      </c>
      <c r="BM95" s="92" t="s">
        <v>74</v>
      </c>
      <c r="BN95" s="92">
        <v>430</v>
      </c>
      <c r="BO95" s="92">
        <v>357</v>
      </c>
      <c r="BP95" s="92">
        <v>89</v>
      </c>
      <c r="BQ95" s="108" t="s">
        <v>1</v>
      </c>
      <c r="BR95" s="108" t="s">
        <v>1</v>
      </c>
      <c r="BS95" s="108" t="s">
        <v>1</v>
      </c>
      <c r="BT95" s="108" t="s">
        <v>1</v>
      </c>
      <c r="BU95" s="108" t="s">
        <v>1</v>
      </c>
      <c r="BV95" s="108" t="s">
        <v>1</v>
      </c>
      <c r="BW95" s="108" t="s">
        <v>1</v>
      </c>
      <c r="BX95" s="108" t="s">
        <v>1</v>
      </c>
      <c r="BY95" s="108" t="s">
        <v>1</v>
      </c>
      <c r="BZ95" s="108" t="s">
        <v>1</v>
      </c>
      <c r="CA95" s="108" t="s">
        <v>1</v>
      </c>
      <c r="CB95" s="108" t="s">
        <v>1</v>
      </c>
      <c r="CC95" s="108" t="s">
        <v>1</v>
      </c>
      <c r="CD95" s="108" t="s">
        <v>1</v>
      </c>
      <c r="CE95" s="108" t="s">
        <v>1</v>
      </c>
      <c r="CF95" s="108" t="s">
        <v>1</v>
      </c>
    </row>
    <row r="96" ht="29" customHeight="1" spans="1:84">
      <c r="A96" s="171">
        <v>45199</v>
      </c>
      <c r="B96" s="119" t="s">
        <v>125</v>
      </c>
      <c r="C96" s="158" t="s">
        <v>126</v>
      </c>
      <c r="D96" s="172" t="s">
        <v>1</v>
      </c>
      <c r="E96" s="172" t="s">
        <v>1</v>
      </c>
      <c r="F96" s="158" t="str">
        <f t="shared" si="2"/>
        <v/>
      </c>
      <c r="G96" s="158" t="s">
        <v>1</v>
      </c>
      <c r="H96" s="38" t="s">
        <v>1</v>
      </c>
      <c r="I96" s="158" t="s">
        <v>1</v>
      </c>
      <c r="J96" s="174" t="str">
        <f t="shared" si="3"/>
        <v/>
      </c>
      <c r="K96" s="213" t="str">
        <f>IFERROR(E96/#REF!,"")</f>
        <v/>
      </c>
      <c r="L96" s="30">
        <v>53465</v>
      </c>
      <c r="M96" s="243">
        <v>33151</v>
      </c>
      <c r="N96" s="244" t="s">
        <v>1</v>
      </c>
      <c r="O96" s="175" t="s">
        <v>1</v>
      </c>
      <c r="P96" s="158" t="s">
        <v>1</v>
      </c>
      <c r="Q96" s="158" t="s">
        <v>1</v>
      </c>
      <c r="R96" s="158" t="s">
        <v>1</v>
      </c>
      <c r="S96" s="158" t="s">
        <v>1</v>
      </c>
      <c r="T96" s="158" t="s">
        <v>1</v>
      </c>
      <c r="U96" s="158" t="s">
        <v>1</v>
      </c>
      <c r="V96" s="92" t="s">
        <v>1</v>
      </c>
      <c r="W96" s="92">
        <v>3543</v>
      </c>
      <c r="X96" s="92" t="s">
        <v>1</v>
      </c>
      <c r="Y96" s="92">
        <v>1747</v>
      </c>
      <c r="Z96" s="92" t="s">
        <v>1</v>
      </c>
      <c r="AA96" s="236">
        <v>2.03</v>
      </c>
      <c r="AB96" s="92" t="s">
        <v>1</v>
      </c>
      <c r="AC96" s="92">
        <v>71.49</v>
      </c>
      <c r="AD96" s="92" t="s">
        <v>1</v>
      </c>
      <c r="AE96" s="92" t="s">
        <v>1</v>
      </c>
      <c r="AF96" s="92" t="s">
        <v>1</v>
      </c>
      <c r="AG96" s="92">
        <v>44</v>
      </c>
      <c r="AH96" s="245">
        <v>4919</v>
      </c>
      <c r="AI96" s="245" t="s">
        <v>72</v>
      </c>
      <c r="AJ96" s="245">
        <v>768</v>
      </c>
      <c r="AK96" s="245" t="s">
        <v>72</v>
      </c>
      <c r="AL96" s="245">
        <v>69</v>
      </c>
      <c r="AM96" s="245" t="s">
        <v>72</v>
      </c>
      <c r="AN96" s="245">
        <v>1376</v>
      </c>
      <c r="AO96" s="245" t="s">
        <v>72</v>
      </c>
      <c r="AP96" s="245">
        <v>1244</v>
      </c>
      <c r="AQ96" s="245" t="s">
        <v>72</v>
      </c>
      <c r="AR96" s="245">
        <v>291</v>
      </c>
      <c r="AS96" s="245" t="s">
        <v>72</v>
      </c>
      <c r="AT96" s="214" t="s">
        <v>1</v>
      </c>
      <c r="AU96" s="158" t="s">
        <v>1</v>
      </c>
      <c r="AV96" s="38">
        <v>176</v>
      </c>
      <c r="AW96" s="158" t="s">
        <v>1</v>
      </c>
      <c r="AX96" s="174" t="s">
        <v>1</v>
      </c>
      <c r="AY96" s="214" t="s">
        <v>1</v>
      </c>
      <c r="AZ96" s="38">
        <v>17</v>
      </c>
      <c r="BA96" s="158" t="s">
        <v>1</v>
      </c>
      <c r="BB96" s="174" t="s">
        <v>1</v>
      </c>
      <c r="BC96" s="214" t="s">
        <v>1</v>
      </c>
      <c r="BD96" s="214" t="s">
        <v>1</v>
      </c>
      <c r="BE96" s="158" t="s">
        <v>1</v>
      </c>
      <c r="BF96" s="158" t="s">
        <v>1</v>
      </c>
      <c r="BG96" s="214" t="s">
        <v>1</v>
      </c>
      <c r="BH96" s="214" t="s">
        <v>1</v>
      </c>
      <c r="BI96" s="73" t="s">
        <v>73</v>
      </c>
      <c r="BJ96" s="73">
        <v>77</v>
      </c>
      <c r="BK96" s="73">
        <v>1100</v>
      </c>
      <c r="BL96" s="73">
        <v>265</v>
      </c>
      <c r="BM96" s="73" t="s">
        <v>74</v>
      </c>
      <c r="BN96" s="73">
        <v>444</v>
      </c>
      <c r="BO96" s="73">
        <v>396</v>
      </c>
      <c r="BP96" s="73">
        <v>92</v>
      </c>
      <c r="BQ96" s="38" t="s">
        <v>1</v>
      </c>
      <c r="BR96" s="38" t="s">
        <v>1</v>
      </c>
      <c r="BS96" s="38" t="s">
        <v>1</v>
      </c>
      <c r="BT96" s="38" t="s">
        <v>1</v>
      </c>
      <c r="BU96" s="38" t="s">
        <v>1</v>
      </c>
      <c r="BV96" s="38" t="s">
        <v>1</v>
      </c>
      <c r="BW96" s="38" t="s">
        <v>1</v>
      </c>
      <c r="BX96" s="38" t="s">
        <v>1</v>
      </c>
      <c r="BY96" s="38" t="s">
        <v>1</v>
      </c>
      <c r="BZ96" s="38" t="s">
        <v>1</v>
      </c>
      <c r="CA96" s="38" t="s">
        <v>1</v>
      </c>
      <c r="CB96" s="38" t="s">
        <v>1</v>
      </c>
      <c r="CC96" s="38" t="s">
        <v>1</v>
      </c>
      <c r="CD96" s="38" t="s">
        <v>1</v>
      </c>
      <c r="CE96" s="38" t="s">
        <v>1</v>
      </c>
      <c r="CF96" s="38" t="s">
        <v>1</v>
      </c>
    </row>
    <row r="97" ht="25" customHeight="1" spans="1:84">
      <c r="A97" s="29">
        <v>45200</v>
      </c>
      <c r="B97" s="108" t="s">
        <v>125</v>
      </c>
      <c r="C97" s="7" t="s">
        <v>1</v>
      </c>
      <c r="D97" s="30" t="s">
        <v>1</v>
      </c>
      <c r="E97" s="30" t="s">
        <v>1</v>
      </c>
      <c r="F97" s="32" t="str">
        <f t="shared" si="2"/>
        <v/>
      </c>
      <c r="G97" s="48" t="s">
        <v>1</v>
      </c>
      <c r="H97" s="48" t="s">
        <v>1</v>
      </c>
      <c r="I97" s="48" t="s">
        <v>1</v>
      </c>
      <c r="J97" s="31" t="str">
        <f t="shared" si="3"/>
        <v/>
      </c>
      <c r="K97" s="246" t="str">
        <f>IFERROR(E97/#REF!,"")</f>
        <v/>
      </c>
      <c r="L97" s="215">
        <v>79704</v>
      </c>
      <c r="M97" s="30">
        <v>65431</v>
      </c>
      <c r="N97" s="222" t="s">
        <v>1</v>
      </c>
      <c r="O97" s="32" t="s">
        <v>1</v>
      </c>
      <c r="P97" s="48" t="s">
        <v>1</v>
      </c>
      <c r="Q97" s="48" t="s">
        <v>1</v>
      </c>
      <c r="R97" s="48" t="s">
        <v>1</v>
      </c>
      <c r="S97" s="48" t="s">
        <v>1</v>
      </c>
      <c r="T97" s="48" t="s">
        <v>1</v>
      </c>
      <c r="U97" s="48" t="s">
        <v>1</v>
      </c>
      <c r="V97" s="92" t="s">
        <v>1</v>
      </c>
      <c r="W97" s="92">
        <v>1761</v>
      </c>
      <c r="X97" s="92" t="s">
        <v>1</v>
      </c>
      <c r="Y97" s="92">
        <v>825</v>
      </c>
      <c r="Z97" s="92" t="s">
        <v>1</v>
      </c>
      <c r="AA97" s="236">
        <v>2.13</v>
      </c>
      <c r="AB97" s="92" t="s">
        <v>1</v>
      </c>
      <c r="AC97" s="92">
        <v>71.25</v>
      </c>
      <c r="AD97" s="92" t="s">
        <v>1</v>
      </c>
      <c r="AE97" s="92" t="s">
        <v>1</v>
      </c>
      <c r="AF97" s="92" t="s">
        <v>1</v>
      </c>
      <c r="AG97" s="92">
        <v>53</v>
      </c>
      <c r="AH97" s="125">
        <v>3314</v>
      </c>
      <c r="AI97" s="125">
        <v>454</v>
      </c>
      <c r="AJ97" s="125">
        <v>555</v>
      </c>
      <c r="AK97" s="125">
        <v>448</v>
      </c>
      <c r="AL97" s="125">
        <v>63</v>
      </c>
      <c r="AM97" s="125">
        <v>3</v>
      </c>
      <c r="AN97" s="125">
        <v>806</v>
      </c>
      <c r="AO97" s="125">
        <v>54</v>
      </c>
      <c r="AP97" s="125">
        <v>1211</v>
      </c>
      <c r="AQ97" s="125">
        <v>176</v>
      </c>
      <c r="AR97" s="125">
        <v>325</v>
      </c>
      <c r="AS97" s="125">
        <v>51</v>
      </c>
      <c r="AT97" s="117" t="s">
        <v>1</v>
      </c>
      <c r="AU97" s="117" t="s">
        <v>1</v>
      </c>
      <c r="AV97" s="7">
        <v>0</v>
      </c>
      <c r="AW97" s="117" t="s">
        <v>1</v>
      </c>
      <c r="AX97" s="117" t="s">
        <v>1</v>
      </c>
      <c r="AY97" s="117" t="s">
        <v>1</v>
      </c>
      <c r="AZ97" s="7">
        <v>0</v>
      </c>
      <c r="BA97" s="117" t="s">
        <v>1</v>
      </c>
      <c r="BB97" s="117" t="s">
        <v>1</v>
      </c>
      <c r="BC97" s="117" t="s">
        <v>1</v>
      </c>
      <c r="BD97" s="117" t="s">
        <v>1</v>
      </c>
      <c r="BE97" s="117" t="s">
        <v>1</v>
      </c>
      <c r="BF97" s="117" t="s">
        <v>1</v>
      </c>
      <c r="BG97" s="217" t="s">
        <v>1</v>
      </c>
      <c r="BH97" s="217" t="s">
        <v>1</v>
      </c>
      <c r="BI97" s="18" t="s">
        <v>73</v>
      </c>
      <c r="BJ97" s="18">
        <v>74</v>
      </c>
      <c r="BK97" s="18">
        <v>1103</v>
      </c>
      <c r="BL97" s="18">
        <v>219</v>
      </c>
      <c r="BM97" s="18" t="s">
        <v>74</v>
      </c>
      <c r="BN97" s="18">
        <v>431</v>
      </c>
      <c r="BO97" s="18">
        <v>400</v>
      </c>
      <c r="BP97" s="18">
        <v>77</v>
      </c>
      <c r="BQ97" s="218" t="s">
        <v>1</v>
      </c>
      <c r="BR97" s="218" t="s">
        <v>1</v>
      </c>
      <c r="BS97" s="218" t="s">
        <v>1</v>
      </c>
      <c r="BT97" s="218" t="s">
        <v>1</v>
      </c>
      <c r="BU97" s="218" t="s">
        <v>1</v>
      </c>
      <c r="BV97" s="218" t="s">
        <v>1</v>
      </c>
      <c r="BW97" s="218" t="s">
        <v>1</v>
      </c>
      <c r="BX97" s="218" t="s">
        <v>1</v>
      </c>
      <c r="BY97" s="218" t="s">
        <v>1</v>
      </c>
      <c r="BZ97" s="218" t="s">
        <v>1</v>
      </c>
      <c r="CA97" s="218" t="s">
        <v>1</v>
      </c>
      <c r="CB97" s="218" t="s">
        <v>1</v>
      </c>
      <c r="CC97" s="218" t="s">
        <v>1</v>
      </c>
      <c r="CD97" s="218" t="s">
        <v>1</v>
      </c>
      <c r="CE97" s="218" t="s">
        <v>1</v>
      </c>
      <c r="CF97" s="117" t="s">
        <v>1</v>
      </c>
    </row>
    <row r="98" ht="25" customHeight="1" spans="1:84">
      <c r="A98" s="29">
        <v>45201</v>
      </c>
      <c r="B98" s="108" t="s">
        <v>125</v>
      </c>
      <c r="C98" s="7" t="s">
        <v>1</v>
      </c>
      <c r="D98" s="30" t="s">
        <v>1</v>
      </c>
      <c r="E98" s="30" t="s">
        <v>1</v>
      </c>
      <c r="F98" s="32" t="str">
        <f t="shared" si="2"/>
        <v/>
      </c>
      <c r="G98" s="48" t="s">
        <v>1</v>
      </c>
      <c r="H98" s="48" t="s">
        <v>1</v>
      </c>
      <c r="I98" s="48" t="s">
        <v>1</v>
      </c>
      <c r="J98" s="31" t="str">
        <f t="shared" si="3"/>
        <v/>
      </c>
      <c r="K98" s="246" t="str">
        <f>IFERROR(E98/#REF!,"")</f>
        <v/>
      </c>
      <c r="L98" s="215">
        <v>78779</v>
      </c>
      <c r="M98" s="30">
        <v>7198</v>
      </c>
      <c r="N98" s="222" t="s">
        <v>1</v>
      </c>
      <c r="O98" s="32" t="s">
        <v>1</v>
      </c>
      <c r="P98" s="48" t="s">
        <v>1</v>
      </c>
      <c r="Q98" s="48" t="s">
        <v>1</v>
      </c>
      <c r="R98" s="48" t="s">
        <v>1</v>
      </c>
      <c r="S98" s="48" t="s">
        <v>1</v>
      </c>
      <c r="T98" s="48" t="s">
        <v>1</v>
      </c>
      <c r="U98" s="48" t="s">
        <v>1</v>
      </c>
      <c r="V98" s="92" t="s">
        <v>1</v>
      </c>
      <c r="W98" s="92">
        <v>908</v>
      </c>
      <c r="X98" s="92" t="s">
        <v>1</v>
      </c>
      <c r="Y98" s="92">
        <v>435</v>
      </c>
      <c r="Z98" s="92" t="s">
        <v>1</v>
      </c>
      <c r="AA98" s="236">
        <v>2.09</v>
      </c>
      <c r="AB98" s="92" t="s">
        <v>1</v>
      </c>
      <c r="AC98" s="92">
        <v>76.01</v>
      </c>
      <c r="AD98" s="92" t="s">
        <v>1</v>
      </c>
      <c r="AE98" s="92" t="s">
        <v>1</v>
      </c>
      <c r="AF98" s="92" t="s">
        <v>1</v>
      </c>
      <c r="AG98" s="92">
        <v>20</v>
      </c>
      <c r="AH98" s="125">
        <v>2892</v>
      </c>
      <c r="AI98" s="125">
        <v>296</v>
      </c>
      <c r="AJ98" s="125">
        <v>540</v>
      </c>
      <c r="AK98" s="125">
        <v>165</v>
      </c>
      <c r="AL98" s="125">
        <v>39</v>
      </c>
      <c r="AM98" s="125">
        <v>11</v>
      </c>
      <c r="AN98" s="125">
        <v>845</v>
      </c>
      <c r="AO98" s="125">
        <v>19</v>
      </c>
      <c r="AP98" s="125">
        <v>1274</v>
      </c>
      <c r="AQ98" s="125">
        <v>91</v>
      </c>
      <c r="AR98" s="125">
        <v>312</v>
      </c>
      <c r="AS98" s="125">
        <v>41</v>
      </c>
      <c r="AT98" s="117" t="s">
        <v>1</v>
      </c>
      <c r="AU98" s="117" t="s">
        <v>1</v>
      </c>
      <c r="AV98" s="7">
        <v>0</v>
      </c>
      <c r="AW98" s="117" t="s">
        <v>1</v>
      </c>
      <c r="AX98" s="117" t="s">
        <v>1</v>
      </c>
      <c r="AY98" s="117" t="s">
        <v>1</v>
      </c>
      <c r="AZ98" s="7">
        <v>0</v>
      </c>
      <c r="BA98" s="117" t="s">
        <v>1</v>
      </c>
      <c r="BB98" s="117" t="s">
        <v>1</v>
      </c>
      <c r="BC98" s="117" t="s">
        <v>1</v>
      </c>
      <c r="BD98" s="117" t="s">
        <v>1</v>
      </c>
      <c r="BE98" s="117" t="s">
        <v>1</v>
      </c>
      <c r="BF98" s="117" t="s">
        <v>1</v>
      </c>
      <c r="BG98" s="217" t="s">
        <v>1</v>
      </c>
      <c r="BH98" s="217" t="s">
        <v>1</v>
      </c>
      <c r="BI98" s="18" t="s">
        <v>73</v>
      </c>
      <c r="BJ98" s="18">
        <v>63</v>
      </c>
      <c r="BK98" s="18">
        <v>1218</v>
      </c>
      <c r="BL98" s="18">
        <v>109</v>
      </c>
      <c r="BM98" s="18" t="s">
        <v>74</v>
      </c>
      <c r="BN98" s="18">
        <v>431</v>
      </c>
      <c r="BO98" s="18">
        <v>371</v>
      </c>
      <c r="BP98" s="18">
        <v>34</v>
      </c>
      <c r="BQ98" s="218" t="s">
        <v>1</v>
      </c>
      <c r="BR98" s="218" t="s">
        <v>1</v>
      </c>
      <c r="BS98" s="218" t="s">
        <v>1</v>
      </c>
      <c r="BT98" s="218" t="s">
        <v>1</v>
      </c>
      <c r="BU98" s="218" t="s">
        <v>1</v>
      </c>
      <c r="BV98" s="218" t="s">
        <v>1</v>
      </c>
      <c r="BW98" s="218" t="s">
        <v>1</v>
      </c>
      <c r="BX98" s="218" t="s">
        <v>1</v>
      </c>
      <c r="BY98" s="218" t="s">
        <v>1</v>
      </c>
      <c r="BZ98" s="218" t="s">
        <v>1</v>
      </c>
      <c r="CA98" s="218" t="s">
        <v>1</v>
      </c>
      <c r="CB98" s="218" t="s">
        <v>1</v>
      </c>
      <c r="CC98" s="218" t="s">
        <v>1</v>
      </c>
      <c r="CD98" s="218" t="s">
        <v>1</v>
      </c>
      <c r="CE98" s="218" t="s">
        <v>1</v>
      </c>
      <c r="CF98" s="117" t="s">
        <v>1</v>
      </c>
    </row>
    <row r="99" ht="25" customHeight="1" spans="1:84">
      <c r="A99" s="29">
        <v>45202</v>
      </c>
      <c r="B99" s="108" t="s">
        <v>125</v>
      </c>
      <c r="C99" s="7" t="s">
        <v>1</v>
      </c>
      <c r="D99" s="30" t="s">
        <v>1</v>
      </c>
      <c r="E99" s="30" t="s">
        <v>1</v>
      </c>
      <c r="F99" s="32" t="str">
        <f t="shared" si="2"/>
        <v/>
      </c>
      <c r="G99" s="48" t="s">
        <v>1</v>
      </c>
      <c r="H99" s="48" t="s">
        <v>1</v>
      </c>
      <c r="I99" s="48" t="s">
        <v>1</v>
      </c>
      <c r="J99" s="31" t="str">
        <f t="shared" si="3"/>
        <v/>
      </c>
      <c r="K99" s="246" t="str">
        <f>IFERROR(E99/#REF!,"")</f>
        <v/>
      </c>
      <c r="L99" s="215">
        <v>42489</v>
      </c>
      <c r="M99" s="30">
        <v>10028</v>
      </c>
      <c r="N99" s="222" t="s">
        <v>1</v>
      </c>
      <c r="O99" s="32" t="s">
        <v>1</v>
      </c>
      <c r="P99" s="48" t="s">
        <v>1</v>
      </c>
      <c r="Q99" s="48" t="s">
        <v>1</v>
      </c>
      <c r="R99" s="48" t="s">
        <v>1</v>
      </c>
      <c r="S99" s="48" t="s">
        <v>1</v>
      </c>
      <c r="T99" s="48" t="s">
        <v>1</v>
      </c>
      <c r="U99" s="48" t="s">
        <v>1</v>
      </c>
      <c r="V99" s="92" t="s">
        <v>1</v>
      </c>
      <c r="W99" s="92">
        <v>867</v>
      </c>
      <c r="X99" s="92" t="s">
        <v>1</v>
      </c>
      <c r="Y99" s="92">
        <v>418</v>
      </c>
      <c r="Z99" s="92" t="s">
        <v>1</v>
      </c>
      <c r="AA99" s="236">
        <v>2.07</v>
      </c>
      <c r="AB99" s="92" t="s">
        <v>1</v>
      </c>
      <c r="AC99" s="92">
        <v>74.67</v>
      </c>
      <c r="AD99" s="92" t="s">
        <v>1</v>
      </c>
      <c r="AE99" s="92" t="s">
        <v>1</v>
      </c>
      <c r="AF99" s="92" t="s">
        <v>1</v>
      </c>
      <c r="AG99" s="92">
        <v>34</v>
      </c>
      <c r="AH99" s="125">
        <v>3117</v>
      </c>
      <c r="AI99" s="125">
        <v>313</v>
      </c>
      <c r="AJ99" s="125">
        <v>536</v>
      </c>
      <c r="AK99" s="125">
        <v>133</v>
      </c>
      <c r="AL99" s="125">
        <v>54</v>
      </c>
      <c r="AM99" s="125">
        <v>8</v>
      </c>
      <c r="AN99" s="125">
        <v>850</v>
      </c>
      <c r="AO99" s="125">
        <v>8</v>
      </c>
      <c r="AP99" s="125">
        <v>1408</v>
      </c>
      <c r="AQ99" s="125">
        <v>110</v>
      </c>
      <c r="AR99" s="125">
        <v>298</v>
      </c>
      <c r="AS99" s="125">
        <v>46</v>
      </c>
      <c r="AT99" s="117" t="s">
        <v>1</v>
      </c>
      <c r="AU99" s="117" t="s">
        <v>1</v>
      </c>
      <c r="AV99" s="7">
        <v>0</v>
      </c>
      <c r="AW99" s="117" t="s">
        <v>1</v>
      </c>
      <c r="AX99" s="117" t="s">
        <v>1</v>
      </c>
      <c r="AY99" s="117" t="s">
        <v>1</v>
      </c>
      <c r="AZ99" s="7">
        <v>0</v>
      </c>
      <c r="BA99" s="117" t="s">
        <v>1</v>
      </c>
      <c r="BB99" s="117" t="s">
        <v>1</v>
      </c>
      <c r="BC99" s="117" t="s">
        <v>1</v>
      </c>
      <c r="BD99" s="117" t="s">
        <v>1</v>
      </c>
      <c r="BE99" s="117" t="s">
        <v>1</v>
      </c>
      <c r="BF99" s="117" t="s">
        <v>1</v>
      </c>
      <c r="BG99" s="217" t="s">
        <v>1</v>
      </c>
      <c r="BH99" s="217" t="s">
        <v>1</v>
      </c>
      <c r="BI99" s="18" t="s">
        <v>73</v>
      </c>
      <c r="BJ99" s="18">
        <v>62</v>
      </c>
      <c r="BK99" s="18">
        <v>1255</v>
      </c>
      <c r="BL99" s="18">
        <v>105</v>
      </c>
      <c r="BM99" s="18" t="s">
        <v>74</v>
      </c>
      <c r="BN99" s="18">
        <v>358</v>
      </c>
      <c r="BO99" s="18">
        <v>430</v>
      </c>
      <c r="BP99" s="18">
        <v>23</v>
      </c>
      <c r="BQ99" s="218" t="s">
        <v>1</v>
      </c>
      <c r="BR99" s="218" t="s">
        <v>1</v>
      </c>
      <c r="BS99" s="218" t="s">
        <v>1</v>
      </c>
      <c r="BT99" s="218" t="s">
        <v>1</v>
      </c>
      <c r="BU99" s="218" t="s">
        <v>1</v>
      </c>
      <c r="BV99" s="218" t="s">
        <v>1</v>
      </c>
      <c r="BW99" s="218" t="s">
        <v>1</v>
      </c>
      <c r="BX99" s="218" t="s">
        <v>1</v>
      </c>
      <c r="BY99" s="218" t="s">
        <v>1</v>
      </c>
      <c r="BZ99" s="218" t="s">
        <v>1</v>
      </c>
      <c r="CA99" s="218" t="s">
        <v>1</v>
      </c>
      <c r="CB99" s="218" t="s">
        <v>1</v>
      </c>
      <c r="CC99" s="218" t="s">
        <v>1</v>
      </c>
      <c r="CD99" s="218" t="s">
        <v>1</v>
      </c>
      <c r="CE99" s="218" t="s">
        <v>1</v>
      </c>
      <c r="CF99" s="117" t="s">
        <v>1</v>
      </c>
    </row>
    <row r="100" ht="25" customHeight="1" spans="1:84">
      <c r="A100" s="29">
        <v>45203</v>
      </c>
      <c r="B100" s="108" t="s">
        <v>125</v>
      </c>
      <c r="C100" s="7" t="s">
        <v>1</v>
      </c>
      <c r="D100" s="30" t="s">
        <v>1</v>
      </c>
      <c r="E100" s="30" t="s">
        <v>1</v>
      </c>
      <c r="F100" s="32" t="str">
        <f t="shared" si="2"/>
        <v/>
      </c>
      <c r="G100" s="48" t="s">
        <v>1</v>
      </c>
      <c r="H100" s="48" t="s">
        <v>1</v>
      </c>
      <c r="I100" s="48" t="s">
        <v>1</v>
      </c>
      <c r="J100" s="31" t="str">
        <f t="shared" si="3"/>
        <v/>
      </c>
      <c r="K100" s="246" t="str">
        <f>IFERROR(E100/#REF!,"")</f>
        <v/>
      </c>
      <c r="L100" s="215">
        <v>66661</v>
      </c>
      <c r="M100" s="30">
        <v>0</v>
      </c>
      <c r="N100" s="222" t="s">
        <v>1</v>
      </c>
      <c r="O100" s="32" t="s">
        <v>1</v>
      </c>
      <c r="P100" s="48" t="s">
        <v>1</v>
      </c>
      <c r="Q100" s="48" t="s">
        <v>1</v>
      </c>
      <c r="R100" s="48" t="s">
        <v>1</v>
      </c>
      <c r="S100" s="48" t="s">
        <v>1</v>
      </c>
      <c r="T100" s="48" t="s">
        <v>1</v>
      </c>
      <c r="U100" s="48" t="s">
        <v>1</v>
      </c>
      <c r="V100" s="92" t="s">
        <v>1</v>
      </c>
      <c r="W100" s="92">
        <v>635</v>
      </c>
      <c r="X100" s="92" t="s">
        <v>1</v>
      </c>
      <c r="Y100" s="92">
        <v>268</v>
      </c>
      <c r="Z100" s="92" t="s">
        <v>1</v>
      </c>
      <c r="AA100" s="236">
        <v>2.37</v>
      </c>
      <c r="AB100" s="92" t="s">
        <v>1</v>
      </c>
      <c r="AC100" s="92">
        <v>84.72</v>
      </c>
      <c r="AD100" s="92" t="s">
        <v>1</v>
      </c>
      <c r="AE100" s="92" t="s">
        <v>1</v>
      </c>
      <c r="AF100" s="92" t="s">
        <v>1</v>
      </c>
      <c r="AG100" s="92">
        <v>23</v>
      </c>
      <c r="AH100" s="125">
        <v>3271</v>
      </c>
      <c r="AI100" s="125">
        <v>249</v>
      </c>
      <c r="AJ100" s="125">
        <v>362</v>
      </c>
      <c r="AK100" s="125">
        <v>17</v>
      </c>
      <c r="AL100" s="125">
        <v>81</v>
      </c>
      <c r="AM100" s="125">
        <v>2</v>
      </c>
      <c r="AN100" s="125">
        <v>1011</v>
      </c>
      <c r="AO100" s="125">
        <v>8</v>
      </c>
      <c r="AP100" s="125">
        <v>1522</v>
      </c>
      <c r="AQ100" s="125">
        <v>97</v>
      </c>
      <c r="AR100" s="125">
        <v>310</v>
      </c>
      <c r="AS100" s="125">
        <v>63</v>
      </c>
      <c r="AT100" s="117" t="s">
        <v>1</v>
      </c>
      <c r="AU100" s="117" t="s">
        <v>1</v>
      </c>
      <c r="AV100" s="7">
        <v>0</v>
      </c>
      <c r="AW100" s="117" t="s">
        <v>1</v>
      </c>
      <c r="AX100" s="117" t="s">
        <v>1</v>
      </c>
      <c r="AY100" s="117" t="s">
        <v>1</v>
      </c>
      <c r="AZ100" s="7">
        <v>0</v>
      </c>
      <c r="BA100" s="117" t="s">
        <v>1</v>
      </c>
      <c r="BB100" s="117" t="s">
        <v>1</v>
      </c>
      <c r="BC100" s="117" t="s">
        <v>1</v>
      </c>
      <c r="BD100" s="117" t="s">
        <v>1</v>
      </c>
      <c r="BE100" s="117" t="s">
        <v>1</v>
      </c>
      <c r="BF100" s="117" t="s">
        <v>1</v>
      </c>
      <c r="BG100" s="217" t="s">
        <v>1</v>
      </c>
      <c r="BH100" s="217" t="s">
        <v>1</v>
      </c>
      <c r="BI100" s="18" t="s">
        <v>73</v>
      </c>
      <c r="BJ100" s="18">
        <v>61</v>
      </c>
      <c r="BK100" s="18">
        <v>1408</v>
      </c>
      <c r="BL100" s="18">
        <v>110</v>
      </c>
      <c r="BM100" s="18" t="s">
        <v>74</v>
      </c>
      <c r="BN100" s="18">
        <v>352</v>
      </c>
      <c r="BO100" s="18">
        <v>436</v>
      </c>
      <c r="BP100" s="18">
        <v>24</v>
      </c>
      <c r="BQ100" s="218" t="s">
        <v>1</v>
      </c>
      <c r="BR100" s="218" t="s">
        <v>1</v>
      </c>
      <c r="BS100" s="218" t="s">
        <v>1</v>
      </c>
      <c r="BT100" s="218" t="s">
        <v>1</v>
      </c>
      <c r="BU100" s="218" t="s">
        <v>1</v>
      </c>
      <c r="BV100" s="218" t="s">
        <v>1</v>
      </c>
      <c r="BW100" s="218" t="s">
        <v>1</v>
      </c>
      <c r="BX100" s="218" t="s">
        <v>1</v>
      </c>
      <c r="BY100" s="218" t="s">
        <v>1</v>
      </c>
      <c r="BZ100" s="218" t="s">
        <v>1</v>
      </c>
      <c r="CA100" s="218" t="s">
        <v>1</v>
      </c>
      <c r="CB100" s="218" t="s">
        <v>1</v>
      </c>
      <c r="CC100" s="218" t="s">
        <v>1</v>
      </c>
      <c r="CD100" s="218" t="s">
        <v>1</v>
      </c>
      <c r="CE100" s="218" t="s">
        <v>1</v>
      </c>
      <c r="CF100" s="117" t="s">
        <v>1</v>
      </c>
    </row>
    <row r="101" ht="25" customHeight="1" spans="1:84">
      <c r="A101" s="29">
        <v>45204</v>
      </c>
      <c r="B101" s="108" t="s">
        <v>125</v>
      </c>
      <c r="C101" s="7" t="s">
        <v>1</v>
      </c>
      <c r="D101" s="30" t="s">
        <v>1</v>
      </c>
      <c r="E101" s="30" t="s">
        <v>1</v>
      </c>
      <c r="F101" s="32" t="str">
        <f t="shared" si="2"/>
        <v/>
      </c>
      <c r="G101" s="48" t="s">
        <v>1</v>
      </c>
      <c r="H101" s="48" t="s">
        <v>1</v>
      </c>
      <c r="I101" s="48" t="s">
        <v>1</v>
      </c>
      <c r="J101" s="31" t="str">
        <f t="shared" si="3"/>
        <v/>
      </c>
      <c r="K101" s="246" t="str">
        <f>IFERROR(E101/#REF!,"")</f>
        <v/>
      </c>
      <c r="L101" s="215">
        <v>50613</v>
      </c>
      <c r="M101" s="30">
        <v>3099</v>
      </c>
      <c r="N101" s="222" t="s">
        <v>1</v>
      </c>
      <c r="O101" s="32" t="s">
        <v>1</v>
      </c>
      <c r="P101" s="48" t="s">
        <v>1</v>
      </c>
      <c r="Q101" s="48" t="s">
        <v>1</v>
      </c>
      <c r="R101" s="48" t="s">
        <v>1</v>
      </c>
      <c r="S101" s="48" t="s">
        <v>1</v>
      </c>
      <c r="T101" s="48" t="s">
        <v>1</v>
      </c>
      <c r="U101" s="48" t="s">
        <v>1</v>
      </c>
      <c r="V101" s="92" t="s">
        <v>1</v>
      </c>
      <c r="W101" s="92">
        <v>740</v>
      </c>
      <c r="X101" s="92" t="s">
        <v>1</v>
      </c>
      <c r="Y101" s="92">
        <v>313</v>
      </c>
      <c r="Z101" s="92" t="s">
        <v>1</v>
      </c>
      <c r="AA101" s="236">
        <v>2.36</v>
      </c>
      <c r="AB101" s="92" t="s">
        <v>1</v>
      </c>
      <c r="AC101" s="92">
        <v>85.52</v>
      </c>
      <c r="AD101" s="92" t="s">
        <v>1</v>
      </c>
      <c r="AE101" s="92" t="s">
        <v>1</v>
      </c>
      <c r="AF101" s="92" t="s">
        <v>1</v>
      </c>
      <c r="AG101" s="92">
        <v>28</v>
      </c>
      <c r="AH101" s="125">
        <v>3670</v>
      </c>
      <c r="AI101" s="125">
        <v>282</v>
      </c>
      <c r="AJ101" s="125">
        <v>415</v>
      </c>
      <c r="AK101" s="125">
        <v>20</v>
      </c>
      <c r="AL101" s="125">
        <v>59</v>
      </c>
      <c r="AM101" s="125">
        <v>13</v>
      </c>
      <c r="AN101" s="125">
        <v>771</v>
      </c>
      <c r="AO101" s="125">
        <v>15</v>
      </c>
      <c r="AP101" s="125">
        <v>1591</v>
      </c>
      <c r="AQ101" s="125">
        <v>107</v>
      </c>
      <c r="AR101" s="125">
        <v>366</v>
      </c>
      <c r="AS101" s="125">
        <v>37</v>
      </c>
      <c r="AT101" s="117" t="s">
        <v>1</v>
      </c>
      <c r="AU101" s="117" t="s">
        <v>1</v>
      </c>
      <c r="AV101" s="7">
        <v>0</v>
      </c>
      <c r="AW101" s="117" t="s">
        <v>1</v>
      </c>
      <c r="AX101" s="117" t="s">
        <v>1</v>
      </c>
      <c r="AY101" s="117" t="s">
        <v>1</v>
      </c>
      <c r="AZ101" s="7">
        <v>0</v>
      </c>
      <c r="BA101" s="117" t="s">
        <v>1</v>
      </c>
      <c r="BB101" s="117" t="s">
        <v>1</v>
      </c>
      <c r="BC101" s="117" t="s">
        <v>1</v>
      </c>
      <c r="BD101" s="117" t="s">
        <v>1</v>
      </c>
      <c r="BE101" s="117" t="s">
        <v>1</v>
      </c>
      <c r="BF101" s="117" t="s">
        <v>1</v>
      </c>
      <c r="BG101" s="217" t="s">
        <v>1</v>
      </c>
      <c r="BH101" s="217" t="s">
        <v>1</v>
      </c>
      <c r="BI101" s="18" t="s">
        <v>73</v>
      </c>
      <c r="BJ101" s="18">
        <v>67</v>
      </c>
      <c r="BK101" s="212">
        <v>1326</v>
      </c>
      <c r="BL101" s="18">
        <v>145</v>
      </c>
      <c r="BM101" s="18" t="s">
        <v>74</v>
      </c>
      <c r="BN101" s="18">
        <v>440</v>
      </c>
      <c r="BO101" s="18">
        <v>368</v>
      </c>
      <c r="BP101" s="18">
        <v>41</v>
      </c>
      <c r="BQ101" s="218" t="s">
        <v>1</v>
      </c>
      <c r="BR101" s="218" t="s">
        <v>1</v>
      </c>
      <c r="BS101" s="218" t="s">
        <v>1</v>
      </c>
      <c r="BT101" s="218" t="s">
        <v>1</v>
      </c>
      <c r="BU101" s="218" t="s">
        <v>1</v>
      </c>
      <c r="BV101" s="218" t="s">
        <v>1</v>
      </c>
      <c r="BW101" s="218" t="s">
        <v>1</v>
      </c>
      <c r="BX101" s="218" t="s">
        <v>1</v>
      </c>
      <c r="BY101" s="218" t="s">
        <v>1</v>
      </c>
      <c r="BZ101" s="218" t="s">
        <v>1</v>
      </c>
      <c r="CA101" s="218" t="s">
        <v>1</v>
      </c>
      <c r="CB101" s="218" t="s">
        <v>1</v>
      </c>
      <c r="CC101" s="218" t="s">
        <v>1</v>
      </c>
      <c r="CD101" s="218" t="s">
        <v>1</v>
      </c>
      <c r="CE101" s="218" t="s">
        <v>1</v>
      </c>
      <c r="CF101" s="117" t="s">
        <v>1</v>
      </c>
    </row>
    <row r="102" ht="25" customHeight="1" spans="1:84">
      <c r="A102" s="29">
        <v>45205</v>
      </c>
      <c r="B102" s="108" t="s">
        <v>125</v>
      </c>
      <c r="C102" s="7" t="s">
        <v>1</v>
      </c>
      <c r="D102" s="30" t="s">
        <v>1</v>
      </c>
      <c r="E102" s="30" t="s">
        <v>1</v>
      </c>
      <c r="F102" s="32" t="str">
        <f t="shared" si="2"/>
        <v/>
      </c>
      <c r="G102" s="48" t="s">
        <v>1</v>
      </c>
      <c r="H102" s="48" t="s">
        <v>1</v>
      </c>
      <c r="I102" s="48" t="s">
        <v>1</v>
      </c>
      <c r="J102" s="31" t="str">
        <f t="shared" si="3"/>
        <v/>
      </c>
      <c r="K102" s="246" t="str">
        <f>IFERROR(E102/#REF!,"")</f>
        <v/>
      </c>
      <c r="L102" s="219">
        <v>56882</v>
      </c>
      <c r="M102" s="30">
        <v>0</v>
      </c>
      <c r="N102" s="222" t="s">
        <v>1</v>
      </c>
      <c r="O102" s="32" t="s">
        <v>1</v>
      </c>
      <c r="P102" s="48" t="s">
        <v>1</v>
      </c>
      <c r="Q102" s="48" t="s">
        <v>1</v>
      </c>
      <c r="R102" s="48" t="s">
        <v>1</v>
      </c>
      <c r="S102" s="48" t="s">
        <v>1</v>
      </c>
      <c r="T102" s="48" t="s">
        <v>1</v>
      </c>
      <c r="U102" s="48" t="s">
        <v>1</v>
      </c>
      <c r="V102" s="92" t="s">
        <v>1</v>
      </c>
      <c r="W102" s="92">
        <v>854</v>
      </c>
      <c r="X102" s="92" t="s">
        <v>1</v>
      </c>
      <c r="Y102" s="92">
        <v>394</v>
      </c>
      <c r="Z102" s="92" t="s">
        <v>1</v>
      </c>
      <c r="AA102" s="236">
        <v>2.17</v>
      </c>
      <c r="AB102" s="92" t="s">
        <v>1</v>
      </c>
      <c r="AC102" s="92">
        <v>76.11</v>
      </c>
      <c r="AD102" s="92" t="s">
        <v>1</v>
      </c>
      <c r="AE102" s="92" t="s">
        <v>1</v>
      </c>
      <c r="AF102" s="92" t="s">
        <v>1</v>
      </c>
      <c r="AG102" s="92">
        <v>35</v>
      </c>
      <c r="AH102" s="125">
        <v>3962</v>
      </c>
      <c r="AI102" s="125">
        <v>372</v>
      </c>
      <c r="AJ102" s="125">
        <v>534</v>
      </c>
      <c r="AK102" s="125">
        <v>20</v>
      </c>
      <c r="AL102" s="125">
        <v>84</v>
      </c>
      <c r="AM102" s="125">
        <v>7</v>
      </c>
      <c r="AN102" s="125">
        <v>1101</v>
      </c>
      <c r="AO102" s="125">
        <v>12</v>
      </c>
      <c r="AP102" s="125">
        <v>1647</v>
      </c>
      <c r="AQ102" s="125">
        <v>209</v>
      </c>
      <c r="AR102" s="125">
        <v>404</v>
      </c>
      <c r="AS102" s="125">
        <v>52</v>
      </c>
      <c r="AT102" s="117" t="s">
        <v>1</v>
      </c>
      <c r="AU102" s="117" t="s">
        <v>1</v>
      </c>
      <c r="AV102" s="7">
        <v>0</v>
      </c>
      <c r="AW102" s="117" t="s">
        <v>1</v>
      </c>
      <c r="AX102" s="117" t="s">
        <v>1</v>
      </c>
      <c r="AY102" s="117" t="s">
        <v>1</v>
      </c>
      <c r="AZ102" s="7">
        <v>0</v>
      </c>
      <c r="BA102" s="117" t="s">
        <v>1</v>
      </c>
      <c r="BB102" s="117" t="s">
        <v>1</v>
      </c>
      <c r="BC102" s="117" t="s">
        <v>1</v>
      </c>
      <c r="BD102" s="117" t="s">
        <v>1</v>
      </c>
      <c r="BE102" s="117" t="s">
        <v>1</v>
      </c>
      <c r="BF102" s="117" t="s">
        <v>1</v>
      </c>
      <c r="BG102" s="217" t="s">
        <v>1</v>
      </c>
      <c r="BH102" s="217" t="s">
        <v>1</v>
      </c>
      <c r="BI102" s="18" t="s">
        <v>73</v>
      </c>
      <c r="BJ102" s="18">
        <v>57</v>
      </c>
      <c r="BK102" s="212">
        <v>1547</v>
      </c>
      <c r="BL102" s="18">
        <v>391</v>
      </c>
      <c r="BM102" s="18" t="s">
        <v>74</v>
      </c>
      <c r="BN102" s="18">
        <v>411</v>
      </c>
      <c r="BO102" s="18">
        <v>426</v>
      </c>
      <c r="BP102" s="18">
        <v>97</v>
      </c>
      <c r="BQ102" s="218" t="s">
        <v>1</v>
      </c>
      <c r="BR102" s="218" t="s">
        <v>1</v>
      </c>
      <c r="BS102" s="218" t="s">
        <v>1</v>
      </c>
      <c r="BT102" s="218" t="s">
        <v>1</v>
      </c>
      <c r="BU102" s="218" t="s">
        <v>1</v>
      </c>
      <c r="BV102" s="218" t="s">
        <v>1</v>
      </c>
      <c r="BW102" s="218" t="s">
        <v>1</v>
      </c>
      <c r="BX102" s="218" t="s">
        <v>1</v>
      </c>
      <c r="BY102" s="218" t="s">
        <v>1</v>
      </c>
      <c r="BZ102" s="218" t="s">
        <v>1</v>
      </c>
      <c r="CA102" s="218" t="s">
        <v>1</v>
      </c>
      <c r="CB102" s="218" t="s">
        <v>1</v>
      </c>
      <c r="CC102" s="218" t="s">
        <v>1</v>
      </c>
      <c r="CD102" s="218" t="s">
        <v>1</v>
      </c>
      <c r="CE102" s="218" t="s">
        <v>1</v>
      </c>
      <c r="CF102" s="117" t="s">
        <v>1</v>
      </c>
    </row>
    <row r="103" ht="25" customHeight="1" spans="1:84">
      <c r="A103" s="29">
        <v>45206</v>
      </c>
      <c r="B103" s="108" t="s">
        <v>125</v>
      </c>
      <c r="C103" s="7" t="s">
        <v>1</v>
      </c>
      <c r="D103" s="30" t="s">
        <v>1</v>
      </c>
      <c r="E103" s="30" t="s">
        <v>1</v>
      </c>
      <c r="F103" s="32" t="str">
        <f t="shared" si="2"/>
        <v/>
      </c>
      <c r="G103" s="48" t="s">
        <v>1</v>
      </c>
      <c r="H103" s="48" t="s">
        <v>1</v>
      </c>
      <c r="I103" s="48" t="s">
        <v>1</v>
      </c>
      <c r="J103" s="31" t="str">
        <f t="shared" si="3"/>
        <v/>
      </c>
      <c r="K103" s="246" t="str">
        <f>IFERROR(E103/#REF!,"")</f>
        <v/>
      </c>
      <c r="L103" s="172">
        <v>59982</v>
      </c>
      <c r="M103" s="204">
        <v>0</v>
      </c>
      <c r="N103" s="222" t="s">
        <v>1</v>
      </c>
      <c r="O103" s="32" t="s">
        <v>1</v>
      </c>
      <c r="P103" s="48" t="s">
        <v>1</v>
      </c>
      <c r="Q103" s="48" t="s">
        <v>1</v>
      </c>
      <c r="R103" s="48" t="s">
        <v>1</v>
      </c>
      <c r="S103" s="48" t="s">
        <v>1</v>
      </c>
      <c r="T103" s="48" t="s">
        <v>1</v>
      </c>
      <c r="U103" s="48" t="s">
        <v>1</v>
      </c>
      <c r="V103" s="92" t="s">
        <v>1</v>
      </c>
      <c r="W103" s="92">
        <v>901</v>
      </c>
      <c r="X103" s="92" t="s">
        <v>1</v>
      </c>
      <c r="Y103" s="92">
        <v>356</v>
      </c>
      <c r="Z103" s="92" t="s">
        <v>1</v>
      </c>
      <c r="AA103" s="236">
        <v>2.53</v>
      </c>
      <c r="AB103" s="92" t="s">
        <v>1</v>
      </c>
      <c r="AC103" s="92">
        <v>74.63</v>
      </c>
      <c r="AD103" s="92" t="s">
        <v>1</v>
      </c>
      <c r="AE103" s="92" t="s">
        <v>1</v>
      </c>
      <c r="AF103" s="92" t="s">
        <v>1</v>
      </c>
      <c r="AG103" s="92">
        <v>29</v>
      </c>
      <c r="AH103" s="125">
        <v>3591</v>
      </c>
      <c r="AI103" s="125">
        <v>338</v>
      </c>
      <c r="AJ103" s="125">
        <v>481</v>
      </c>
      <c r="AK103" s="125">
        <v>16</v>
      </c>
      <c r="AL103" s="125">
        <v>100</v>
      </c>
      <c r="AM103" s="125">
        <v>9</v>
      </c>
      <c r="AN103" s="125">
        <v>1234</v>
      </c>
      <c r="AO103" s="125">
        <v>8</v>
      </c>
      <c r="AP103" s="125">
        <v>1575</v>
      </c>
      <c r="AQ103" s="125">
        <v>139</v>
      </c>
      <c r="AR103" s="125">
        <v>405</v>
      </c>
      <c r="AS103" s="125">
        <v>60</v>
      </c>
      <c r="AT103" s="117" t="s">
        <v>1</v>
      </c>
      <c r="AU103" s="117" t="s">
        <v>1</v>
      </c>
      <c r="AV103" s="7">
        <v>0</v>
      </c>
      <c r="AW103" s="117" t="s">
        <v>1</v>
      </c>
      <c r="AX103" s="117" t="s">
        <v>1</v>
      </c>
      <c r="AY103" s="117" t="s">
        <v>1</v>
      </c>
      <c r="AZ103" s="7">
        <v>0</v>
      </c>
      <c r="BA103" s="117" t="s">
        <v>1</v>
      </c>
      <c r="BB103" s="117" t="s">
        <v>1</v>
      </c>
      <c r="BC103" s="117" t="s">
        <v>1</v>
      </c>
      <c r="BD103" s="117" t="s">
        <v>1</v>
      </c>
      <c r="BE103" s="117" t="s">
        <v>1</v>
      </c>
      <c r="BF103" s="117" t="s">
        <v>1</v>
      </c>
      <c r="BG103" s="217" t="s">
        <v>1</v>
      </c>
      <c r="BH103" s="217" t="s">
        <v>1</v>
      </c>
      <c r="BI103" s="18" t="s">
        <v>73</v>
      </c>
      <c r="BJ103" s="18">
        <v>63</v>
      </c>
      <c r="BK103" s="212">
        <v>1648</v>
      </c>
      <c r="BL103" s="18">
        <v>190</v>
      </c>
      <c r="BM103" s="18" t="s">
        <v>74</v>
      </c>
      <c r="BN103" s="18">
        <v>362</v>
      </c>
      <c r="BO103" s="18">
        <v>475</v>
      </c>
      <c r="BP103" s="18">
        <v>45</v>
      </c>
      <c r="BQ103" s="218" t="s">
        <v>1</v>
      </c>
      <c r="BR103" s="218" t="s">
        <v>1</v>
      </c>
      <c r="BS103" s="218" t="s">
        <v>1</v>
      </c>
      <c r="BT103" s="218" t="s">
        <v>1</v>
      </c>
      <c r="BU103" s="218" t="s">
        <v>1</v>
      </c>
      <c r="BV103" s="218" t="s">
        <v>1</v>
      </c>
      <c r="BW103" s="218" t="s">
        <v>1</v>
      </c>
      <c r="BX103" s="218" t="s">
        <v>1</v>
      </c>
      <c r="BY103" s="218" t="s">
        <v>1</v>
      </c>
      <c r="BZ103" s="218" t="s">
        <v>1</v>
      </c>
      <c r="CA103" s="218" t="s">
        <v>1</v>
      </c>
      <c r="CB103" s="218" t="s">
        <v>1</v>
      </c>
      <c r="CC103" s="218" t="s">
        <v>1</v>
      </c>
      <c r="CD103" s="218" t="s">
        <v>1</v>
      </c>
      <c r="CE103" s="218" t="s">
        <v>1</v>
      </c>
      <c r="CF103" s="117" t="s">
        <v>1</v>
      </c>
    </row>
    <row r="104" ht="25" customHeight="1" spans="1:84">
      <c r="A104" s="29">
        <v>45207</v>
      </c>
      <c r="B104" s="108" t="s">
        <v>125</v>
      </c>
      <c r="C104" s="7" t="s">
        <v>1</v>
      </c>
      <c r="D104" s="30" t="s">
        <v>1</v>
      </c>
      <c r="E104" s="30" t="s">
        <v>1</v>
      </c>
      <c r="F104" s="32" t="str">
        <f t="shared" si="2"/>
        <v/>
      </c>
      <c r="G104" s="48" t="s">
        <v>1</v>
      </c>
      <c r="H104" s="48" t="s">
        <v>1</v>
      </c>
      <c r="I104" s="48" t="s">
        <v>1</v>
      </c>
      <c r="J104" s="31" t="str">
        <f t="shared" si="3"/>
        <v/>
      </c>
      <c r="K104" s="246" t="str">
        <f>IFERROR(E104/#REF!,"")</f>
        <v/>
      </c>
      <c r="L104" s="172">
        <v>44767</v>
      </c>
      <c r="M104" s="204">
        <v>0</v>
      </c>
      <c r="N104" s="222" t="s">
        <v>1</v>
      </c>
      <c r="O104" s="32" t="s">
        <v>1</v>
      </c>
      <c r="P104" s="48" t="s">
        <v>1</v>
      </c>
      <c r="Q104" s="48" t="s">
        <v>1</v>
      </c>
      <c r="R104" s="48" t="s">
        <v>1</v>
      </c>
      <c r="S104" s="48" t="s">
        <v>1</v>
      </c>
      <c r="T104" s="48" t="s">
        <v>1</v>
      </c>
      <c r="U104" s="48" t="s">
        <v>1</v>
      </c>
      <c r="V104" s="92" t="s">
        <v>1</v>
      </c>
      <c r="W104" s="92">
        <v>1074</v>
      </c>
      <c r="X104" s="92" t="s">
        <v>1</v>
      </c>
      <c r="Y104" s="92">
        <v>417</v>
      </c>
      <c r="Z104" s="92" t="s">
        <v>1</v>
      </c>
      <c r="AA104" s="236">
        <v>2.58</v>
      </c>
      <c r="AB104" s="92" t="s">
        <v>1</v>
      </c>
      <c r="AC104" s="92">
        <v>89.95</v>
      </c>
      <c r="AD104" s="92" t="s">
        <v>1</v>
      </c>
      <c r="AE104" s="92" t="s">
        <v>1</v>
      </c>
      <c r="AF104" s="92" t="s">
        <v>1</v>
      </c>
      <c r="AG104" s="92">
        <v>29</v>
      </c>
      <c r="AH104" s="125">
        <v>3354</v>
      </c>
      <c r="AI104" s="125">
        <v>392</v>
      </c>
      <c r="AJ104" s="125">
        <v>512</v>
      </c>
      <c r="AK104" s="125">
        <v>9</v>
      </c>
      <c r="AL104" s="125">
        <v>109</v>
      </c>
      <c r="AM104" s="125">
        <v>11</v>
      </c>
      <c r="AN104" s="125">
        <v>1072</v>
      </c>
      <c r="AO104" s="125">
        <v>17</v>
      </c>
      <c r="AP104" s="125">
        <v>1563</v>
      </c>
      <c r="AQ104" s="125">
        <v>180</v>
      </c>
      <c r="AR104" s="125">
        <v>335</v>
      </c>
      <c r="AS104" s="125">
        <v>53</v>
      </c>
      <c r="AT104" s="117" t="s">
        <v>1</v>
      </c>
      <c r="AU104" s="117" t="s">
        <v>1</v>
      </c>
      <c r="AV104" s="7">
        <v>0</v>
      </c>
      <c r="AW104" s="117" t="s">
        <v>1</v>
      </c>
      <c r="AX104" s="117" t="s">
        <v>1</v>
      </c>
      <c r="AY104" s="117" t="s">
        <v>1</v>
      </c>
      <c r="AZ104" s="7">
        <v>0</v>
      </c>
      <c r="BA104" s="117" t="s">
        <v>1</v>
      </c>
      <c r="BB104" s="117" t="s">
        <v>1</v>
      </c>
      <c r="BC104" s="117" t="s">
        <v>1</v>
      </c>
      <c r="BD104" s="117" t="s">
        <v>1</v>
      </c>
      <c r="BE104" s="117" t="s">
        <v>1</v>
      </c>
      <c r="BF104" s="117" t="s">
        <v>1</v>
      </c>
      <c r="BG104" s="217" t="s">
        <v>1</v>
      </c>
      <c r="BH104" s="217" t="s">
        <v>1</v>
      </c>
      <c r="BI104" s="18" t="s">
        <v>73</v>
      </c>
      <c r="BJ104" s="18">
        <v>64</v>
      </c>
      <c r="BK104" s="212">
        <v>1553</v>
      </c>
      <c r="BL104" s="18">
        <v>442</v>
      </c>
      <c r="BM104" s="18" t="s">
        <v>74</v>
      </c>
      <c r="BN104" s="18">
        <v>377</v>
      </c>
      <c r="BO104" s="18">
        <v>450</v>
      </c>
      <c r="BP104" s="18">
        <v>100</v>
      </c>
      <c r="BQ104" s="218" t="s">
        <v>1</v>
      </c>
      <c r="BR104" s="218" t="s">
        <v>1</v>
      </c>
      <c r="BS104" s="218" t="s">
        <v>1</v>
      </c>
      <c r="BT104" s="218" t="s">
        <v>1</v>
      </c>
      <c r="BU104" s="218" t="s">
        <v>1</v>
      </c>
      <c r="BV104" s="218" t="s">
        <v>1</v>
      </c>
      <c r="BW104" s="218" t="s">
        <v>1</v>
      </c>
      <c r="BX104" s="218" t="s">
        <v>1</v>
      </c>
      <c r="BY104" s="218" t="s">
        <v>1</v>
      </c>
      <c r="BZ104" s="218" t="s">
        <v>1</v>
      </c>
      <c r="CA104" s="218" t="s">
        <v>1</v>
      </c>
      <c r="CB104" s="218" t="s">
        <v>1</v>
      </c>
      <c r="CC104" s="218" t="s">
        <v>1</v>
      </c>
      <c r="CD104" s="218" t="s">
        <v>1</v>
      </c>
      <c r="CE104" s="218" t="s">
        <v>1</v>
      </c>
      <c r="CF104" s="117" t="s">
        <v>1</v>
      </c>
    </row>
    <row r="105" ht="25" customHeight="1" spans="1:84">
      <c r="A105" s="29">
        <v>45208</v>
      </c>
      <c r="B105" s="108" t="s">
        <v>125</v>
      </c>
      <c r="C105" s="7" t="s">
        <v>1</v>
      </c>
      <c r="D105" s="30" t="s">
        <v>1</v>
      </c>
      <c r="E105" s="30" t="s">
        <v>1</v>
      </c>
      <c r="F105" s="32" t="str">
        <f t="shared" si="2"/>
        <v/>
      </c>
      <c r="G105" s="48" t="s">
        <v>1</v>
      </c>
      <c r="H105" s="48" t="s">
        <v>1</v>
      </c>
      <c r="I105" s="48" t="s">
        <v>1</v>
      </c>
      <c r="J105" s="31" t="str">
        <f t="shared" si="3"/>
        <v/>
      </c>
      <c r="K105" s="246" t="str">
        <f>IFERROR(E105/#REF!,"")</f>
        <v/>
      </c>
      <c r="L105" s="172">
        <v>57681</v>
      </c>
      <c r="M105" s="204">
        <v>0</v>
      </c>
      <c r="N105" s="222" t="s">
        <v>1</v>
      </c>
      <c r="O105" s="32" t="s">
        <v>1</v>
      </c>
      <c r="P105" s="48" t="s">
        <v>1</v>
      </c>
      <c r="Q105" s="48" t="s">
        <v>1</v>
      </c>
      <c r="R105" s="48" t="s">
        <v>1</v>
      </c>
      <c r="S105" s="48" t="s">
        <v>1</v>
      </c>
      <c r="T105" s="48" t="s">
        <v>1</v>
      </c>
      <c r="U105" s="48" t="s">
        <v>1</v>
      </c>
      <c r="V105" s="92" t="s">
        <v>1</v>
      </c>
      <c r="W105" s="92">
        <v>770</v>
      </c>
      <c r="X105" s="92" t="s">
        <v>1</v>
      </c>
      <c r="Y105" s="92">
        <v>346</v>
      </c>
      <c r="Z105" s="92" t="s">
        <v>1</v>
      </c>
      <c r="AA105" s="236">
        <v>2.23</v>
      </c>
      <c r="AB105" s="92" t="s">
        <v>1</v>
      </c>
      <c r="AC105" s="92">
        <v>51.01</v>
      </c>
      <c r="AD105" s="92" t="s">
        <v>1</v>
      </c>
      <c r="AE105" s="92" t="s">
        <v>1</v>
      </c>
      <c r="AF105" s="92" t="s">
        <v>1</v>
      </c>
      <c r="AG105" s="92">
        <v>15</v>
      </c>
      <c r="AH105" s="125" t="s">
        <v>1</v>
      </c>
      <c r="AI105" s="125">
        <v>330</v>
      </c>
      <c r="AJ105" s="125" t="s">
        <v>1</v>
      </c>
      <c r="AK105" s="125">
        <v>16</v>
      </c>
      <c r="AL105" s="125" t="s">
        <v>1</v>
      </c>
      <c r="AM105" s="125">
        <v>3</v>
      </c>
      <c r="AN105" s="125" t="s">
        <v>1</v>
      </c>
      <c r="AO105" s="125">
        <v>7</v>
      </c>
      <c r="AP105" s="125" t="s">
        <v>1</v>
      </c>
      <c r="AQ105" s="125">
        <v>125</v>
      </c>
      <c r="AR105" s="125" t="s">
        <v>1</v>
      </c>
      <c r="AS105" s="125">
        <v>39</v>
      </c>
      <c r="AT105" s="117" t="s">
        <v>1</v>
      </c>
      <c r="AU105" s="117" t="s">
        <v>1</v>
      </c>
      <c r="AV105" s="7">
        <v>0</v>
      </c>
      <c r="AW105" s="117" t="s">
        <v>1</v>
      </c>
      <c r="AX105" s="117" t="s">
        <v>1</v>
      </c>
      <c r="AY105" s="117" t="s">
        <v>1</v>
      </c>
      <c r="AZ105" s="7">
        <v>0</v>
      </c>
      <c r="BA105" s="117" t="s">
        <v>1</v>
      </c>
      <c r="BB105" s="117" t="s">
        <v>1</v>
      </c>
      <c r="BC105" s="117" t="s">
        <v>1</v>
      </c>
      <c r="BD105" s="117" t="s">
        <v>1</v>
      </c>
      <c r="BE105" s="117" t="s">
        <v>1</v>
      </c>
      <c r="BF105" s="117" t="s">
        <v>1</v>
      </c>
      <c r="BG105" s="217" t="s">
        <v>1</v>
      </c>
      <c r="BH105" s="217" t="s">
        <v>1</v>
      </c>
      <c r="BI105" s="18" t="s">
        <v>73</v>
      </c>
      <c r="BJ105" s="18">
        <v>66</v>
      </c>
      <c r="BK105" s="212">
        <v>1476</v>
      </c>
      <c r="BL105" s="18">
        <v>190</v>
      </c>
      <c r="BM105" s="18" t="s">
        <v>74</v>
      </c>
      <c r="BN105" s="18">
        <v>407</v>
      </c>
      <c r="BO105" s="18">
        <v>414</v>
      </c>
      <c r="BP105" s="18">
        <v>51</v>
      </c>
      <c r="BQ105" s="218" t="s">
        <v>1</v>
      </c>
      <c r="BR105" s="218" t="s">
        <v>1</v>
      </c>
      <c r="BS105" s="218" t="s">
        <v>1</v>
      </c>
      <c r="BT105" s="218" t="s">
        <v>1</v>
      </c>
      <c r="BU105" s="218" t="s">
        <v>1</v>
      </c>
      <c r="BV105" s="218" t="s">
        <v>1</v>
      </c>
      <c r="BW105" s="218" t="s">
        <v>1</v>
      </c>
      <c r="BX105" s="218" t="s">
        <v>1</v>
      </c>
      <c r="BY105" s="218" t="s">
        <v>1</v>
      </c>
      <c r="BZ105" s="218" t="s">
        <v>1</v>
      </c>
      <c r="CA105" s="218" t="s">
        <v>1</v>
      </c>
      <c r="CB105" s="218" t="s">
        <v>1</v>
      </c>
      <c r="CC105" s="218" t="s">
        <v>1</v>
      </c>
      <c r="CD105" s="218" t="s">
        <v>1</v>
      </c>
      <c r="CE105" s="218" t="s">
        <v>1</v>
      </c>
      <c r="CF105" s="117" t="s">
        <v>1</v>
      </c>
    </row>
    <row r="106" ht="25" customHeight="1" spans="1:84">
      <c r="A106" s="29">
        <v>45209</v>
      </c>
      <c r="B106" s="108" t="s">
        <v>125</v>
      </c>
      <c r="C106" s="7" t="s">
        <v>1</v>
      </c>
      <c r="D106" s="30" t="s">
        <v>1</v>
      </c>
      <c r="E106" s="30" t="s">
        <v>1</v>
      </c>
      <c r="F106" s="32" t="str">
        <f t="shared" si="2"/>
        <v/>
      </c>
      <c r="G106" s="48" t="s">
        <v>1</v>
      </c>
      <c r="H106" s="48" t="s">
        <v>1</v>
      </c>
      <c r="I106" s="48" t="s">
        <v>1</v>
      </c>
      <c r="J106" s="31" t="str">
        <f t="shared" si="3"/>
        <v/>
      </c>
      <c r="K106" s="246" t="str">
        <f>IFERROR(E106/#REF!,"")</f>
        <v/>
      </c>
      <c r="L106" s="30">
        <v>43619</v>
      </c>
      <c r="M106" s="204">
        <v>0</v>
      </c>
      <c r="N106" s="222" t="s">
        <v>1</v>
      </c>
      <c r="O106" s="32" t="s">
        <v>1</v>
      </c>
      <c r="P106" s="48" t="s">
        <v>1</v>
      </c>
      <c r="Q106" s="48" t="s">
        <v>1</v>
      </c>
      <c r="R106" s="48" t="s">
        <v>1</v>
      </c>
      <c r="S106" s="48" t="s">
        <v>1</v>
      </c>
      <c r="T106" s="48" t="s">
        <v>1</v>
      </c>
      <c r="U106" s="48" t="s">
        <v>1</v>
      </c>
      <c r="V106" s="92" t="s">
        <v>1</v>
      </c>
      <c r="W106" s="92">
        <v>792</v>
      </c>
      <c r="X106" s="92" t="s">
        <v>1</v>
      </c>
      <c r="Y106" s="92">
        <v>358</v>
      </c>
      <c r="Z106" s="92" t="s">
        <v>1</v>
      </c>
      <c r="AA106" s="236">
        <v>2.21</v>
      </c>
      <c r="AB106" s="92" t="s">
        <v>1</v>
      </c>
      <c r="AC106" s="92">
        <v>71.35</v>
      </c>
      <c r="AD106" s="92" t="s">
        <v>1</v>
      </c>
      <c r="AE106" s="92" t="s">
        <v>1</v>
      </c>
      <c r="AF106" s="92" t="s">
        <v>1</v>
      </c>
      <c r="AG106" s="92">
        <v>17</v>
      </c>
      <c r="AH106" s="125" t="s">
        <v>1</v>
      </c>
      <c r="AI106" s="125">
        <v>336</v>
      </c>
      <c r="AJ106" s="125" t="s">
        <v>1</v>
      </c>
      <c r="AK106" s="125">
        <v>19</v>
      </c>
      <c r="AL106" s="125" t="s">
        <v>1</v>
      </c>
      <c r="AM106" s="125">
        <v>6</v>
      </c>
      <c r="AN106" s="125" t="s">
        <v>1</v>
      </c>
      <c r="AO106" s="125">
        <v>10</v>
      </c>
      <c r="AP106" s="125" t="s">
        <v>1</v>
      </c>
      <c r="AQ106" s="125">
        <v>158</v>
      </c>
      <c r="AR106" s="125" t="s">
        <v>1</v>
      </c>
      <c r="AS106" s="125">
        <v>34</v>
      </c>
      <c r="AT106" s="117" t="s">
        <v>1</v>
      </c>
      <c r="AU106" s="117" t="s">
        <v>1</v>
      </c>
      <c r="AV106" s="7">
        <v>0</v>
      </c>
      <c r="AW106" s="117" t="s">
        <v>1</v>
      </c>
      <c r="AX106" s="117" t="s">
        <v>1</v>
      </c>
      <c r="AY106" s="117" t="s">
        <v>1</v>
      </c>
      <c r="AZ106" s="7">
        <v>0</v>
      </c>
      <c r="BA106" s="117" t="s">
        <v>1</v>
      </c>
      <c r="BB106" s="117" t="s">
        <v>1</v>
      </c>
      <c r="BC106" s="117" t="s">
        <v>1</v>
      </c>
      <c r="BD106" s="117" t="s">
        <v>1</v>
      </c>
      <c r="BE106" s="117" t="s">
        <v>1</v>
      </c>
      <c r="BF106" s="117" t="s">
        <v>1</v>
      </c>
      <c r="BG106" s="217" t="s">
        <v>1</v>
      </c>
      <c r="BH106" s="217" t="s">
        <v>1</v>
      </c>
      <c r="BI106" s="18" t="s">
        <v>73</v>
      </c>
      <c r="BJ106" s="18">
        <v>70</v>
      </c>
      <c r="BK106" s="212">
        <v>1197</v>
      </c>
      <c r="BL106" s="18">
        <v>160</v>
      </c>
      <c r="BM106" s="18" t="s">
        <v>74</v>
      </c>
      <c r="BN106" s="18">
        <v>428</v>
      </c>
      <c r="BO106" s="18">
        <v>367</v>
      </c>
      <c r="BP106" s="18">
        <v>40</v>
      </c>
      <c r="BQ106" s="218" t="s">
        <v>1</v>
      </c>
      <c r="BR106" s="218" t="s">
        <v>1</v>
      </c>
      <c r="BS106" s="218" t="s">
        <v>1</v>
      </c>
      <c r="BT106" s="218" t="s">
        <v>1</v>
      </c>
      <c r="BU106" s="218" t="s">
        <v>1</v>
      </c>
      <c r="BV106" s="218" t="s">
        <v>1</v>
      </c>
      <c r="BW106" s="218" t="s">
        <v>1</v>
      </c>
      <c r="BX106" s="218" t="s">
        <v>1</v>
      </c>
      <c r="BY106" s="218" t="s">
        <v>1</v>
      </c>
      <c r="BZ106" s="218" t="s">
        <v>1</v>
      </c>
      <c r="CA106" s="218" t="s">
        <v>1</v>
      </c>
      <c r="CB106" s="218" t="s">
        <v>1</v>
      </c>
      <c r="CC106" s="218" t="s">
        <v>1</v>
      </c>
      <c r="CD106" s="218" t="s">
        <v>1</v>
      </c>
      <c r="CE106" s="218" t="s">
        <v>1</v>
      </c>
      <c r="CF106" s="117" t="s">
        <v>1</v>
      </c>
    </row>
    <row r="107" ht="25" customHeight="1" spans="1:84">
      <c r="A107" s="29">
        <v>45210</v>
      </c>
      <c r="B107" s="108" t="s">
        <v>125</v>
      </c>
      <c r="C107" s="7" t="s">
        <v>1</v>
      </c>
      <c r="D107" s="30" t="s">
        <v>1</v>
      </c>
      <c r="E107" s="30" t="s">
        <v>1</v>
      </c>
      <c r="F107" s="32" t="str">
        <f t="shared" si="2"/>
        <v/>
      </c>
      <c r="G107" s="48" t="s">
        <v>1</v>
      </c>
      <c r="H107" s="48" t="s">
        <v>1</v>
      </c>
      <c r="I107" s="48" t="s">
        <v>1</v>
      </c>
      <c r="J107" s="31" t="str">
        <f t="shared" si="3"/>
        <v/>
      </c>
      <c r="K107" s="31" t="str">
        <f>IFERROR(E107/#REF!,"")</f>
        <v/>
      </c>
      <c r="L107" s="220">
        <v>54256.03</v>
      </c>
      <c r="M107" s="30">
        <v>3199</v>
      </c>
      <c r="N107" s="222" t="s">
        <v>1</v>
      </c>
      <c r="O107" s="32" t="s">
        <v>1</v>
      </c>
      <c r="P107" s="48" t="s">
        <v>1</v>
      </c>
      <c r="Q107" s="48" t="s">
        <v>1</v>
      </c>
      <c r="R107" s="48" t="s">
        <v>1</v>
      </c>
      <c r="S107" s="48" t="s">
        <v>1</v>
      </c>
      <c r="T107" s="48" t="s">
        <v>1</v>
      </c>
      <c r="U107" s="48" t="s">
        <v>1</v>
      </c>
      <c r="V107" s="92" t="s">
        <v>1</v>
      </c>
      <c r="W107" s="92">
        <v>764</v>
      </c>
      <c r="X107" s="92" t="s">
        <v>1</v>
      </c>
      <c r="Y107" s="92">
        <v>328</v>
      </c>
      <c r="Z107" s="92" t="s">
        <v>1</v>
      </c>
      <c r="AA107" s="236">
        <v>2.33</v>
      </c>
      <c r="AB107" s="92" t="s">
        <v>1</v>
      </c>
      <c r="AC107" s="92">
        <v>64.1</v>
      </c>
      <c r="AD107" s="92" t="s">
        <v>1</v>
      </c>
      <c r="AE107" s="92" t="s">
        <v>1</v>
      </c>
      <c r="AF107" s="92" t="s">
        <v>1</v>
      </c>
      <c r="AG107" s="92">
        <v>24</v>
      </c>
      <c r="AH107" s="125" t="s">
        <v>1</v>
      </c>
      <c r="AI107" s="125">
        <v>295</v>
      </c>
      <c r="AJ107" s="125" t="s">
        <v>1</v>
      </c>
      <c r="AK107" s="125">
        <v>20</v>
      </c>
      <c r="AL107" s="125" t="s">
        <v>1</v>
      </c>
      <c r="AM107" s="125">
        <v>24</v>
      </c>
      <c r="AN107" s="125" t="s">
        <v>1</v>
      </c>
      <c r="AO107" s="125">
        <v>6</v>
      </c>
      <c r="AP107" s="125" t="s">
        <v>1</v>
      </c>
      <c r="AQ107" s="125">
        <v>131</v>
      </c>
      <c r="AR107" s="125" t="s">
        <v>1</v>
      </c>
      <c r="AS107" s="125">
        <v>37</v>
      </c>
      <c r="AT107" s="117" t="s">
        <v>1</v>
      </c>
      <c r="AU107" s="117" t="s">
        <v>1</v>
      </c>
      <c r="AV107" s="7">
        <v>0</v>
      </c>
      <c r="AW107" s="117" t="s">
        <v>1</v>
      </c>
      <c r="AX107" s="117" t="s">
        <v>1</v>
      </c>
      <c r="AY107" s="117" t="s">
        <v>1</v>
      </c>
      <c r="AZ107" s="7">
        <v>0</v>
      </c>
      <c r="BA107" s="117" t="s">
        <v>1</v>
      </c>
      <c r="BB107" s="117" t="s">
        <v>1</v>
      </c>
      <c r="BC107" s="117" t="s">
        <v>1</v>
      </c>
      <c r="BD107" s="117" t="s">
        <v>1</v>
      </c>
      <c r="BE107" s="117" t="s">
        <v>1</v>
      </c>
      <c r="BF107" s="117" t="s">
        <v>1</v>
      </c>
      <c r="BG107" s="217" t="s">
        <v>1</v>
      </c>
      <c r="BH107" s="217" t="s">
        <v>1</v>
      </c>
      <c r="BI107" s="18" t="s">
        <v>73</v>
      </c>
      <c r="BJ107" s="18">
        <v>61</v>
      </c>
      <c r="BK107" s="212">
        <v>1329</v>
      </c>
      <c r="BL107" s="18">
        <v>144</v>
      </c>
      <c r="BM107" s="18" t="s">
        <v>74</v>
      </c>
      <c r="BN107" s="18">
        <v>467</v>
      </c>
      <c r="BO107" s="18">
        <v>355</v>
      </c>
      <c r="BP107" s="18">
        <v>54</v>
      </c>
      <c r="BQ107" s="218" t="s">
        <v>1</v>
      </c>
      <c r="BR107" s="218" t="s">
        <v>1</v>
      </c>
      <c r="BS107" s="218" t="s">
        <v>1</v>
      </c>
      <c r="BT107" s="218" t="s">
        <v>1</v>
      </c>
      <c r="BU107" s="218" t="s">
        <v>1</v>
      </c>
      <c r="BV107" s="218" t="s">
        <v>1</v>
      </c>
      <c r="BW107" s="218" t="s">
        <v>1</v>
      </c>
      <c r="BX107" s="218" t="s">
        <v>1</v>
      </c>
      <c r="BY107" s="218" t="s">
        <v>1</v>
      </c>
      <c r="BZ107" s="218" t="s">
        <v>1</v>
      </c>
      <c r="CA107" s="218" t="s">
        <v>1</v>
      </c>
      <c r="CB107" s="218" t="s">
        <v>1</v>
      </c>
      <c r="CC107" s="218" t="s">
        <v>1</v>
      </c>
      <c r="CD107" s="218" t="s">
        <v>1</v>
      </c>
      <c r="CE107" s="218" t="s">
        <v>1</v>
      </c>
      <c r="CF107" s="117" t="s">
        <v>1</v>
      </c>
    </row>
    <row r="108" ht="25" customHeight="1" spans="1:84">
      <c r="A108" s="29">
        <v>45211</v>
      </c>
      <c r="B108" s="108" t="s">
        <v>125</v>
      </c>
      <c r="C108" s="7" t="s">
        <v>1</v>
      </c>
      <c r="D108" s="30" t="s">
        <v>1</v>
      </c>
      <c r="E108" s="30" t="s">
        <v>1</v>
      </c>
      <c r="F108" s="32" t="str">
        <f t="shared" si="2"/>
        <v/>
      </c>
      <c r="G108" s="48" t="s">
        <v>1</v>
      </c>
      <c r="H108" s="48" t="s">
        <v>1</v>
      </c>
      <c r="I108" s="48" t="s">
        <v>1</v>
      </c>
      <c r="J108" s="31" t="str">
        <f t="shared" si="3"/>
        <v/>
      </c>
      <c r="K108" s="246" t="str">
        <f>IFERROR(E108/#REF!,"")</f>
        <v/>
      </c>
      <c r="L108" s="172">
        <v>53016</v>
      </c>
      <c r="M108" s="204">
        <v>0</v>
      </c>
      <c r="N108" s="222" t="s">
        <v>1</v>
      </c>
      <c r="O108" s="32" t="s">
        <v>1</v>
      </c>
      <c r="P108" s="48" t="s">
        <v>1</v>
      </c>
      <c r="Q108" s="48" t="s">
        <v>1</v>
      </c>
      <c r="R108" s="48" t="s">
        <v>1</v>
      </c>
      <c r="S108" s="48" t="s">
        <v>1</v>
      </c>
      <c r="T108" s="48" t="s">
        <v>1</v>
      </c>
      <c r="U108" s="48" t="s">
        <v>1</v>
      </c>
      <c r="V108" s="92" t="s">
        <v>1</v>
      </c>
      <c r="W108" s="92">
        <v>974</v>
      </c>
      <c r="X108" s="92" t="s">
        <v>1</v>
      </c>
      <c r="Y108" s="92">
        <v>356</v>
      </c>
      <c r="Z108" s="92" t="s">
        <v>1</v>
      </c>
      <c r="AA108" s="236">
        <v>2.74</v>
      </c>
      <c r="AB108" s="92" t="s">
        <v>1</v>
      </c>
      <c r="AC108" s="92">
        <v>77.77</v>
      </c>
      <c r="AD108" s="92" t="s">
        <v>1</v>
      </c>
      <c r="AE108" s="92" t="s">
        <v>1</v>
      </c>
      <c r="AF108" s="92" t="s">
        <v>1</v>
      </c>
      <c r="AG108" s="92">
        <v>22</v>
      </c>
      <c r="AH108" s="125" t="s">
        <v>1</v>
      </c>
      <c r="AI108" s="125">
        <v>336</v>
      </c>
      <c r="AJ108" s="125" t="s">
        <v>1</v>
      </c>
      <c r="AK108" s="125">
        <v>13</v>
      </c>
      <c r="AL108" s="125" t="s">
        <v>1</v>
      </c>
      <c r="AM108" s="125">
        <v>14</v>
      </c>
      <c r="AN108" s="125" t="s">
        <v>1</v>
      </c>
      <c r="AO108" s="125">
        <v>7</v>
      </c>
      <c r="AP108" s="125" t="s">
        <v>1</v>
      </c>
      <c r="AQ108" s="125">
        <v>147</v>
      </c>
      <c r="AR108" s="125" t="s">
        <v>1</v>
      </c>
      <c r="AS108" s="125">
        <v>32</v>
      </c>
      <c r="AT108" s="117" t="s">
        <v>1</v>
      </c>
      <c r="AU108" s="117" t="s">
        <v>1</v>
      </c>
      <c r="AV108" s="7">
        <v>0</v>
      </c>
      <c r="AW108" s="117" t="s">
        <v>1</v>
      </c>
      <c r="AX108" s="117" t="s">
        <v>1</v>
      </c>
      <c r="AY108" s="117" t="s">
        <v>1</v>
      </c>
      <c r="AZ108" s="7">
        <v>0</v>
      </c>
      <c r="BA108" s="117" t="s">
        <v>1</v>
      </c>
      <c r="BB108" s="117" t="s">
        <v>1</v>
      </c>
      <c r="BC108" s="117" t="s">
        <v>1</v>
      </c>
      <c r="BD108" s="117" t="s">
        <v>1</v>
      </c>
      <c r="BE108" s="117" t="s">
        <v>1</v>
      </c>
      <c r="BF108" s="117" t="s">
        <v>1</v>
      </c>
      <c r="BG108" s="217" t="s">
        <v>1</v>
      </c>
      <c r="BH108" s="217" t="s">
        <v>1</v>
      </c>
      <c r="BI108" s="18" t="s">
        <v>73</v>
      </c>
      <c r="BJ108" s="18">
        <v>80</v>
      </c>
      <c r="BK108" s="212">
        <v>960</v>
      </c>
      <c r="BL108" s="18">
        <v>179</v>
      </c>
      <c r="BM108" s="18" t="s">
        <v>74</v>
      </c>
      <c r="BN108" s="18">
        <v>590</v>
      </c>
      <c r="BO108" s="18">
        <v>240</v>
      </c>
      <c r="BP108" s="18">
        <v>49</v>
      </c>
      <c r="BQ108" s="218" t="s">
        <v>1</v>
      </c>
      <c r="BR108" s="218" t="s">
        <v>1</v>
      </c>
      <c r="BS108" s="218" t="s">
        <v>1</v>
      </c>
      <c r="BT108" s="218" t="s">
        <v>1</v>
      </c>
      <c r="BU108" s="218" t="s">
        <v>1</v>
      </c>
      <c r="BV108" s="218" t="s">
        <v>1</v>
      </c>
      <c r="BW108" s="218" t="s">
        <v>1</v>
      </c>
      <c r="BX108" s="218" t="s">
        <v>1</v>
      </c>
      <c r="BY108" s="218" t="s">
        <v>1</v>
      </c>
      <c r="BZ108" s="218" t="s">
        <v>1</v>
      </c>
      <c r="CA108" s="218" t="s">
        <v>1</v>
      </c>
      <c r="CB108" s="218" t="s">
        <v>1</v>
      </c>
      <c r="CC108" s="218" t="s">
        <v>1</v>
      </c>
      <c r="CD108" s="218" t="s">
        <v>1</v>
      </c>
      <c r="CE108" s="218" t="s">
        <v>1</v>
      </c>
      <c r="CF108" s="117" t="s">
        <v>1</v>
      </c>
    </row>
    <row r="109" ht="25" customHeight="1" spans="1:84">
      <c r="A109" s="29">
        <v>45212</v>
      </c>
      <c r="B109" s="108" t="s">
        <v>125</v>
      </c>
      <c r="C109" s="7" t="s">
        <v>1</v>
      </c>
      <c r="D109" s="30" t="s">
        <v>1</v>
      </c>
      <c r="E109" s="30" t="s">
        <v>1</v>
      </c>
      <c r="F109" s="32" t="str">
        <f t="shared" si="2"/>
        <v/>
      </c>
      <c r="G109" s="48" t="s">
        <v>1</v>
      </c>
      <c r="H109" s="48" t="s">
        <v>1</v>
      </c>
      <c r="I109" s="48" t="s">
        <v>1</v>
      </c>
      <c r="J109" s="31" t="str">
        <f t="shared" si="3"/>
        <v/>
      </c>
      <c r="K109" s="246" t="str">
        <f>IFERROR(E109/#REF!,"")</f>
        <v/>
      </c>
      <c r="L109" s="30">
        <v>45667</v>
      </c>
      <c r="M109" s="204">
        <v>0</v>
      </c>
      <c r="N109" s="222" t="s">
        <v>1</v>
      </c>
      <c r="O109" s="32" t="s">
        <v>1</v>
      </c>
      <c r="P109" s="48" t="s">
        <v>1</v>
      </c>
      <c r="Q109" s="48" t="s">
        <v>1</v>
      </c>
      <c r="R109" s="48" t="s">
        <v>1</v>
      </c>
      <c r="S109" s="48" t="s">
        <v>1</v>
      </c>
      <c r="T109" s="48" t="s">
        <v>1</v>
      </c>
      <c r="U109" s="48" t="s">
        <v>1</v>
      </c>
      <c r="V109" s="92" t="s">
        <v>1</v>
      </c>
      <c r="W109" s="92">
        <v>804</v>
      </c>
      <c r="X109" s="92" t="s">
        <v>1</v>
      </c>
      <c r="Y109" s="92">
        <v>300</v>
      </c>
      <c r="Z109" s="92" t="s">
        <v>1</v>
      </c>
      <c r="AA109" s="236">
        <v>2.68</v>
      </c>
      <c r="AB109" s="92" t="s">
        <v>1</v>
      </c>
      <c r="AC109" s="92">
        <v>71.03</v>
      </c>
      <c r="AD109" s="92" t="s">
        <v>1</v>
      </c>
      <c r="AE109" s="92" t="s">
        <v>1</v>
      </c>
      <c r="AF109" s="92" t="s">
        <v>1</v>
      </c>
      <c r="AG109" s="92">
        <v>13</v>
      </c>
      <c r="AH109" s="125" t="s">
        <v>1</v>
      </c>
      <c r="AI109" s="125">
        <v>280</v>
      </c>
      <c r="AJ109" s="125" t="s">
        <v>1</v>
      </c>
      <c r="AK109" s="125">
        <v>19</v>
      </c>
      <c r="AL109" s="125" t="s">
        <v>1</v>
      </c>
      <c r="AM109" s="125">
        <v>6</v>
      </c>
      <c r="AN109" s="125" t="s">
        <v>1</v>
      </c>
      <c r="AO109" s="125">
        <v>3</v>
      </c>
      <c r="AP109" s="125" t="s">
        <v>1</v>
      </c>
      <c r="AQ109" s="125">
        <v>118</v>
      </c>
      <c r="AR109" s="125" t="s">
        <v>1</v>
      </c>
      <c r="AS109" s="125">
        <v>24</v>
      </c>
      <c r="AT109" s="117" t="s">
        <v>1</v>
      </c>
      <c r="AU109" s="117" t="s">
        <v>1</v>
      </c>
      <c r="AV109" s="7">
        <v>0</v>
      </c>
      <c r="AW109" s="117" t="s">
        <v>1</v>
      </c>
      <c r="AX109" s="117" t="s">
        <v>1</v>
      </c>
      <c r="AY109" s="117" t="s">
        <v>1</v>
      </c>
      <c r="AZ109" s="7">
        <v>0</v>
      </c>
      <c r="BA109" s="117" t="s">
        <v>1</v>
      </c>
      <c r="BB109" s="117" t="s">
        <v>1</v>
      </c>
      <c r="BC109" s="117" t="s">
        <v>1</v>
      </c>
      <c r="BD109" s="117" t="s">
        <v>1</v>
      </c>
      <c r="BE109" s="117" t="s">
        <v>1</v>
      </c>
      <c r="BF109" s="117" t="s">
        <v>1</v>
      </c>
      <c r="BG109" s="217" t="s">
        <v>1</v>
      </c>
      <c r="BH109" s="217" t="s">
        <v>1</v>
      </c>
      <c r="BI109" s="18" t="s">
        <v>73</v>
      </c>
      <c r="BJ109" s="18">
        <v>73</v>
      </c>
      <c r="BK109" s="212">
        <v>985</v>
      </c>
      <c r="BL109" s="18">
        <v>185</v>
      </c>
      <c r="BM109" s="18" t="s">
        <v>74</v>
      </c>
      <c r="BN109" s="18">
        <v>425</v>
      </c>
      <c r="BO109" s="18">
        <v>339</v>
      </c>
      <c r="BP109" s="18">
        <v>53</v>
      </c>
      <c r="BQ109" s="218" t="s">
        <v>1</v>
      </c>
      <c r="BR109" s="218" t="s">
        <v>1</v>
      </c>
      <c r="BS109" s="218" t="s">
        <v>1</v>
      </c>
      <c r="BT109" s="218" t="s">
        <v>1</v>
      </c>
      <c r="BU109" s="218" t="s">
        <v>1</v>
      </c>
      <c r="BV109" s="218" t="s">
        <v>1</v>
      </c>
      <c r="BW109" s="218" t="s">
        <v>1</v>
      </c>
      <c r="BX109" s="218" t="s">
        <v>1</v>
      </c>
      <c r="BY109" s="218" t="s">
        <v>1</v>
      </c>
      <c r="BZ109" s="218" t="s">
        <v>1</v>
      </c>
      <c r="CA109" s="218" t="s">
        <v>1</v>
      </c>
      <c r="CB109" s="218" t="s">
        <v>1</v>
      </c>
      <c r="CC109" s="218" t="s">
        <v>1</v>
      </c>
      <c r="CD109" s="218" t="s">
        <v>1</v>
      </c>
      <c r="CE109" s="218" t="s">
        <v>1</v>
      </c>
      <c r="CF109" s="117" t="s">
        <v>1</v>
      </c>
    </row>
    <row r="110" ht="25" customHeight="1" spans="1:84">
      <c r="A110" s="29">
        <v>45213</v>
      </c>
      <c r="B110" s="7" t="s">
        <v>125</v>
      </c>
      <c r="C110" s="7" t="s">
        <v>1</v>
      </c>
      <c r="D110" s="30" t="s">
        <v>1</v>
      </c>
      <c r="E110" s="30" t="s">
        <v>1</v>
      </c>
      <c r="F110" s="32" t="str">
        <f t="shared" si="2"/>
        <v/>
      </c>
      <c r="G110" s="48" t="s">
        <v>1</v>
      </c>
      <c r="H110" s="48" t="s">
        <v>1</v>
      </c>
      <c r="I110" s="48" t="s">
        <v>1</v>
      </c>
      <c r="J110" s="31" t="str">
        <f t="shared" si="3"/>
        <v/>
      </c>
      <c r="K110" s="246" t="str">
        <f>IFERROR(E110/#REF!,"")</f>
        <v/>
      </c>
      <c r="L110" s="30">
        <v>52865</v>
      </c>
      <c r="M110" s="204">
        <v>11697</v>
      </c>
      <c r="N110" s="222" t="s">
        <v>1</v>
      </c>
      <c r="O110" s="32" t="s">
        <v>1</v>
      </c>
      <c r="P110" s="48" t="s">
        <v>1</v>
      </c>
      <c r="Q110" s="48" t="s">
        <v>1</v>
      </c>
      <c r="R110" s="48" t="s">
        <v>1</v>
      </c>
      <c r="S110" s="48" t="s">
        <v>1</v>
      </c>
      <c r="T110" s="48" t="s">
        <v>1</v>
      </c>
      <c r="U110" s="48" t="s">
        <v>1</v>
      </c>
      <c r="V110" s="92" t="s">
        <v>1</v>
      </c>
      <c r="W110" s="92">
        <v>1503</v>
      </c>
      <c r="X110" s="92" t="s">
        <v>1</v>
      </c>
      <c r="Y110" s="92">
        <v>432</v>
      </c>
      <c r="Z110" s="92" t="s">
        <v>1</v>
      </c>
      <c r="AA110" s="236">
        <v>3.48</v>
      </c>
      <c r="AB110" s="92" t="s">
        <v>1</v>
      </c>
      <c r="AC110" s="92">
        <v>96.86</v>
      </c>
      <c r="AD110" s="92" t="s">
        <v>1</v>
      </c>
      <c r="AE110" s="92" t="s">
        <v>1</v>
      </c>
      <c r="AF110" s="92" t="s">
        <v>1</v>
      </c>
      <c r="AG110" s="92">
        <v>32</v>
      </c>
      <c r="AH110" s="125" t="s">
        <v>1</v>
      </c>
      <c r="AI110" s="125">
        <v>411</v>
      </c>
      <c r="AJ110" s="125" t="s">
        <v>1</v>
      </c>
      <c r="AK110" s="125">
        <v>14</v>
      </c>
      <c r="AL110" s="125" t="s">
        <v>1</v>
      </c>
      <c r="AM110" s="125">
        <v>14</v>
      </c>
      <c r="AN110" s="125" t="s">
        <v>1</v>
      </c>
      <c r="AO110" s="125">
        <v>7</v>
      </c>
      <c r="AP110" s="125" t="s">
        <v>1</v>
      </c>
      <c r="AQ110" s="125">
        <v>172</v>
      </c>
      <c r="AR110" s="125" t="s">
        <v>1</v>
      </c>
      <c r="AS110" s="125">
        <v>67</v>
      </c>
      <c r="AT110" s="117" t="s">
        <v>1</v>
      </c>
      <c r="AU110" s="117" t="s">
        <v>1</v>
      </c>
      <c r="AV110" s="7">
        <v>0</v>
      </c>
      <c r="AW110" s="117" t="s">
        <v>1</v>
      </c>
      <c r="AX110" s="117" t="s">
        <v>1</v>
      </c>
      <c r="AY110" s="117" t="s">
        <v>1</v>
      </c>
      <c r="AZ110" s="7">
        <v>0</v>
      </c>
      <c r="BA110" s="117" t="s">
        <v>1</v>
      </c>
      <c r="BB110" s="117" t="s">
        <v>1</v>
      </c>
      <c r="BC110" s="117" t="s">
        <v>1</v>
      </c>
      <c r="BD110" s="117" t="s">
        <v>1</v>
      </c>
      <c r="BE110" s="117" t="s">
        <v>1</v>
      </c>
      <c r="BF110" s="117" t="s">
        <v>1</v>
      </c>
      <c r="BG110" s="217" t="s">
        <v>1</v>
      </c>
      <c r="BH110" s="217" t="s">
        <v>1</v>
      </c>
      <c r="BI110" s="18" t="s">
        <v>73</v>
      </c>
      <c r="BJ110" s="18">
        <v>78</v>
      </c>
      <c r="BK110" s="212">
        <v>1022</v>
      </c>
      <c r="BL110" s="18">
        <v>259</v>
      </c>
      <c r="BM110" s="18" t="s">
        <v>74</v>
      </c>
      <c r="BN110" s="18">
        <v>510</v>
      </c>
      <c r="BO110" s="18">
        <v>288</v>
      </c>
      <c r="BP110" s="18">
        <v>107</v>
      </c>
      <c r="BQ110" s="218" t="s">
        <v>1</v>
      </c>
      <c r="BR110" s="218" t="s">
        <v>1</v>
      </c>
      <c r="BS110" s="218" t="s">
        <v>1</v>
      </c>
      <c r="BT110" s="218" t="s">
        <v>1</v>
      </c>
      <c r="BU110" s="218" t="s">
        <v>1</v>
      </c>
      <c r="BV110" s="218" t="s">
        <v>1</v>
      </c>
      <c r="BW110" s="218" t="s">
        <v>1</v>
      </c>
      <c r="BX110" s="218" t="s">
        <v>1</v>
      </c>
      <c r="BY110" s="218" t="s">
        <v>1</v>
      </c>
      <c r="BZ110" s="218" t="s">
        <v>1</v>
      </c>
      <c r="CA110" s="218" t="s">
        <v>1</v>
      </c>
      <c r="CB110" s="218" t="s">
        <v>1</v>
      </c>
      <c r="CC110" s="218" t="s">
        <v>1</v>
      </c>
      <c r="CD110" s="218" t="s">
        <v>1</v>
      </c>
      <c r="CE110" s="218" t="s">
        <v>1</v>
      </c>
      <c r="CF110" s="117" t="s">
        <v>1</v>
      </c>
    </row>
    <row r="111" ht="25" customHeight="1" spans="1:84">
      <c r="A111" s="29">
        <v>45214</v>
      </c>
      <c r="B111" s="7" t="s">
        <v>125</v>
      </c>
      <c r="C111" s="7" t="s">
        <v>1</v>
      </c>
      <c r="D111" s="30" t="s">
        <v>1</v>
      </c>
      <c r="E111" s="30" t="s">
        <v>1</v>
      </c>
      <c r="F111" s="32" t="str">
        <f t="shared" si="2"/>
        <v/>
      </c>
      <c r="G111" s="48" t="s">
        <v>1</v>
      </c>
      <c r="H111" s="48" t="s">
        <v>1</v>
      </c>
      <c r="I111" s="48" t="s">
        <v>1</v>
      </c>
      <c r="J111" s="31" t="str">
        <f t="shared" si="3"/>
        <v/>
      </c>
      <c r="K111" s="246" t="str">
        <f>IFERROR(E111/#REF!,"")</f>
        <v/>
      </c>
      <c r="L111" s="172">
        <v>28944</v>
      </c>
      <c r="M111" s="204">
        <v>10697</v>
      </c>
      <c r="N111" s="222" t="s">
        <v>1</v>
      </c>
      <c r="O111" s="32" t="s">
        <v>1</v>
      </c>
      <c r="P111" s="48" t="s">
        <v>1</v>
      </c>
      <c r="Q111" s="48" t="s">
        <v>1</v>
      </c>
      <c r="R111" s="48" t="s">
        <v>1</v>
      </c>
      <c r="S111" s="48" t="s">
        <v>1</v>
      </c>
      <c r="T111" s="48" t="s">
        <v>1</v>
      </c>
      <c r="U111" s="48" t="s">
        <v>1</v>
      </c>
      <c r="V111" s="92" t="s">
        <v>1</v>
      </c>
      <c r="W111" s="92">
        <v>1341</v>
      </c>
      <c r="X111" s="92" t="s">
        <v>1</v>
      </c>
      <c r="Y111" s="92">
        <v>440</v>
      </c>
      <c r="Z111" s="92" t="s">
        <v>1</v>
      </c>
      <c r="AA111" s="236">
        <v>3.05</v>
      </c>
      <c r="AB111" s="92" t="s">
        <v>1</v>
      </c>
      <c r="AC111" s="92">
        <v>65.71</v>
      </c>
      <c r="AD111" s="92" t="s">
        <v>1</v>
      </c>
      <c r="AE111" s="92" t="s">
        <v>1</v>
      </c>
      <c r="AF111" s="92" t="s">
        <v>1</v>
      </c>
      <c r="AG111" s="92">
        <v>33</v>
      </c>
      <c r="AH111" s="125" t="s">
        <v>1</v>
      </c>
      <c r="AI111" s="125">
        <v>424</v>
      </c>
      <c r="AJ111" s="125" t="s">
        <v>1</v>
      </c>
      <c r="AK111" s="125">
        <v>21</v>
      </c>
      <c r="AL111" s="125" t="s">
        <v>1</v>
      </c>
      <c r="AM111" s="125">
        <v>8</v>
      </c>
      <c r="AN111" s="125" t="s">
        <v>1</v>
      </c>
      <c r="AO111" s="125">
        <v>2</v>
      </c>
      <c r="AP111" s="125" t="s">
        <v>1</v>
      </c>
      <c r="AQ111" s="125">
        <v>199</v>
      </c>
      <c r="AR111" s="125" t="s">
        <v>1</v>
      </c>
      <c r="AS111" s="125">
        <v>39</v>
      </c>
      <c r="AT111" s="117" t="s">
        <v>1</v>
      </c>
      <c r="AU111" s="117" t="s">
        <v>1</v>
      </c>
      <c r="AV111" s="7">
        <v>0</v>
      </c>
      <c r="AW111" s="117" t="s">
        <v>1</v>
      </c>
      <c r="AX111" s="117" t="s">
        <v>1</v>
      </c>
      <c r="AY111" s="117" t="s">
        <v>1</v>
      </c>
      <c r="AZ111" s="7">
        <v>0</v>
      </c>
      <c r="BA111" s="117" t="s">
        <v>1</v>
      </c>
      <c r="BB111" s="117" t="s">
        <v>1</v>
      </c>
      <c r="BC111" s="117" t="s">
        <v>1</v>
      </c>
      <c r="BD111" s="117" t="s">
        <v>1</v>
      </c>
      <c r="BE111" s="117" t="s">
        <v>1</v>
      </c>
      <c r="BF111" s="117" t="s">
        <v>1</v>
      </c>
      <c r="BG111" s="217" t="s">
        <v>1</v>
      </c>
      <c r="BH111" s="217" t="s">
        <v>1</v>
      </c>
      <c r="BI111" s="18" t="s">
        <v>73</v>
      </c>
      <c r="BJ111" s="18">
        <v>85</v>
      </c>
      <c r="BK111" s="212">
        <v>1074</v>
      </c>
      <c r="BL111" s="18">
        <v>371</v>
      </c>
      <c r="BM111" s="18" t="s">
        <v>74</v>
      </c>
      <c r="BN111" s="18">
        <v>404</v>
      </c>
      <c r="BO111" s="18">
        <v>389</v>
      </c>
      <c r="BP111" s="18">
        <v>101</v>
      </c>
      <c r="BQ111" s="218" t="s">
        <v>1</v>
      </c>
      <c r="BR111" s="218" t="s">
        <v>1</v>
      </c>
      <c r="BS111" s="218" t="s">
        <v>1</v>
      </c>
      <c r="BT111" s="218" t="s">
        <v>1</v>
      </c>
      <c r="BU111" s="218" t="s">
        <v>1</v>
      </c>
      <c r="BV111" s="218" t="s">
        <v>1</v>
      </c>
      <c r="BW111" s="218" t="s">
        <v>1</v>
      </c>
      <c r="BX111" s="218" t="s">
        <v>1</v>
      </c>
      <c r="BY111" s="218" t="s">
        <v>1</v>
      </c>
      <c r="BZ111" s="218" t="s">
        <v>1</v>
      </c>
      <c r="CA111" s="218" t="s">
        <v>1</v>
      </c>
      <c r="CB111" s="218" t="s">
        <v>1</v>
      </c>
      <c r="CC111" s="218" t="s">
        <v>1</v>
      </c>
      <c r="CD111" s="218" t="s">
        <v>1</v>
      </c>
      <c r="CE111" s="218" t="s">
        <v>1</v>
      </c>
      <c r="CF111" s="117" t="s">
        <v>1</v>
      </c>
    </row>
    <row r="112" ht="25" customHeight="1" spans="1:84">
      <c r="A112" s="29">
        <v>45215</v>
      </c>
      <c r="B112" s="7" t="s">
        <v>125</v>
      </c>
      <c r="C112" s="7" t="s">
        <v>1</v>
      </c>
      <c r="D112" s="30" t="s">
        <v>1</v>
      </c>
      <c r="E112" s="30" t="s">
        <v>1</v>
      </c>
      <c r="F112" s="32" t="str">
        <f t="shared" si="2"/>
        <v/>
      </c>
      <c r="G112" s="48" t="s">
        <v>1</v>
      </c>
      <c r="H112" s="48" t="s">
        <v>1</v>
      </c>
      <c r="I112" s="48" t="s">
        <v>1</v>
      </c>
      <c r="J112" s="31" t="str">
        <f t="shared" si="3"/>
        <v/>
      </c>
      <c r="K112" s="246" t="str">
        <f>IFERROR(E112/#REF!,"")</f>
        <v/>
      </c>
      <c r="L112" s="30">
        <v>20694</v>
      </c>
      <c r="M112" s="204">
        <v>0</v>
      </c>
      <c r="N112" s="222" t="s">
        <v>1</v>
      </c>
      <c r="O112" s="32" t="s">
        <v>1</v>
      </c>
      <c r="P112" s="48" t="s">
        <v>1</v>
      </c>
      <c r="Q112" s="48" t="s">
        <v>1</v>
      </c>
      <c r="R112" s="48" t="s">
        <v>1</v>
      </c>
      <c r="S112" s="48" t="s">
        <v>1</v>
      </c>
      <c r="T112" s="48" t="s">
        <v>1</v>
      </c>
      <c r="U112" s="48" t="s">
        <v>1</v>
      </c>
      <c r="V112" s="92" t="s">
        <v>1</v>
      </c>
      <c r="W112" s="92">
        <v>1374</v>
      </c>
      <c r="X112" s="92" t="s">
        <v>1</v>
      </c>
      <c r="Y112" s="92">
        <v>580</v>
      </c>
      <c r="Z112" s="92" t="s">
        <v>1</v>
      </c>
      <c r="AA112" s="236">
        <v>2.37</v>
      </c>
      <c r="AB112" s="92" t="s">
        <v>1</v>
      </c>
      <c r="AC112" s="92">
        <v>48.64</v>
      </c>
      <c r="AD112" s="92" t="s">
        <v>1</v>
      </c>
      <c r="AE112" s="92" t="s">
        <v>1</v>
      </c>
      <c r="AF112" s="92" t="s">
        <v>1</v>
      </c>
      <c r="AG112" s="92">
        <v>17</v>
      </c>
      <c r="AH112" s="125" t="s">
        <v>1</v>
      </c>
      <c r="AI112" s="125">
        <v>559</v>
      </c>
      <c r="AJ112" s="125" t="s">
        <v>1</v>
      </c>
      <c r="AK112" s="125">
        <v>15</v>
      </c>
      <c r="AL112" s="125" t="s">
        <v>1</v>
      </c>
      <c r="AM112" s="125">
        <v>22</v>
      </c>
      <c r="AN112" s="125" t="s">
        <v>1</v>
      </c>
      <c r="AO112" s="125">
        <v>6</v>
      </c>
      <c r="AP112" s="125" t="s">
        <v>1</v>
      </c>
      <c r="AQ112" s="125">
        <v>115</v>
      </c>
      <c r="AR112" s="125" t="s">
        <v>1</v>
      </c>
      <c r="AS112" s="125">
        <v>44</v>
      </c>
      <c r="AT112" s="117" t="s">
        <v>1</v>
      </c>
      <c r="AU112" s="117" t="s">
        <v>1</v>
      </c>
      <c r="AV112" s="7">
        <v>0</v>
      </c>
      <c r="AW112" s="117" t="s">
        <v>1</v>
      </c>
      <c r="AX112" s="117" t="s">
        <v>1</v>
      </c>
      <c r="AY112" s="117" t="s">
        <v>1</v>
      </c>
      <c r="AZ112" s="7">
        <v>8</v>
      </c>
      <c r="BA112" s="117" t="s">
        <v>1</v>
      </c>
      <c r="BB112" s="117" t="s">
        <v>1</v>
      </c>
      <c r="BC112" s="117" t="s">
        <v>1</v>
      </c>
      <c r="BD112" s="117" t="s">
        <v>1</v>
      </c>
      <c r="BE112" s="117" t="s">
        <v>1</v>
      </c>
      <c r="BF112" s="117" t="s">
        <v>1</v>
      </c>
      <c r="BG112" s="217" t="s">
        <v>1</v>
      </c>
      <c r="BH112" s="217" t="s">
        <v>1</v>
      </c>
      <c r="BI112" s="18" t="s">
        <v>73</v>
      </c>
      <c r="BJ112" s="18">
        <v>98</v>
      </c>
      <c r="BK112" s="212">
        <v>987</v>
      </c>
      <c r="BL112" s="18">
        <v>246</v>
      </c>
      <c r="BM112" s="18" t="s">
        <v>74</v>
      </c>
      <c r="BN112" s="18">
        <v>447</v>
      </c>
      <c r="BO112" s="18">
        <v>361</v>
      </c>
      <c r="BP112" s="18">
        <v>67</v>
      </c>
      <c r="BQ112" s="218" t="s">
        <v>1</v>
      </c>
      <c r="BR112" s="218" t="s">
        <v>1</v>
      </c>
      <c r="BS112" s="218" t="s">
        <v>1</v>
      </c>
      <c r="BT112" s="218" t="s">
        <v>1</v>
      </c>
      <c r="BU112" s="218" t="s">
        <v>1</v>
      </c>
      <c r="BV112" s="218" t="s">
        <v>1</v>
      </c>
      <c r="BW112" s="218" t="s">
        <v>1</v>
      </c>
      <c r="BX112" s="218" t="s">
        <v>1</v>
      </c>
      <c r="BY112" s="218" t="s">
        <v>1</v>
      </c>
      <c r="BZ112" s="218" t="s">
        <v>1</v>
      </c>
      <c r="CA112" s="218" t="s">
        <v>1</v>
      </c>
      <c r="CB112" s="218" t="s">
        <v>1</v>
      </c>
      <c r="CC112" s="218" t="s">
        <v>1</v>
      </c>
      <c r="CD112" s="218" t="s">
        <v>1</v>
      </c>
      <c r="CE112" s="218" t="s">
        <v>1</v>
      </c>
      <c r="CF112" s="117" t="s">
        <v>1</v>
      </c>
    </row>
    <row r="113" ht="25" customHeight="1" spans="1:84">
      <c r="A113" s="29">
        <v>45216</v>
      </c>
      <c r="B113" s="7" t="s">
        <v>89</v>
      </c>
      <c r="C113" s="7" t="s">
        <v>1</v>
      </c>
      <c r="D113" s="30" t="s">
        <v>1</v>
      </c>
      <c r="E113" s="30" t="s">
        <v>1</v>
      </c>
      <c r="F113" s="32" t="str">
        <f t="shared" si="2"/>
        <v/>
      </c>
      <c r="G113" s="48" t="s">
        <v>1</v>
      </c>
      <c r="H113" s="48" t="s">
        <v>1</v>
      </c>
      <c r="I113" s="48" t="s">
        <v>1</v>
      </c>
      <c r="J113" s="31" t="str">
        <f t="shared" si="3"/>
        <v/>
      </c>
      <c r="K113" s="246" t="str">
        <f>IFERROR(E113/#REF!,"")</f>
        <v/>
      </c>
      <c r="L113" s="30">
        <v>55566</v>
      </c>
      <c r="M113" s="204">
        <v>13316</v>
      </c>
      <c r="N113" s="222" t="s">
        <v>1</v>
      </c>
      <c r="O113" s="32" t="s">
        <v>1</v>
      </c>
      <c r="P113" s="48" t="s">
        <v>1</v>
      </c>
      <c r="Q113" s="48" t="s">
        <v>1</v>
      </c>
      <c r="R113" s="48" t="s">
        <v>1</v>
      </c>
      <c r="S113" s="48" t="s">
        <v>1</v>
      </c>
      <c r="T113" s="48" t="s">
        <v>1</v>
      </c>
      <c r="U113" s="48" t="s">
        <v>1</v>
      </c>
      <c r="V113" s="92" t="s">
        <v>1</v>
      </c>
      <c r="W113" s="92">
        <v>1498</v>
      </c>
      <c r="X113" s="92" t="s">
        <v>1</v>
      </c>
      <c r="Y113" s="92">
        <v>558</v>
      </c>
      <c r="Z113" s="92" t="s">
        <v>1</v>
      </c>
      <c r="AA113" s="236">
        <v>2.68</v>
      </c>
      <c r="AB113" s="92" t="s">
        <v>1</v>
      </c>
      <c r="AC113" s="92">
        <v>63.8</v>
      </c>
      <c r="AD113" s="92" t="s">
        <v>1</v>
      </c>
      <c r="AE113" s="92" t="s">
        <v>1</v>
      </c>
      <c r="AF113" s="92" t="s">
        <v>1</v>
      </c>
      <c r="AG113" s="92">
        <v>24</v>
      </c>
      <c r="AH113" s="125" t="s">
        <v>1</v>
      </c>
      <c r="AI113" s="125">
        <v>547</v>
      </c>
      <c r="AJ113" s="125" t="s">
        <v>1</v>
      </c>
      <c r="AK113" s="125">
        <v>23</v>
      </c>
      <c r="AL113" s="125" t="s">
        <v>1</v>
      </c>
      <c r="AM113" s="125">
        <v>6</v>
      </c>
      <c r="AN113" s="125" t="s">
        <v>1</v>
      </c>
      <c r="AO113" s="125">
        <v>5</v>
      </c>
      <c r="AP113" s="125" t="s">
        <v>1</v>
      </c>
      <c r="AQ113" s="125">
        <v>178</v>
      </c>
      <c r="AR113" s="125" t="s">
        <v>1</v>
      </c>
      <c r="AS113" s="125">
        <v>48</v>
      </c>
      <c r="AT113" s="117" t="s">
        <v>1</v>
      </c>
      <c r="AU113" s="117" t="s">
        <v>1</v>
      </c>
      <c r="AV113" s="7">
        <v>0</v>
      </c>
      <c r="AW113" s="117" t="s">
        <v>1</v>
      </c>
      <c r="AX113" s="117" t="s">
        <v>1</v>
      </c>
      <c r="AY113" s="117" t="s">
        <v>1</v>
      </c>
      <c r="AZ113" s="7">
        <v>0</v>
      </c>
      <c r="BA113" s="117" t="s">
        <v>1</v>
      </c>
      <c r="BB113" s="117" t="s">
        <v>1</v>
      </c>
      <c r="BC113" s="117" t="s">
        <v>1</v>
      </c>
      <c r="BD113" s="117" t="s">
        <v>1</v>
      </c>
      <c r="BE113" s="117" t="s">
        <v>1</v>
      </c>
      <c r="BF113" s="117" t="s">
        <v>1</v>
      </c>
      <c r="BG113" s="217" t="s">
        <v>1</v>
      </c>
      <c r="BH113" s="217" t="s">
        <v>1</v>
      </c>
      <c r="BI113" s="18" t="s">
        <v>73</v>
      </c>
      <c r="BJ113" s="18">
        <v>78</v>
      </c>
      <c r="BK113" s="212">
        <v>1065</v>
      </c>
      <c r="BL113" s="18">
        <v>364</v>
      </c>
      <c r="BM113" s="18" t="s">
        <v>74</v>
      </c>
      <c r="BN113" s="18">
        <v>385</v>
      </c>
      <c r="BO113" s="18">
        <v>395</v>
      </c>
      <c r="BP113" s="18">
        <v>104</v>
      </c>
      <c r="BQ113" s="218" t="s">
        <v>1</v>
      </c>
      <c r="BR113" s="218" t="s">
        <v>1</v>
      </c>
      <c r="BS113" s="218" t="s">
        <v>1</v>
      </c>
      <c r="BT113" s="218" t="s">
        <v>1</v>
      </c>
      <c r="BU113" s="218" t="s">
        <v>1</v>
      </c>
      <c r="BV113" s="218" t="s">
        <v>1</v>
      </c>
      <c r="BW113" s="218" t="s">
        <v>1</v>
      </c>
      <c r="BX113" s="218" t="s">
        <v>1</v>
      </c>
      <c r="BY113" s="218" t="s">
        <v>1</v>
      </c>
      <c r="BZ113" s="218" t="s">
        <v>1</v>
      </c>
      <c r="CA113" s="218" t="s">
        <v>1</v>
      </c>
      <c r="CB113" s="218" t="s">
        <v>1</v>
      </c>
      <c r="CC113" s="218" t="s">
        <v>1</v>
      </c>
      <c r="CD113" s="218" t="s">
        <v>1</v>
      </c>
      <c r="CE113" s="218" t="s">
        <v>1</v>
      </c>
      <c r="CF113" s="117" t="s">
        <v>1</v>
      </c>
    </row>
    <row r="114" ht="25" customHeight="1" spans="1:84">
      <c r="A114" s="29">
        <v>45217</v>
      </c>
      <c r="B114" s="7" t="s">
        <v>89</v>
      </c>
      <c r="C114" s="7" t="s">
        <v>1</v>
      </c>
      <c r="D114" s="30" t="s">
        <v>1</v>
      </c>
      <c r="E114" s="30" t="s">
        <v>1</v>
      </c>
      <c r="F114" s="32" t="str">
        <f t="shared" si="2"/>
        <v/>
      </c>
      <c r="G114" s="48" t="s">
        <v>1</v>
      </c>
      <c r="H114" s="48" t="s">
        <v>1</v>
      </c>
      <c r="I114" s="48" t="s">
        <v>1</v>
      </c>
      <c r="J114" s="31" t="str">
        <f t="shared" si="3"/>
        <v/>
      </c>
      <c r="K114" s="246" t="str">
        <f>IFERROR(E114/#REF!,"")</f>
        <v/>
      </c>
      <c r="L114" s="30">
        <v>2603</v>
      </c>
      <c r="M114" s="204">
        <v>0</v>
      </c>
      <c r="N114" s="222" t="s">
        <v>1</v>
      </c>
      <c r="O114" s="32" t="s">
        <v>1</v>
      </c>
      <c r="P114" s="48" t="s">
        <v>1</v>
      </c>
      <c r="Q114" s="48" t="s">
        <v>1</v>
      </c>
      <c r="R114" s="48" t="s">
        <v>1</v>
      </c>
      <c r="S114" s="48" t="s">
        <v>1</v>
      </c>
      <c r="T114" s="48" t="s">
        <v>1</v>
      </c>
      <c r="U114" s="48" t="s">
        <v>1</v>
      </c>
      <c r="V114" s="92" t="s">
        <v>1</v>
      </c>
      <c r="W114" s="92">
        <v>1568</v>
      </c>
      <c r="X114" s="92" t="s">
        <v>1</v>
      </c>
      <c r="Y114" s="92">
        <v>554</v>
      </c>
      <c r="Z114" s="92" t="s">
        <v>1</v>
      </c>
      <c r="AA114" s="236">
        <v>2.83</v>
      </c>
      <c r="AB114" s="92" t="s">
        <v>1</v>
      </c>
      <c r="AC114" s="92">
        <v>75.29</v>
      </c>
      <c r="AD114" s="92" t="s">
        <v>1</v>
      </c>
      <c r="AE114" s="92" t="s">
        <v>1</v>
      </c>
      <c r="AF114" s="92" t="s">
        <v>1</v>
      </c>
      <c r="AG114" s="92">
        <v>27</v>
      </c>
      <c r="AH114" s="125" t="s">
        <v>1</v>
      </c>
      <c r="AI114" s="125">
        <v>527</v>
      </c>
      <c r="AJ114" s="125" t="s">
        <v>1</v>
      </c>
      <c r="AK114" s="125">
        <v>17</v>
      </c>
      <c r="AL114" s="125" t="s">
        <v>1</v>
      </c>
      <c r="AM114" s="125">
        <v>25</v>
      </c>
      <c r="AN114" s="125" t="s">
        <v>1</v>
      </c>
      <c r="AO114" s="125">
        <v>15</v>
      </c>
      <c r="AP114" s="125" t="s">
        <v>1</v>
      </c>
      <c r="AQ114" s="125">
        <v>160</v>
      </c>
      <c r="AR114" s="125" t="s">
        <v>1</v>
      </c>
      <c r="AS114" s="125">
        <v>52</v>
      </c>
      <c r="AT114" s="117" t="s">
        <v>1</v>
      </c>
      <c r="AU114" s="117" t="s">
        <v>1</v>
      </c>
      <c r="AV114" s="7">
        <v>0</v>
      </c>
      <c r="AW114" s="117" t="s">
        <v>1</v>
      </c>
      <c r="AX114" s="117" t="s">
        <v>1</v>
      </c>
      <c r="AY114" s="117" t="s">
        <v>1</v>
      </c>
      <c r="AZ114" s="7">
        <v>77</v>
      </c>
      <c r="BA114" s="117" t="s">
        <v>1</v>
      </c>
      <c r="BB114" s="117" t="s">
        <v>1</v>
      </c>
      <c r="BC114" s="117" t="s">
        <v>1</v>
      </c>
      <c r="BD114" s="117" t="s">
        <v>1</v>
      </c>
      <c r="BE114" s="117" t="s">
        <v>1</v>
      </c>
      <c r="BF114" s="117" t="s">
        <v>1</v>
      </c>
      <c r="BG114" s="217" t="s">
        <v>1</v>
      </c>
      <c r="BH114" s="217" t="s">
        <v>1</v>
      </c>
      <c r="BI114" s="18" t="s">
        <v>73</v>
      </c>
      <c r="BJ114" s="18">
        <v>74</v>
      </c>
      <c r="BK114" s="212">
        <v>1295</v>
      </c>
      <c r="BL114" s="18">
        <v>285</v>
      </c>
      <c r="BM114" s="18" t="s">
        <v>74</v>
      </c>
      <c r="BN114" s="18">
        <v>293</v>
      </c>
      <c r="BO114" s="18">
        <v>517</v>
      </c>
      <c r="BP114" s="18">
        <v>91</v>
      </c>
      <c r="BQ114" s="218" t="s">
        <v>1</v>
      </c>
      <c r="BR114" s="218" t="s">
        <v>1</v>
      </c>
      <c r="BS114" s="218" t="s">
        <v>1</v>
      </c>
      <c r="BT114" s="218" t="s">
        <v>1</v>
      </c>
      <c r="BU114" s="218" t="s">
        <v>1</v>
      </c>
      <c r="BV114" s="218" t="s">
        <v>1</v>
      </c>
      <c r="BW114" s="218" t="s">
        <v>1</v>
      </c>
      <c r="BX114" s="218" t="s">
        <v>1</v>
      </c>
      <c r="BY114" s="218" t="s">
        <v>1</v>
      </c>
      <c r="BZ114" s="218" t="s">
        <v>1</v>
      </c>
      <c r="CA114" s="218" t="s">
        <v>1</v>
      </c>
      <c r="CB114" s="218" t="s">
        <v>1</v>
      </c>
      <c r="CC114" s="218" t="s">
        <v>1</v>
      </c>
      <c r="CD114" s="218" t="s">
        <v>1</v>
      </c>
      <c r="CE114" s="218" t="s">
        <v>1</v>
      </c>
      <c r="CF114" s="117" t="s">
        <v>1</v>
      </c>
    </row>
    <row r="115" ht="25" customHeight="1" spans="1:84">
      <c r="A115" s="29">
        <v>45218</v>
      </c>
      <c r="B115" s="7" t="s">
        <v>89</v>
      </c>
      <c r="C115" s="7" t="s">
        <v>1</v>
      </c>
      <c r="D115" s="30" t="s">
        <v>1</v>
      </c>
      <c r="E115" s="30" t="s">
        <v>1</v>
      </c>
      <c r="F115" s="32" t="str">
        <f t="shared" si="2"/>
        <v/>
      </c>
      <c r="G115" s="48" t="s">
        <v>1</v>
      </c>
      <c r="H115" s="48" t="s">
        <v>1</v>
      </c>
      <c r="I115" s="48" t="s">
        <v>1</v>
      </c>
      <c r="J115" s="31" t="str">
        <f t="shared" si="3"/>
        <v/>
      </c>
      <c r="K115" s="31" t="str">
        <f>IFERROR(E115/#REF!,"")</f>
        <v/>
      </c>
      <c r="L115" s="181">
        <v>6701</v>
      </c>
      <c r="M115" s="30">
        <v>0</v>
      </c>
      <c r="N115" s="222" t="s">
        <v>1</v>
      </c>
      <c r="O115" s="32" t="s">
        <v>1</v>
      </c>
      <c r="P115" s="48" t="s">
        <v>1</v>
      </c>
      <c r="Q115" s="48" t="s">
        <v>1</v>
      </c>
      <c r="R115" s="48" t="s">
        <v>1</v>
      </c>
      <c r="S115" s="48" t="s">
        <v>1</v>
      </c>
      <c r="T115" s="48" t="s">
        <v>1</v>
      </c>
      <c r="U115" s="48" t="s">
        <v>1</v>
      </c>
      <c r="V115" s="92" t="s">
        <v>1</v>
      </c>
      <c r="W115" s="92">
        <v>2439</v>
      </c>
      <c r="X115" s="92" t="s">
        <v>1</v>
      </c>
      <c r="Y115" s="92">
        <v>826</v>
      </c>
      <c r="Z115" s="92" t="s">
        <v>1</v>
      </c>
      <c r="AA115" s="236">
        <v>2.95</v>
      </c>
      <c r="AB115" s="92" t="s">
        <v>1</v>
      </c>
      <c r="AC115" s="92">
        <v>70.94</v>
      </c>
      <c r="AD115" s="92" t="s">
        <v>1</v>
      </c>
      <c r="AE115" s="92" t="s">
        <v>1</v>
      </c>
      <c r="AF115" s="92" t="s">
        <v>1</v>
      </c>
      <c r="AG115" s="92">
        <v>44</v>
      </c>
      <c r="AH115" s="125" t="s">
        <v>1</v>
      </c>
      <c r="AI115" s="125">
        <v>805</v>
      </c>
      <c r="AJ115" s="125" t="s">
        <v>1</v>
      </c>
      <c r="AK115" s="125">
        <v>12</v>
      </c>
      <c r="AL115" s="125" t="s">
        <v>1</v>
      </c>
      <c r="AM115" s="125">
        <v>20</v>
      </c>
      <c r="AN115" s="125" t="s">
        <v>1</v>
      </c>
      <c r="AO115" s="125">
        <v>12</v>
      </c>
      <c r="AP115" s="125" t="s">
        <v>1</v>
      </c>
      <c r="AQ115" s="125">
        <v>225</v>
      </c>
      <c r="AR115" s="125" t="s">
        <v>1</v>
      </c>
      <c r="AS115" s="125">
        <v>112</v>
      </c>
      <c r="AT115" s="117" t="s">
        <v>1</v>
      </c>
      <c r="AU115" s="117" t="s">
        <v>1</v>
      </c>
      <c r="AV115" s="7">
        <v>0</v>
      </c>
      <c r="AW115" s="117" t="s">
        <v>1</v>
      </c>
      <c r="AX115" s="117" t="s">
        <v>1</v>
      </c>
      <c r="AY115" s="117" t="s">
        <v>1</v>
      </c>
      <c r="AZ115" s="7">
        <v>80</v>
      </c>
      <c r="BA115" s="117" t="s">
        <v>1</v>
      </c>
      <c r="BB115" s="117" t="s">
        <v>1</v>
      </c>
      <c r="BC115" s="117" t="s">
        <v>1</v>
      </c>
      <c r="BD115" s="117" t="s">
        <v>1</v>
      </c>
      <c r="BE115" s="117" t="s">
        <v>1</v>
      </c>
      <c r="BF115" s="117" t="s">
        <v>1</v>
      </c>
      <c r="BG115" s="217" t="s">
        <v>1</v>
      </c>
      <c r="BH115" s="217" t="s">
        <v>1</v>
      </c>
      <c r="BI115" s="18" t="s">
        <v>73</v>
      </c>
      <c r="BJ115" s="18">
        <v>64</v>
      </c>
      <c r="BK115" s="212">
        <v>1365</v>
      </c>
      <c r="BL115" s="18">
        <v>408</v>
      </c>
      <c r="BM115" s="18" t="s">
        <v>74</v>
      </c>
      <c r="BN115" s="18">
        <v>288</v>
      </c>
      <c r="BO115" s="18">
        <v>541</v>
      </c>
      <c r="BP115" s="18">
        <v>91</v>
      </c>
      <c r="BQ115" s="218" t="s">
        <v>1</v>
      </c>
      <c r="BR115" s="218" t="s">
        <v>1</v>
      </c>
      <c r="BS115" s="218" t="s">
        <v>1</v>
      </c>
      <c r="BT115" s="218" t="s">
        <v>1</v>
      </c>
      <c r="BU115" s="218" t="s">
        <v>1</v>
      </c>
      <c r="BV115" s="218" t="s">
        <v>1</v>
      </c>
      <c r="BW115" s="218" t="s">
        <v>1</v>
      </c>
      <c r="BX115" s="218" t="s">
        <v>1</v>
      </c>
      <c r="BY115" s="218" t="s">
        <v>1</v>
      </c>
      <c r="BZ115" s="218" t="s">
        <v>1</v>
      </c>
      <c r="CA115" s="218" t="s">
        <v>1</v>
      </c>
      <c r="CB115" s="218" t="s">
        <v>1</v>
      </c>
      <c r="CC115" s="218" t="s">
        <v>1</v>
      </c>
      <c r="CD115" s="218" t="s">
        <v>1</v>
      </c>
      <c r="CE115" s="218" t="s">
        <v>1</v>
      </c>
      <c r="CF115" s="117" t="s">
        <v>1</v>
      </c>
    </row>
    <row r="116" ht="25" customHeight="1" spans="1:84">
      <c r="A116" s="29">
        <v>45219</v>
      </c>
      <c r="B116" s="7" t="s">
        <v>89</v>
      </c>
      <c r="C116" s="7" t="s">
        <v>1</v>
      </c>
      <c r="D116" s="30" t="s">
        <v>1</v>
      </c>
      <c r="E116" s="30" t="s">
        <v>1</v>
      </c>
      <c r="F116" s="32" t="str">
        <f t="shared" si="2"/>
        <v/>
      </c>
      <c r="G116" s="48" t="s">
        <v>1</v>
      </c>
      <c r="H116" s="48" t="s">
        <v>1</v>
      </c>
      <c r="I116" s="48" t="s">
        <v>1</v>
      </c>
      <c r="J116" s="31" t="str">
        <f t="shared" si="3"/>
        <v/>
      </c>
      <c r="K116" s="31" t="str">
        <f>IFERROR(E116/#REF!,"")</f>
        <v/>
      </c>
      <c r="L116" s="215" t="s">
        <v>1</v>
      </c>
      <c r="M116" s="30">
        <v>3499</v>
      </c>
      <c r="N116" s="222" t="s">
        <v>1</v>
      </c>
      <c r="O116" s="32" t="s">
        <v>1</v>
      </c>
      <c r="P116" s="48" t="s">
        <v>1</v>
      </c>
      <c r="Q116" s="48" t="s">
        <v>1</v>
      </c>
      <c r="R116" s="48" t="s">
        <v>1</v>
      </c>
      <c r="S116" s="48" t="s">
        <v>1</v>
      </c>
      <c r="T116" s="48" t="s">
        <v>1</v>
      </c>
      <c r="U116" s="48" t="s">
        <v>1</v>
      </c>
      <c r="V116" s="92" t="s">
        <v>1</v>
      </c>
      <c r="W116" s="92">
        <v>4174</v>
      </c>
      <c r="X116" s="92" t="s">
        <v>1</v>
      </c>
      <c r="Y116" s="92">
        <v>1690</v>
      </c>
      <c r="Z116" s="92" t="s">
        <v>1</v>
      </c>
      <c r="AA116" s="236">
        <v>2.47</v>
      </c>
      <c r="AB116" s="92" t="s">
        <v>1</v>
      </c>
      <c r="AC116" s="92">
        <v>53.26</v>
      </c>
      <c r="AD116" s="92" t="s">
        <v>1</v>
      </c>
      <c r="AE116" s="92" t="s">
        <v>1</v>
      </c>
      <c r="AF116" s="92" t="s">
        <v>1</v>
      </c>
      <c r="AG116" s="92">
        <v>56</v>
      </c>
      <c r="AH116" s="125" t="s">
        <v>1</v>
      </c>
      <c r="AI116" s="125">
        <v>1411</v>
      </c>
      <c r="AJ116" s="125" t="s">
        <v>1</v>
      </c>
      <c r="AK116" s="125">
        <v>384</v>
      </c>
      <c r="AL116" s="125" t="s">
        <v>1</v>
      </c>
      <c r="AM116" s="125">
        <v>53</v>
      </c>
      <c r="AN116" s="125" t="s">
        <v>1</v>
      </c>
      <c r="AO116" s="125">
        <v>32</v>
      </c>
      <c r="AP116" s="125" t="s">
        <v>1</v>
      </c>
      <c r="AQ116" s="125">
        <v>263</v>
      </c>
      <c r="AR116" s="125" t="s">
        <v>1</v>
      </c>
      <c r="AS116" s="125">
        <v>105</v>
      </c>
      <c r="AT116" s="117" t="s">
        <v>1</v>
      </c>
      <c r="AU116" s="117" t="s">
        <v>1</v>
      </c>
      <c r="AV116" s="7">
        <v>366</v>
      </c>
      <c r="AW116" s="117" t="s">
        <v>1</v>
      </c>
      <c r="AX116" s="117" t="s">
        <v>1</v>
      </c>
      <c r="AY116" s="117" t="s">
        <v>1</v>
      </c>
      <c r="AZ116" s="7">
        <v>67</v>
      </c>
      <c r="BA116" s="117" t="s">
        <v>1</v>
      </c>
      <c r="BB116" s="117" t="s">
        <v>1</v>
      </c>
      <c r="BC116" s="117" t="s">
        <v>1</v>
      </c>
      <c r="BD116" s="117" t="s">
        <v>1</v>
      </c>
      <c r="BE116" s="117" t="s">
        <v>1</v>
      </c>
      <c r="BF116" s="117" t="s">
        <v>1</v>
      </c>
      <c r="BG116" s="217" t="s">
        <v>1</v>
      </c>
      <c r="BH116" s="217" t="s">
        <v>1</v>
      </c>
      <c r="BI116" s="18" t="s">
        <v>73</v>
      </c>
      <c r="BJ116" s="18">
        <v>70</v>
      </c>
      <c r="BK116" s="212">
        <v>1201</v>
      </c>
      <c r="BL116" s="18">
        <v>320</v>
      </c>
      <c r="BM116" s="18" t="s">
        <v>74</v>
      </c>
      <c r="BN116" s="18">
        <v>317</v>
      </c>
      <c r="BO116" s="18">
        <v>513</v>
      </c>
      <c r="BP116" s="18">
        <v>94</v>
      </c>
      <c r="BQ116" s="218" t="s">
        <v>1</v>
      </c>
      <c r="BR116" s="218" t="s">
        <v>1</v>
      </c>
      <c r="BS116" s="218" t="s">
        <v>1</v>
      </c>
      <c r="BT116" s="218" t="s">
        <v>1</v>
      </c>
      <c r="BU116" s="218" t="s">
        <v>1</v>
      </c>
      <c r="BV116" s="218" t="s">
        <v>1</v>
      </c>
      <c r="BW116" s="218" t="s">
        <v>1</v>
      </c>
      <c r="BX116" s="218" t="s">
        <v>1</v>
      </c>
      <c r="BY116" s="218" t="s">
        <v>1</v>
      </c>
      <c r="BZ116" s="218" t="s">
        <v>1</v>
      </c>
      <c r="CA116" s="218" t="s">
        <v>1</v>
      </c>
      <c r="CB116" s="218" t="s">
        <v>1</v>
      </c>
      <c r="CC116" s="218" t="s">
        <v>1</v>
      </c>
      <c r="CD116" s="218" t="s">
        <v>1</v>
      </c>
      <c r="CE116" s="218" t="s">
        <v>1</v>
      </c>
      <c r="CF116" s="117" t="s">
        <v>1</v>
      </c>
    </row>
    <row r="117" ht="25" customHeight="1" spans="1:84">
      <c r="A117" s="29">
        <v>45220</v>
      </c>
      <c r="B117" s="7" t="s">
        <v>89</v>
      </c>
      <c r="C117" s="7" t="s">
        <v>1</v>
      </c>
      <c r="D117" s="30" t="s">
        <v>1</v>
      </c>
      <c r="E117" s="30" t="s">
        <v>1</v>
      </c>
      <c r="F117" s="32" t="str">
        <f t="shared" si="2"/>
        <v/>
      </c>
      <c r="G117" s="48" t="s">
        <v>1</v>
      </c>
      <c r="H117" s="48" t="s">
        <v>1</v>
      </c>
      <c r="I117" s="48" t="s">
        <v>1</v>
      </c>
      <c r="J117" s="31" t="str">
        <f t="shared" si="3"/>
        <v/>
      </c>
      <c r="K117" s="31" t="str">
        <f>IFERROR(E117/#REF!,"")</f>
        <v/>
      </c>
      <c r="L117" s="215" t="s">
        <v>1</v>
      </c>
      <c r="M117" s="30">
        <v>6698</v>
      </c>
      <c r="N117" s="222" t="s">
        <v>1</v>
      </c>
      <c r="O117" s="32" t="s">
        <v>1</v>
      </c>
      <c r="P117" s="48" t="s">
        <v>1</v>
      </c>
      <c r="Q117" s="48" t="s">
        <v>1</v>
      </c>
      <c r="R117" s="48" t="s">
        <v>1</v>
      </c>
      <c r="S117" s="48" t="s">
        <v>1</v>
      </c>
      <c r="T117" s="48" t="s">
        <v>1</v>
      </c>
      <c r="U117" s="48" t="s">
        <v>1</v>
      </c>
      <c r="V117" s="92" t="s">
        <v>1</v>
      </c>
      <c r="W117" s="92">
        <v>4057</v>
      </c>
      <c r="X117" s="92" t="s">
        <v>1</v>
      </c>
      <c r="Y117" s="92">
        <v>1443</v>
      </c>
      <c r="Z117" s="92" t="s">
        <v>1</v>
      </c>
      <c r="AA117" s="236">
        <v>2.81</v>
      </c>
      <c r="AB117" s="92" t="s">
        <v>1</v>
      </c>
      <c r="AC117" s="92">
        <v>71.03</v>
      </c>
      <c r="AD117" s="92" t="s">
        <v>1</v>
      </c>
      <c r="AE117" s="92" t="s">
        <v>1</v>
      </c>
      <c r="AF117" s="92" t="s">
        <v>1</v>
      </c>
      <c r="AG117" s="92">
        <v>66</v>
      </c>
      <c r="AH117" s="125" t="s">
        <v>1</v>
      </c>
      <c r="AI117" s="125">
        <v>1183</v>
      </c>
      <c r="AJ117" s="125" t="s">
        <v>1</v>
      </c>
      <c r="AK117" s="125">
        <v>384</v>
      </c>
      <c r="AL117" s="125" t="s">
        <v>1</v>
      </c>
      <c r="AM117" s="125">
        <v>27</v>
      </c>
      <c r="AN117" s="125" t="s">
        <v>1</v>
      </c>
      <c r="AO117" s="125">
        <v>20</v>
      </c>
      <c r="AP117" s="125" t="s">
        <v>1</v>
      </c>
      <c r="AQ117" s="125">
        <v>281</v>
      </c>
      <c r="AR117" s="125" t="s">
        <v>1</v>
      </c>
      <c r="AS117" s="125">
        <v>106</v>
      </c>
      <c r="AT117" s="117" t="s">
        <v>1</v>
      </c>
      <c r="AU117" s="117" t="s">
        <v>1</v>
      </c>
      <c r="AV117" s="7">
        <v>359</v>
      </c>
      <c r="AW117" s="117" t="s">
        <v>1</v>
      </c>
      <c r="AX117" s="117" t="s">
        <v>1</v>
      </c>
      <c r="AY117" s="117" t="s">
        <v>1</v>
      </c>
      <c r="AZ117" s="7">
        <v>105</v>
      </c>
      <c r="BA117" s="117" t="s">
        <v>1</v>
      </c>
      <c r="BB117" s="117" t="s">
        <v>1</v>
      </c>
      <c r="BC117" s="117" t="s">
        <v>1</v>
      </c>
      <c r="BD117" s="117" t="s">
        <v>1</v>
      </c>
      <c r="BE117" s="117" t="s">
        <v>1</v>
      </c>
      <c r="BF117" s="117" t="s">
        <v>1</v>
      </c>
      <c r="BG117" s="217" t="s">
        <v>1</v>
      </c>
      <c r="BH117" s="217" t="s">
        <v>1</v>
      </c>
      <c r="BI117" s="18" t="s">
        <v>73</v>
      </c>
      <c r="BJ117" s="18">
        <v>66</v>
      </c>
      <c r="BK117" s="212">
        <v>1534</v>
      </c>
      <c r="BL117" s="18">
        <v>263</v>
      </c>
      <c r="BM117" s="18" t="s">
        <v>74</v>
      </c>
      <c r="BN117" s="18">
        <v>295</v>
      </c>
      <c r="BO117" s="18">
        <v>637</v>
      </c>
      <c r="BP117" s="18">
        <v>107</v>
      </c>
      <c r="BQ117" s="218" t="s">
        <v>1</v>
      </c>
      <c r="BR117" s="218" t="s">
        <v>1</v>
      </c>
      <c r="BS117" s="218" t="s">
        <v>1</v>
      </c>
      <c r="BT117" s="218" t="s">
        <v>1</v>
      </c>
      <c r="BU117" s="218" t="s">
        <v>1</v>
      </c>
      <c r="BV117" s="218" t="s">
        <v>1</v>
      </c>
      <c r="BW117" s="218" t="s">
        <v>1</v>
      </c>
      <c r="BX117" s="218" t="s">
        <v>1</v>
      </c>
      <c r="BY117" s="218" t="s">
        <v>1</v>
      </c>
      <c r="BZ117" s="218" t="s">
        <v>1</v>
      </c>
      <c r="CA117" s="218" t="s">
        <v>1</v>
      </c>
      <c r="CB117" s="218" t="s">
        <v>1</v>
      </c>
      <c r="CC117" s="218" t="s">
        <v>1</v>
      </c>
      <c r="CD117" s="218" t="s">
        <v>1</v>
      </c>
      <c r="CE117" s="218" t="s">
        <v>1</v>
      </c>
      <c r="CF117" s="117" t="s">
        <v>1</v>
      </c>
    </row>
    <row r="118" ht="25" customHeight="1" spans="1:84">
      <c r="A118" s="29">
        <v>45221</v>
      </c>
      <c r="B118" s="7" t="s">
        <v>89</v>
      </c>
      <c r="C118" s="7" t="s">
        <v>1</v>
      </c>
      <c r="D118" s="30" t="s">
        <v>1</v>
      </c>
      <c r="E118" s="30" t="s">
        <v>1</v>
      </c>
      <c r="F118" s="32" t="str">
        <f t="shared" si="2"/>
        <v/>
      </c>
      <c r="G118" s="48" t="s">
        <v>1</v>
      </c>
      <c r="H118" s="48" t="s">
        <v>1</v>
      </c>
      <c r="I118" s="48" t="s">
        <v>1</v>
      </c>
      <c r="J118" s="31" t="str">
        <f t="shared" si="3"/>
        <v/>
      </c>
      <c r="K118" s="31" t="str">
        <f>IFERROR(E118/#REF!,"")</f>
        <v/>
      </c>
      <c r="L118" s="215" t="s">
        <v>1</v>
      </c>
      <c r="M118" s="30">
        <v>3501</v>
      </c>
      <c r="N118" s="222" t="s">
        <v>1</v>
      </c>
      <c r="O118" s="32" t="s">
        <v>1</v>
      </c>
      <c r="P118" s="48" t="s">
        <v>1</v>
      </c>
      <c r="Q118" s="48" t="s">
        <v>1</v>
      </c>
      <c r="R118" s="48" t="s">
        <v>1</v>
      </c>
      <c r="S118" s="48" t="s">
        <v>1</v>
      </c>
      <c r="T118" s="48" t="s">
        <v>1</v>
      </c>
      <c r="U118" s="48" t="s">
        <v>1</v>
      </c>
      <c r="V118" s="92" t="s">
        <v>1</v>
      </c>
      <c r="W118" s="92">
        <v>4333</v>
      </c>
      <c r="X118" s="92" t="s">
        <v>1</v>
      </c>
      <c r="Y118" s="92">
        <v>1479</v>
      </c>
      <c r="Z118" s="92" t="s">
        <v>1</v>
      </c>
      <c r="AA118" s="236">
        <v>2.93</v>
      </c>
      <c r="AB118" s="92" t="s">
        <v>1</v>
      </c>
      <c r="AC118" s="92">
        <v>70.76</v>
      </c>
      <c r="AD118" s="92" t="s">
        <v>1</v>
      </c>
      <c r="AE118" s="92" t="s">
        <v>1</v>
      </c>
      <c r="AF118" s="92" t="s">
        <v>1</v>
      </c>
      <c r="AG118" s="92">
        <v>72</v>
      </c>
      <c r="AH118" s="125" t="s">
        <v>1</v>
      </c>
      <c r="AI118" s="125">
        <v>1192</v>
      </c>
      <c r="AJ118" s="125" t="s">
        <v>1</v>
      </c>
      <c r="AK118" s="125">
        <v>402</v>
      </c>
      <c r="AL118" s="125" t="s">
        <v>1</v>
      </c>
      <c r="AM118" s="125">
        <v>27</v>
      </c>
      <c r="AN118" s="125" t="s">
        <v>1</v>
      </c>
      <c r="AO118" s="125">
        <v>23</v>
      </c>
      <c r="AP118" s="125" t="s">
        <v>1</v>
      </c>
      <c r="AQ118" s="125">
        <v>315</v>
      </c>
      <c r="AR118" s="125" t="s">
        <v>1</v>
      </c>
      <c r="AS118" s="125">
        <v>110</v>
      </c>
      <c r="AT118" s="117" t="s">
        <v>1</v>
      </c>
      <c r="AU118" s="117" t="s">
        <v>1</v>
      </c>
      <c r="AV118" s="7">
        <v>427</v>
      </c>
      <c r="AW118" s="117" t="s">
        <v>1</v>
      </c>
      <c r="AX118" s="117" t="s">
        <v>1</v>
      </c>
      <c r="AY118" s="117" t="s">
        <v>1</v>
      </c>
      <c r="AZ118" s="7">
        <v>76</v>
      </c>
      <c r="BA118" s="117" t="s">
        <v>1</v>
      </c>
      <c r="BB118" s="117" t="s">
        <v>1</v>
      </c>
      <c r="BC118" s="117" t="s">
        <v>1</v>
      </c>
      <c r="BD118" s="117" t="s">
        <v>1</v>
      </c>
      <c r="BE118" s="117" t="s">
        <v>1</v>
      </c>
      <c r="BF118" s="117" t="s">
        <v>1</v>
      </c>
      <c r="BG118" s="217" t="s">
        <v>1</v>
      </c>
      <c r="BH118" s="217" t="s">
        <v>1</v>
      </c>
      <c r="BI118" s="18" t="s">
        <v>73</v>
      </c>
      <c r="BJ118" s="18">
        <v>64</v>
      </c>
      <c r="BK118" s="212">
        <v>1803</v>
      </c>
      <c r="BL118" s="18">
        <v>458</v>
      </c>
      <c r="BM118" s="18" t="s">
        <v>74</v>
      </c>
      <c r="BN118" s="18">
        <v>280</v>
      </c>
      <c r="BO118" s="18">
        <v>783</v>
      </c>
      <c r="BP118" s="18">
        <v>129</v>
      </c>
      <c r="BQ118" s="218" t="s">
        <v>1</v>
      </c>
      <c r="BR118" s="218" t="s">
        <v>1</v>
      </c>
      <c r="BS118" s="218" t="s">
        <v>1</v>
      </c>
      <c r="BT118" s="218" t="s">
        <v>1</v>
      </c>
      <c r="BU118" s="218" t="s">
        <v>1</v>
      </c>
      <c r="BV118" s="218" t="s">
        <v>1</v>
      </c>
      <c r="BW118" s="218" t="s">
        <v>1</v>
      </c>
      <c r="BX118" s="218" t="s">
        <v>1</v>
      </c>
      <c r="BY118" s="218" t="s">
        <v>1</v>
      </c>
      <c r="BZ118" s="218" t="s">
        <v>1</v>
      </c>
      <c r="CA118" s="218" t="s">
        <v>1</v>
      </c>
      <c r="CB118" s="218" t="s">
        <v>1</v>
      </c>
      <c r="CC118" s="218" t="s">
        <v>1</v>
      </c>
      <c r="CD118" s="218" t="s">
        <v>1</v>
      </c>
      <c r="CE118" s="218" t="s">
        <v>1</v>
      </c>
      <c r="CF118" s="117" t="s">
        <v>1</v>
      </c>
    </row>
    <row r="119" ht="25" customHeight="1" spans="1:84">
      <c r="A119" s="29">
        <v>45222</v>
      </c>
      <c r="B119" s="108" t="s">
        <v>126</v>
      </c>
      <c r="C119" s="7" t="s">
        <v>1</v>
      </c>
      <c r="D119" s="30" t="s">
        <v>1</v>
      </c>
      <c r="E119" s="30" t="s">
        <v>1</v>
      </c>
      <c r="F119" s="32" t="str">
        <f t="shared" si="2"/>
        <v/>
      </c>
      <c r="G119" s="48" t="s">
        <v>1</v>
      </c>
      <c r="H119" s="48" t="s">
        <v>1</v>
      </c>
      <c r="I119" s="48" t="s">
        <v>1</v>
      </c>
      <c r="J119" s="31" t="str">
        <f t="shared" si="3"/>
        <v/>
      </c>
      <c r="K119" s="31" t="str">
        <f>IFERROR(E119/#REF!,"")</f>
        <v/>
      </c>
      <c r="L119" s="215" t="s">
        <v>1</v>
      </c>
      <c r="M119" s="30">
        <v>3202</v>
      </c>
      <c r="N119" s="222" t="s">
        <v>1</v>
      </c>
      <c r="O119" s="32" t="s">
        <v>1</v>
      </c>
      <c r="P119" s="48" t="s">
        <v>1</v>
      </c>
      <c r="Q119" s="48" t="s">
        <v>1</v>
      </c>
      <c r="R119" s="48" t="s">
        <v>1</v>
      </c>
      <c r="S119" s="48" t="s">
        <v>1</v>
      </c>
      <c r="T119" s="48" t="s">
        <v>1</v>
      </c>
      <c r="U119" s="48" t="s">
        <v>1</v>
      </c>
      <c r="V119" s="92" t="s">
        <v>1</v>
      </c>
      <c r="W119" s="92">
        <v>5059</v>
      </c>
      <c r="X119" s="92" t="s">
        <v>1</v>
      </c>
      <c r="Y119" s="92">
        <v>1902</v>
      </c>
      <c r="Z119" s="92" t="s">
        <v>1</v>
      </c>
      <c r="AA119" s="236">
        <v>2.66</v>
      </c>
      <c r="AB119" s="92" t="s">
        <v>1</v>
      </c>
      <c r="AC119" s="92">
        <v>74.26</v>
      </c>
      <c r="AD119" s="92" t="s">
        <v>1</v>
      </c>
      <c r="AE119" s="92" t="s">
        <v>1</v>
      </c>
      <c r="AF119" s="92" t="s">
        <v>1</v>
      </c>
      <c r="AG119" s="92">
        <v>97</v>
      </c>
      <c r="AH119" s="125" t="s">
        <v>1</v>
      </c>
      <c r="AI119" s="125">
        <v>1629</v>
      </c>
      <c r="AJ119" s="125" t="s">
        <v>1</v>
      </c>
      <c r="AK119" s="125">
        <v>384</v>
      </c>
      <c r="AL119" s="125" t="s">
        <v>1</v>
      </c>
      <c r="AM119" s="125">
        <v>42</v>
      </c>
      <c r="AN119" s="125" t="s">
        <v>1</v>
      </c>
      <c r="AO119" s="125">
        <v>20</v>
      </c>
      <c r="AP119" s="125" t="s">
        <v>1</v>
      </c>
      <c r="AQ119" s="125">
        <v>414</v>
      </c>
      <c r="AR119" s="125" t="s">
        <v>1</v>
      </c>
      <c r="AS119" s="125">
        <v>146</v>
      </c>
      <c r="AT119" s="117" t="s">
        <v>1</v>
      </c>
      <c r="AU119" s="117" t="s">
        <v>1</v>
      </c>
      <c r="AV119" s="7">
        <v>853</v>
      </c>
      <c r="AW119" s="117" t="s">
        <v>1</v>
      </c>
      <c r="AX119" s="117" t="s">
        <v>1</v>
      </c>
      <c r="AY119" s="117" t="s">
        <v>1</v>
      </c>
      <c r="AZ119" s="7">
        <v>219</v>
      </c>
      <c r="BA119" s="117" t="s">
        <v>1</v>
      </c>
      <c r="BB119" s="117" t="s">
        <v>1</v>
      </c>
      <c r="BC119" s="117" t="s">
        <v>1</v>
      </c>
      <c r="BD119" s="117" t="s">
        <v>1</v>
      </c>
      <c r="BE119" s="117" t="s">
        <v>1</v>
      </c>
      <c r="BF119" s="117" t="s">
        <v>1</v>
      </c>
      <c r="BG119" s="217" t="s">
        <v>1</v>
      </c>
      <c r="BH119" s="217" t="s">
        <v>1</v>
      </c>
      <c r="BI119" s="18" t="s">
        <v>94</v>
      </c>
      <c r="BJ119" s="18">
        <v>48</v>
      </c>
      <c r="BK119" s="212">
        <v>2898</v>
      </c>
      <c r="BL119" s="18">
        <v>733</v>
      </c>
      <c r="BM119" s="18" t="s">
        <v>74</v>
      </c>
      <c r="BN119" s="18">
        <v>164</v>
      </c>
      <c r="BO119" s="18">
        <v>1426</v>
      </c>
      <c r="BP119" s="18">
        <v>241</v>
      </c>
      <c r="BQ119" s="218" t="s">
        <v>1</v>
      </c>
      <c r="BR119" s="218" t="s">
        <v>1</v>
      </c>
      <c r="BS119" s="218" t="s">
        <v>1</v>
      </c>
      <c r="BT119" s="218" t="s">
        <v>1</v>
      </c>
      <c r="BU119" s="218" t="s">
        <v>1</v>
      </c>
      <c r="BV119" s="218" t="s">
        <v>1</v>
      </c>
      <c r="BW119" s="218" t="s">
        <v>1</v>
      </c>
      <c r="BX119" s="218" t="s">
        <v>1</v>
      </c>
      <c r="BY119" s="218" t="s">
        <v>1</v>
      </c>
      <c r="BZ119" s="218" t="s">
        <v>1</v>
      </c>
      <c r="CA119" s="218" t="s">
        <v>1</v>
      </c>
      <c r="CB119" s="218" t="s">
        <v>1</v>
      </c>
      <c r="CC119" s="218" t="s">
        <v>1</v>
      </c>
      <c r="CD119" s="218" t="s">
        <v>1</v>
      </c>
      <c r="CE119" s="218" t="s">
        <v>1</v>
      </c>
      <c r="CF119" s="117" t="s">
        <v>1</v>
      </c>
    </row>
    <row r="120" ht="25" customHeight="1" spans="1:84">
      <c r="A120" s="29">
        <v>45223</v>
      </c>
      <c r="B120" s="7" t="s">
        <v>125</v>
      </c>
      <c r="C120" s="7" t="s">
        <v>1</v>
      </c>
      <c r="D120" s="30" t="s">
        <v>1</v>
      </c>
      <c r="E120" s="30" t="s">
        <v>1</v>
      </c>
      <c r="F120" s="32" t="str">
        <f t="shared" si="2"/>
        <v/>
      </c>
      <c r="G120" s="48" t="s">
        <v>1</v>
      </c>
      <c r="H120" s="48" t="s">
        <v>1</v>
      </c>
      <c r="I120" s="48" t="s">
        <v>1</v>
      </c>
      <c r="J120" s="31" t="str">
        <f t="shared" si="3"/>
        <v/>
      </c>
      <c r="K120" s="31" t="str">
        <f>IFERROR(E120/#REF!,"")</f>
        <v/>
      </c>
      <c r="L120" s="215" t="s">
        <v>1</v>
      </c>
      <c r="M120" s="30">
        <v>52587.99</v>
      </c>
      <c r="N120" s="222" t="s">
        <v>1</v>
      </c>
      <c r="O120" s="32" t="s">
        <v>1</v>
      </c>
      <c r="P120" s="48" t="s">
        <v>1</v>
      </c>
      <c r="Q120" s="48" t="s">
        <v>1</v>
      </c>
      <c r="R120" s="48" t="s">
        <v>1</v>
      </c>
      <c r="S120" s="48" t="s">
        <v>1</v>
      </c>
      <c r="T120" s="48" t="s">
        <v>1</v>
      </c>
      <c r="U120" s="48" t="s">
        <v>1</v>
      </c>
      <c r="V120" s="92" t="s">
        <v>1</v>
      </c>
      <c r="W120" s="92">
        <v>8629</v>
      </c>
      <c r="X120" s="92" t="s">
        <v>1</v>
      </c>
      <c r="Y120" s="92">
        <v>2815</v>
      </c>
      <c r="Z120" s="92" t="s">
        <v>1</v>
      </c>
      <c r="AA120" s="236">
        <v>3.07</v>
      </c>
      <c r="AB120" s="92" t="s">
        <v>1</v>
      </c>
      <c r="AC120" s="92">
        <v>85.07</v>
      </c>
      <c r="AD120" s="92" t="s">
        <v>1</v>
      </c>
      <c r="AE120" s="92" t="s">
        <v>1</v>
      </c>
      <c r="AF120" s="92" t="s">
        <v>1</v>
      </c>
      <c r="AG120" s="92">
        <v>149</v>
      </c>
      <c r="AH120" s="125" t="s">
        <v>1</v>
      </c>
      <c r="AI120" s="125">
        <v>2474</v>
      </c>
      <c r="AJ120" s="125" t="s">
        <v>1</v>
      </c>
      <c r="AK120" s="125">
        <v>468</v>
      </c>
      <c r="AL120" s="125" t="s">
        <v>1</v>
      </c>
      <c r="AM120" s="125">
        <v>58</v>
      </c>
      <c r="AN120" s="125" t="s">
        <v>1</v>
      </c>
      <c r="AO120" s="125">
        <v>37</v>
      </c>
      <c r="AP120" s="125" t="s">
        <v>1</v>
      </c>
      <c r="AQ120" s="125">
        <v>802</v>
      </c>
      <c r="AR120" s="125" t="s">
        <v>1</v>
      </c>
      <c r="AS120" s="125">
        <v>308</v>
      </c>
      <c r="AT120" s="117" t="s">
        <v>1</v>
      </c>
      <c r="AU120" s="117" t="s">
        <v>1</v>
      </c>
      <c r="AV120" s="7">
        <v>616</v>
      </c>
      <c r="AW120" s="117" t="s">
        <v>1</v>
      </c>
      <c r="AX120" s="117" t="s">
        <v>1</v>
      </c>
      <c r="AY120" s="117" t="s">
        <v>1</v>
      </c>
      <c r="AZ120" s="7">
        <v>95</v>
      </c>
      <c r="BA120" s="117" t="s">
        <v>1</v>
      </c>
      <c r="BB120" s="117" t="s">
        <v>1</v>
      </c>
      <c r="BC120" s="117" t="s">
        <v>1</v>
      </c>
      <c r="BD120" s="117" t="s">
        <v>1</v>
      </c>
      <c r="BE120" s="117" t="s">
        <v>1</v>
      </c>
      <c r="BF120" s="117" t="s">
        <v>1</v>
      </c>
      <c r="BG120" s="217" t="s">
        <v>1</v>
      </c>
      <c r="BH120" s="217" t="s">
        <v>1</v>
      </c>
      <c r="BI120" s="18" t="s">
        <v>94</v>
      </c>
      <c r="BJ120" s="18">
        <v>46</v>
      </c>
      <c r="BK120" s="212">
        <v>2349</v>
      </c>
      <c r="BL120" s="18">
        <v>1124</v>
      </c>
      <c r="BM120" s="18" t="s">
        <v>74</v>
      </c>
      <c r="BN120" s="18">
        <v>173</v>
      </c>
      <c r="BO120" s="18">
        <v>1212</v>
      </c>
      <c r="BP120" s="18">
        <v>367</v>
      </c>
      <c r="BQ120" s="218" t="s">
        <v>1</v>
      </c>
      <c r="BR120" s="218" t="s">
        <v>1</v>
      </c>
      <c r="BS120" s="218" t="s">
        <v>1</v>
      </c>
      <c r="BT120" s="218" t="s">
        <v>1</v>
      </c>
      <c r="BU120" s="218" t="s">
        <v>1</v>
      </c>
      <c r="BV120" s="218" t="s">
        <v>1</v>
      </c>
      <c r="BW120" s="218" t="s">
        <v>1</v>
      </c>
      <c r="BX120" s="218" t="s">
        <v>1</v>
      </c>
      <c r="BY120" s="218" t="s">
        <v>1</v>
      </c>
      <c r="BZ120" s="218" t="s">
        <v>1</v>
      </c>
      <c r="CA120" s="218" t="s">
        <v>1</v>
      </c>
      <c r="CB120" s="218" t="s">
        <v>1</v>
      </c>
      <c r="CC120" s="218" t="s">
        <v>1</v>
      </c>
      <c r="CD120" s="218" t="s">
        <v>1</v>
      </c>
      <c r="CE120" s="218" t="s">
        <v>1</v>
      </c>
      <c r="CF120" s="117" t="s">
        <v>1</v>
      </c>
    </row>
    <row r="121" ht="25" customHeight="1" spans="1:84">
      <c r="A121" s="29">
        <v>45224</v>
      </c>
      <c r="B121" s="7" t="s">
        <v>89</v>
      </c>
      <c r="C121" s="7" t="s">
        <v>1</v>
      </c>
      <c r="D121" s="30" t="s">
        <v>1</v>
      </c>
      <c r="E121" s="30" t="s">
        <v>1</v>
      </c>
      <c r="F121" s="32" t="str">
        <f t="shared" si="2"/>
        <v/>
      </c>
      <c r="G121" s="48" t="s">
        <v>1</v>
      </c>
      <c r="H121" s="48" t="s">
        <v>1</v>
      </c>
      <c r="I121" s="48" t="s">
        <v>1</v>
      </c>
      <c r="J121" s="31" t="str">
        <f t="shared" si="3"/>
        <v/>
      </c>
      <c r="K121" s="31" t="str">
        <f>IFERROR(E121/#REF!,"")</f>
        <v/>
      </c>
      <c r="L121" s="215" t="s">
        <v>1</v>
      </c>
      <c r="M121" s="30">
        <v>23894</v>
      </c>
      <c r="N121" s="222" t="s">
        <v>1</v>
      </c>
      <c r="O121" s="32" t="s">
        <v>1</v>
      </c>
      <c r="P121" s="48" t="s">
        <v>1</v>
      </c>
      <c r="Q121" s="48" t="s">
        <v>1</v>
      </c>
      <c r="R121" s="48" t="s">
        <v>1</v>
      </c>
      <c r="S121" s="48" t="s">
        <v>1</v>
      </c>
      <c r="T121" s="48" t="s">
        <v>1</v>
      </c>
      <c r="U121" s="48" t="s">
        <v>1</v>
      </c>
      <c r="V121" s="92" t="s">
        <v>1</v>
      </c>
      <c r="W121" s="92">
        <v>6370</v>
      </c>
      <c r="X121" s="92" t="s">
        <v>1</v>
      </c>
      <c r="Y121" s="92">
        <v>2355</v>
      </c>
      <c r="Z121" s="92" t="s">
        <v>1</v>
      </c>
      <c r="AA121" s="236">
        <v>2.7</v>
      </c>
      <c r="AB121" s="92" t="s">
        <v>1</v>
      </c>
      <c r="AC121" s="92">
        <v>76.39</v>
      </c>
      <c r="AD121" s="92" t="s">
        <v>1</v>
      </c>
      <c r="AE121" s="92" t="s">
        <v>1</v>
      </c>
      <c r="AF121" s="92" t="s">
        <v>1</v>
      </c>
      <c r="AG121" s="92">
        <v>126</v>
      </c>
      <c r="AH121" s="125" t="s">
        <v>1</v>
      </c>
      <c r="AI121" s="125">
        <v>1985</v>
      </c>
      <c r="AJ121" s="125" t="s">
        <v>1</v>
      </c>
      <c r="AK121" s="125">
        <v>491</v>
      </c>
      <c r="AL121" s="125" t="s">
        <v>1</v>
      </c>
      <c r="AM121" s="125">
        <v>44</v>
      </c>
      <c r="AN121" s="125" t="s">
        <v>1</v>
      </c>
      <c r="AO121" s="125">
        <v>56</v>
      </c>
      <c r="AP121" s="125" t="s">
        <v>1</v>
      </c>
      <c r="AQ121" s="125">
        <v>696</v>
      </c>
      <c r="AR121" s="125" t="s">
        <v>1</v>
      </c>
      <c r="AS121" s="125">
        <v>190</v>
      </c>
      <c r="AT121" s="117" t="s">
        <v>1</v>
      </c>
      <c r="AU121" s="117" t="s">
        <v>1</v>
      </c>
      <c r="AV121" s="7">
        <v>490</v>
      </c>
      <c r="AW121" s="117" t="s">
        <v>1</v>
      </c>
      <c r="AX121" s="117" t="s">
        <v>1</v>
      </c>
      <c r="AY121" s="117" t="s">
        <v>1</v>
      </c>
      <c r="AZ121" s="7">
        <v>85</v>
      </c>
      <c r="BA121" s="117" t="s">
        <v>1</v>
      </c>
      <c r="BB121" s="117" t="s">
        <v>1</v>
      </c>
      <c r="BC121" s="117" t="s">
        <v>1</v>
      </c>
      <c r="BD121" s="117" t="s">
        <v>1</v>
      </c>
      <c r="BE121" s="117" t="s">
        <v>1</v>
      </c>
      <c r="BF121" s="117" t="s">
        <v>1</v>
      </c>
      <c r="BG121" s="217" t="s">
        <v>1</v>
      </c>
      <c r="BH121" s="217" t="s">
        <v>1</v>
      </c>
      <c r="BI121" s="18" t="s">
        <v>73</v>
      </c>
      <c r="BJ121" s="18">
        <v>80</v>
      </c>
      <c r="BK121" s="212">
        <v>1289</v>
      </c>
      <c r="BL121" s="18">
        <v>941</v>
      </c>
      <c r="BM121" s="18" t="s">
        <v>74</v>
      </c>
      <c r="BN121" s="18">
        <v>298</v>
      </c>
      <c r="BO121" s="18">
        <v>655</v>
      </c>
      <c r="BP121" s="18">
        <v>292</v>
      </c>
      <c r="BQ121" s="218" t="s">
        <v>1</v>
      </c>
      <c r="BR121" s="218" t="s">
        <v>1</v>
      </c>
      <c r="BS121" s="218" t="s">
        <v>1</v>
      </c>
      <c r="BT121" s="218" t="s">
        <v>1</v>
      </c>
      <c r="BU121" s="218" t="s">
        <v>1</v>
      </c>
      <c r="BV121" s="218" t="s">
        <v>1</v>
      </c>
      <c r="BW121" s="218" t="s">
        <v>1</v>
      </c>
      <c r="BX121" s="218" t="s">
        <v>1</v>
      </c>
      <c r="BY121" s="218" t="s">
        <v>1</v>
      </c>
      <c r="BZ121" s="218" t="s">
        <v>1</v>
      </c>
      <c r="CA121" s="218" t="s">
        <v>1</v>
      </c>
      <c r="CB121" s="218" t="s">
        <v>1</v>
      </c>
      <c r="CC121" s="218" t="s">
        <v>1</v>
      </c>
      <c r="CD121" s="218" t="s">
        <v>1</v>
      </c>
      <c r="CE121" s="218" t="s">
        <v>1</v>
      </c>
      <c r="CF121" s="117" t="s">
        <v>1</v>
      </c>
    </row>
    <row r="122" ht="25" customHeight="1" spans="1:84">
      <c r="A122" s="29">
        <v>45225</v>
      </c>
      <c r="B122" s="7" t="s">
        <v>89</v>
      </c>
      <c r="C122" s="7" t="s">
        <v>1</v>
      </c>
      <c r="D122" s="30" t="s">
        <v>1</v>
      </c>
      <c r="E122" s="30" t="s">
        <v>1</v>
      </c>
      <c r="F122" s="32" t="str">
        <f t="shared" si="2"/>
        <v/>
      </c>
      <c r="G122" s="48" t="s">
        <v>1</v>
      </c>
      <c r="H122" s="48" t="s">
        <v>1</v>
      </c>
      <c r="I122" s="48" t="s">
        <v>1</v>
      </c>
      <c r="J122" s="31" t="str">
        <f t="shared" si="3"/>
        <v/>
      </c>
      <c r="K122" s="31" t="str">
        <f>IFERROR(E122/#REF!,"")</f>
        <v/>
      </c>
      <c r="L122" s="215" t="s">
        <v>1</v>
      </c>
      <c r="M122" s="30">
        <v>17959</v>
      </c>
      <c r="N122" s="222" t="s">
        <v>1</v>
      </c>
      <c r="O122" s="32" t="s">
        <v>1</v>
      </c>
      <c r="P122" s="48" t="s">
        <v>1</v>
      </c>
      <c r="Q122" s="48" t="s">
        <v>1</v>
      </c>
      <c r="R122" s="48" t="s">
        <v>1</v>
      </c>
      <c r="S122" s="48" t="s">
        <v>1</v>
      </c>
      <c r="T122" s="48" t="s">
        <v>1</v>
      </c>
      <c r="U122" s="48" t="s">
        <v>1</v>
      </c>
      <c r="V122" s="92" t="s">
        <v>1</v>
      </c>
      <c r="W122" s="92">
        <v>5484</v>
      </c>
      <c r="X122" s="92" t="s">
        <v>1</v>
      </c>
      <c r="Y122" s="92">
        <v>1864</v>
      </c>
      <c r="Z122" s="92" t="s">
        <v>1</v>
      </c>
      <c r="AA122" s="236">
        <v>2.94</v>
      </c>
      <c r="AB122" s="92" t="s">
        <v>1</v>
      </c>
      <c r="AC122" s="92">
        <v>84.64</v>
      </c>
      <c r="AD122" s="92" t="s">
        <v>1</v>
      </c>
      <c r="AE122" s="92" t="s">
        <v>1</v>
      </c>
      <c r="AF122" s="92" t="s">
        <v>1</v>
      </c>
      <c r="AG122" s="92">
        <v>92</v>
      </c>
      <c r="AH122" s="125" t="s">
        <v>1</v>
      </c>
      <c r="AI122" s="125">
        <v>1671</v>
      </c>
      <c r="AJ122" s="125" t="s">
        <v>1</v>
      </c>
      <c r="AK122" s="125">
        <v>231</v>
      </c>
      <c r="AL122" s="125" t="s">
        <v>1</v>
      </c>
      <c r="AM122" s="125">
        <v>47</v>
      </c>
      <c r="AN122" s="125" t="s">
        <v>1</v>
      </c>
      <c r="AO122" s="125">
        <v>44</v>
      </c>
      <c r="AP122" s="125" t="s">
        <v>1</v>
      </c>
      <c r="AQ122" s="125">
        <v>548</v>
      </c>
      <c r="AR122" s="125" t="s">
        <v>1</v>
      </c>
      <c r="AS122" s="125">
        <v>175</v>
      </c>
      <c r="AT122" s="117" t="s">
        <v>1</v>
      </c>
      <c r="AU122" s="117" t="s">
        <v>1</v>
      </c>
      <c r="AV122" s="7">
        <v>446</v>
      </c>
      <c r="AW122" s="117" t="s">
        <v>1</v>
      </c>
      <c r="AX122" s="117" t="s">
        <v>1</v>
      </c>
      <c r="AY122" s="117" t="s">
        <v>1</v>
      </c>
      <c r="AZ122" s="7">
        <v>58</v>
      </c>
      <c r="BA122" s="117" t="s">
        <v>1</v>
      </c>
      <c r="BB122" s="117" t="s">
        <v>1</v>
      </c>
      <c r="BC122" s="117" t="s">
        <v>1</v>
      </c>
      <c r="BD122" s="117" t="s">
        <v>1</v>
      </c>
      <c r="BE122" s="117" t="s">
        <v>1</v>
      </c>
      <c r="BF122" s="117" t="s">
        <v>1</v>
      </c>
      <c r="BG122" s="217" t="s">
        <v>1</v>
      </c>
      <c r="BH122" s="217" t="s">
        <v>1</v>
      </c>
      <c r="BI122" s="18" t="s">
        <v>74</v>
      </c>
      <c r="BJ122" s="18">
        <v>105</v>
      </c>
      <c r="BK122" s="212">
        <v>917</v>
      </c>
      <c r="BL122" s="18">
        <v>810</v>
      </c>
      <c r="BM122" s="18" t="s">
        <v>74</v>
      </c>
      <c r="BN122" s="18">
        <v>353</v>
      </c>
      <c r="BO122" s="18">
        <v>479</v>
      </c>
      <c r="BP122" s="18">
        <v>268</v>
      </c>
      <c r="BQ122" s="218" t="s">
        <v>1</v>
      </c>
      <c r="BR122" s="218" t="s">
        <v>1</v>
      </c>
      <c r="BS122" s="218" t="s">
        <v>1</v>
      </c>
      <c r="BT122" s="218" t="s">
        <v>1</v>
      </c>
      <c r="BU122" s="218" t="s">
        <v>1</v>
      </c>
      <c r="BV122" s="218" t="s">
        <v>1</v>
      </c>
      <c r="BW122" s="218" t="s">
        <v>1</v>
      </c>
      <c r="BX122" s="218" t="s">
        <v>1</v>
      </c>
      <c r="BY122" s="218" t="s">
        <v>1</v>
      </c>
      <c r="BZ122" s="218" t="s">
        <v>1</v>
      </c>
      <c r="CA122" s="218" t="s">
        <v>1</v>
      </c>
      <c r="CB122" s="218" t="s">
        <v>1</v>
      </c>
      <c r="CC122" s="218" t="s">
        <v>1</v>
      </c>
      <c r="CD122" s="218" t="s">
        <v>1</v>
      </c>
      <c r="CE122" s="218" t="s">
        <v>1</v>
      </c>
      <c r="CF122" s="117" t="s">
        <v>1</v>
      </c>
    </row>
    <row r="123" ht="25" customHeight="1" spans="1:84">
      <c r="A123" s="29">
        <v>45226</v>
      </c>
      <c r="B123" s="7" t="s">
        <v>89</v>
      </c>
      <c r="C123" s="7" t="s">
        <v>1</v>
      </c>
      <c r="D123" s="30" t="s">
        <v>1</v>
      </c>
      <c r="E123" s="30" t="s">
        <v>1</v>
      </c>
      <c r="F123" s="32" t="str">
        <f t="shared" si="2"/>
        <v/>
      </c>
      <c r="G123" s="48" t="s">
        <v>1</v>
      </c>
      <c r="H123" s="48" t="s">
        <v>1</v>
      </c>
      <c r="I123" s="48" t="s">
        <v>1</v>
      </c>
      <c r="J123" s="31" t="str">
        <f t="shared" si="3"/>
        <v/>
      </c>
      <c r="K123" s="31" t="str">
        <f>IFERROR(E123/#REF!,"")</f>
        <v/>
      </c>
      <c r="L123" s="215" t="s">
        <v>1</v>
      </c>
      <c r="M123" s="30">
        <v>13997</v>
      </c>
      <c r="N123" s="222" t="s">
        <v>1</v>
      </c>
      <c r="O123" s="32" t="s">
        <v>1</v>
      </c>
      <c r="P123" s="48" t="s">
        <v>1</v>
      </c>
      <c r="Q123" s="48" t="s">
        <v>1</v>
      </c>
      <c r="R123" s="48" t="s">
        <v>1</v>
      </c>
      <c r="S123" s="48" t="s">
        <v>1</v>
      </c>
      <c r="T123" s="48" t="s">
        <v>1</v>
      </c>
      <c r="U123" s="48" t="s">
        <v>1</v>
      </c>
      <c r="V123" s="92" t="s">
        <v>1</v>
      </c>
      <c r="W123" s="92">
        <v>4900</v>
      </c>
      <c r="X123" s="92" t="s">
        <v>1</v>
      </c>
      <c r="Y123" s="92">
        <v>1746</v>
      </c>
      <c r="Z123" s="92" t="s">
        <v>1</v>
      </c>
      <c r="AA123" s="236">
        <v>2.81</v>
      </c>
      <c r="AB123" s="92" t="s">
        <v>1</v>
      </c>
      <c r="AC123" s="92">
        <v>78.9</v>
      </c>
      <c r="AD123" s="92" t="s">
        <v>1</v>
      </c>
      <c r="AE123" s="92" t="s">
        <v>1</v>
      </c>
      <c r="AF123" s="92" t="s">
        <v>1</v>
      </c>
      <c r="AG123" s="92">
        <v>90</v>
      </c>
      <c r="AH123" s="125" t="s">
        <v>1</v>
      </c>
      <c r="AI123" s="125">
        <v>1522</v>
      </c>
      <c r="AJ123" s="125" t="s">
        <v>1</v>
      </c>
      <c r="AK123" s="125">
        <v>265</v>
      </c>
      <c r="AL123" s="125" t="s">
        <v>1</v>
      </c>
      <c r="AM123" s="125">
        <v>43</v>
      </c>
      <c r="AN123" s="125" t="s">
        <v>1</v>
      </c>
      <c r="AO123" s="125">
        <v>43</v>
      </c>
      <c r="AP123" s="125" t="s">
        <v>1</v>
      </c>
      <c r="AQ123" s="125">
        <v>427</v>
      </c>
      <c r="AR123" s="125" t="s">
        <v>1</v>
      </c>
      <c r="AS123" s="125">
        <v>167</v>
      </c>
      <c r="AT123" s="117" t="s">
        <v>1</v>
      </c>
      <c r="AU123" s="117" t="s">
        <v>1</v>
      </c>
      <c r="AV123" s="7">
        <v>380</v>
      </c>
      <c r="AW123" s="117" t="s">
        <v>1</v>
      </c>
      <c r="AX123" s="117" t="s">
        <v>1</v>
      </c>
      <c r="AY123" s="117" t="s">
        <v>1</v>
      </c>
      <c r="AZ123" s="7">
        <v>60</v>
      </c>
      <c r="BA123" s="117" t="s">
        <v>1</v>
      </c>
      <c r="BB123" s="117" t="s">
        <v>1</v>
      </c>
      <c r="BC123" s="117" t="s">
        <v>1</v>
      </c>
      <c r="BD123" s="117" t="s">
        <v>1</v>
      </c>
      <c r="BE123" s="117" t="s">
        <v>1</v>
      </c>
      <c r="BF123" s="117" t="s">
        <v>1</v>
      </c>
      <c r="BG123" s="217" t="s">
        <v>1</v>
      </c>
      <c r="BH123" s="217" t="s">
        <v>1</v>
      </c>
      <c r="BI123" s="18" t="s">
        <v>73</v>
      </c>
      <c r="BJ123" s="18">
        <v>86</v>
      </c>
      <c r="BK123" s="212">
        <v>928</v>
      </c>
      <c r="BL123" s="18">
        <v>589</v>
      </c>
      <c r="BM123" s="18" t="s">
        <v>74</v>
      </c>
      <c r="BN123" s="18">
        <v>350</v>
      </c>
      <c r="BO123" s="18">
        <v>448</v>
      </c>
      <c r="BP123" s="18">
        <v>157</v>
      </c>
      <c r="BQ123" s="218" t="s">
        <v>1</v>
      </c>
      <c r="BR123" s="218" t="s">
        <v>1</v>
      </c>
      <c r="BS123" s="218" t="s">
        <v>1</v>
      </c>
      <c r="BT123" s="218" t="s">
        <v>1</v>
      </c>
      <c r="BU123" s="218" t="s">
        <v>1</v>
      </c>
      <c r="BV123" s="218" t="s">
        <v>1</v>
      </c>
      <c r="BW123" s="218" t="s">
        <v>1</v>
      </c>
      <c r="BX123" s="218" t="s">
        <v>1</v>
      </c>
      <c r="BY123" s="218" t="s">
        <v>1</v>
      </c>
      <c r="BZ123" s="218" t="s">
        <v>1</v>
      </c>
      <c r="CA123" s="218" t="s">
        <v>1</v>
      </c>
      <c r="CB123" s="218" t="s">
        <v>1</v>
      </c>
      <c r="CC123" s="218" t="s">
        <v>1</v>
      </c>
      <c r="CD123" s="218" t="s">
        <v>1</v>
      </c>
      <c r="CE123" s="218" t="s">
        <v>1</v>
      </c>
      <c r="CF123" s="117" t="s">
        <v>1</v>
      </c>
    </row>
    <row r="124" ht="25" customHeight="1" spans="1:84">
      <c r="A124" s="29">
        <v>45227</v>
      </c>
      <c r="B124" s="7" t="s">
        <v>89</v>
      </c>
      <c r="C124" s="7" t="s">
        <v>1</v>
      </c>
      <c r="D124" s="30" t="s">
        <v>1</v>
      </c>
      <c r="E124" s="30" t="s">
        <v>1</v>
      </c>
      <c r="F124" s="32" t="str">
        <f t="shared" si="2"/>
        <v/>
      </c>
      <c r="G124" s="48" t="s">
        <v>1</v>
      </c>
      <c r="H124" s="48" t="s">
        <v>1</v>
      </c>
      <c r="I124" s="48" t="s">
        <v>1</v>
      </c>
      <c r="J124" s="31" t="str">
        <f t="shared" si="3"/>
        <v/>
      </c>
      <c r="K124" s="31" t="str">
        <f>IFERROR(E124/#REF!,"")</f>
        <v/>
      </c>
      <c r="L124" s="215" t="s">
        <v>1</v>
      </c>
      <c r="M124" s="30">
        <v>17495</v>
      </c>
      <c r="N124" s="222" t="s">
        <v>1</v>
      </c>
      <c r="O124" s="32" t="s">
        <v>1</v>
      </c>
      <c r="P124" s="48" t="s">
        <v>1</v>
      </c>
      <c r="Q124" s="48" t="s">
        <v>1</v>
      </c>
      <c r="R124" s="48" t="s">
        <v>1</v>
      </c>
      <c r="S124" s="48" t="s">
        <v>1</v>
      </c>
      <c r="T124" s="48" t="s">
        <v>1</v>
      </c>
      <c r="U124" s="48" t="s">
        <v>1</v>
      </c>
      <c r="V124" s="92" t="s">
        <v>1</v>
      </c>
      <c r="W124" s="92">
        <v>5632</v>
      </c>
      <c r="X124" s="92" t="s">
        <v>1</v>
      </c>
      <c r="Y124" s="92">
        <v>1886</v>
      </c>
      <c r="Z124" s="92" t="s">
        <v>1</v>
      </c>
      <c r="AA124" s="236">
        <v>2.99</v>
      </c>
      <c r="AB124" s="92" t="s">
        <v>1</v>
      </c>
      <c r="AC124" s="92">
        <v>81.89</v>
      </c>
      <c r="AD124" s="92" t="s">
        <v>1</v>
      </c>
      <c r="AE124" s="92" t="s">
        <v>1</v>
      </c>
      <c r="AF124" s="92" t="s">
        <v>1</v>
      </c>
      <c r="AG124" s="92">
        <v>85</v>
      </c>
      <c r="AH124" s="125" t="s">
        <v>1</v>
      </c>
      <c r="AI124" s="125">
        <v>1644</v>
      </c>
      <c r="AJ124" s="125" t="s">
        <v>1</v>
      </c>
      <c r="AK124" s="125">
        <v>307</v>
      </c>
      <c r="AL124" s="125" t="s">
        <v>1</v>
      </c>
      <c r="AM124" s="125">
        <v>26</v>
      </c>
      <c r="AN124" s="125" t="s">
        <v>1</v>
      </c>
      <c r="AO124" s="125">
        <v>61</v>
      </c>
      <c r="AP124" s="125" t="s">
        <v>1</v>
      </c>
      <c r="AQ124" s="125">
        <v>637</v>
      </c>
      <c r="AR124" s="125" t="s">
        <v>1</v>
      </c>
      <c r="AS124" s="125">
        <v>181</v>
      </c>
      <c r="AT124" s="117" t="s">
        <v>1</v>
      </c>
      <c r="AU124" s="117" t="s">
        <v>1</v>
      </c>
      <c r="AV124" s="7">
        <v>400</v>
      </c>
      <c r="AW124" s="117" t="s">
        <v>1</v>
      </c>
      <c r="AX124" s="117" t="s">
        <v>1</v>
      </c>
      <c r="AY124" s="117" t="s">
        <v>1</v>
      </c>
      <c r="AZ124" s="7">
        <v>73</v>
      </c>
      <c r="BA124" s="117" t="s">
        <v>1</v>
      </c>
      <c r="BB124" s="117" t="s">
        <v>1</v>
      </c>
      <c r="BC124" s="117" t="s">
        <v>1</v>
      </c>
      <c r="BD124" s="117" t="s">
        <v>1</v>
      </c>
      <c r="BE124" s="117" t="s">
        <v>1</v>
      </c>
      <c r="BF124" s="117" t="s">
        <v>1</v>
      </c>
      <c r="BG124" s="217" t="s">
        <v>1</v>
      </c>
      <c r="BH124" s="217" t="s">
        <v>1</v>
      </c>
      <c r="BI124" s="18" t="s">
        <v>73</v>
      </c>
      <c r="BJ124" s="18">
        <v>55</v>
      </c>
      <c r="BK124" s="212">
        <v>1581</v>
      </c>
      <c r="BL124" s="18">
        <v>861</v>
      </c>
      <c r="BM124" s="18" t="s">
        <v>74</v>
      </c>
      <c r="BN124" s="18">
        <v>199</v>
      </c>
      <c r="BO124" s="18">
        <v>814</v>
      </c>
      <c r="BP124" s="18">
        <v>350</v>
      </c>
      <c r="BQ124" s="218" t="s">
        <v>1</v>
      </c>
      <c r="BR124" s="218" t="s">
        <v>1</v>
      </c>
      <c r="BS124" s="218" t="s">
        <v>1</v>
      </c>
      <c r="BT124" s="218" t="s">
        <v>1</v>
      </c>
      <c r="BU124" s="218" t="s">
        <v>1</v>
      </c>
      <c r="BV124" s="218" t="s">
        <v>1</v>
      </c>
      <c r="BW124" s="218" t="s">
        <v>1</v>
      </c>
      <c r="BX124" s="218" t="s">
        <v>1</v>
      </c>
      <c r="BY124" s="218" t="s">
        <v>1</v>
      </c>
      <c r="BZ124" s="218" t="s">
        <v>1</v>
      </c>
      <c r="CA124" s="218" t="s">
        <v>1</v>
      </c>
      <c r="CB124" s="218" t="s">
        <v>1</v>
      </c>
      <c r="CC124" s="218" t="s">
        <v>1</v>
      </c>
      <c r="CD124" s="218" t="s">
        <v>1</v>
      </c>
      <c r="CE124" s="218" t="s">
        <v>1</v>
      </c>
      <c r="CF124" s="117" t="s">
        <v>1</v>
      </c>
    </row>
    <row r="125" ht="25" customHeight="1" spans="1:84">
      <c r="A125" s="29">
        <v>45228</v>
      </c>
      <c r="B125" s="7" t="s">
        <v>89</v>
      </c>
      <c r="C125" s="7" t="s">
        <v>1</v>
      </c>
      <c r="D125" s="30" t="s">
        <v>1</v>
      </c>
      <c r="E125" s="30" t="s">
        <v>1</v>
      </c>
      <c r="F125" s="32" t="str">
        <f t="shared" si="2"/>
        <v/>
      </c>
      <c r="G125" s="48" t="s">
        <v>1</v>
      </c>
      <c r="H125" s="48" t="s">
        <v>1</v>
      </c>
      <c r="I125" s="48" t="s">
        <v>1</v>
      </c>
      <c r="J125" s="31" t="str">
        <f t="shared" si="3"/>
        <v/>
      </c>
      <c r="K125" s="31" t="str">
        <f>IFERROR(E125/#REF!,"")</f>
        <v/>
      </c>
      <c r="L125" s="215" t="s">
        <v>1</v>
      </c>
      <c r="M125" s="30">
        <v>27392</v>
      </c>
      <c r="N125" s="222" t="s">
        <v>1</v>
      </c>
      <c r="O125" s="32" t="s">
        <v>1</v>
      </c>
      <c r="P125" s="48" t="s">
        <v>1</v>
      </c>
      <c r="Q125" s="48" t="s">
        <v>1</v>
      </c>
      <c r="R125" s="48" t="s">
        <v>1</v>
      </c>
      <c r="S125" s="48" t="s">
        <v>1</v>
      </c>
      <c r="T125" s="48" t="s">
        <v>1</v>
      </c>
      <c r="U125" s="48" t="s">
        <v>1</v>
      </c>
      <c r="V125" s="92" t="s">
        <v>1</v>
      </c>
      <c r="W125" s="92">
        <v>5986</v>
      </c>
      <c r="X125" s="92" t="s">
        <v>1</v>
      </c>
      <c r="Y125" s="92">
        <v>2152</v>
      </c>
      <c r="Z125" s="92" t="s">
        <v>1</v>
      </c>
      <c r="AA125" s="236">
        <v>2.78</v>
      </c>
      <c r="AB125" s="92" t="s">
        <v>1</v>
      </c>
      <c r="AC125" s="92">
        <v>81.52</v>
      </c>
      <c r="AD125" s="92" t="s">
        <v>1</v>
      </c>
      <c r="AE125" s="92" t="s">
        <v>1</v>
      </c>
      <c r="AF125" s="92" t="s">
        <v>1</v>
      </c>
      <c r="AG125" s="92">
        <v>94</v>
      </c>
      <c r="AH125" s="125" t="s">
        <v>1</v>
      </c>
      <c r="AI125" s="125">
        <v>1848</v>
      </c>
      <c r="AJ125" s="125" t="s">
        <v>1</v>
      </c>
      <c r="AK125" s="125">
        <v>408</v>
      </c>
      <c r="AL125" s="125" t="s">
        <v>1</v>
      </c>
      <c r="AM125" s="125">
        <v>56</v>
      </c>
      <c r="AN125" s="125" t="s">
        <v>1</v>
      </c>
      <c r="AO125" s="125">
        <v>50</v>
      </c>
      <c r="AP125" s="125" t="s">
        <v>1</v>
      </c>
      <c r="AQ125" s="125">
        <v>718</v>
      </c>
      <c r="AR125" s="125" t="s">
        <v>1</v>
      </c>
      <c r="AS125" s="125">
        <v>191</v>
      </c>
      <c r="AT125" s="117" t="s">
        <v>1</v>
      </c>
      <c r="AU125" s="117" t="s">
        <v>1</v>
      </c>
      <c r="AV125" s="7" t="s">
        <v>1</v>
      </c>
      <c r="AW125" s="117" t="s">
        <v>1</v>
      </c>
      <c r="AX125" s="117" t="s">
        <v>1</v>
      </c>
      <c r="AY125" s="117" t="s">
        <v>1</v>
      </c>
      <c r="AZ125" s="7" t="s">
        <v>1</v>
      </c>
      <c r="BA125" s="117" t="s">
        <v>1</v>
      </c>
      <c r="BB125" s="117" t="s">
        <v>1</v>
      </c>
      <c r="BC125" s="117" t="s">
        <v>1</v>
      </c>
      <c r="BD125" s="117" t="s">
        <v>1</v>
      </c>
      <c r="BE125" s="117" t="s">
        <v>1</v>
      </c>
      <c r="BF125" s="117" t="s">
        <v>1</v>
      </c>
      <c r="BG125" s="217" t="s">
        <v>1</v>
      </c>
      <c r="BH125" s="217" t="s">
        <v>1</v>
      </c>
      <c r="BI125" s="18" t="s">
        <v>73</v>
      </c>
      <c r="BJ125" s="18">
        <v>57</v>
      </c>
      <c r="BK125" s="212">
        <v>1903</v>
      </c>
      <c r="BL125" s="18">
        <v>1064</v>
      </c>
      <c r="BM125" s="18" t="s">
        <v>74</v>
      </c>
      <c r="BN125" s="18">
        <v>213</v>
      </c>
      <c r="BO125" s="18">
        <v>857</v>
      </c>
      <c r="BP125" s="18">
        <v>459</v>
      </c>
      <c r="BQ125" s="218" t="s">
        <v>1</v>
      </c>
      <c r="BR125" s="218" t="s">
        <v>1</v>
      </c>
      <c r="BS125" s="218" t="s">
        <v>1</v>
      </c>
      <c r="BT125" s="218" t="s">
        <v>1</v>
      </c>
      <c r="BU125" s="218" t="s">
        <v>1</v>
      </c>
      <c r="BV125" s="218" t="s">
        <v>1</v>
      </c>
      <c r="BW125" s="218" t="s">
        <v>1</v>
      </c>
      <c r="BX125" s="218" t="s">
        <v>1</v>
      </c>
      <c r="BY125" s="218" t="s">
        <v>1</v>
      </c>
      <c r="BZ125" s="218" t="s">
        <v>1</v>
      </c>
      <c r="CA125" s="218" t="s">
        <v>1</v>
      </c>
      <c r="CB125" s="218" t="s">
        <v>1</v>
      </c>
      <c r="CC125" s="218" t="s">
        <v>1</v>
      </c>
      <c r="CD125" s="218" t="s">
        <v>1</v>
      </c>
      <c r="CE125" s="218" t="s">
        <v>1</v>
      </c>
      <c r="CF125" s="117" t="s">
        <v>1</v>
      </c>
    </row>
    <row r="126" ht="25" customHeight="1" spans="1:84">
      <c r="A126" s="29">
        <v>45229</v>
      </c>
      <c r="B126" s="7" t="s">
        <v>89</v>
      </c>
      <c r="C126" s="7" t="s">
        <v>1</v>
      </c>
      <c r="D126" s="30" t="s">
        <v>1</v>
      </c>
      <c r="E126" s="30" t="s">
        <v>1</v>
      </c>
      <c r="F126" s="32" t="str">
        <f t="shared" si="2"/>
        <v/>
      </c>
      <c r="G126" s="48" t="s">
        <v>1</v>
      </c>
      <c r="H126" s="48" t="s">
        <v>1</v>
      </c>
      <c r="I126" s="48" t="s">
        <v>1</v>
      </c>
      <c r="J126" s="31" t="str">
        <f t="shared" si="3"/>
        <v/>
      </c>
      <c r="K126" s="31" t="str">
        <f>IFERROR(E126/#REF!,"")</f>
        <v/>
      </c>
      <c r="L126" s="215" t="s">
        <v>1</v>
      </c>
      <c r="M126" s="30">
        <v>23077</v>
      </c>
      <c r="N126" s="222" t="s">
        <v>1</v>
      </c>
      <c r="O126" s="32" t="s">
        <v>1</v>
      </c>
      <c r="P126" s="48" t="s">
        <v>1</v>
      </c>
      <c r="Q126" s="48" t="s">
        <v>1</v>
      </c>
      <c r="R126" s="48" t="s">
        <v>1</v>
      </c>
      <c r="S126" s="48" t="s">
        <v>1</v>
      </c>
      <c r="T126" s="48" t="s">
        <v>1</v>
      </c>
      <c r="U126" s="48" t="s">
        <v>1</v>
      </c>
      <c r="V126" s="92" t="s">
        <v>1</v>
      </c>
      <c r="W126" s="92">
        <v>8160</v>
      </c>
      <c r="X126" s="92" t="s">
        <v>1</v>
      </c>
      <c r="Y126" s="92">
        <v>2807</v>
      </c>
      <c r="Z126" s="92" t="s">
        <v>1</v>
      </c>
      <c r="AA126" s="236">
        <v>2.91</v>
      </c>
      <c r="AB126" s="92" t="s">
        <v>1</v>
      </c>
      <c r="AC126" s="92">
        <v>80.34</v>
      </c>
      <c r="AD126" s="92" t="s">
        <v>1</v>
      </c>
      <c r="AE126" s="92" t="s">
        <v>1</v>
      </c>
      <c r="AF126" s="92" t="s">
        <v>1</v>
      </c>
      <c r="AG126" s="92">
        <v>102</v>
      </c>
      <c r="AH126" s="125" t="s">
        <v>1</v>
      </c>
      <c r="AI126" s="125">
        <v>2442</v>
      </c>
      <c r="AJ126" s="125" t="s">
        <v>1</v>
      </c>
      <c r="AK126" s="125">
        <v>516</v>
      </c>
      <c r="AL126" s="125" t="s">
        <v>1</v>
      </c>
      <c r="AM126" s="125">
        <v>55</v>
      </c>
      <c r="AN126" s="125" t="s">
        <v>1</v>
      </c>
      <c r="AO126" s="125">
        <v>61</v>
      </c>
      <c r="AP126" s="125" t="s">
        <v>1</v>
      </c>
      <c r="AQ126" s="125">
        <v>1062</v>
      </c>
      <c r="AR126" s="125" t="s">
        <v>1</v>
      </c>
      <c r="AS126" s="125">
        <v>212</v>
      </c>
      <c r="AT126" s="117" t="s">
        <v>1</v>
      </c>
      <c r="AU126" s="117" t="s">
        <v>1</v>
      </c>
      <c r="AV126" s="7" t="s">
        <v>1</v>
      </c>
      <c r="AW126" s="117" t="s">
        <v>1</v>
      </c>
      <c r="AX126" s="117" t="s">
        <v>1</v>
      </c>
      <c r="AY126" s="117" t="s">
        <v>1</v>
      </c>
      <c r="AZ126" s="7" t="s">
        <v>1</v>
      </c>
      <c r="BA126" s="117" t="s">
        <v>1</v>
      </c>
      <c r="BB126" s="117" t="s">
        <v>1</v>
      </c>
      <c r="BC126" s="117" t="s">
        <v>1</v>
      </c>
      <c r="BD126" s="117" t="s">
        <v>1</v>
      </c>
      <c r="BE126" s="117" t="s">
        <v>1</v>
      </c>
      <c r="BF126" s="117" t="s">
        <v>1</v>
      </c>
      <c r="BG126" s="217" t="s">
        <v>1</v>
      </c>
      <c r="BH126" s="217" t="s">
        <v>1</v>
      </c>
      <c r="BI126" s="18" t="s">
        <v>73</v>
      </c>
      <c r="BJ126" s="18">
        <v>56</v>
      </c>
      <c r="BK126" s="212">
        <v>1780</v>
      </c>
      <c r="BL126" s="18">
        <v>1695</v>
      </c>
      <c r="BM126" s="18" t="s">
        <v>74</v>
      </c>
      <c r="BN126" s="18">
        <v>209</v>
      </c>
      <c r="BO126" s="18">
        <v>839</v>
      </c>
      <c r="BP126" s="18">
        <v>668</v>
      </c>
      <c r="BQ126" s="218" t="s">
        <v>1</v>
      </c>
      <c r="BR126" s="218" t="s">
        <v>1</v>
      </c>
      <c r="BS126" s="218" t="s">
        <v>1</v>
      </c>
      <c r="BT126" s="218" t="s">
        <v>1</v>
      </c>
      <c r="BU126" s="218" t="s">
        <v>1</v>
      </c>
      <c r="BV126" s="218" t="s">
        <v>1</v>
      </c>
      <c r="BW126" s="218" t="s">
        <v>1</v>
      </c>
      <c r="BX126" s="218" t="s">
        <v>1</v>
      </c>
      <c r="BY126" s="218" t="s">
        <v>1</v>
      </c>
      <c r="BZ126" s="218" t="s">
        <v>1</v>
      </c>
      <c r="CA126" s="218" t="s">
        <v>1</v>
      </c>
      <c r="CB126" s="218" t="s">
        <v>1</v>
      </c>
      <c r="CC126" s="218" t="s">
        <v>1</v>
      </c>
      <c r="CD126" s="218" t="s">
        <v>1</v>
      </c>
      <c r="CE126" s="218" t="s">
        <v>1</v>
      </c>
      <c r="CF126" s="117" t="s">
        <v>1</v>
      </c>
    </row>
    <row r="127" ht="25" customHeight="1" spans="1:84">
      <c r="A127" s="29">
        <v>45230</v>
      </c>
      <c r="B127" s="108" t="s">
        <v>126</v>
      </c>
      <c r="C127" s="7" t="s">
        <v>1</v>
      </c>
      <c r="D127" s="30" t="s">
        <v>1</v>
      </c>
      <c r="E127" s="30" t="s">
        <v>1</v>
      </c>
      <c r="F127" s="32" t="str">
        <f>E127</f>
        <v/>
      </c>
      <c r="G127" s="48" t="s">
        <v>1</v>
      </c>
      <c r="H127" s="48" t="s">
        <v>1</v>
      </c>
      <c r="I127" s="48" t="s">
        <v>1</v>
      </c>
      <c r="J127" s="31" t="str">
        <f t="shared" si="3"/>
        <v/>
      </c>
      <c r="K127" s="31" t="str">
        <f>IFERROR(E127/#REF!,"")</f>
        <v/>
      </c>
      <c r="L127" s="215" t="s">
        <v>1</v>
      </c>
      <c r="M127" s="30">
        <v>272071.16</v>
      </c>
      <c r="N127" s="222" t="s">
        <v>1</v>
      </c>
      <c r="O127" s="32" t="s">
        <v>1</v>
      </c>
      <c r="P127" s="48" t="s">
        <v>1</v>
      </c>
      <c r="Q127" s="48" t="s">
        <v>1</v>
      </c>
      <c r="R127" s="48" t="s">
        <v>1</v>
      </c>
      <c r="S127" s="48" t="s">
        <v>1</v>
      </c>
      <c r="T127" s="48" t="s">
        <v>1</v>
      </c>
      <c r="U127" s="48" t="s">
        <v>1</v>
      </c>
      <c r="V127" s="92" t="s">
        <v>1</v>
      </c>
      <c r="W127" s="92">
        <v>15605</v>
      </c>
      <c r="X127" s="92" t="s">
        <v>1</v>
      </c>
      <c r="Y127" s="92">
        <v>4886</v>
      </c>
      <c r="Z127" s="92" t="s">
        <v>1</v>
      </c>
      <c r="AA127" s="236">
        <v>3.19</v>
      </c>
      <c r="AB127" s="92" t="s">
        <v>1</v>
      </c>
      <c r="AC127" s="92">
        <v>85.55</v>
      </c>
      <c r="AD127" s="92" t="s">
        <v>1</v>
      </c>
      <c r="AE127" s="92" t="s">
        <v>1</v>
      </c>
      <c r="AF127" s="92" t="s">
        <v>1</v>
      </c>
      <c r="AG127" s="92">
        <v>235</v>
      </c>
      <c r="AH127" s="125" t="s">
        <v>1</v>
      </c>
      <c r="AI127" s="125">
        <v>4366</v>
      </c>
      <c r="AJ127" s="125" t="s">
        <v>1</v>
      </c>
      <c r="AK127" s="125">
        <v>657</v>
      </c>
      <c r="AL127" s="125" t="s">
        <v>1</v>
      </c>
      <c r="AM127" s="125">
        <v>153</v>
      </c>
      <c r="AN127" s="125" t="s">
        <v>1</v>
      </c>
      <c r="AO127" s="125">
        <v>109</v>
      </c>
      <c r="AP127" s="125" t="s">
        <v>1</v>
      </c>
      <c r="AQ127" s="125">
        <v>1950</v>
      </c>
      <c r="AR127" s="125" t="s">
        <v>1</v>
      </c>
      <c r="AS127" s="125">
        <v>429</v>
      </c>
      <c r="AT127" s="117" t="s">
        <v>1</v>
      </c>
      <c r="AU127" s="117" t="s">
        <v>1</v>
      </c>
      <c r="AV127" s="7" t="s">
        <v>1</v>
      </c>
      <c r="AW127" s="117" t="s">
        <v>1</v>
      </c>
      <c r="AX127" s="117" t="s">
        <v>1</v>
      </c>
      <c r="AY127" s="117" t="s">
        <v>1</v>
      </c>
      <c r="AZ127" s="7" t="s">
        <v>1</v>
      </c>
      <c r="BA127" s="117" t="s">
        <v>1</v>
      </c>
      <c r="BB127" s="117" t="s">
        <v>1</v>
      </c>
      <c r="BC127" s="117" t="s">
        <v>1</v>
      </c>
      <c r="BD127" s="117" t="s">
        <v>1</v>
      </c>
      <c r="BE127" s="117" t="s">
        <v>1</v>
      </c>
      <c r="BF127" s="117" t="s">
        <v>1</v>
      </c>
      <c r="BG127" s="217" t="s">
        <v>1</v>
      </c>
      <c r="BH127" s="217" t="s">
        <v>1</v>
      </c>
      <c r="BI127" s="18" t="s">
        <v>73</v>
      </c>
      <c r="BJ127" s="18">
        <v>51</v>
      </c>
      <c r="BK127" s="212">
        <v>2528</v>
      </c>
      <c r="BL127" s="18">
        <v>2518</v>
      </c>
      <c r="BM127" s="18" t="s">
        <v>74</v>
      </c>
      <c r="BN127" s="18">
        <v>157</v>
      </c>
      <c r="BO127" s="18">
        <v>1396</v>
      </c>
      <c r="BP127" s="18">
        <v>1254</v>
      </c>
      <c r="BQ127" s="218" t="s">
        <v>1</v>
      </c>
      <c r="BR127" s="218" t="s">
        <v>1</v>
      </c>
      <c r="BS127" s="218" t="s">
        <v>1</v>
      </c>
      <c r="BT127" s="218" t="s">
        <v>1</v>
      </c>
      <c r="BU127" s="218" t="s">
        <v>1</v>
      </c>
      <c r="BV127" s="218" t="s">
        <v>1</v>
      </c>
      <c r="BW127" s="218" t="s">
        <v>1</v>
      </c>
      <c r="BX127" s="218" t="s">
        <v>1</v>
      </c>
      <c r="BY127" s="218" t="s">
        <v>1</v>
      </c>
      <c r="BZ127" s="218" t="s">
        <v>1</v>
      </c>
      <c r="CA127" s="218" t="s">
        <v>1</v>
      </c>
      <c r="CB127" s="218" t="s">
        <v>1</v>
      </c>
      <c r="CC127" s="218" t="s">
        <v>1</v>
      </c>
      <c r="CD127" s="218" t="s">
        <v>1</v>
      </c>
      <c r="CE127" s="218" t="s">
        <v>1</v>
      </c>
      <c r="CF127" s="117" t="s">
        <v>1</v>
      </c>
    </row>
    <row r="128" ht="25" customHeight="1" spans="1:84">
      <c r="A128" s="1" t="s">
        <v>1</v>
      </c>
      <c r="B128" s="1" t="s">
        <v>1</v>
      </c>
      <c r="C128" s="1" t="s">
        <v>1</v>
      </c>
      <c r="D128" s="1" t="s">
        <v>1</v>
      </c>
      <c r="E128" s="1" t="s">
        <v>1</v>
      </c>
      <c r="F128" s="1" t="s">
        <v>1</v>
      </c>
      <c r="G128" s="130" t="s">
        <v>1</v>
      </c>
      <c r="H128" s="130" t="s">
        <v>1</v>
      </c>
      <c r="I128" s="130" t="s">
        <v>1</v>
      </c>
      <c r="J128" s="130" t="s">
        <v>1</v>
      </c>
      <c r="K128" s="130" t="s">
        <v>1</v>
      </c>
      <c r="L128" s="159" t="s">
        <v>1</v>
      </c>
      <c r="M128" s="130" t="s">
        <v>1</v>
      </c>
      <c r="N128" s="130" t="s">
        <v>1</v>
      </c>
      <c r="O128" s="130" t="s">
        <v>1</v>
      </c>
      <c r="P128" s="130" t="s">
        <v>1</v>
      </c>
      <c r="Q128" s="130" t="s">
        <v>1</v>
      </c>
      <c r="R128" s="130" t="s">
        <v>1</v>
      </c>
      <c r="S128" s="130" t="s">
        <v>1</v>
      </c>
      <c r="T128" s="130" t="s">
        <v>1</v>
      </c>
      <c r="U128" s="130" t="s">
        <v>1</v>
      </c>
      <c r="V128" s="126" t="s">
        <v>1</v>
      </c>
      <c r="W128" s="126" t="s">
        <v>1</v>
      </c>
      <c r="X128" s="126" t="s">
        <v>1</v>
      </c>
      <c r="Y128" s="126" t="s">
        <v>1</v>
      </c>
      <c r="Z128" s="126" t="s">
        <v>1</v>
      </c>
      <c r="AA128" s="126" t="s">
        <v>1</v>
      </c>
      <c r="AB128" s="126" t="s">
        <v>1</v>
      </c>
      <c r="AC128" s="126" t="s">
        <v>1</v>
      </c>
      <c r="AD128" s="126" t="s">
        <v>1</v>
      </c>
      <c r="AE128" s="126" t="s">
        <v>1</v>
      </c>
      <c r="AF128" s="126" t="s">
        <v>1</v>
      </c>
      <c r="AG128" s="126" t="s">
        <v>1</v>
      </c>
      <c r="AH128" s="126" t="s">
        <v>1</v>
      </c>
      <c r="AI128" s="126" t="s">
        <v>1</v>
      </c>
      <c r="AJ128" s="126" t="s">
        <v>1</v>
      </c>
      <c r="AK128" s="126" t="s">
        <v>1</v>
      </c>
      <c r="AL128" s="126" t="s">
        <v>1</v>
      </c>
      <c r="AM128" s="126" t="s">
        <v>1</v>
      </c>
      <c r="AN128" s="126" t="s">
        <v>1</v>
      </c>
      <c r="AO128" s="126" t="s">
        <v>1</v>
      </c>
      <c r="AP128" s="126" t="s">
        <v>1</v>
      </c>
      <c r="AQ128" s="126" t="s">
        <v>1</v>
      </c>
      <c r="AR128" s="126" t="s">
        <v>1</v>
      </c>
      <c r="AS128" s="126" t="s">
        <v>1</v>
      </c>
      <c r="AT128" s="126" t="s">
        <v>1</v>
      </c>
      <c r="AU128" s="126" t="s">
        <v>1</v>
      </c>
      <c r="AV128" s="126" t="s">
        <v>1</v>
      </c>
      <c r="AW128" s="126" t="s">
        <v>1</v>
      </c>
      <c r="AX128" s="126" t="s">
        <v>1</v>
      </c>
      <c r="AY128" s="126" t="s">
        <v>1</v>
      </c>
      <c r="AZ128" s="126" t="s">
        <v>1</v>
      </c>
      <c r="BA128" s="126" t="s">
        <v>1</v>
      </c>
      <c r="BB128" s="126" t="s">
        <v>1</v>
      </c>
      <c r="BC128" s="126" t="s">
        <v>1</v>
      </c>
      <c r="BD128" s="126" t="s">
        <v>1</v>
      </c>
      <c r="BE128" s="126" t="s">
        <v>1</v>
      </c>
      <c r="BF128" s="126" t="s">
        <v>1</v>
      </c>
      <c r="BG128" s="137" t="s">
        <v>1</v>
      </c>
      <c r="BH128" s="137" t="s">
        <v>1</v>
      </c>
      <c r="BI128" s="18" t="s">
        <v>94</v>
      </c>
      <c r="BJ128" s="18">
        <v>48</v>
      </c>
      <c r="BK128" s="212">
        <v>2339</v>
      </c>
      <c r="BL128" s="18" t="s">
        <v>1</v>
      </c>
      <c r="BM128" s="18" t="s">
        <v>74</v>
      </c>
      <c r="BN128" s="18">
        <v>164</v>
      </c>
      <c r="BO128" s="18">
        <v>1137</v>
      </c>
      <c r="BP128" s="18" t="s">
        <v>1</v>
      </c>
      <c r="BQ128" s="138" t="s">
        <v>1</v>
      </c>
      <c r="BR128" s="138" t="s">
        <v>1</v>
      </c>
      <c r="BS128" s="138" t="s">
        <v>1</v>
      </c>
      <c r="BT128" s="138" t="s">
        <v>1</v>
      </c>
      <c r="BU128" s="138" t="s">
        <v>1</v>
      </c>
      <c r="BV128" s="138" t="s">
        <v>1</v>
      </c>
      <c r="BW128" s="138" t="s">
        <v>1</v>
      </c>
      <c r="BX128" s="138" t="s">
        <v>1</v>
      </c>
      <c r="BY128" s="138" t="s">
        <v>1</v>
      </c>
      <c r="BZ128" s="138" t="s">
        <v>1</v>
      </c>
      <c r="CA128" s="138" t="s">
        <v>1</v>
      </c>
      <c r="CB128" s="138" t="s">
        <v>1</v>
      </c>
      <c r="CC128" s="138" t="s">
        <v>1</v>
      </c>
      <c r="CD128" s="138" t="s">
        <v>1</v>
      </c>
      <c r="CE128" s="138" t="s">
        <v>1</v>
      </c>
    </row>
    <row r="129" ht="25" customHeight="1" spans="1:83">
      <c r="A129" s="1" t="s">
        <v>1</v>
      </c>
      <c r="B129" s="1" t="s">
        <v>1</v>
      </c>
      <c r="C129" s="1" t="s">
        <v>1</v>
      </c>
      <c r="D129" s="1" t="s">
        <v>1</v>
      </c>
      <c r="E129" s="1" t="s">
        <v>1</v>
      </c>
      <c r="F129" s="1" t="s">
        <v>1</v>
      </c>
      <c r="G129" s="130" t="s">
        <v>1</v>
      </c>
      <c r="H129" s="130" t="s">
        <v>1</v>
      </c>
      <c r="I129" s="130" t="s">
        <v>1</v>
      </c>
      <c r="J129" s="130" t="s">
        <v>1</v>
      </c>
      <c r="K129" s="130" t="s">
        <v>1</v>
      </c>
      <c r="L129" s="159" t="s">
        <v>1</v>
      </c>
      <c r="M129" s="130" t="s">
        <v>1</v>
      </c>
      <c r="N129" s="130" t="s">
        <v>1</v>
      </c>
      <c r="O129" s="130" t="s">
        <v>1</v>
      </c>
      <c r="P129" s="130" t="s">
        <v>1</v>
      </c>
      <c r="Q129" s="130" t="s">
        <v>1</v>
      </c>
      <c r="R129" s="130" t="s">
        <v>1</v>
      </c>
      <c r="S129" s="130" t="s">
        <v>1</v>
      </c>
      <c r="T129" s="130" t="s">
        <v>1</v>
      </c>
      <c r="U129" s="130" t="s">
        <v>1</v>
      </c>
      <c r="V129" s="126" t="s">
        <v>1</v>
      </c>
      <c r="W129" s="126" t="s">
        <v>1</v>
      </c>
      <c r="X129" s="126" t="s">
        <v>1</v>
      </c>
      <c r="Y129" s="126" t="s">
        <v>1</v>
      </c>
      <c r="Z129" s="126" t="s">
        <v>1</v>
      </c>
      <c r="AA129" s="126" t="s">
        <v>1</v>
      </c>
      <c r="AB129" s="126" t="s">
        <v>1</v>
      </c>
      <c r="AC129" s="126" t="s">
        <v>1</v>
      </c>
      <c r="AD129" s="126" t="s">
        <v>1</v>
      </c>
      <c r="AE129" s="126" t="s">
        <v>1</v>
      </c>
      <c r="AF129" s="126" t="s">
        <v>1</v>
      </c>
      <c r="AG129" s="126" t="s">
        <v>1</v>
      </c>
      <c r="AH129" s="126" t="s">
        <v>1</v>
      </c>
      <c r="AI129" s="126" t="s">
        <v>1</v>
      </c>
      <c r="AJ129" s="126" t="s">
        <v>1</v>
      </c>
      <c r="AK129" s="126" t="s">
        <v>1</v>
      </c>
      <c r="AL129" s="126" t="s">
        <v>1</v>
      </c>
      <c r="AM129" s="126" t="s">
        <v>1</v>
      </c>
      <c r="AN129" s="126" t="s">
        <v>1</v>
      </c>
      <c r="AO129" s="126" t="s">
        <v>1</v>
      </c>
      <c r="AP129" s="126" t="s">
        <v>1</v>
      </c>
      <c r="AQ129" s="126" t="s">
        <v>1</v>
      </c>
      <c r="AR129" s="126" t="s">
        <v>1</v>
      </c>
      <c r="AS129" s="126" t="s">
        <v>1</v>
      </c>
      <c r="AT129" s="126" t="s">
        <v>1</v>
      </c>
      <c r="AU129" s="126" t="s">
        <v>1</v>
      </c>
      <c r="AV129" s="126" t="s">
        <v>1</v>
      </c>
      <c r="AW129" s="126" t="s">
        <v>1</v>
      </c>
      <c r="AX129" s="126" t="s">
        <v>1</v>
      </c>
      <c r="AY129" s="126" t="s">
        <v>1</v>
      </c>
      <c r="AZ129" s="126" t="s">
        <v>1</v>
      </c>
      <c r="BA129" s="126" t="s">
        <v>1</v>
      </c>
      <c r="BB129" s="126" t="s">
        <v>1</v>
      </c>
      <c r="BC129" s="126" t="s">
        <v>1</v>
      </c>
      <c r="BD129" s="126" t="s">
        <v>1</v>
      </c>
      <c r="BE129" s="126" t="s">
        <v>1</v>
      </c>
      <c r="BF129" s="126" t="s">
        <v>1</v>
      </c>
      <c r="BG129" s="137" t="s">
        <v>1</v>
      </c>
      <c r="BH129" s="137" t="s">
        <v>1</v>
      </c>
      <c r="BI129" s="18" t="s">
        <v>94</v>
      </c>
      <c r="BJ129" s="18">
        <v>35</v>
      </c>
      <c r="BK129" s="212">
        <v>2735</v>
      </c>
      <c r="BL129" s="18" t="s">
        <v>1</v>
      </c>
      <c r="BM129" s="18" t="s">
        <v>74</v>
      </c>
      <c r="BN129" s="18">
        <v>122</v>
      </c>
      <c r="BO129" s="18">
        <v>1203</v>
      </c>
      <c r="BP129" s="18" t="s">
        <v>1</v>
      </c>
      <c r="BQ129" s="138" t="s">
        <v>1</v>
      </c>
      <c r="BR129" s="138" t="s">
        <v>1</v>
      </c>
      <c r="BS129" s="138" t="s">
        <v>1</v>
      </c>
      <c r="BT129" s="138" t="s">
        <v>1</v>
      </c>
      <c r="BU129" s="138" t="s">
        <v>1</v>
      </c>
      <c r="BV129" s="138" t="s">
        <v>1</v>
      </c>
      <c r="BW129" s="138" t="s">
        <v>1</v>
      </c>
      <c r="BX129" s="138" t="s">
        <v>1</v>
      </c>
      <c r="BY129" s="138" t="s">
        <v>1</v>
      </c>
      <c r="BZ129" s="138" t="s">
        <v>1</v>
      </c>
      <c r="CA129" s="138" t="s">
        <v>1</v>
      </c>
      <c r="CB129" s="138" t="s">
        <v>1</v>
      </c>
      <c r="CC129" s="138" t="s">
        <v>1</v>
      </c>
      <c r="CD129" s="138" t="s">
        <v>1</v>
      </c>
      <c r="CE129" s="138" t="s">
        <v>1</v>
      </c>
    </row>
    <row r="130" ht="25" customHeight="1" spans="1:83">
      <c r="A130" s="1" t="s">
        <v>1</v>
      </c>
      <c r="B130" s="1" t="s">
        <v>1</v>
      </c>
      <c r="C130" s="1" t="s">
        <v>1</v>
      </c>
      <c r="D130" s="1" t="s">
        <v>1</v>
      </c>
      <c r="E130" s="1" t="s">
        <v>1</v>
      </c>
      <c r="F130" s="1" t="s">
        <v>1</v>
      </c>
      <c r="G130" s="130" t="s">
        <v>1</v>
      </c>
      <c r="H130" s="130" t="s">
        <v>1</v>
      </c>
      <c r="I130" s="130" t="s">
        <v>1</v>
      </c>
      <c r="J130" s="130" t="s">
        <v>1</v>
      </c>
      <c r="K130" s="130" t="s">
        <v>1</v>
      </c>
      <c r="L130" s="159" t="s">
        <v>1</v>
      </c>
      <c r="M130" s="130" t="s">
        <v>1</v>
      </c>
      <c r="N130" s="130" t="s">
        <v>1</v>
      </c>
      <c r="O130" s="130" t="s">
        <v>1</v>
      </c>
      <c r="P130" s="130" t="s">
        <v>1</v>
      </c>
      <c r="Q130" s="130" t="s">
        <v>1</v>
      </c>
      <c r="R130" s="130" t="s">
        <v>1</v>
      </c>
      <c r="S130" s="130" t="s">
        <v>1</v>
      </c>
      <c r="T130" s="130" t="s">
        <v>1</v>
      </c>
      <c r="U130" s="130" t="s">
        <v>1</v>
      </c>
      <c r="V130" s="126" t="s">
        <v>1</v>
      </c>
      <c r="W130" s="126" t="s">
        <v>1</v>
      </c>
      <c r="X130" s="126" t="s">
        <v>1</v>
      </c>
      <c r="Y130" s="126" t="s">
        <v>1</v>
      </c>
      <c r="Z130" s="126" t="s">
        <v>1</v>
      </c>
      <c r="AA130" s="126" t="s">
        <v>1</v>
      </c>
      <c r="AB130" s="126" t="s">
        <v>1</v>
      </c>
      <c r="AC130" s="126" t="s">
        <v>1</v>
      </c>
      <c r="AD130" s="126" t="s">
        <v>1</v>
      </c>
      <c r="AE130" s="126" t="s">
        <v>1</v>
      </c>
      <c r="AF130" s="126" t="s">
        <v>1</v>
      </c>
      <c r="AG130" s="126" t="s">
        <v>1</v>
      </c>
      <c r="AH130" s="126" t="s">
        <v>1</v>
      </c>
      <c r="AI130" s="126" t="s">
        <v>1</v>
      </c>
      <c r="AJ130" s="126" t="s">
        <v>1</v>
      </c>
      <c r="AK130" s="126" t="s">
        <v>1</v>
      </c>
      <c r="AL130" s="126" t="s">
        <v>1</v>
      </c>
      <c r="AM130" s="126" t="s">
        <v>1</v>
      </c>
      <c r="AN130" s="126" t="s">
        <v>1</v>
      </c>
      <c r="AO130" s="126" t="s">
        <v>1</v>
      </c>
      <c r="AP130" s="126" t="s">
        <v>1</v>
      </c>
      <c r="AQ130" s="126" t="s">
        <v>1</v>
      </c>
      <c r="AR130" s="126" t="s">
        <v>1</v>
      </c>
      <c r="AS130" s="126" t="s">
        <v>1</v>
      </c>
      <c r="AT130" s="126" t="s">
        <v>1</v>
      </c>
      <c r="AU130" s="126" t="s">
        <v>1</v>
      </c>
      <c r="AV130" s="126" t="s">
        <v>1</v>
      </c>
      <c r="AW130" s="126" t="s">
        <v>1</v>
      </c>
      <c r="AX130" s="126" t="s">
        <v>1</v>
      </c>
      <c r="AY130" s="126" t="s">
        <v>1</v>
      </c>
      <c r="AZ130" s="126" t="s">
        <v>1</v>
      </c>
      <c r="BA130" s="126" t="s">
        <v>1</v>
      </c>
      <c r="BB130" s="126" t="s">
        <v>1</v>
      </c>
      <c r="BC130" s="126" t="s">
        <v>1</v>
      </c>
      <c r="BD130" s="126" t="s">
        <v>1</v>
      </c>
      <c r="BE130" s="126" t="s">
        <v>1</v>
      </c>
      <c r="BF130" s="126" t="s">
        <v>1</v>
      </c>
      <c r="BG130" s="137" t="s">
        <v>1</v>
      </c>
      <c r="BH130" s="137" t="s">
        <v>1</v>
      </c>
      <c r="BI130" s="18" t="s">
        <v>73</v>
      </c>
      <c r="BJ130" s="18">
        <v>53</v>
      </c>
      <c r="BK130" s="212">
        <v>1794</v>
      </c>
      <c r="BL130" s="18" t="s">
        <v>1</v>
      </c>
      <c r="BM130" s="18" t="s">
        <v>74</v>
      </c>
      <c r="BN130" s="18">
        <v>187</v>
      </c>
      <c r="BO130" s="18">
        <v>853</v>
      </c>
      <c r="BP130" s="18" t="s">
        <v>1</v>
      </c>
      <c r="BQ130" s="138" t="s">
        <v>1</v>
      </c>
      <c r="BR130" s="138" t="s">
        <v>1</v>
      </c>
      <c r="BS130" s="138" t="s">
        <v>1</v>
      </c>
      <c r="BT130" s="138" t="s">
        <v>1</v>
      </c>
      <c r="BU130" s="138" t="s">
        <v>1</v>
      </c>
      <c r="BV130" s="138" t="s">
        <v>1</v>
      </c>
      <c r="BW130" s="138" t="s">
        <v>1</v>
      </c>
      <c r="BX130" s="138" t="s">
        <v>1</v>
      </c>
      <c r="BY130" s="138" t="s">
        <v>1</v>
      </c>
      <c r="BZ130" s="138" t="s">
        <v>1</v>
      </c>
      <c r="CA130" s="138" t="s">
        <v>1</v>
      </c>
      <c r="CB130" s="138" t="s">
        <v>1</v>
      </c>
      <c r="CC130" s="138" t="s">
        <v>1</v>
      </c>
      <c r="CD130" s="138" t="s">
        <v>1</v>
      </c>
      <c r="CE130" s="138" t="s">
        <v>1</v>
      </c>
    </row>
    <row r="131" ht="25" customHeight="1" spans="1:83">
      <c r="A131" s="1" t="s">
        <v>1</v>
      </c>
      <c r="B131" s="1" t="s">
        <v>1</v>
      </c>
      <c r="C131" s="1" t="s">
        <v>1</v>
      </c>
      <c r="D131" s="1" t="s">
        <v>1</v>
      </c>
      <c r="E131" s="1" t="s">
        <v>1</v>
      </c>
      <c r="F131" s="1" t="s">
        <v>1</v>
      </c>
      <c r="G131" s="130" t="s">
        <v>1</v>
      </c>
      <c r="H131" s="130" t="s">
        <v>1</v>
      </c>
      <c r="I131" s="130" t="s">
        <v>1</v>
      </c>
      <c r="J131" s="130" t="s">
        <v>1</v>
      </c>
      <c r="K131" s="130" t="s">
        <v>1</v>
      </c>
      <c r="L131" s="159" t="s">
        <v>1</v>
      </c>
      <c r="M131" s="130" t="s">
        <v>1</v>
      </c>
      <c r="N131" s="130" t="s">
        <v>1</v>
      </c>
      <c r="O131" s="130" t="s">
        <v>1</v>
      </c>
      <c r="P131" s="130" t="s">
        <v>1</v>
      </c>
      <c r="Q131" s="130" t="s">
        <v>1</v>
      </c>
      <c r="R131" s="130" t="s">
        <v>1</v>
      </c>
      <c r="S131" s="130" t="s">
        <v>1</v>
      </c>
      <c r="T131" s="130" t="s">
        <v>1</v>
      </c>
      <c r="U131" s="130" t="s">
        <v>1</v>
      </c>
      <c r="V131" s="126" t="s">
        <v>1</v>
      </c>
      <c r="W131" s="126" t="s">
        <v>1</v>
      </c>
      <c r="X131" s="126" t="s">
        <v>1</v>
      </c>
      <c r="Y131" s="126" t="s">
        <v>1</v>
      </c>
      <c r="Z131" s="126" t="s">
        <v>1</v>
      </c>
      <c r="AA131" s="126" t="s">
        <v>1</v>
      </c>
      <c r="AB131" s="126" t="s">
        <v>1</v>
      </c>
      <c r="AC131" s="126" t="s">
        <v>1</v>
      </c>
      <c r="AD131" s="126" t="s">
        <v>1</v>
      </c>
      <c r="AE131" s="126" t="s">
        <v>1</v>
      </c>
      <c r="AF131" s="126" t="s">
        <v>1</v>
      </c>
      <c r="AG131" s="126" t="s">
        <v>1</v>
      </c>
      <c r="AH131" s="126" t="s">
        <v>1</v>
      </c>
      <c r="AI131" s="126" t="s">
        <v>1</v>
      </c>
      <c r="AJ131" s="126" t="s">
        <v>1</v>
      </c>
      <c r="AK131" s="126" t="s">
        <v>1</v>
      </c>
      <c r="AL131" s="126" t="s">
        <v>1</v>
      </c>
      <c r="AM131" s="126" t="s">
        <v>1</v>
      </c>
      <c r="AN131" s="126" t="s">
        <v>1</v>
      </c>
      <c r="AO131" s="126" t="s">
        <v>1</v>
      </c>
      <c r="AP131" s="126" t="s">
        <v>1</v>
      </c>
      <c r="AQ131" s="126" t="s">
        <v>1</v>
      </c>
      <c r="AR131" s="126" t="s">
        <v>1</v>
      </c>
      <c r="AS131" s="126" t="s">
        <v>1</v>
      </c>
      <c r="AT131" s="126" t="s">
        <v>1</v>
      </c>
      <c r="AU131" s="126" t="s">
        <v>1</v>
      </c>
      <c r="AV131" s="126" t="s">
        <v>1</v>
      </c>
      <c r="AW131" s="126" t="s">
        <v>1</v>
      </c>
      <c r="AX131" s="126" t="s">
        <v>1</v>
      </c>
      <c r="AY131" s="126" t="s">
        <v>1</v>
      </c>
      <c r="AZ131" s="126" t="s">
        <v>1</v>
      </c>
      <c r="BA131" s="126" t="s">
        <v>1</v>
      </c>
      <c r="BB131" s="126" t="s">
        <v>1</v>
      </c>
      <c r="BC131" s="126" t="s">
        <v>1</v>
      </c>
      <c r="BD131" s="126" t="s">
        <v>1</v>
      </c>
      <c r="BE131" s="126" t="s">
        <v>1</v>
      </c>
      <c r="BF131" s="126" t="s">
        <v>1</v>
      </c>
      <c r="BG131" s="137" t="s">
        <v>1</v>
      </c>
      <c r="BH131" s="137" t="s">
        <v>1</v>
      </c>
      <c r="BI131" s="18" t="s">
        <v>73</v>
      </c>
      <c r="BJ131" s="18">
        <v>64</v>
      </c>
      <c r="BK131" s="212">
        <v>1505</v>
      </c>
      <c r="BL131" s="18" t="s">
        <v>1</v>
      </c>
      <c r="BM131" s="18" t="s">
        <v>74</v>
      </c>
      <c r="BN131" s="18">
        <v>230</v>
      </c>
      <c r="BO131" s="18">
        <v>703</v>
      </c>
      <c r="BP131" s="18" t="s">
        <v>1</v>
      </c>
      <c r="BQ131" s="138" t="s">
        <v>1</v>
      </c>
      <c r="BR131" s="138" t="s">
        <v>1</v>
      </c>
      <c r="BS131" s="138" t="s">
        <v>1</v>
      </c>
      <c r="BT131" s="138" t="s">
        <v>1</v>
      </c>
      <c r="BU131" s="138" t="s">
        <v>1</v>
      </c>
      <c r="BV131" s="138" t="s">
        <v>1</v>
      </c>
      <c r="BW131" s="138" t="s">
        <v>1</v>
      </c>
      <c r="BX131" s="138" t="s">
        <v>1</v>
      </c>
      <c r="BY131" s="138" t="s">
        <v>1</v>
      </c>
      <c r="BZ131" s="138" t="s">
        <v>1</v>
      </c>
      <c r="CA131" s="138" t="s">
        <v>1</v>
      </c>
      <c r="CB131" s="138" t="s">
        <v>1</v>
      </c>
      <c r="CC131" s="138" t="s">
        <v>1</v>
      </c>
      <c r="CD131" s="138" t="s">
        <v>1</v>
      </c>
      <c r="CE131" s="138" t="s">
        <v>1</v>
      </c>
    </row>
    <row r="132" ht="25" customHeight="1" spans="1:83">
      <c r="A132" s="1" t="s">
        <v>1</v>
      </c>
      <c r="B132" s="1" t="s">
        <v>1</v>
      </c>
      <c r="C132" s="1" t="s">
        <v>1</v>
      </c>
      <c r="D132" s="1" t="s">
        <v>1</v>
      </c>
      <c r="E132" s="1" t="s">
        <v>1</v>
      </c>
      <c r="F132" s="1" t="s">
        <v>1</v>
      </c>
      <c r="G132" s="130" t="s">
        <v>1</v>
      </c>
      <c r="H132" s="130" t="s">
        <v>1</v>
      </c>
      <c r="I132" s="130" t="s">
        <v>1</v>
      </c>
      <c r="J132" s="130" t="s">
        <v>1</v>
      </c>
      <c r="K132" s="130" t="s">
        <v>1</v>
      </c>
      <c r="L132" s="159" t="s">
        <v>1</v>
      </c>
      <c r="M132" s="130" t="s">
        <v>1</v>
      </c>
      <c r="N132" s="130" t="s">
        <v>1</v>
      </c>
      <c r="O132" s="130" t="s">
        <v>1</v>
      </c>
      <c r="P132" s="130" t="s">
        <v>1</v>
      </c>
      <c r="Q132" s="130" t="s">
        <v>1</v>
      </c>
      <c r="R132" s="130" t="s">
        <v>1</v>
      </c>
      <c r="S132" s="130" t="s">
        <v>1</v>
      </c>
      <c r="T132" s="130" t="s">
        <v>1</v>
      </c>
      <c r="U132" s="130" t="s">
        <v>1</v>
      </c>
      <c r="V132" s="126" t="s">
        <v>1</v>
      </c>
      <c r="W132" s="126" t="s">
        <v>1</v>
      </c>
      <c r="X132" s="126" t="s">
        <v>1</v>
      </c>
      <c r="Y132" s="126" t="s">
        <v>1</v>
      </c>
      <c r="Z132" s="126" t="s">
        <v>1</v>
      </c>
      <c r="AA132" s="126" t="s">
        <v>1</v>
      </c>
      <c r="AB132" s="126" t="s">
        <v>1</v>
      </c>
      <c r="AC132" s="126" t="s">
        <v>1</v>
      </c>
      <c r="AD132" s="126" t="s">
        <v>1</v>
      </c>
      <c r="AE132" s="126" t="s">
        <v>1</v>
      </c>
      <c r="AF132" s="126" t="s">
        <v>1</v>
      </c>
      <c r="AG132" s="126" t="s">
        <v>1</v>
      </c>
      <c r="AH132" s="126" t="s">
        <v>1</v>
      </c>
      <c r="AI132" s="126" t="s">
        <v>1</v>
      </c>
      <c r="AJ132" s="126" t="s">
        <v>1</v>
      </c>
      <c r="AK132" s="126" t="s">
        <v>1</v>
      </c>
      <c r="AL132" s="126" t="s">
        <v>1</v>
      </c>
      <c r="AM132" s="126" t="s">
        <v>1</v>
      </c>
      <c r="AN132" s="126" t="s">
        <v>1</v>
      </c>
      <c r="AO132" s="126" t="s">
        <v>1</v>
      </c>
      <c r="AP132" s="126" t="s">
        <v>1</v>
      </c>
      <c r="AQ132" s="126" t="s">
        <v>1</v>
      </c>
      <c r="AR132" s="126" t="s">
        <v>1</v>
      </c>
      <c r="AS132" s="126" t="s">
        <v>1</v>
      </c>
      <c r="AT132" s="126" t="s">
        <v>1</v>
      </c>
      <c r="AU132" s="126" t="s">
        <v>1</v>
      </c>
      <c r="AV132" s="126" t="s">
        <v>1</v>
      </c>
      <c r="AW132" s="126" t="s">
        <v>1</v>
      </c>
      <c r="AX132" s="126" t="s">
        <v>1</v>
      </c>
      <c r="AY132" s="126" t="s">
        <v>1</v>
      </c>
      <c r="AZ132" s="126" t="s">
        <v>1</v>
      </c>
      <c r="BA132" s="126" t="s">
        <v>1</v>
      </c>
      <c r="BB132" s="126" t="s">
        <v>1</v>
      </c>
      <c r="BC132" s="126" t="s">
        <v>1</v>
      </c>
      <c r="BD132" s="126" t="s">
        <v>1</v>
      </c>
      <c r="BE132" s="126" t="s">
        <v>1</v>
      </c>
      <c r="BF132" s="126" t="s">
        <v>1</v>
      </c>
      <c r="BG132" s="137" t="s">
        <v>1</v>
      </c>
      <c r="BH132" s="137" t="s">
        <v>1</v>
      </c>
      <c r="BI132" s="18" t="s">
        <v>73</v>
      </c>
      <c r="BJ132" s="18">
        <v>79</v>
      </c>
      <c r="BK132" s="212">
        <v>1394</v>
      </c>
      <c r="BL132" s="18" t="s">
        <v>1</v>
      </c>
      <c r="BM132" s="18" t="s">
        <v>74</v>
      </c>
      <c r="BN132" s="18">
        <v>291</v>
      </c>
      <c r="BO132" s="18">
        <v>632</v>
      </c>
      <c r="BP132" s="18" t="s">
        <v>1</v>
      </c>
      <c r="BQ132" s="138" t="s">
        <v>1</v>
      </c>
      <c r="BR132" s="138" t="s">
        <v>1</v>
      </c>
      <c r="BS132" s="138" t="s">
        <v>1</v>
      </c>
      <c r="BT132" s="138" t="s">
        <v>1</v>
      </c>
      <c r="BU132" s="138" t="s">
        <v>1</v>
      </c>
      <c r="BV132" s="138" t="s">
        <v>1</v>
      </c>
      <c r="BW132" s="138" t="s">
        <v>1</v>
      </c>
      <c r="BX132" s="138" t="s">
        <v>1</v>
      </c>
      <c r="BY132" s="138" t="s">
        <v>1</v>
      </c>
      <c r="BZ132" s="138" t="s">
        <v>1</v>
      </c>
      <c r="CA132" s="138" t="s">
        <v>1</v>
      </c>
      <c r="CB132" s="138" t="s">
        <v>1</v>
      </c>
      <c r="CC132" s="138" t="s">
        <v>1</v>
      </c>
      <c r="CD132" s="138" t="s">
        <v>1</v>
      </c>
      <c r="CE132" s="138" t="s">
        <v>1</v>
      </c>
    </row>
    <row r="133" ht="25" customHeight="1" spans="1:83">
      <c r="A133" s="1" t="s">
        <v>1</v>
      </c>
      <c r="B133" s="1" t="s">
        <v>1</v>
      </c>
      <c r="C133" s="1" t="s">
        <v>1</v>
      </c>
      <c r="D133" s="1" t="s">
        <v>1</v>
      </c>
      <c r="E133" s="1" t="s">
        <v>1</v>
      </c>
      <c r="F133" s="1" t="s">
        <v>1</v>
      </c>
      <c r="G133" s="130" t="s">
        <v>1</v>
      </c>
      <c r="H133" s="130" t="s">
        <v>1</v>
      </c>
      <c r="I133" s="130" t="s">
        <v>1</v>
      </c>
      <c r="J133" s="130" t="s">
        <v>1</v>
      </c>
      <c r="K133" s="130" t="s">
        <v>1</v>
      </c>
      <c r="L133" s="159" t="s">
        <v>1</v>
      </c>
      <c r="M133" s="130" t="s">
        <v>1</v>
      </c>
      <c r="N133" s="130" t="s">
        <v>1</v>
      </c>
      <c r="O133" s="130" t="s">
        <v>1</v>
      </c>
      <c r="P133" s="130" t="s">
        <v>1</v>
      </c>
      <c r="Q133" s="130" t="s">
        <v>1</v>
      </c>
      <c r="R133" s="130" t="s">
        <v>1</v>
      </c>
      <c r="S133" s="130" t="s">
        <v>1</v>
      </c>
      <c r="T133" s="130" t="s">
        <v>1</v>
      </c>
      <c r="U133" s="130" t="s">
        <v>1</v>
      </c>
      <c r="V133" s="126" t="s">
        <v>1</v>
      </c>
      <c r="W133" s="126" t="s">
        <v>1</v>
      </c>
      <c r="X133" s="126" t="s">
        <v>1</v>
      </c>
      <c r="Y133" s="126" t="s">
        <v>1</v>
      </c>
      <c r="Z133" s="126" t="s">
        <v>1</v>
      </c>
      <c r="AA133" s="126" t="s">
        <v>1</v>
      </c>
      <c r="AB133" s="126" t="s">
        <v>1</v>
      </c>
      <c r="AC133" s="126" t="s">
        <v>1</v>
      </c>
      <c r="AD133" s="126" t="s">
        <v>1</v>
      </c>
      <c r="AE133" s="126" t="s">
        <v>1</v>
      </c>
      <c r="AF133" s="126" t="s">
        <v>1</v>
      </c>
      <c r="AG133" s="126" t="s">
        <v>1</v>
      </c>
      <c r="AH133" s="126" t="s">
        <v>1</v>
      </c>
      <c r="AI133" s="126" t="s">
        <v>1</v>
      </c>
      <c r="AJ133" s="126" t="s">
        <v>1</v>
      </c>
      <c r="AK133" s="126" t="s">
        <v>1</v>
      </c>
      <c r="AL133" s="126" t="s">
        <v>1</v>
      </c>
      <c r="AM133" s="126" t="s">
        <v>1</v>
      </c>
      <c r="AN133" s="126" t="s">
        <v>1</v>
      </c>
      <c r="AO133" s="126" t="s">
        <v>1</v>
      </c>
      <c r="AP133" s="126" t="s">
        <v>1</v>
      </c>
      <c r="AQ133" s="126" t="s">
        <v>1</v>
      </c>
      <c r="AR133" s="126" t="s">
        <v>1</v>
      </c>
      <c r="AS133" s="126" t="s">
        <v>1</v>
      </c>
      <c r="AT133" s="126" t="s">
        <v>1</v>
      </c>
      <c r="AU133" s="126" t="s">
        <v>1</v>
      </c>
      <c r="AV133" s="126" t="s">
        <v>1</v>
      </c>
      <c r="AW133" s="126" t="s">
        <v>1</v>
      </c>
      <c r="AX133" s="126" t="s">
        <v>1</v>
      </c>
      <c r="AY133" s="126" t="s">
        <v>1</v>
      </c>
      <c r="AZ133" s="126" t="s">
        <v>1</v>
      </c>
      <c r="BA133" s="126" t="s">
        <v>1</v>
      </c>
      <c r="BB133" s="126" t="s">
        <v>1</v>
      </c>
      <c r="BC133" s="126" t="s">
        <v>1</v>
      </c>
      <c r="BD133" s="126" t="s">
        <v>1</v>
      </c>
      <c r="BE133" s="126" t="s">
        <v>1</v>
      </c>
      <c r="BF133" s="126" t="s">
        <v>1</v>
      </c>
      <c r="BG133" s="137" t="s">
        <v>1</v>
      </c>
      <c r="BH133" s="137" t="s">
        <v>1</v>
      </c>
      <c r="BI133" s="18" t="s">
        <v>94</v>
      </c>
      <c r="BJ133" s="18">
        <v>48</v>
      </c>
      <c r="BK133" s="212">
        <v>2448</v>
      </c>
      <c r="BL133" s="18" t="s">
        <v>1</v>
      </c>
      <c r="BM133" s="18" t="s">
        <v>74</v>
      </c>
      <c r="BN133" s="18">
        <v>173</v>
      </c>
      <c r="BO133" s="18">
        <v>991</v>
      </c>
      <c r="BP133" s="18" t="s">
        <v>1</v>
      </c>
      <c r="BQ133" s="138" t="s">
        <v>1</v>
      </c>
      <c r="BR133" s="138" t="s">
        <v>1</v>
      </c>
      <c r="BS133" s="138" t="s">
        <v>1</v>
      </c>
      <c r="BT133" s="138" t="s">
        <v>1</v>
      </c>
      <c r="BU133" s="138" t="s">
        <v>1</v>
      </c>
      <c r="BV133" s="138" t="s">
        <v>1</v>
      </c>
      <c r="BW133" s="138" t="s">
        <v>1</v>
      </c>
      <c r="BX133" s="138" t="s">
        <v>1</v>
      </c>
      <c r="BY133" s="138" t="s">
        <v>1</v>
      </c>
      <c r="BZ133" s="138" t="s">
        <v>1</v>
      </c>
      <c r="CA133" s="138" t="s">
        <v>1</v>
      </c>
      <c r="CB133" s="138" t="s">
        <v>1</v>
      </c>
      <c r="CC133" s="138" t="s">
        <v>1</v>
      </c>
      <c r="CD133" s="138" t="s">
        <v>1</v>
      </c>
      <c r="CE133" s="138" t="s">
        <v>1</v>
      </c>
    </row>
    <row r="134" ht="25" customHeight="1" spans="1:83">
      <c r="A134" s="1" t="s">
        <v>1</v>
      </c>
      <c r="B134" s="1" t="s">
        <v>1</v>
      </c>
      <c r="C134" s="1" t="s">
        <v>1</v>
      </c>
      <c r="D134" s="1" t="s">
        <v>1</v>
      </c>
      <c r="E134" s="1" t="s">
        <v>1</v>
      </c>
      <c r="F134" s="1" t="s">
        <v>1</v>
      </c>
      <c r="G134" s="130" t="s">
        <v>1</v>
      </c>
      <c r="H134" s="130" t="s">
        <v>1</v>
      </c>
      <c r="I134" s="130" t="s">
        <v>1</v>
      </c>
      <c r="J134" s="130" t="s">
        <v>1</v>
      </c>
      <c r="K134" s="130" t="s">
        <v>1</v>
      </c>
      <c r="L134" s="159" t="s">
        <v>1</v>
      </c>
      <c r="M134" s="130" t="s">
        <v>1</v>
      </c>
      <c r="N134" s="130" t="s">
        <v>1</v>
      </c>
      <c r="O134" s="130" t="s">
        <v>1</v>
      </c>
      <c r="P134" s="130" t="s">
        <v>1</v>
      </c>
      <c r="Q134" s="130" t="s">
        <v>1</v>
      </c>
      <c r="R134" s="130" t="s">
        <v>1</v>
      </c>
      <c r="S134" s="130" t="s">
        <v>1</v>
      </c>
      <c r="T134" s="130" t="s">
        <v>1</v>
      </c>
      <c r="U134" s="130" t="s">
        <v>1</v>
      </c>
      <c r="V134" s="126" t="s">
        <v>1</v>
      </c>
      <c r="W134" s="126" t="s">
        <v>1</v>
      </c>
      <c r="X134" s="126" t="s">
        <v>1</v>
      </c>
      <c r="Y134" s="126" t="s">
        <v>1</v>
      </c>
      <c r="Z134" s="126" t="s">
        <v>1</v>
      </c>
      <c r="AA134" s="126" t="s">
        <v>1</v>
      </c>
      <c r="AB134" s="126" t="s">
        <v>1</v>
      </c>
      <c r="AC134" s="126" t="s">
        <v>1</v>
      </c>
      <c r="AD134" s="126" t="s">
        <v>1</v>
      </c>
      <c r="AE134" s="126" t="s">
        <v>1</v>
      </c>
      <c r="AF134" s="126" t="s">
        <v>1</v>
      </c>
      <c r="AG134" s="126" t="s">
        <v>1</v>
      </c>
      <c r="AH134" s="126" t="s">
        <v>1</v>
      </c>
      <c r="AI134" s="126" t="s">
        <v>1</v>
      </c>
      <c r="AJ134" s="126" t="s">
        <v>1</v>
      </c>
      <c r="AK134" s="126" t="s">
        <v>1</v>
      </c>
      <c r="AL134" s="126" t="s">
        <v>1</v>
      </c>
      <c r="AM134" s="126" t="s">
        <v>1</v>
      </c>
      <c r="AN134" s="126" t="s">
        <v>1</v>
      </c>
      <c r="AO134" s="126" t="s">
        <v>1</v>
      </c>
      <c r="AP134" s="126" t="s">
        <v>1</v>
      </c>
      <c r="AQ134" s="126" t="s">
        <v>1</v>
      </c>
      <c r="AR134" s="126" t="s">
        <v>1</v>
      </c>
      <c r="AS134" s="126" t="s">
        <v>1</v>
      </c>
      <c r="AT134" s="126" t="s">
        <v>1</v>
      </c>
      <c r="AU134" s="126" t="s">
        <v>1</v>
      </c>
      <c r="AV134" s="126" t="s">
        <v>1</v>
      </c>
      <c r="AW134" s="126" t="s">
        <v>1</v>
      </c>
      <c r="AX134" s="126" t="s">
        <v>1</v>
      </c>
      <c r="AY134" s="126" t="s">
        <v>1</v>
      </c>
      <c r="AZ134" s="126" t="s">
        <v>1</v>
      </c>
      <c r="BA134" s="126" t="s">
        <v>1</v>
      </c>
      <c r="BB134" s="126" t="s">
        <v>1</v>
      </c>
      <c r="BC134" s="126" t="s">
        <v>1</v>
      </c>
      <c r="BD134" s="126" t="s">
        <v>1</v>
      </c>
      <c r="BE134" s="126" t="s">
        <v>1</v>
      </c>
      <c r="BF134" s="126" t="s">
        <v>1</v>
      </c>
      <c r="BG134" s="137" t="s">
        <v>1</v>
      </c>
      <c r="BH134" s="137" t="s">
        <v>1</v>
      </c>
      <c r="BI134" s="18" t="s">
        <v>94</v>
      </c>
      <c r="BJ134" s="18">
        <v>41</v>
      </c>
      <c r="BK134" s="212">
        <v>2189</v>
      </c>
      <c r="BL134" s="18" t="s">
        <v>1</v>
      </c>
      <c r="BM134" s="18" t="s">
        <v>74</v>
      </c>
      <c r="BN134" s="18">
        <v>219</v>
      </c>
      <c r="BO134" s="18">
        <v>795</v>
      </c>
      <c r="BP134" s="18" t="s">
        <v>1</v>
      </c>
      <c r="BQ134" s="138" t="s">
        <v>1</v>
      </c>
      <c r="BR134" s="138" t="s">
        <v>1</v>
      </c>
      <c r="BS134" s="138" t="s">
        <v>1</v>
      </c>
      <c r="BT134" s="138" t="s">
        <v>1</v>
      </c>
      <c r="BU134" s="138" t="s">
        <v>1</v>
      </c>
      <c r="BV134" s="138" t="s">
        <v>1</v>
      </c>
      <c r="BW134" s="138" t="s">
        <v>1</v>
      </c>
      <c r="BX134" s="138" t="s">
        <v>1</v>
      </c>
      <c r="BY134" s="138" t="s">
        <v>1</v>
      </c>
      <c r="BZ134" s="138" t="s">
        <v>1</v>
      </c>
      <c r="CA134" s="138" t="s">
        <v>1</v>
      </c>
      <c r="CB134" s="138" t="s">
        <v>1</v>
      </c>
      <c r="CC134" s="138" t="s">
        <v>1</v>
      </c>
      <c r="CD134" s="138" t="s">
        <v>1</v>
      </c>
      <c r="CE134" s="138" t="s">
        <v>1</v>
      </c>
    </row>
    <row r="135" ht="25" customHeight="1" spans="1:83">
      <c r="A135" s="1" t="s">
        <v>1</v>
      </c>
      <c r="B135" s="1" t="s">
        <v>1</v>
      </c>
      <c r="C135" s="1" t="s">
        <v>1</v>
      </c>
      <c r="D135" s="1" t="s">
        <v>1</v>
      </c>
      <c r="E135" s="1" t="s">
        <v>1</v>
      </c>
      <c r="F135" s="1" t="s">
        <v>1</v>
      </c>
      <c r="G135" s="130" t="s">
        <v>1</v>
      </c>
      <c r="H135" s="130" t="s">
        <v>1</v>
      </c>
      <c r="I135" s="130" t="s">
        <v>1</v>
      </c>
      <c r="J135" s="130" t="s">
        <v>1</v>
      </c>
      <c r="K135" s="130" t="s">
        <v>1</v>
      </c>
      <c r="L135" s="159" t="s">
        <v>1</v>
      </c>
      <c r="M135" s="130" t="s">
        <v>1</v>
      </c>
      <c r="N135" s="130" t="s">
        <v>1</v>
      </c>
      <c r="O135" s="130" t="s">
        <v>1</v>
      </c>
      <c r="P135" s="130" t="s">
        <v>1</v>
      </c>
      <c r="Q135" s="130" t="s">
        <v>1</v>
      </c>
      <c r="R135" s="130" t="s">
        <v>1</v>
      </c>
      <c r="S135" s="130" t="s">
        <v>1</v>
      </c>
      <c r="T135" s="130" t="s">
        <v>1</v>
      </c>
      <c r="U135" s="130" t="s">
        <v>1</v>
      </c>
      <c r="V135" s="126" t="s">
        <v>1</v>
      </c>
      <c r="W135" s="126" t="s">
        <v>1</v>
      </c>
      <c r="X135" s="126" t="s">
        <v>1</v>
      </c>
      <c r="Y135" s="126" t="s">
        <v>1</v>
      </c>
      <c r="Z135" s="126" t="s">
        <v>1</v>
      </c>
      <c r="AA135" s="126" t="s">
        <v>1</v>
      </c>
      <c r="AB135" s="126" t="s">
        <v>1</v>
      </c>
      <c r="AC135" s="126" t="s">
        <v>1</v>
      </c>
      <c r="AD135" s="126" t="s">
        <v>1</v>
      </c>
      <c r="AE135" s="126" t="s">
        <v>1</v>
      </c>
      <c r="AF135" s="126" t="s">
        <v>1</v>
      </c>
      <c r="AG135" s="126" t="s">
        <v>1</v>
      </c>
      <c r="AH135" s="126" t="s">
        <v>1</v>
      </c>
      <c r="AI135" s="126" t="s">
        <v>1</v>
      </c>
      <c r="AJ135" s="126" t="s">
        <v>1</v>
      </c>
      <c r="AK135" s="126" t="s">
        <v>1</v>
      </c>
      <c r="AL135" s="126" t="s">
        <v>1</v>
      </c>
      <c r="AM135" s="126" t="s">
        <v>1</v>
      </c>
      <c r="AN135" s="126" t="s">
        <v>1</v>
      </c>
      <c r="AO135" s="126" t="s">
        <v>1</v>
      </c>
      <c r="AP135" s="126" t="s">
        <v>1</v>
      </c>
      <c r="AQ135" s="126" t="s">
        <v>1</v>
      </c>
      <c r="AR135" s="126" t="s">
        <v>1</v>
      </c>
      <c r="AS135" s="126" t="s">
        <v>1</v>
      </c>
      <c r="AT135" s="126" t="s">
        <v>1</v>
      </c>
      <c r="AU135" s="126" t="s">
        <v>1</v>
      </c>
      <c r="AV135" s="126" t="s">
        <v>1</v>
      </c>
      <c r="AW135" s="126" t="s">
        <v>1</v>
      </c>
      <c r="AX135" s="126" t="s">
        <v>1</v>
      </c>
      <c r="AY135" s="126" t="s">
        <v>1</v>
      </c>
      <c r="AZ135" s="126" t="s">
        <v>1</v>
      </c>
      <c r="BA135" s="126" t="s">
        <v>1</v>
      </c>
      <c r="BB135" s="126" t="s">
        <v>1</v>
      </c>
      <c r="BC135" s="126" t="s">
        <v>1</v>
      </c>
      <c r="BD135" s="126" t="s">
        <v>1</v>
      </c>
      <c r="BE135" s="126" t="s">
        <v>1</v>
      </c>
      <c r="BF135" s="126" t="s">
        <v>1</v>
      </c>
      <c r="BG135" s="137" t="s">
        <v>1</v>
      </c>
      <c r="BH135" s="137" t="s">
        <v>1</v>
      </c>
      <c r="BI135" s="137" t="s">
        <v>1</v>
      </c>
      <c r="BJ135" s="137" t="s">
        <v>1</v>
      </c>
      <c r="BK135" s="137" t="s">
        <v>1</v>
      </c>
      <c r="BL135" s="137" t="s">
        <v>1</v>
      </c>
      <c r="BM135" s="137" t="s">
        <v>1</v>
      </c>
      <c r="BN135" s="137" t="s">
        <v>1</v>
      </c>
      <c r="BO135" s="137" t="s">
        <v>1</v>
      </c>
      <c r="BP135" s="138" t="s">
        <v>1</v>
      </c>
      <c r="BQ135" s="138" t="s">
        <v>1</v>
      </c>
      <c r="BR135" s="138" t="s">
        <v>1</v>
      </c>
      <c r="BS135" s="138" t="s">
        <v>1</v>
      </c>
      <c r="BT135" s="138" t="s">
        <v>1</v>
      </c>
      <c r="BU135" s="138" t="s">
        <v>1</v>
      </c>
      <c r="BV135" s="138" t="s">
        <v>1</v>
      </c>
      <c r="BW135" s="138" t="s">
        <v>1</v>
      </c>
      <c r="BX135" s="138" t="s">
        <v>1</v>
      </c>
      <c r="BY135" s="138" t="s">
        <v>1</v>
      </c>
      <c r="BZ135" s="138" t="s">
        <v>1</v>
      </c>
      <c r="CA135" s="138" t="s">
        <v>1</v>
      </c>
      <c r="CB135" s="138" t="s">
        <v>1</v>
      </c>
      <c r="CC135" s="138" t="s">
        <v>1</v>
      </c>
      <c r="CD135" s="138" t="s">
        <v>1</v>
      </c>
      <c r="CE135" s="138" t="s">
        <v>1</v>
      </c>
    </row>
    <row r="136" ht="25" customHeight="1" spans="1:83">
      <c r="A136" s="1" t="s">
        <v>1</v>
      </c>
      <c r="B136" s="1" t="s">
        <v>1</v>
      </c>
      <c r="C136" s="1" t="s">
        <v>1</v>
      </c>
      <c r="D136" s="1" t="s">
        <v>1</v>
      </c>
      <c r="E136" s="1" t="s">
        <v>1</v>
      </c>
      <c r="F136" s="1" t="s">
        <v>1</v>
      </c>
      <c r="G136" s="130" t="s">
        <v>1</v>
      </c>
      <c r="H136" s="130" t="s">
        <v>1</v>
      </c>
      <c r="I136" s="130" t="s">
        <v>1</v>
      </c>
      <c r="J136" s="130" t="s">
        <v>1</v>
      </c>
      <c r="K136" s="130" t="s">
        <v>1</v>
      </c>
      <c r="L136" s="159" t="s">
        <v>1</v>
      </c>
      <c r="M136" s="130" t="s">
        <v>1</v>
      </c>
      <c r="N136" s="130" t="s">
        <v>1</v>
      </c>
      <c r="O136" s="130" t="s">
        <v>1</v>
      </c>
      <c r="P136" s="130" t="s">
        <v>1</v>
      </c>
      <c r="Q136" s="130" t="s">
        <v>1</v>
      </c>
      <c r="R136" s="130" t="s">
        <v>1</v>
      </c>
      <c r="S136" s="130" t="s">
        <v>1</v>
      </c>
      <c r="T136" s="130" t="s">
        <v>1</v>
      </c>
      <c r="U136" s="130" t="s">
        <v>1</v>
      </c>
      <c r="V136" s="126" t="s">
        <v>1</v>
      </c>
      <c r="W136" s="126" t="s">
        <v>1</v>
      </c>
      <c r="X136" s="126" t="s">
        <v>1</v>
      </c>
      <c r="Y136" s="126" t="s">
        <v>1</v>
      </c>
      <c r="Z136" s="126" t="s">
        <v>1</v>
      </c>
      <c r="AA136" s="126" t="s">
        <v>1</v>
      </c>
      <c r="AB136" s="126" t="s">
        <v>1</v>
      </c>
      <c r="AC136" s="126" t="s">
        <v>1</v>
      </c>
      <c r="AD136" s="126" t="s">
        <v>1</v>
      </c>
      <c r="AE136" s="126" t="s">
        <v>1</v>
      </c>
      <c r="AF136" s="126" t="s">
        <v>1</v>
      </c>
      <c r="AG136" s="126" t="s">
        <v>1</v>
      </c>
      <c r="AH136" s="126" t="s">
        <v>1</v>
      </c>
      <c r="AI136" s="126" t="s">
        <v>1</v>
      </c>
      <c r="AJ136" s="126" t="s">
        <v>1</v>
      </c>
      <c r="AK136" s="126" t="s">
        <v>1</v>
      </c>
      <c r="AL136" s="126" t="s">
        <v>1</v>
      </c>
      <c r="AM136" s="126" t="s">
        <v>1</v>
      </c>
      <c r="AN136" s="126" t="s">
        <v>1</v>
      </c>
      <c r="AO136" s="126" t="s">
        <v>1</v>
      </c>
      <c r="AP136" s="126" t="s">
        <v>1</v>
      </c>
      <c r="AQ136" s="126" t="s">
        <v>1</v>
      </c>
      <c r="AR136" s="126" t="s">
        <v>1</v>
      </c>
      <c r="AS136" s="126" t="s">
        <v>1</v>
      </c>
      <c r="AT136" s="126" t="s">
        <v>1</v>
      </c>
      <c r="AU136" s="126" t="s">
        <v>1</v>
      </c>
      <c r="AV136" s="126" t="s">
        <v>1</v>
      </c>
      <c r="AW136" s="126" t="s">
        <v>1</v>
      </c>
      <c r="AX136" s="126" t="s">
        <v>1</v>
      </c>
      <c r="AY136" s="126" t="s">
        <v>1</v>
      </c>
      <c r="AZ136" s="126" t="s">
        <v>1</v>
      </c>
      <c r="BA136" s="126" t="s">
        <v>1</v>
      </c>
      <c r="BB136" s="126" t="s">
        <v>1</v>
      </c>
      <c r="BC136" s="126" t="s">
        <v>1</v>
      </c>
      <c r="BD136" s="126" t="s">
        <v>1</v>
      </c>
      <c r="BE136" s="126" t="s">
        <v>1</v>
      </c>
      <c r="BF136" s="126" t="s">
        <v>1</v>
      </c>
      <c r="BG136" s="137" t="s">
        <v>1</v>
      </c>
      <c r="BH136" s="137" t="s">
        <v>1</v>
      </c>
      <c r="BI136" s="137" t="s">
        <v>1</v>
      </c>
      <c r="BJ136" s="137" t="s">
        <v>1</v>
      </c>
      <c r="BK136" s="137" t="s">
        <v>1</v>
      </c>
      <c r="BL136" s="137" t="s">
        <v>1</v>
      </c>
      <c r="BM136" s="137" t="s">
        <v>1</v>
      </c>
      <c r="BN136" s="137" t="s">
        <v>1</v>
      </c>
      <c r="BO136" s="137" t="s">
        <v>1</v>
      </c>
      <c r="BP136" s="138" t="s">
        <v>1</v>
      </c>
      <c r="BQ136" s="138" t="s">
        <v>1</v>
      </c>
      <c r="BR136" s="138" t="s">
        <v>1</v>
      </c>
      <c r="BS136" s="138" t="s">
        <v>1</v>
      </c>
      <c r="BT136" s="138" t="s">
        <v>1</v>
      </c>
      <c r="BU136" s="138" t="s">
        <v>1</v>
      </c>
      <c r="BV136" s="138" t="s">
        <v>1</v>
      </c>
      <c r="BW136" s="138" t="s">
        <v>1</v>
      </c>
      <c r="BX136" s="138" t="s">
        <v>1</v>
      </c>
      <c r="BY136" s="138" t="s">
        <v>1</v>
      </c>
      <c r="BZ136" s="138" t="s">
        <v>1</v>
      </c>
      <c r="CA136" s="138" t="s">
        <v>1</v>
      </c>
      <c r="CB136" s="138" t="s">
        <v>1</v>
      </c>
      <c r="CC136" s="138" t="s">
        <v>1</v>
      </c>
      <c r="CD136" s="138" t="s">
        <v>1</v>
      </c>
      <c r="CE136" s="138" t="s">
        <v>1</v>
      </c>
    </row>
    <row r="137" ht="25" customHeight="1" spans="1:83">
      <c r="A137" s="1" t="s">
        <v>1</v>
      </c>
      <c r="B137" s="1" t="s">
        <v>1</v>
      </c>
      <c r="C137" s="1" t="s">
        <v>1</v>
      </c>
      <c r="D137" s="1" t="s">
        <v>1</v>
      </c>
      <c r="E137" s="1" t="s">
        <v>1</v>
      </c>
      <c r="F137" s="1" t="s">
        <v>1</v>
      </c>
      <c r="G137" s="130" t="s">
        <v>1</v>
      </c>
      <c r="H137" s="130" t="s">
        <v>1</v>
      </c>
      <c r="I137" s="130" t="s">
        <v>1</v>
      </c>
      <c r="J137" s="130" t="s">
        <v>1</v>
      </c>
      <c r="K137" s="130" t="s">
        <v>1</v>
      </c>
      <c r="L137" s="159" t="s">
        <v>1</v>
      </c>
      <c r="M137" s="130" t="s">
        <v>1</v>
      </c>
      <c r="N137" s="130" t="s">
        <v>1</v>
      </c>
      <c r="O137" s="130" t="s">
        <v>1</v>
      </c>
      <c r="P137" s="130" t="s">
        <v>1</v>
      </c>
      <c r="Q137" s="130" t="s">
        <v>1</v>
      </c>
      <c r="R137" s="130" t="s">
        <v>1</v>
      </c>
      <c r="S137" s="130" t="s">
        <v>1</v>
      </c>
      <c r="T137" s="130" t="s">
        <v>1</v>
      </c>
      <c r="U137" s="130" t="s">
        <v>1</v>
      </c>
      <c r="V137" s="126" t="s">
        <v>1</v>
      </c>
      <c r="W137" s="126" t="s">
        <v>1</v>
      </c>
      <c r="X137" s="126" t="s">
        <v>1</v>
      </c>
      <c r="Y137" s="126" t="s">
        <v>1</v>
      </c>
      <c r="Z137" s="126" t="s">
        <v>1</v>
      </c>
      <c r="AA137" s="126" t="s">
        <v>1</v>
      </c>
      <c r="AB137" s="126" t="s">
        <v>1</v>
      </c>
      <c r="AC137" s="126" t="s">
        <v>1</v>
      </c>
      <c r="AD137" s="126" t="s">
        <v>1</v>
      </c>
      <c r="AE137" s="126" t="s">
        <v>1</v>
      </c>
      <c r="AF137" s="126" t="s">
        <v>1</v>
      </c>
      <c r="AG137" s="126" t="s">
        <v>1</v>
      </c>
      <c r="AH137" s="126" t="s">
        <v>1</v>
      </c>
      <c r="AI137" s="126" t="s">
        <v>1</v>
      </c>
      <c r="AJ137" s="126" t="s">
        <v>1</v>
      </c>
      <c r="AK137" s="126" t="s">
        <v>1</v>
      </c>
      <c r="AL137" s="126" t="s">
        <v>1</v>
      </c>
      <c r="AM137" s="126" t="s">
        <v>1</v>
      </c>
      <c r="AN137" s="126" t="s">
        <v>1</v>
      </c>
      <c r="AO137" s="126" t="s">
        <v>1</v>
      </c>
      <c r="AP137" s="126" t="s">
        <v>1</v>
      </c>
      <c r="AQ137" s="126" t="s">
        <v>1</v>
      </c>
      <c r="AR137" s="126" t="s">
        <v>1</v>
      </c>
      <c r="AS137" s="126" t="s">
        <v>1</v>
      </c>
      <c r="AT137" s="126" t="s">
        <v>1</v>
      </c>
      <c r="AU137" s="126" t="s">
        <v>1</v>
      </c>
      <c r="AV137" s="126" t="s">
        <v>1</v>
      </c>
      <c r="AW137" s="126" t="s">
        <v>1</v>
      </c>
      <c r="AX137" s="126" t="s">
        <v>1</v>
      </c>
      <c r="AY137" s="126" t="s">
        <v>1</v>
      </c>
      <c r="AZ137" s="126" t="s">
        <v>1</v>
      </c>
      <c r="BA137" s="126" t="s">
        <v>1</v>
      </c>
      <c r="BB137" s="126" t="s">
        <v>1</v>
      </c>
      <c r="BC137" s="126" t="s">
        <v>1</v>
      </c>
      <c r="BD137" s="126" t="s">
        <v>1</v>
      </c>
      <c r="BE137" s="126" t="s">
        <v>1</v>
      </c>
      <c r="BF137" s="126" t="s">
        <v>1</v>
      </c>
      <c r="BG137" s="137" t="s">
        <v>1</v>
      </c>
      <c r="BH137" s="137" t="s">
        <v>1</v>
      </c>
      <c r="BI137" s="137" t="s">
        <v>1</v>
      </c>
      <c r="BJ137" s="137" t="s">
        <v>1</v>
      </c>
      <c r="BK137" s="137" t="s">
        <v>1</v>
      </c>
      <c r="BL137" s="137" t="s">
        <v>1</v>
      </c>
      <c r="BM137" s="137" t="s">
        <v>1</v>
      </c>
      <c r="BN137" s="137" t="s">
        <v>1</v>
      </c>
      <c r="BO137" s="137" t="s">
        <v>1</v>
      </c>
      <c r="BP137" s="138" t="s">
        <v>1</v>
      </c>
      <c r="BQ137" s="138" t="s">
        <v>1</v>
      </c>
      <c r="BR137" s="138" t="s">
        <v>1</v>
      </c>
      <c r="BS137" s="138" t="s">
        <v>1</v>
      </c>
      <c r="BT137" s="138" t="s">
        <v>1</v>
      </c>
      <c r="BU137" s="138" t="s">
        <v>1</v>
      </c>
      <c r="BV137" s="138" t="s">
        <v>1</v>
      </c>
      <c r="BW137" s="138" t="s">
        <v>1</v>
      </c>
      <c r="BX137" s="138" t="s">
        <v>1</v>
      </c>
      <c r="BY137" s="138" t="s">
        <v>1</v>
      </c>
      <c r="BZ137" s="138" t="s">
        <v>1</v>
      </c>
      <c r="CA137" s="138" t="s">
        <v>1</v>
      </c>
      <c r="CB137" s="138" t="s">
        <v>1</v>
      </c>
      <c r="CC137" s="138" t="s">
        <v>1</v>
      </c>
      <c r="CD137" s="138" t="s">
        <v>1</v>
      </c>
      <c r="CE137" s="138" t="s">
        <v>1</v>
      </c>
    </row>
    <row r="138" ht="25" customHeight="1" spans="1:83">
      <c r="A138" s="1" t="s">
        <v>1</v>
      </c>
      <c r="B138" s="1" t="s">
        <v>1</v>
      </c>
      <c r="C138" s="1" t="s">
        <v>1</v>
      </c>
      <c r="D138" s="1" t="s">
        <v>1</v>
      </c>
      <c r="E138" s="1" t="s">
        <v>1</v>
      </c>
      <c r="F138" s="1" t="s">
        <v>1</v>
      </c>
      <c r="G138" s="130" t="s">
        <v>1</v>
      </c>
      <c r="H138" s="130" t="s">
        <v>1</v>
      </c>
      <c r="I138" s="130" t="s">
        <v>1</v>
      </c>
      <c r="J138" s="130" t="s">
        <v>1</v>
      </c>
      <c r="K138" s="130" t="s">
        <v>1</v>
      </c>
      <c r="L138" s="159" t="s">
        <v>1</v>
      </c>
      <c r="M138" s="130" t="s">
        <v>1</v>
      </c>
      <c r="N138" s="130" t="s">
        <v>1</v>
      </c>
      <c r="O138" s="130" t="s">
        <v>1</v>
      </c>
      <c r="P138" s="130" t="s">
        <v>1</v>
      </c>
      <c r="Q138" s="130" t="s">
        <v>1</v>
      </c>
      <c r="R138" s="130" t="s">
        <v>1</v>
      </c>
      <c r="S138" s="130" t="s">
        <v>1</v>
      </c>
      <c r="T138" s="130" t="s">
        <v>1</v>
      </c>
      <c r="U138" s="130" t="s">
        <v>1</v>
      </c>
      <c r="V138" s="126" t="s">
        <v>1</v>
      </c>
      <c r="W138" s="126" t="s">
        <v>1</v>
      </c>
      <c r="X138" s="126" t="s">
        <v>1</v>
      </c>
      <c r="Y138" s="126" t="s">
        <v>1</v>
      </c>
      <c r="Z138" s="126" t="s">
        <v>1</v>
      </c>
      <c r="AA138" s="126" t="s">
        <v>1</v>
      </c>
      <c r="AB138" s="126" t="s">
        <v>1</v>
      </c>
      <c r="AC138" s="126" t="s">
        <v>1</v>
      </c>
      <c r="AD138" s="126" t="s">
        <v>1</v>
      </c>
      <c r="AE138" s="126" t="s">
        <v>1</v>
      </c>
      <c r="AF138" s="126" t="s">
        <v>1</v>
      </c>
      <c r="AG138" s="126" t="s">
        <v>1</v>
      </c>
      <c r="AH138" s="126" t="s">
        <v>1</v>
      </c>
      <c r="AI138" s="126" t="s">
        <v>1</v>
      </c>
      <c r="AJ138" s="126" t="s">
        <v>1</v>
      </c>
      <c r="AK138" s="126" t="s">
        <v>1</v>
      </c>
      <c r="AL138" s="126" t="s">
        <v>1</v>
      </c>
      <c r="AM138" s="126" t="s">
        <v>1</v>
      </c>
      <c r="AN138" s="126" t="s">
        <v>1</v>
      </c>
      <c r="AO138" s="126" t="s">
        <v>1</v>
      </c>
      <c r="AP138" s="126" t="s">
        <v>1</v>
      </c>
      <c r="AQ138" s="126" t="s">
        <v>1</v>
      </c>
      <c r="AR138" s="126" t="s">
        <v>1</v>
      </c>
      <c r="AS138" s="126" t="s">
        <v>1</v>
      </c>
      <c r="AT138" s="126" t="s">
        <v>1</v>
      </c>
      <c r="AU138" s="126" t="s">
        <v>1</v>
      </c>
      <c r="AV138" s="126" t="s">
        <v>1</v>
      </c>
      <c r="AW138" s="126" t="s">
        <v>1</v>
      </c>
      <c r="AX138" s="126" t="s">
        <v>1</v>
      </c>
      <c r="AY138" s="126" t="s">
        <v>1</v>
      </c>
      <c r="AZ138" s="126" t="s">
        <v>1</v>
      </c>
      <c r="BA138" s="126" t="s">
        <v>1</v>
      </c>
      <c r="BB138" s="126" t="s">
        <v>1</v>
      </c>
      <c r="BC138" s="126" t="s">
        <v>1</v>
      </c>
      <c r="BD138" s="126" t="s">
        <v>1</v>
      </c>
      <c r="BE138" s="126" t="s">
        <v>1</v>
      </c>
      <c r="BF138" s="126" t="s">
        <v>1</v>
      </c>
      <c r="BG138" s="137" t="s">
        <v>1</v>
      </c>
      <c r="BH138" s="137" t="s">
        <v>1</v>
      </c>
      <c r="BI138" s="137" t="s">
        <v>1</v>
      </c>
      <c r="BJ138" s="137" t="s">
        <v>1</v>
      </c>
      <c r="BK138" s="137" t="s">
        <v>1</v>
      </c>
      <c r="BL138" s="137" t="s">
        <v>1</v>
      </c>
      <c r="BM138" s="137" t="s">
        <v>1</v>
      </c>
      <c r="BN138" s="137" t="s">
        <v>1</v>
      </c>
      <c r="BO138" s="137" t="s">
        <v>1</v>
      </c>
      <c r="BP138" s="138" t="s">
        <v>1</v>
      </c>
      <c r="BQ138" s="138" t="s">
        <v>1</v>
      </c>
      <c r="BR138" s="138" t="s">
        <v>1</v>
      </c>
      <c r="BS138" s="138" t="s">
        <v>1</v>
      </c>
      <c r="BT138" s="138" t="s">
        <v>1</v>
      </c>
      <c r="BU138" s="138" t="s">
        <v>1</v>
      </c>
      <c r="BV138" s="138" t="s">
        <v>1</v>
      </c>
      <c r="BW138" s="138" t="s">
        <v>1</v>
      </c>
      <c r="BX138" s="138" t="s">
        <v>1</v>
      </c>
      <c r="BY138" s="138" t="s">
        <v>1</v>
      </c>
      <c r="BZ138" s="138" t="s">
        <v>1</v>
      </c>
      <c r="CA138" s="138" t="s">
        <v>1</v>
      </c>
      <c r="CB138" s="138" t="s">
        <v>1</v>
      </c>
      <c r="CC138" s="138" t="s">
        <v>1</v>
      </c>
      <c r="CD138" s="138" t="s">
        <v>1</v>
      </c>
      <c r="CE138" s="138" t="s">
        <v>1</v>
      </c>
    </row>
    <row r="139" ht="25" customHeight="1" spans="1:83">
      <c r="A139" s="1" t="s">
        <v>1</v>
      </c>
      <c r="B139" s="1" t="s">
        <v>1</v>
      </c>
      <c r="C139" s="1" t="s">
        <v>1</v>
      </c>
      <c r="D139" s="1" t="s">
        <v>1</v>
      </c>
      <c r="E139" s="1" t="s">
        <v>1</v>
      </c>
      <c r="F139" s="1" t="s">
        <v>1</v>
      </c>
      <c r="G139" s="130" t="s">
        <v>1</v>
      </c>
      <c r="H139" s="130" t="s">
        <v>1</v>
      </c>
      <c r="I139" s="130" t="s">
        <v>1</v>
      </c>
      <c r="J139" s="130" t="s">
        <v>1</v>
      </c>
      <c r="K139" s="130" t="s">
        <v>1</v>
      </c>
      <c r="L139" s="159" t="s">
        <v>1</v>
      </c>
      <c r="M139" s="130" t="s">
        <v>1</v>
      </c>
      <c r="N139" s="130" t="s">
        <v>1</v>
      </c>
      <c r="O139" s="130" t="s">
        <v>1</v>
      </c>
      <c r="P139" s="130" t="s">
        <v>1</v>
      </c>
      <c r="Q139" s="130" t="s">
        <v>1</v>
      </c>
      <c r="R139" s="130" t="s">
        <v>1</v>
      </c>
      <c r="S139" s="130" t="s">
        <v>1</v>
      </c>
      <c r="T139" s="130" t="s">
        <v>1</v>
      </c>
      <c r="U139" s="130" t="s">
        <v>1</v>
      </c>
      <c r="V139" s="126" t="s">
        <v>1</v>
      </c>
      <c r="W139" s="126" t="s">
        <v>1</v>
      </c>
      <c r="X139" s="126" t="s">
        <v>1</v>
      </c>
      <c r="Y139" s="126" t="s">
        <v>1</v>
      </c>
      <c r="Z139" s="126" t="s">
        <v>1</v>
      </c>
      <c r="AA139" s="126" t="s">
        <v>1</v>
      </c>
      <c r="AB139" s="126" t="s">
        <v>1</v>
      </c>
      <c r="AC139" s="126" t="s">
        <v>1</v>
      </c>
      <c r="AD139" s="126" t="s">
        <v>1</v>
      </c>
      <c r="AE139" s="126" t="s">
        <v>1</v>
      </c>
      <c r="AF139" s="126" t="s">
        <v>1</v>
      </c>
      <c r="AG139" s="126" t="s">
        <v>1</v>
      </c>
      <c r="AH139" s="126" t="s">
        <v>1</v>
      </c>
      <c r="AI139" s="126" t="s">
        <v>1</v>
      </c>
      <c r="AJ139" s="126" t="s">
        <v>1</v>
      </c>
      <c r="AK139" s="126" t="s">
        <v>1</v>
      </c>
      <c r="AL139" s="126" t="s">
        <v>1</v>
      </c>
      <c r="AM139" s="126" t="s">
        <v>1</v>
      </c>
      <c r="AN139" s="126" t="s">
        <v>1</v>
      </c>
      <c r="AO139" s="126" t="s">
        <v>1</v>
      </c>
      <c r="AP139" s="126" t="s">
        <v>1</v>
      </c>
      <c r="AQ139" s="126" t="s">
        <v>1</v>
      </c>
      <c r="AR139" s="126" t="s">
        <v>1</v>
      </c>
      <c r="AS139" s="126" t="s">
        <v>1</v>
      </c>
      <c r="AT139" s="126" t="s">
        <v>1</v>
      </c>
      <c r="AU139" s="126" t="s">
        <v>1</v>
      </c>
      <c r="AV139" s="126" t="s">
        <v>1</v>
      </c>
      <c r="AW139" s="126" t="s">
        <v>1</v>
      </c>
      <c r="AX139" s="126" t="s">
        <v>1</v>
      </c>
      <c r="AY139" s="126" t="s">
        <v>1</v>
      </c>
      <c r="AZ139" s="126" t="s">
        <v>1</v>
      </c>
      <c r="BA139" s="126" t="s">
        <v>1</v>
      </c>
      <c r="BB139" s="126" t="s">
        <v>1</v>
      </c>
      <c r="BC139" s="126" t="s">
        <v>1</v>
      </c>
      <c r="BD139" s="126" t="s">
        <v>1</v>
      </c>
      <c r="BE139" s="126" t="s">
        <v>1</v>
      </c>
      <c r="BF139" s="126" t="s">
        <v>1</v>
      </c>
      <c r="BG139" s="137" t="s">
        <v>1</v>
      </c>
      <c r="BH139" s="137" t="s">
        <v>1</v>
      </c>
      <c r="BI139" s="137" t="s">
        <v>1</v>
      </c>
      <c r="BJ139" s="137" t="s">
        <v>1</v>
      </c>
      <c r="BK139" s="137" t="s">
        <v>1</v>
      </c>
      <c r="BL139" s="137" t="s">
        <v>1</v>
      </c>
      <c r="BM139" s="137" t="s">
        <v>1</v>
      </c>
      <c r="BN139" s="137" t="s">
        <v>1</v>
      </c>
      <c r="BO139" s="137" t="s">
        <v>1</v>
      </c>
      <c r="BP139" s="138" t="s">
        <v>1</v>
      </c>
      <c r="BQ139" s="138" t="s">
        <v>1</v>
      </c>
      <c r="BR139" s="138" t="s">
        <v>1</v>
      </c>
      <c r="BS139" s="138" t="s">
        <v>1</v>
      </c>
      <c r="BT139" s="138" t="s">
        <v>1</v>
      </c>
      <c r="BU139" s="138" t="s">
        <v>1</v>
      </c>
      <c r="BV139" s="138" t="s">
        <v>1</v>
      </c>
      <c r="BW139" s="138" t="s">
        <v>1</v>
      </c>
      <c r="BX139" s="138" t="s">
        <v>1</v>
      </c>
      <c r="BY139" s="138" t="s">
        <v>1</v>
      </c>
      <c r="BZ139" s="138" t="s">
        <v>1</v>
      </c>
      <c r="CA139" s="138" t="s">
        <v>1</v>
      </c>
      <c r="CB139" s="138" t="s">
        <v>1</v>
      </c>
      <c r="CC139" s="138" t="s">
        <v>1</v>
      </c>
      <c r="CD139" s="138" t="s">
        <v>1</v>
      </c>
      <c r="CE139" s="138" t="s">
        <v>1</v>
      </c>
    </row>
    <row r="140" ht="25" customHeight="1" spans="1:83">
      <c r="A140" s="1" t="s">
        <v>1</v>
      </c>
      <c r="B140" s="1" t="s">
        <v>1</v>
      </c>
      <c r="C140" s="1" t="s">
        <v>1</v>
      </c>
      <c r="D140" s="1" t="s">
        <v>1</v>
      </c>
      <c r="E140" s="1" t="s">
        <v>1</v>
      </c>
      <c r="F140" s="1" t="s">
        <v>1</v>
      </c>
      <c r="G140" s="130" t="s">
        <v>1</v>
      </c>
      <c r="H140" s="130" t="s">
        <v>1</v>
      </c>
      <c r="I140" s="130" t="s">
        <v>1</v>
      </c>
      <c r="J140" s="130" t="s">
        <v>1</v>
      </c>
      <c r="K140" s="130" t="s">
        <v>1</v>
      </c>
      <c r="L140" s="159" t="s">
        <v>1</v>
      </c>
      <c r="M140" s="130" t="s">
        <v>1</v>
      </c>
      <c r="N140" s="130" t="s">
        <v>1</v>
      </c>
      <c r="O140" s="130" t="s">
        <v>1</v>
      </c>
      <c r="P140" s="130" t="s">
        <v>1</v>
      </c>
      <c r="Q140" s="130" t="s">
        <v>1</v>
      </c>
      <c r="R140" s="130" t="s">
        <v>1</v>
      </c>
      <c r="S140" s="130" t="s">
        <v>1</v>
      </c>
      <c r="T140" s="130" t="s">
        <v>1</v>
      </c>
      <c r="U140" s="130" t="s">
        <v>1</v>
      </c>
      <c r="V140" s="126" t="s">
        <v>1</v>
      </c>
      <c r="W140" s="126" t="s">
        <v>1</v>
      </c>
      <c r="X140" s="126" t="s">
        <v>1</v>
      </c>
      <c r="Y140" s="126" t="s">
        <v>1</v>
      </c>
      <c r="Z140" s="126" t="s">
        <v>1</v>
      </c>
      <c r="AA140" s="126" t="s">
        <v>1</v>
      </c>
      <c r="AB140" s="126" t="s">
        <v>1</v>
      </c>
      <c r="AC140" s="126" t="s">
        <v>1</v>
      </c>
      <c r="AD140" s="126" t="s">
        <v>1</v>
      </c>
      <c r="AE140" s="126" t="s">
        <v>1</v>
      </c>
      <c r="AF140" s="126" t="s">
        <v>1</v>
      </c>
      <c r="AG140" s="126" t="s">
        <v>1</v>
      </c>
      <c r="AH140" s="126" t="s">
        <v>1</v>
      </c>
      <c r="AI140" s="126" t="s">
        <v>1</v>
      </c>
      <c r="AJ140" s="126" t="s">
        <v>1</v>
      </c>
      <c r="AK140" s="126" t="s">
        <v>1</v>
      </c>
      <c r="AL140" s="126" t="s">
        <v>1</v>
      </c>
      <c r="AM140" s="126" t="s">
        <v>1</v>
      </c>
      <c r="AN140" s="126" t="s">
        <v>1</v>
      </c>
      <c r="AO140" s="126" t="s">
        <v>1</v>
      </c>
      <c r="AP140" s="126" t="s">
        <v>1</v>
      </c>
      <c r="AQ140" s="126" t="s">
        <v>1</v>
      </c>
      <c r="AR140" s="126" t="s">
        <v>1</v>
      </c>
      <c r="AS140" s="126" t="s">
        <v>1</v>
      </c>
      <c r="AT140" s="126" t="s">
        <v>1</v>
      </c>
      <c r="AU140" s="126" t="s">
        <v>1</v>
      </c>
      <c r="AV140" s="126" t="s">
        <v>1</v>
      </c>
      <c r="AW140" s="126" t="s">
        <v>1</v>
      </c>
      <c r="AX140" s="126" t="s">
        <v>1</v>
      </c>
      <c r="AY140" s="126" t="s">
        <v>1</v>
      </c>
      <c r="AZ140" s="126" t="s">
        <v>1</v>
      </c>
      <c r="BA140" s="126" t="s">
        <v>1</v>
      </c>
      <c r="BB140" s="126" t="s">
        <v>1</v>
      </c>
      <c r="BC140" s="126" t="s">
        <v>1</v>
      </c>
      <c r="BD140" s="126" t="s">
        <v>1</v>
      </c>
      <c r="BE140" s="126" t="s">
        <v>1</v>
      </c>
      <c r="BF140" s="126" t="s">
        <v>1</v>
      </c>
      <c r="BG140" s="137" t="s">
        <v>1</v>
      </c>
      <c r="BH140" s="137" t="s">
        <v>1</v>
      </c>
      <c r="BI140" s="137" t="s">
        <v>1</v>
      </c>
      <c r="BJ140" s="137" t="s">
        <v>1</v>
      </c>
      <c r="BK140" s="137" t="s">
        <v>1</v>
      </c>
      <c r="BL140" s="137" t="s">
        <v>1</v>
      </c>
      <c r="BM140" s="137" t="s">
        <v>1</v>
      </c>
      <c r="BN140" s="137" t="s">
        <v>1</v>
      </c>
      <c r="BO140" s="137" t="s">
        <v>1</v>
      </c>
      <c r="BP140" s="138" t="s">
        <v>1</v>
      </c>
      <c r="BQ140" s="138" t="s">
        <v>1</v>
      </c>
      <c r="BR140" s="138" t="s">
        <v>1</v>
      </c>
      <c r="BS140" s="138" t="s">
        <v>1</v>
      </c>
      <c r="BT140" s="138" t="s">
        <v>1</v>
      </c>
      <c r="BU140" s="138" t="s">
        <v>1</v>
      </c>
      <c r="BV140" s="138" t="s">
        <v>1</v>
      </c>
      <c r="BW140" s="138" t="s">
        <v>1</v>
      </c>
      <c r="BX140" s="138" t="s">
        <v>1</v>
      </c>
      <c r="BY140" s="138" t="s">
        <v>1</v>
      </c>
      <c r="BZ140" s="138" t="s">
        <v>1</v>
      </c>
      <c r="CA140" s="138" t="s">
        <v>1</v>
      </c>
      <c r="CB140" s="138" t="s">
        <v>1</v>
      </c>
      <c r="CC140" s="138" t="s">
        <v>1</v>
      </c>
      <c r="CD140" s="138" t="s">
        <v>1</v>
      </c>
      <c r="CE140" s="138" t="s">
        <v>1</v>
      </c>
    </row>
    <row r="141" ht="25" customHeight="1" spans="1:83">
      <c r="A141" s="1" t="s">
        <v>1</v>
      </c>
      <c r="B141" s="1" t="s">
        <v>1</v>
      </c>
      <c r="C141" s="1" t="s">
        <v>1</v>
      </c>
      <c r="D141" s="1" t="s">
        <v>1</v>
      </c>
      <c r="E141" s="1" t="s">
        <v>1</v>
      </c>
      <c r="F141" s="1" t="s">
        <v>1</v>
      </c>
      <c r="G141" s="130" t="s">
        <v>1</v>
      </c>
      <c r="H141" s="130" t="s">
        <v>1</v>
      </c>
      <c r="I141" s="130" t="s">
        <v>1</v>
      </c>
      <c r="J141" s="130" t="s">
        <v>1</v>
      </c>
      <c r="K141" s="130" t="s">
        <v>1</v>
      </c>
      <c r="L141" s="159" t="s">
        <v>1</v>
      </c>
      <c r="M141" s="130" t="s">
        <v>1</v>
      </c>
      <c r="N141" s="130" t="s">
        <v>1</v>
      </c>
      <c r="O141" s="130" t="s">
        <v>1</v>
      </c>
      <c r="P141" s="130" t="s">
        <v>1</v>
      </c>
      <c r="Q141" s="130" t="s">
        <v>1</v>
      </c>
      <c r="R141" s="130" t="s">
        <v>1</v>
      </c>
      <c r="S141" s="130" t="s">
        <v>1</v>
      </c>
      <c r="T141" s="130" t="s">
        <v>1</v>
      </c>
      <c r="U141" s="130" t="s">
        <v>1</v>
      </c>
      <c r="V141" s="126" t="s">
        <v>1</v>
      </c>
      <c r="W141" s="126" t="s">
        <v>1</v>
      </c>
      <c r="X141" s="126" t="s">
        <v>1</v>
      </c>
      <c r="Y141" s="126" t="s">
        <v>1</v>
      </c>
      <c r="Z141" s="126" t="s">
        <v>1</v>
      </c>
      <c r="AA141" s="126" t="s">
        <v>1</v>
      </c>
      <c r="AB141" s="126" t="s">
        <v>1</v>
      </c>
      <c r="AC141" s="126" t="s">
        <v>1</v>
      </c>
      <c r="AD141" s="126" t="s">
        <v>1</v>
      </c>
      <c r="AE141" s="126" t="s">
        <v>1</v>
      </c>
      <c r="AF141" s="126" t="s">
        <v>1</v>
      </c>
      <c r="AG141" s="126" t="s">
        <v>1</v>
      </c>
      <c r="AH141" s="126" t="s">
        <v>1</v>
      </c>
      <c r="AI141" s="126" t="s">
        <v>1</v>
      </c>
      <c r="AJ141" s="126" t="s">
        <v>1</v>
      </c>
      <c r="AK141" s="126" t="s">
        <v>1</v>
      </c>
      <c r="AL141" s="126" t="s">
        <v>1</v>
      </c>
      <c r="AM141" s="126" t="s">
        <v>1</v>
      </c>
      <c r="AN141" s="126" t="s">
        <v>1</v>
      </c>
      <c r="AO141" s="126" t="s">
        <v>1</v>
      </c>
      <c r="AP141" s="126" t="s">
        <v>1</v>
      </c>
      <c r="AQ141" s="126" t="s">
        <v>1</v>
      </c>
      <c r="AR141" s="126" t="s">
        <v>1</v>
      </c>
      <c r="AS141" s="126" t="s">
        <v>1</v>
      </c>
      <c r="AT141" s="126" t="s">
        <v>1</v>
      </c>
      <c r="AU141" s="126" t="s">
        <v>1</v>
      </c>
      <c r="AV141" s="126" t="s">
        <v>1</v>
      </c>
      <c r="AW141" s="126" t="s">
        <v>1</v>
      </c>
      <c r="AX141" s="126" t="s">
        <v>1</v>
      </c>
      <c r="AY141" s="126" t="s">
        <v>1</v>
      </c>
      <c r="AZ141" s="126" t="s">
        <v>1</v>
      </c>
      <c r="BA141" s="126" t="s">
        <v>1</v>
      </c>
      <c r="BB141" s="126" t="s">
        <v>1</v>
      </c>
      <c r="BC141" s="126" t="s">
        <v>1</v>
      </c>
      <c r="BD141" s="126" t="s">
        <v>1</v>
      </c>
      <c r="BE141" s="126" t="s">
        <v>1</v>
      </c>
      <c r="BF141" s="126" t="s">
        <v>1</v>
      </c>
      <c r="BG141" s="137" t="s">
        <v>1</v>
      </c>
      <c r="BH141" s="137" t="s">
        <v>1</v>
      </c>
      <c r="BI141" s="137" t="s">
        <v>1</v>
      </c>
      <c r="BJ141" s="137" t="s">
        <v>1</v>
      </c>
      <c r="BK141" s="137" t="s">
        <v>1</v>
      </c>
      <c r="BL141" s="137" t="s">
        <v>1</v>
      </c>
      <c r="BM141" s="137" t="s">
        <v>1</v>
      </c>
      <c r="BN141" s="137" t="s">
        <v>1</v>
      </c>
      <c r="BO141" s="137" t="s">
        <v>1</v>
      </c>
      <c r="BP141" s="138" t="s">
        <v>1</v>
      </c>
      <c r="BQ141" s="138" t="s">
        <v>1</v>
      </c>
      <c r="BR141" s="138" t="s">
        <v>1</v>
      </c>
      <c r="BS141" s="138" t="s">
        <v>1</v>
      </c>
      <c r="BT141" s="138" t="s">
        <v>1</v>
      </c>
      <c r="BU141" s="138" t="s">
        <v>1</v>
      </c>
      <c r="BV141" s="138" t="s">
        <v>1</v>
      </c>
      <c r="BW141" s="138" t="s">
        <v>1</v>
      </c>
      <c r="BX141" s="138" t="s">
        <v>1</v>
      </c>
      <c r="BY141" s="138" t="s">
        <v>1</v>
      </c>
      <c r="BZ141" s="138" t="s">
        <v>1</v>
      </c>
      <c r="CA141" s="138" t="s">
        <v>1</v>
      </c>
      <c r="CB141" s="138" t="s">
        <v>1</v>
      </c>
      <c r="CC141" s="138" t="s">
        <v>1</v>
      </c>
      <c r="CD141" s="138" t="s">
        <v>1</v>
      </c>
      <c r="CE141" s="138" t="s">
        <v>1</v>
      </c>
    </row>
    <row r="142" ht="25" customHeight="1" spans="1:83">
      <c r="A142" s="1" t="s">
        <v>1</v>
      </c>
      <c r="B142" s="1" t="s">
        <v>1</v>
      </c>
      <c r="C142" s="1" t="s">
        <v>1</v>
      </c>
      <c r="D142" s="1" t="s">
        <v>1</v>
      </c>
      <c r="E142" s="1" t="s">
        <v>1</v>
      </c>
      <c r="F142" s="1" t="s">
        <v>1</v>
      </c>
      <c r="G142" s="130" t="s">
        <v>1</v>
      </c>
      <c r="H142" s="130" t="s">
        <v>1</v>
      </c>
      <c r="I142" s="130" t="s">
        <v>1</v>
      </c>
      <c r="J142" s="130" t="s">
        <v>1</v>
      </c>
      <c r="K142" s="130" t="s">
        <v>1</v>
      </c>
      <c r="L142" s="159" t="s">
        <v>1</v>
      </c>
      <c r="M142" s="130" t="s">
        <v>1</v>
      </c>
      <c r="N142" s="130" t="s">
        <v>1</v>
      </c>
      <c r="O142" s="130" t="s">
        <v>1</v>
      </c>
      <c r="P142" s="130" t="s">
        <v>1</v>
      </c>
      <c r="Q142" s="130" t="s">
        <v>1</v>
      </c>
      <c r="R142" s="130" t="s">
        <v>1</v>
      </c>
      <c r="S142" s="130" t="s">
        <v>1</v>
      </c>
      <c r="T142" s="130" t="s">
        <v>1</v>
      </c>
      <c r="U142" s="130" t="s">
        <v>1</v>
      </c>
      <c r="V142" s="126" t="s">
        <v>1</v>
      </c>
      <c r="W142" s="126" t="s">
        <v>1</v>
      </c>
      <c r="X142" s="126" t="s">
        <v>1</v>
      </c>
      <c r="Y142" s="126" t="s">
        <v>1</v>
      </c>
      <c r="Z142" s="126" t="s">
        <v>1</v>
      </c>
      <c r="AA142" s="126" t="s">
        <v>1</v>
      </c>
      <c r="AB142" s="126" t="s">
        <v>1</v>
      </c>
      <c r="AC142" s="126" t="s">
        <v>1</v>
      </c>
      <c r="AD142" s="126" t="s">
        <v>1</v>
      </c>
      <c r="AE142" s="126" t="s">
        <v>1</v>
      </c>
      <c r="AF142" s="126" t="s">
        <v>1</v>
      </c>
      <c r="AG142" s="126" t="s">
        <v>1</v>
      </c>
      <c r="AH142" s="126" t="s">
        <v>1</v>
      </c>
      <c r="AI142" s="126" t="s">
        <v>1</v>
      </c>
      <c r="AJ142" s="126" t="s">
        <v>1</v>
      </c>
      <c r="AK142" s="126" t="s">
        <v>1</v>
      </c>
      <c r="AL142" s="126" t="s">
        <v>1</v>
      </c>
      <c r="AM142" s="126" t="s">
        <v>1</v>
      </c>
      <c r="AN142" s="126" t="s">
        <v>1</v>
      </c>
      <c r="AO142" s="126" t="s">
        <v>1</v>
      </c>
      <c r="AP142" s="126" t="s">
        <v>1</v>
      </c>
      <c r="AQ142" s="126" t="s">
        <v>1</v>
      </c>
      <c r="AR142" s="126" t="s">
        <v>1</v>
      </c>
      <c r="AS142" s="126" t="s">
        <v>1</v>
      </c>
      <c r="AT142" s="126" t="s">
        <v>1</v>
      </c>
      <c r="AU142" s="126" t="s">
        <v>1</v>
      </c>
      <c r="AV142" s="126" t="s">
        <v>1</v>
      </c>
      <c r="AW142" s="126" t="s">
        <v>1</v>
      </c>
      <c r="AX142" s="126" t="s">
        <v>1</v>
      </c>
      <c r="AY142" s="126" t="s">
        <v>1</v>
      </c>
      <c r="AZ142" s="126" t="s">
        <v>1</v>
      </c>
      <c r="BA142" s="126" t="s">
        <v>1</v>
      </c>
      <c r="BB142" s="126" t="s">
        <v>1</v>
      </c>
      <c r="BC142" s="126" t="s">
        <v>1</v>
      </c>
      <c r="BD142" s="126" t="s">
        <v>1</v>
      </c>
      <c r="BE142" s="126" t="s">
        <v>1</v>
      </c>
      <c r="BF142" s="126" t="s">
        <v>1</v>
      </c>
      <c r="BG142" s="137" t="s">
        <v>1</v>
      </c>
      <c r="BH142" s="137" t="s">
        <v>1</v>
      </c>
      <c r="BI142" s="137" t="s">
        <v>1</v>
      </c>
      <c r="BJ142" s="137" t="s">
        <v>1</v>
      </c>
      <c r="BK142" s="137" t="s">
        <v>1</v>
      </c>
      <c r="BL142" s="137" t="s">
        <v>1</v>
      </c>
      <c r="BM142" s="137" t="s">
        <v>1</v>
      </c>
      <c r="BN142" s="137" t="s">
        <v>1</v>
      </c>
      <c r="BO142" s="137" t="s">
        <v>1</v>
      </c>
      <c r="BP142" s="138" t="s">
        <v>1</v>
      </c>
      <c r="BQ142" s="138" t="s">
        <v>1</v>
      </c>
      <c r="BR142" s="138" t="s">
        <v>1</v>
      </c>
      <c r="BS142" s="138" t="s">
        <v>1</v>
      </c>
      <c r="BT142" s="138" t="s">
        <v>1</v>
      </c>
      <c r="BU142" s="138" t="s">
        <v>1</v>
      </c>
      <c r="BV142" s="138" t="s">
        <v>1</v>
      </c>
      <c r="BW142" s="138" t="s">
        <v>1</v>
      </c>
      <c r="BX142" s="138" t="s">
        <v>1</v>
      </c>
      <c r="BY142" s="138" t="s">
        <v>1</v>
      </c>
      <c r="BZ142" s="138" t="s">
        <v>1</v>
      </c>
      <c r="CA142" s="138" t="s">
        <v>1</v>
      </c>
      <c r="CB142" s="138" t="s">
        <v>1</v>
      </c>
      <c r="CC142" s="138" t="s">
        <v>1</v>
      </c>
      <c r="CD142" s="138" t="s">
        <v>1</v>
      </c>
      <c r="CE142" s="138" t="s">
        <v>1</v>
      </c>
    </row>
    <row r="143" ht="25" customHeight="1" spans="1:83">
      <c r="A143" s="1" t="s">
        <v>1</v>
      </c>
      <c r="B143" s="1" t="s">
        <v>1</v>
      </c>
      <c r="C143" s="1" t="s">
        <v>1</v>
      </c>
      <c r="D143" s="1" t="s">
        <v>1</v>
      </c>
      <c r="E143" s="1" t="s">
        <v>1</v>
      </c>
      <c r="F143" s="1" t="s">
        <v>1</v>
      </c>
      <c r="G143" s="130" t="s">
        <v>1</v>
      </c>
      <c r="H143" s="130" t="s">
        <v>1</v>
      </c>
      <c r="I143" s="130" t="s">
        <v>1</v>
      </c>
      <c r="J143" s="130" t="s">
        <v>1</v>
      </c>
      <c r="K143" s="130" t="s">
        <v>1</v>
      </c>
      <c r="L143" s="159" t="s">
        <v>1</v>
      </c>
      <c r="M143" s="130" t="s">
        <v>1</v>
      </c>
      <c r="N143" s="130" t="s">
        <v>1</v>
      </c>
      <c r="O143" s="130" t="s">
        <v>1</v>
      </c>
      <c r="P143" s="130" t="s">
        <v>1</v>
      </c>
      <c r="Q143" s="130" t="s">
        <v>1</v>
      </c>
      <c r="R143" s="130" t="s">
        <v>1</v>
      </c>
      <c r="S143" s="130" t="s">
        <v>1</v>
      </c>
      <c r="T143" s="130" t="s">
        <v>1</v>
      </c>
      <c r="U143" s="130" t="s">
        <v>1</v>
      </c>
      <c r="V143" s="126" t="s">
        <v>1</v>
      </c>
      <c r="W143" s="126" t="s">
        <v>1</v>
      </c>
      <c r="X143" s="126" t="s">
        <v>1</v>
      </c>
      <c r="Y143" s="126" t="s">
        <v>1</v>
      </c>
      <c r="Z143" s="126" t="s">
        <v>1</v>
      </c>
      <c r="AA143" s="126" t="s">
        <v>1</v>
      </c>
      <c r="AB143" s="126" t="s">
        <v>1</v>
      </c>
      <c r="AC143" s="126" t="s">
        <v>1</v>
      </c>
      <c r="AD143" s="126" t="s">
        <v>1</v>
      </c>
      <c r="AE143" s="126" t="s">
        <v>1</v>
      </c>
      <c r="AF143" s="126" t="s">
        <v>1</v>
      </c>
      <c r="AG143" s="126" t="s">
        <v>1</v>
      </c>
      <c r="AH143" s="126" t="s">
        <v>1</v>
      </c>
      <c r="AI143" s="126" t="s">
        <v>1</v>
      </c>
      <c r="AJ143" s="126" t="s">
        <v>1</v>
      </c>
      <c r="AK143" s="126" t="s">
        <v>1</v>
      </c>
      <c r="AL143" s="126" t="s">
        <v>1</v>
      </c>
      <c r="AM143" s="126" t="s">
        <v>1</v>
      </c>
      <c r="AN143" s="126" t="s">
        <v>1</v>
      </c>
      <c r="AO143" s="126" t="s">
        <v>1</v>
      </c>
      <c r="AP143" s="126" t="s">
        <v>1</v>
      </c>
      <c r="AQ143" s="126" t="s">
        <v>1</v>
      </c>
      <c r="AR143" s="126" t="s">
        <v>1</v>
      </c>
      <c r="AS143" s="126" t="s">
        <v>1</v>
      </c>
      <c r="AT143" s="126" t="s">
        <v>1</v>
      </c>
      <c r="AU143" s="126" t="s">
        <v>1</v>
      </c>
      <c r="AV143" s="126" t="s">
        <v>1</v>
      </c>
      <c r="AW143" s="126" t="s">
        <v>1</v>
      </c>
      <c r="AX143" s="126" t="s">
        <v>1</v>
      </c>
      <c r="AY143" s="126" t="s">
        <v>1</v>
      </c>
      <c r="AZ143" s="126" t="s">
        <v>1</v>
      </c>
      <c r="BA143" s="126" t="s">
        <v>1</v>
      </c>
      <c r="BB143" s="126" t="s">
        <v>1</v>
      </c>
      <c r="BC143" s="126" t="s">
        <v>1</v>
      </c>
      <c r="BD143" s="126" t="s">
        <v>1</v>
      </c>
      <c r="BE143" s="126" t="s">
        <v>1</v>
      </c>
      <c r="BF143" s="126" t="s">
        <v>1</v>
      </c>
      <c r="BG143" s="137" t="s">
        <v>1</v>
      </c>
      <c r="BH143" s="137" t="s">
        <v>1</v>
      </c>
      <c r="BI143" s="137" t="s">
        <v>1</v>
      </c>
      <c r="BJ143" s="137" t="s">
        <v>1</v>
      </c>
      <c r="BK143" s="137" t="s">
        <v>1</v>
      </c>
      <c r="BL143" s="137" t="s">
        <v>1</v>
      </c>
      <c r="BM143" s="137" t="s">
        <v>1</v>
      </c>
      <c r="BN143" s="137" t="s">
        <v>1</v>
      </c>
      <c r="BO143" s="137" t="s">
        <v>1</v>
      </c>
      <c r="BP143" s="138" t="s">
        <v>1</v>
      </c>
      <c r="BQ143" s="138" t="s">
        <v>1</v>
      </c>
      <c r="BR143" s="138" t="s">
        <v>1</v>
      </c>
      <c r="BS143" s="138" t="s">
        <v>1</v>
      </c>
      <c r="BT143" s="138" t="s">
        <v>1</v>
      </c>
      <c r="BU143" s="138" t="s">
        <v>1</v>
      </c>
      <c r="BV143" s="138" t="s">
        <v>1</v>
      </c>
      <c r="BW143" s="138" t="s">
        <v>1</v>
      </c>
      <c r="BX143" s="138" t="s">
        <v>1</v>
      </c>
      <c r="BY143" s="138" t="s">
        <v>1</v>
      </c>
      <c r="BZ143" s="138" t="s">
        <v>1</v>
      </c>
      <c r="CA143" s="138" t="s">
        <v>1</v>
      </c>
      <c r="CB143" s="138" t="s">
        <v>1</v>
      </c>
      <c r="CC143" s="138" t="s">
        <v>1</v>
      </c>
      <c r="CD143" s="138" t="s">
        <v>1</v>
      </c>
      <c r="CE143" s="138" t="s">
        <v>1</v>
      </c>
    </row>
    <row r="144" ht="25" customHeight="1" spans="1:83">
      <c r="A144" s="1" t="s">
        <v>1</v>
      </c>
      <c r="B144" s="1" t="s">
        <v>1</v>
      </c>
      <c r="C144" s="1" t="s">
        <v>1</v>
      </c>
      <c r="D144" s="1" t="s">
        <v>1</v>
      </c>
      <c r="E144" s="1" t="s">
        <v>1</v>
      </c>
      <c r="F144" s="1" t="s">
        <v>1</v>
      </c>
      <c r="G144" s="130" t="s">
        <v>1</v>
      </c>
      <c r="H144" s="130" t="s">
        <v>1</v>
      </c>
      <c r="I144" s="130" t="s">
        <v>1</v>
      </c>
      <c r="J144" s="130" t="s">
        <v>1</v>
      </c>
      <c r="K144" s="130" t="s">
        <v>1</v>
      </c>
      <c r="L144" s="159" t="s">
        <v>1</v>
      </c>
      <c r="M144" s="130" t="s">
        <v>1</v>
      </c>
      <c r="N144" s="130" t="s">
        <v>1</v>
      </c>
      <c r="O144" s="130" t="s">
        <v>1</v>
      </c>
      <c r="P144" s="130" t="s">
        <v>1</v>
      </c>
      <c r="Q144" s="130" t="s">
        <v>1</v>
      </c>
      <c r="R144" s="130" t="s">
        <v>1</v>
      </c>
      <c r="S144" s="130" t="s">
        <v>1</v>
      </c>
      <c r="T144" s="130" t="s">
        <v>1</v>
      </c>
      <c r="U144" s="130" t="s">
        <v>1</v>
      </c>
      <c r="V144" s="126" t="s">
        <v>1</v>
      </c>
      <c r="W144" s="126" t="s">
        <v>1</v>
      </c>
      <c r="X144" s="126" t="s">
        <v>1</v>
      </c>
      <c r="Y144" s="126" t="s">
        <v>1</v>
      </c>
      <c r="Z144" s="126" t="s">
        <v>1</v>
      </c>
      <c r="AA144" s="126" t="s">
        <v>1</v>
      </c>
      <c r="AB144" s="126" t="s">
        <v>1</v>
      </c>
      <c r="AC144" s="126" t="s">
        <v>1</v>
      </c>
      <c r="AD144" s="126" t="s">
        <v>1</v>
      </c>
      <c r="AE144" s="126" t="s">
        <v>1</v>
      </c>
      <c r="AF144" s="126" t="s">
        <v>1</v>
      </c>
      <c r="AG144" s="126" t="s">
        <v>1</v>
      </c>
      <c r="AH144" s="126" t="s">
        <v>1</v>
      </c>
      <c r="AI144" s="126" t="s">
        <v>1</v>
      </c>
      <c r="AJ144" s="126" t="s">
        <v>1</v>
      </c>
      <c r="AK144" s="126" t="s">
        <v>1</v>
      </c>
      <c r="AL144" s="126" t="s">
        <v>1</v>
      </c>
      <c r="AM144" s="126" t="s">
        <v>1</v>
      </c>
      <c r="AN144" s="126" t="s">
        <v>1</v>
      </c>
      <c r="AO144" s="126" t="s">
        <v>1</v>
      </c>
      <c r="AP144" s="126" t="s">
        <v>1</v>
      </c>
      <c r="AQ144" s="126" t="s">
        <v>1</v>
      </c>
      <c r="AR144" s="126" t="s">
        <v>1</v>
      </c>
      <c r="AS144" s="126" t="s">
        <v>1</v>
      </c>
      <c r="AT144" s="126" t="s">
        <v>1</v>
      </c>
      <c r="AU144" s="126" t="s">
        <v>1</v>
      </c>
      <c r="AV144" s="126" t="s">
        <v>1</v>
      </c>
      <c r="AW144" s="126" t="s">
        <v>1</v>
      </c>
      <c r="AX144" s="126" t="s">
        <v>1</v>
      </c>
      <c r="AY144" s="126" t="s">
        <v>1</v>
      </c>
      <c r="AZ144" s="126" t="s">
        <v>1</v>
      </c>
      <c r="BA144" s="126" t="s">
        <v>1</v>
      </c>
      <c r="BB144" s="126" t="s">
        <v>1</v>
      </c>
      <c r="BC144" s="126" t="s">
        <v>1</v>
      </c>
      <c r="BD144" s="126" t="s">
        <v>1</v>
      </c>
      <c r="BE144" s="126" t="s">
        <v>1</v>
      </c>
      <c r="BF144" s="126" t="s">
        <v>1</v>
      </c>
      <c r="BG144" s="137" t="s">
        <v>1</v>
      </c>
      <c r="BH144" s="137" t="s">
        <v>1</v>
      </c>
      <c r="BI144" s="137" t="s">
        <v>1</v>
      </c>
      <c r="BJ144" s="137" t="s">
        <v>1</v>
      </c>
      <c r="BK144" s="137" t="s">
        <v>1</v>
      </c>
      <c r="BL144" s="137" t="s">
        <v>1</v>
      </c>
      <c r="BM144" s="137" t="s">
        <v>1</v>
      </c>
      <c r="BN144" s="137" t="s">
        <v>1</v>
      </c>
      <c r="BO144" s="137" t="s">
        <v>1</v>
      </c>
      <c r="BP144" s="138" t="s">
        <v>1</v>
      </c>
      <c r="BQ144" s="138" t="s">
        <v>1</v>
      </c>
      <c r="BR144" s="138" t="s">
        <v>1</v>
      </c>
      <c r="BS144" s="138" t="s">
        <v>1</v>
      </c>
      <c r="BT144" s="138" t="s">
        <v>1</v>
      </c>
      <c r="BU144" s="138" t="s">
        <v>1</v>
      </c>
      <c r="BV144" s="138" t="s">
        <v>1</v>
      </c>
      <c r="BW144" s="138" t="s">
        <v>1</v>
      </c>
      <c r="BX144" s="138" t="s">
        <v>1</v>
      </c>
      <c r="BY144" s="138" t="s">
        <v>1</v>
      </c>
      <c r="BZ144" s="138" t="s">
        <v>1</v>
      </c>
      <c r="CA144" s="138" t="s">
        <v>1</v>
      </c>
      <c r="CB144" s="138" t="s">
        <v>1</v>
      </c>
      <c r="CC144" s="138" t="s">
        <v>1</v>
      </c>
      <c r="CD144" s="138" t="s">
        <v>1</v>
      </c>
      <c r="CE144" s="138" t="s">
        <v>1</v>
      </c>
    </row>
    <row r="145" ht="25" customHeight="1" spans="1:83">
      <c r="A145" s="1" t="s">
        <v>1</v>
      </c>
      <c r="B145" s="1" t="s">
        <v>1</v>
      </c>
      <c r="C145" s="1" t="s">
        <v>1</v>
      </c>
      <c r="D145" s="1" t="s">
        <v>1</v>
      </c>
      <c r="E145" s="1" t="s">
        <v>1</v>
      </c>
      <c r="F145" s="1" t="s">
        <v>1</v>
      </c>
      <c r="G145" s="130" t="s">
        <v>1</v>
      </c>
      <c r="H145" s="130" t="s">
        <v>1</v>
      </c>
      <c r="I145" s="130" t="s">
        <v>1</v>
      </c>
      <c r="J145" s="130" t="s">
        <v>1</v>
      </c>
      <c r="K145" s="130" t="s">
        <v>1</v>
      </c>
      <c r="L145" s="159" t="s">
        <v>1</v>
      </c>
      <c r="M145" s="130" t="s">
        <v>1</v>
      </c>
      <c r="N145" s="130" t="s">
        <v>1</v>
      </c>
      <c r="O145" s="130" t="s">
        <v>1</v>
      </c>
      <c r="P145" s="130" t="s">
        <v>1</v>
      </c>
      <c r="Q145" s="130" t="s">
        <v>1</v>
      </c>
      <c r="R145" s="130" t="s">
        <v>1</v>
      </c>
      <c r="S145" s="130" t="s">
        <v>1</v>
      </c>
      <c r="T145" s="130" t="s">
        <v>1</v>
      </c>
      <c r="U145" s="130" t="s">
        <v>1</v>
      </c>
      <c r="V145" s="126" t="s">
        <v>1</v>
      </c>
      <c r="W145" s="126" t="s">
        <v>1</v>
      </c>
      <c r="X145" s="126" t="s">
        <v>1</v>
      </c>
      <c r="Y145" s="126" t="s">
        <v>1</v>
      </c>
      <c r="Z145" s="126" t="s">
        <v>1</v>
      </c>
      <c r="AA145" s="126" t="s">
        <v>1</v>
      </c>
      <c r="AB145" s="126" t="s">
        <v>1</v>
      </c>
      <c r="AC145" s="126" t="s">
        <v>1</v>
      </c>
      <c r="AD145" s="126" t="s">
        <v>1</v>
      </c>
      <c r="AE145" s="126" t="s">
        <v>1</v>
      </c>
      <c r="AF145" s="126" t="s">
        <v>1</v>
      </c>
      <c r="AG145" s="126" t="s">
        <v>1</v>
      </c>
      <c r="AH145" s="126" t="s">
        <v>1</v>
      </c>
      <c r="AI145" s="126" t="s">
        <v>1</v>
      </c>
      <c r="AJ145" s="126" t="s">
        <v>1</v>
      </c>
      <c r="AK145" s="126" t="s">
        <v>1</v>
      </c>
      <c r="AL145" s="126" t="s">
        <v>1</v>
      </c>
      <c r="AM145" s="126" t="s">
        <v>1</v>
      </c>
      <c r="AN145" s="126" t="s">
        <v>1</v>
      </c>
      <c r="AO145" s="126" t="s">
        <v>1</v>
      </c>
      <c r="AP145" s="126" t="s">
        <v>1</v>
      </c>
      <c r="AQ145" s="126" t="s">
        <v>1</v>
      </c>
      <c r="AR145" s="126" t="s">
        <v>1</v>
      </c>
      <c r="AS145" s="126" t="s">
        <v>1</v>
      </c>
      <c r="AT145" s="126" t="s">
        <v>1</v>
      </c>
      <c r="AU145" s="126" t="s">
        <v>1</v>
      </c>
      <c r="AV145" s="126" t="s">
        <v>1</v>
      </c>
      <c r="AW145" s="126" t="s">
        <v>1</v>
      </c>
      <c r="AX145" s="126" t="s">
        <v>1</v>
      </c>
      <c r="AY145" s="126" t="s">
        <v>1</v>
      </c>
      <c r="AZ145" s="126" t="s">
        <v>1</v>
      </c>
      <c r="BA145" s="126" t="s">
        <v>1</v>
      </c>
      <c r="BB145" s="126" t="s">
        <v>1</v>
      </c>
      <c r="BC145" s="126" t="s">
        <v>1</v>
      </c>
      <c r="BD145" s="126" t="s">
        <v>1</v>
      </c>
      <c r="BE145" s="126" t="s">
        <v>1</v>
      </c>
      <c r="BF145" s="126" t="s">
        <v>1</v>
      </c>
      <c r="BG145" s="137" t="s">
        <v>1</v>
      </c>
      <c r="BH145" s="137" t="s">
        <v>1</v>
      </c>
      <c r="BI145" s="137" t="s">
        <v>1</v>
      </c>
      <c r="BJ145" s="137" t="s">
        <v>1</v>
      </c>
      <c r="BK145" s="137" t="s">
        <v>1</v>
      </c>
      <c r="BL145" s="137" t="s">
        <v>1</v>
      </c>
      <c r="BM145" s="137" t="s">
        <v>1</v>
      </c>
      <c r="BN145" s="137" t="s">
        <v>1</v>
      </c>
      <c r="BO145" s="137" t="s">
        <v>1</v>
      </c>
      <c r="BP145" s="138" t="s">
        <v>1</v>
      </c>
      <c r="BQ145" s="138" t="s">
        <v>1</v>
      </c>
      <c r="BR145" s="138" t="s">
        <v>1</v>
      </c>
      <c r="BS145" s="138" t="s">
        <v>1</v>
      </c>
      <c r="BT145" s="138" t="s">
        <v>1</v>
      </c>
      <c r="BU145" s="138" t="s">
        <v>1</v>
      </c>
      <c r="BV145" s="138" t="s">
        <v>1</v>
      </c>
      <c r="BW145" s="138" t="s">
        <v>1</v>
      </c>
      <c r="BX145" s="138" t="s">
        <v>1</v>
      </c>
      <c r="BY145" s="138" t="s">
        <v>1</v>
      </c>
      <c r="BZ145" s="138" t="s">
        <v>1</v>
      </c>
      <c r="CA145" s="138" t="s">
        <v>1</v>
      </c>
      <c r="CB145" s="138" t="s">
        <v>1</v>
      </c>
      <c r="CC145" s="138" t="s">
        <v>1</v>
      </c>
      <c r="CD145" s="138" t="s">
        <v>1</v>
      </c>
      <c r="CE145" s="138" t="s">
        <v>1</v>
      </c>
    </row>
    <row r="146" ht="25" customHeight="1" spans="1:83">
      <c r="A146" s="1" t="s">
        <v>1</v>
      </c>
      <c r="B146" s="1" t="s">
        <v>1</v>
      </c>
      <c r="C146" s="1" t="s">
        <v>1</v>
      </c>
      <c r="D146" s="1" t="s">
        <v>1</v>
      </c>
      <c r="E146" s="1" t="s">
        <v>1</v>
      </c>
      <c r="F146" s="1" t="s">
        <v>1</v>
      </c>
      <c r="G146" s="130" t="s">
        <v>1</v>
      </c>
      <c r="H146" s="130" t="s">
        <v>1</v>
      </c>
      <c r="I146" s="130" t="s">
        <v>1</v>
      </c>
      <c r="J146" s="130" t="s">
        <v>1</v>
      </c>
      <c r="K146" s="130" t="s">
        <v>1</v>
      </c>
      <c r="L146" s="159" t="s">
        <v>1</v>
      </c>
      <c r="M146" s="130" t="s">
        <v>1</v>
      </c>
      <c r="N146" s="130" t="s">
        <v>1</v>
      </c>
      <c r="O146" s="130" t="s">
        <v>1</v>
      </c>
      <c r="P146" s="130" t="s">
        <v>1</v>
      </c>
      <c r="Q146" s="130" t="s">
        <v>1</v>
      </c>
      <c r="R146" s="130" t="s">
        <v>1</v>
      </c>
      <c r="S146" s="130" t="s">
        <v>1</v>
      </c>
      <c r="T146" s="130" t="s">
        <v>1</v>
      </c>
      <c r="U146" s="130" t="s">
        <v>1</v>
      </c>
      <c r="V146" s="126" t="s">
        <v>1</v>
      </c>
      <c r="W146" s="126" t="s">
        <v>1</v>
      </c>
      <c r="X146" s="126" t="s">
        <v>1</v>
      </c>
      <c r="Y146" s="126" t="s">
        <v>1</v>
      </c>
      <c r="Z146" s="126" t="s">
        <v>1</v>
      </c>
      <c r="AA146" s="126" t="s">
        <v>1</v>
      </c>
      <c r="AB146" s="126" t="s">
        <v>1</v>
      </c>
      <c r="AC146" s="126" t="s">
        <v>1</v>
      </c>
      <c r="AD146" s="126" t="s">
        <v>1</v>
      </c>
      <c r="AE146" s="126" t="s">
        <v>1</v>
      </c>
      <c r="AF146" s="126" t="s">
        <v>1</v>
      </c>
      <c r="AG146" s="126" t="s">
        <v>1</v>
      </c>
      <c r="AH146" s="126" t="s">
        <v>1</v>
      </c>
      <c r="AI146" s="126" t="s">
        <v>1</v>
      </c>
      <c r="AJ146" s="126" t="s">
        <v>1</v>
      </c>
      <c r="AK146" s="126" t="s">
        <v>1</v>
      </c>
      <c r="AL146" s="126" t="s">
        <v>1</v>
      </c>
      <c r="AM146" s="126" t="s">
        <v>1</v>
      </c>
      <c r="AN146" s="126" t="s">
        <v>1</v>
      </c>
      <c r="AO146" s="126" t="s">
        <v>1</v>
      </c>
      <c r="AP146" s="126" t="s">
        <v>1</v>
      </c>
      <c r="AQ146" s="126" t="s">
        <v>1</v>
      </c>
      <c r="AR146" s="126" t="s">
        <v>1</v>
      </c>
      <c r="AS146" s="126" t="s">
        <v>1</v>
      </c>
      <c r="AT146" s="126" t="s">
        <v>1</v>
      </c>
      <c r="AU146" s="126" t="s">
        <v>1</v>
      </c>
      <c r="AV146" s="126" t="s">
        <v>1</v>
      </c>
      <c r="AW146" s="126" t="s">
        <v>1</v>
      </c>
      <c r="AX146" s="126" t="s">
        <v>1</v>
      </c>
      <c r="AY146" s="126" t="s">
        <v>1</v>
      </c>
      <c r="AZ146" s="126" t="s">
        <v>1</v>
      </c>
      <c r="BA146" s="126" t="s">
        <v>1</v>
      </c>
      <c r="BB146" s="126" t="s">
        <v>1</v>
      </c>
      <c r="BC146" s="126" t="s">
        <v>1</v>
      </c>
      <c r="BD146" s="126" t="s">
        <v>1</v>
      </c>
      <c r="BE146" s="126" t="s">
        <v>1</v>
      </c>
      <c r="BF146" s="126" t="s">
        <v>1</v>
      </c>
      <c r="BG146" s="137" t="s">
        <v>1</v>
      </c>
      <c r="BH146" s="137" t="s">
        <v>1</v>
      </c>
      <c r="BI146" s="137" t="s">
        <v>1</v>
      </c>
      <c r="BJ146" s="137" t="s">
        <v>1</v>
      </c>
      <c r="BK146" s="137" t="s">
        <v>1</v>
      </c>
      <c r="BL146" s="137" t="s">
        <v>1</v>
      </c>
      <c r="BM146" s="137" t="s">
        <v>1</v>
      </c>
      <c r="BN146" s="137" t="s">
        <v>1</v>
      </c>
      <c r="BO146" s="137" t="s">
        <v>1</v>
      </c>
      <c r="BP146" s="138" t="s">
        <v>1</v>
      </c>
      <c r="BQ146" s="138" t="s">
        <v>1</v>
      </c>
      <c r="BR146" s="138" t="s">
        <v>1</v>
      </c>
      <c r="BS146" s="138" t="s">
        <v>1</v>
      </c>
      <c r="BT146" s="138" t="s">
        <v>1</v>
      </c>
      <c r="BU146" s="138" t="s">
        <v>1</v>
      </c>
      <c r="BV146" s="138" t="s">
        <v>1</v>
      </c>
      <c r="BW146" s="138" t="s">
        <v>1</v>
      </c>
      <c r="BX146" s="138" t="s">
        <v>1</v>
      </c>
      <c r="BY146" s="138" t="s">
        <v>1</v>
      </c>
      <c r="BZ146" s="138" t="s">
        <v>1</v>
      </c>
      <c r="CA146" s="138" t="s">
        <v>1</v>
      </c>
      <c r="CB146" s="138" t="s">
        <v>1</v>
      </c>
      <c r="CC146" s="138" t="s">
        <v>1</v>
      </c>
      <c r="CD146" s="138" t="s">
        <v>1</v>
      </c>
      <c r="CE146" s="138" t="s">
        <v>1</v>
      </c>
    </row>
    <row r="147" ht="25" customHeight="1" spans="1:83">
      <c r="A147" s="1" t="s">
        <v>1</v>
      </c>
      <c r="B147" s="1" t="s">
        <v>1</v>
      </c>
      <c r="C147" s="1" t="s">
        <v>1</v>
      </c>
      <c r="D147" s="1" t="s">
        <v>1</v>
      </c>
      <c r="E147" s="1" t="s">
        <v>1</v>
      </c>
      <c r="F147" s="1" t="s">
        <v>1</v>
      </c>
      <c r="G147" s="130" t="s">
        <v>1</v>
      </c>
      <c r="H147" s="130" t="s">
        <v>1</v>
      </c>
      <c r="I147" s="130" t="s">
        <v>1</v>
      </c>
      <c r="J147" s="130" t="s">
        <v>1</v>
      </c>
      <c r="K147" s="130" t="s">
        <v>1</v>
      </c>
      <c r="L147" s="159" t="s">
        <v>1</v>
      </c>
      <c r="M147" s="130" t="s">
        <v>1</v>
      </c>
      <c r="N147" s="130" t="s">
        <v>1</v>
      </c>
      <c r="O147" s="130" t="s">
        <v>1</v>
      </c>
      <c r="P147" s="130" t="s">
        <v>1</v>
      </c>
      <c r="Q147" s="130" t="s">
        <v>1</v>
      </c>
      <c r="R147" s="130" t="s">
        <v>1</v>
      </c>
      <c r="S147" s="130" t="s">
        <v>1</v>
      </c>
      <c r="T147" s="130" t="s">
        <v>1</v>
      </c>
      <c r="U147" s="130" t="s">
        <v>1</v>
      </c>
      <c r="V147" s="126" t="s">
        <v>1</v>
      </c>
      <c r="W147" s="126" t="s">
        <v>1</v>
      </c>
      <c r="X147" s="126" t="s">
        <v>1</v>
      </c>
      <c r="Y147" s="126" t="s">
        <v>1</v>
      </c>
      <c r="Z147" s="126" t="s">
        <v>1</v>
      </c>
      <c r="AA147" s="126" t="s">
        <v>1</v>
      </c>
      <c r="AB147" s="126" t="s">
        <v>1</v>
      </c>
      <c r="AC147" s="126" t="s">
        <v>1</v>
      </c>
      <c r="AD147" s="126" t="s">
        <v>1</v>
      </c>
      <c r="AE147" s="126" t="s">
        <v>1</v>
      </c>
      <c r="AF147" s="126" t="s">
        <v>1</v>
      </c>
      <c r="AG147" s="126" t="s">
        <v>1</v>
      </c>
      <c r="AH147" s="126" t="s">
        <v>1</v>
      </c>
      <c r="AI147" s="126" t="s">
        <v>1</v>
      </c>
      <c r="AJ147" s="126" t="s">
        <v>1</v>
      </c>
      <c r="AK147" s="126" t="s">
        <v>1</v>
      </c>
      <c r="AL147" s="126" t="s">
        <v>1</v>
      </c>
      <c r="AM147" s="126" t="s">
        <v>1</v>
      </c>
      <c r="AN147" s="126" t="s">
        <v>1</v>
      </c>
      <c r="AO147" s="126" t="s">
        <v>1</v>
      </c>
      <c r="AP147" s="126" t="s">
        <v>1</v>
      </c>
      <c r="AQ147" s="126" t="s">
        <v>1</v>
      </c>
      <c r="AR147" s="126" t="s">
        <v>1</v>
      </c>
      <c r="AS147" s="126" t="s">
        <v>1</v>
      </c>
      <c r="AT147" s="126" t="s">
        <v>1</v>
      </c>
      <c r="AU147" s="126" t="s">
        <v>1</v>
      </c>
      <c r="AV147" s="126" t="s">
        <v>1</v>
      </c>
      <c r="AW147" s="126" t="s">
        <v>1</v>
      </c>
      <c r="AX147" s="126" t="s">
        <v>1</v>
      </c>
      <c r="AY147" s="126" t="s">
        <v>1</v>
      </c>
      <c r="AZ147" s="126" t="s">
        <v>1</v>
      </c>
      <c r="BA147" s="126" t="s">
        <v>1</v>
      </c>
      <c r="BB147" s="126" t="s">
        <v>1</v>
      </c>
      <c r="BC147" s="126" t="s">
        <v>1</v>
      </c>
      <c r="BD147" s="126" t="s">
        <v>1</v>
      </c>
      <c r="BE147" s="126" t="s">
        <v>1</v>
      </c>
      <c r="BF147" s="126" t="s">
        <v>1</v>
      </c>
      <c r="BG147" s="137" t="s">
        <v>1</v>
      </c>
      <c r="BH147" s="137" t="s">
        <v>1</v>
      </c>
      <c r="BI147" s="137" t="s">
        <v>1</v>
      </c>
      <c r="BJ147" s="137" t="s">
        <v>1</v>
      </c>
      <c r="BK147" s="137" t="s">
        <v>1</v>
      </c>
      <c r="BL147" s="137" t="s">
        <v>1</v>
      </c>
      <c r="BM147" s="137" t="s">
        <v>1</v>
      </c>
      <c r="BN147" s="137" t="s">
        <v>1</v>
      </c>
      <c r="BO147" s="137" t="s">
        <v>1</v>
      </c>
      <c r="BP147" s="138" t="s">
        <v>1</v>
      </c>
      <c r="BQ147" s="138" t="s">
        <v>1</v>
      </c>
      <c r="BR147" s="138" t="s">
        <v>1</v>
      </c>
      <c r="BS147" s="138" t="s">
        <v>1</v>
      </c>
      <c r="BT147" s="138" t="s">
        <v>1</v>
      </c>
      <c r="BU147" s="138" t="s">
        <v>1</v>
      </c>
      <c r="BV147" s="138" t="s">
        <v>1</v>
      </c>
      <c r="BW147" s="138" t="s">
        <v>1</v>
      </c>
      <c r="BX147" s="138" t="s">
        <v>1</v>
      </c>
      <c r="BY147" s="138" t="s">
        <v>1</v>
      </c>
      <c r="BZ147" s="138" t="s">
        <v>1</v>
      </c>
      <c r="CA147" s="138" t="s">
        <v>1</v>
      </c>
      <c r="CB147" s="138" t="s">
        <v>1</v>
      </c>
      <c r="CC147" s="138" t="s">
        <v>1</v>
      </c>
      <c r="CD147" s="138" t="s">
        <v>1</v>
      </c>
      <c r="CE147" s="138" t="s">
        <v>1</v>
      </c>
    </row>
    <row r="148" ht="25" customHeight="1" spans="1:83">
      <c r="A148" s="1" t="s">
        <v>1</v>
      </c>
      <c r="B148" s="1" t="s">
        <v>1</v>
      </c>
      <c r="C148" s="1" t="s">
        <v>1</v>
      </c>
      <c r="D148" s="1" t="s">
        <v>1</v>
      </c>
      <c r="E148" s="1" t="s">
        <v>1</v>
      </c>
      <c r="F148" s="1" t="s">
        <v>1</v>
      </c>
      <c r="G148" s="130" t="s">
        <v>1</v>
      </c>
      <c r="H148" s="130" t="s">
        <v>1</v>
      </c>
      <c r="I148" s="130" t="s">
        <v>1</v>
      </c>
      <c r="J148" s="130" t="s">
        <v>1</v>
      </c>
      <c r="K148" s="130" t="s">
        <v>1</v>
      </c>
      <c r="L148" s="159" t="s">
        <v>1</v>
      </c>
      <c r="M148" s="130" t="s">
        <v>1</v>
      </c>
      <c r="N148" s="130" t="s">
        <v>1</v>
      </c>
      <c r="O148" s="130" t="s">
        <v>1</v>
      </c>
      <c r="P148" s="130" t="s">
        <v>1</v>
      </c>
      <c r="Q148" s="130" t="s">
        <v>1</v>
      </c>
      <c r="R148" s="130" t="s">
        <v>1</v>
      </c>
      <c r="S148" s="130" t="s">
        <v>1</v>
      </c>
      <c r="T148" s="130" t="s">
        <v>1</v>
      </c>
      <c r="U148" s="130" t="s">
        <v>1</v>
      </c>
      <c r="V148" s="126" t="s">
        <v>1</v>
      </c>
      <c r="W148" s="126" t="s">
        <v>1</v>
      </c>
      <c r="X148" s="126" t="s">
        <v>1</v>
      </c>
      <c r="Y148" s="126" t="s">
        <v>1</v>
      </c>
      <c r="Z148" s="126" t="s">
        <v>1</v>
      </c>
      <c r="AA148" s="126" t="s">
        <v>1</v>
      </c>
      <c r="AB148" s="126" t="s">
        <v>1</v>
      </c>
      <c r="AC148" s="126" t="s">
        <v>1</v>
      </c>
      <c r="AD148" s="126" t="s">
        <v>1</v>
      </c>
      <c r="AE148" s="126" t="s">
        <v>1</v>
      </c>
      <c r="AF148" s="126" t="s">
        <v>1</v>
      </c>
      <c r="AG148" s="126" t="s">
        <v>1</v>
      </c>
      <c r="AH148" s="126" t="s">
        <v>1</v>
      </c>
      <c r="AI148" s="126" t="s">
        <v>1</v>
      </c>
      <c r="AJ148" s="126" t="s">
        <v>1</v>
      </c>
      <c r="AK148" s="126" t="s">
        <v>1</v>
      </c>
      <c r="AL148" s="126" t="s">
        <v>1</v>
      </c>
      <c r="AM148" s="126" t="s">
        <v>1</v>
      </c>
      <c r="AN148" s="126" t="s">
        <v>1</v>
      </c>
      <c r="AO148" s="126" t="s">
        <v>1</v>
      </c>
      <c r="AP148" s="126" t="s">
        <v>1</v>
      </c>
      <c r="AQ148" s="126" t="s">
        <v>1</v>
      </c>
      <c r="AR148" s="126" t="s">
        <v>1</v>
      </c>
      <c r="AS148" s="126" t="s">
        <v>1</v>
      </c>
      <c r="AT148" s="126" t="s">
        <v>1</v>
      </c>
      <c r="AU148" s="126" t="s">
        <v>1</v>
      </c>
      <c r="AV148" s="126" t="s">
        <v>1</v>
      </c>
      <c r="AW148" s="126" t="s">
        <v>1</v>
      </c>
      <c r="AX148" s="126" t="s">
        <v>1</v>
      </c>
      <c r="AY148" s="126" t="s">
        <v>1</v>
      </c>
      <c r="AZ148" s="126" t="s">
        <v>1</v>
      </c>
      <c r="BA148" s="126" t="s">
        <v>1</v>
      </c>
      <c r="BB148" s="126" t="s">
        <v>1</v>
      </c>
      <c r="BC148" s="126" t="s">
        <v>1</v>
      </c>
      <c r="BD148" s="126" t="s">
        <v>1</v>
      </c>
      <c r="BE148" s="126" t="s">
        <v>1</v>
      </c>
      <c r="BF148" s="126" t="s">
        <v>1</v>
      </c>
      <c r="BG148" s="137" t="s">
        <v>1</v>
      </c>
      <c r="BH148" s="137" t="s">
        <v>1</v>
      </c>
      <c r="BI148" s="137" t="s">
        <v>1</v>
      </c>
      <c r="BJ148" s="137" t="s">
        <v>1</v>
      </c>
      <c r="BK148" s="137" t="s">
        <v>1</v>
      </c>
      <c r="BL148" s="137" t="s">
        <v>1</v>
      </c>
      <c r="BM148" s="137" t="s">
        <v>1</v>
      </c>
      <c r="BN148" s="137" t="s">
        <v>1</v>
      </c>
      <c r="BO148" s="137" t="s">
        <v>1</v>
      </c>
      <c r="BP148" s="138" t="s">
        <v>1</v>
      </c>
      <c r="BQ148" s="138" t="s">
        <v>1</v>
      </c>
      <c r="BR148" s="138" t="s">
        <v>1</v>
      </c>
      <c r="BS148" s="138" t="s">
        <v>1</v>
      </c>
      <c r="BT148" s="138" t="s">
        <v>1</v>
      </c>
      <c r="BU148" s="138" t="s">
        <v>1</v>
      </c>
      <c r="BV148" s="138" t="s">
        <v>1</v>
      </c>
      <c r="BW148" s="138" t="s">
        <v>1</v>
      </c>
      <c r="BX148" s="138" t="s">
        <v>1</v>
      </c>
      <c r="BY148" s="138" t="s">
        <v>1</v>
      </c>
      <c r="BZ148" s="138" t="s">
        <v>1</v>
      </c>
      <c r="CA148" s="138" t="s">
        <v>1</v>
      </c>
      <c r="CB148" s="138" t="s">
        <v>1</v>
      </c>
      <c r="CC148" s="138" t="s">
        <v>1</v>
      </c>
      <c r="CD148" s="138" t="s">
        <v>1</v>
      </c>
      <c r="CE148" s="138" t="s">
        <v>1</v>
      </c>
    </row>
    <row r="149" ht="25" customHeight="1" spans="1:83">
      <c r="A149" s="1" t="s">
        <v>1</v>
      </c>
      <c r="B149" s="1" t="s">
        <v>1</v>
      </c>
      <c r="C149" s="1" t="s">
        <v>1</v>
      </c>
      <c r="D149" s="1" t="s">
        <v>1</v>
      </c>
      <c r="E149" s="1" t="s">
        <v>1</v>
      </c>
      <c r="F149" s="1" t="s">
        <v>1</v>
      </c>
      <c r="G149" s="130" t="s">
        <v>1</v>
      </c>
      <c r="H149" s="130" t="s">
        <v>1</v>
      </c>
      <c r="I149" s="130" t="s">
        <v>1</v>
      </c>
      <c r="J149" s="130" t="s">
        <v>1</v>
      </c>
      <c r="K149" s="130" t="s">
        <v>1</v>
      </c>
      <c r="L149" s="159" t="s">
        <v>1</v>
      </c>
      <c r="M149" s="130" t="s">
        <v>1</v>
      </c>
      <c r="N149" s="130" t="s">
        <v>1</v>
      </c>
      <c r="O149" s="130" t="s">
        <v>1</v>
      </c>
      <c r="P149" s="130" t="s">
        <v>1</v>
      </c>
      <c r="Q149" s="130" t="s">
        <v>1</v>
      </c>
      <c r="R149" s="130" t="s">
        <v>1</v>
      </c>
      <c r="S149" s="130" t="s">
        <v>1</v>
      </c>
      <c r="T149" s="130" t="s">
        <v>1</v>
      </c>
      <c r="U149" s="130" t="s">
        <v>1</v>
      </c>
      <c r="V149" s="126" t="s">
        <v>1</v>
      </c>
      <c r="W149" s="126" t="s">
        <v>1</v>
      </c>
      <c r="X149" s="126" t="s">
        <v>1</v>
      </c>
      <c r="Y149" s="126" t="s">
        <v>1</v>
      </c>
      <c r="Z149" s="126" t="s">
        <v>1</v>
      </c>
      <c r="AA149" s="126" t="s">
        <v>1</v>
      </c>
      <c r="AB149" s="126" t="s">
        <v>1</v>
      </c>
      <c r="AC149" s="126" t="s">
        <v>1</v>
      </c>
      <c r="AD149" s="126" t="s">
        <v>1</v>
      </c>
      <c r="AE149" s="126" t="s">
        <v>1</v>
      </c>
      <c r="AF149" s="126" t="s">
        <v>1</v>
      </c>
      <c r="AG149" s="126" t="s">
        <v>1</v>
      </c>
      <c r="AH149" s="126" t="s">
        <v>1</v>
      </c>
      <c r="AI149" s="126" t="s">
        <v>1</v>
      </c>
      <c r="AJ149" s="126" t="s">
        <v>1</v>
      </c>
      <c r="AK149" s="126" t="s">
        <v>1</v>
      </c>
      <c r="AL149" s="126" t="s">
        <v>1</v>
      </c>
      <c r="AM149" s="126" t="s">
        <v>1</v>
      </c>
      <c r="AN149" s="126" t="s">
        <v>1</v>
      </c>
      <c r="AO149" s="126" t="s">
        <v>1</v>
      </c>
      <c r="AP149" s="126" t="s">
        <v>1</v>
      </c>
      <c r="AQ149" s="126" t="s">
        <v>1</v>
      </c>
      <c r="AR149" s="126" t="s">
        <v>1</v>
      </c>
      <c r="AS149" s="126" t="s">
        <v>1</v>
      </c>
      <c r="AT149" s="126" t="s">
        <v>1</v>
      </c>
      <c r="AU149" s="126" t="s">
        <v>1</v>
      </c>
      <c r="AV149" s="126" t="s">
        <v>1</v>
      </c>
      <c r="AW149" s="126" t="s">
        <v>1</v>
      </c>
      <c r="AX149" s="126" t="s">
        <v>1</v>
      </c>
      <c r="AY149" s="126" t="s">
        <v>1</v>
      </c>
      <c r="AZ149" s="126" t="s">
        <v>1</v>
      </c>
      <c r="BA149" s="126" t="s">
        <v>1</v>
      </c>
      <c r="BB149" s="126" t="s">
        <v>1</v>
      </c>
      <c r="BC149" s="126" t="s">
        <v>1</v>
      </c>
      <c r="BD149" s="126" t="s">
        <v>1</v>
      </c>
      <c r="BE149" s="126" t="s">
        <v>1</v>
      </c>
      <c r="BF149" s="126" t="s">
        <v>1</v>
      </c>
      <c r="BG149" s="137" t="s">
        <v>1</v>
      </c>
      <c r="BH149" s="137" t="s">
        <v>1</v>
      </c>
      <c r="BI149" s="137" t="s">
        <v>1</v>
      </c>
      <c r="BJ149" s="137" t="s">
        <v>1</v>
      </c>
      <c r="BK149" s="137" t="s">
        <v>1</v>
      </c>
      <c r="BL149" s="137" t="s">
        <v>1</v>
      </c>
      <c r="BM149" s="137" t="s">
        <v>1</v>
      </c>
      <c r="BN149" s="137" t="s">
        <v>1</v>
      </c>
      <c r="BO149" s="137" t="s">
        <v>1</v>
      </c>
      <c r="BP149" s="138" t="s">
        <v>1</v>
      </c>
      <c r="BQ149" s="138" t="s">
        <v>1</v>
      </c>
      <c r="BR149" s="138" t="s">
        <v>1</v>
      </c>
      <c r="BS149" s="138" t="s">
        <v>1</v>
      </c>
      <c r="BT149" s="138" t="s">
        <v>1</v>
      </c>
      <c r="BU149" s="138" t="s">
        <v>1</v>
      </c>
      <c r="BV149" s="138" t="s">
        <v>1</v>
      </c>
      <c r="BW149" s="138" t="s">
        <v>1</v>
      </c>
      <c r="BX149" s="138" t="s">
        <v>1</v>
      </c>
      <c r="BY149" s="138" t="s">
        <v>1</v>
      </c>
      <c r="BZ149" s="138" t="s">
        <v>1</v>
      </c>
      <c r="CA149" s="138" t="s">
        <v>1</v>
      </c>
      <c r="CB149" s="138" t="s">
        <v>1</v>
      </c>
      <c r="CC149" s="138" t="s">
        <v>1</v>
      </c>
      <c r="CD149" s="138" t="s">
        <v>1</v>
      </c>
      <c r="CE149" s="138" t="s">
        <v>1</v>
      </c>
    </row>
    <row r="150" ht="25" customHeight="1" spans="1:83">
      <c r="A150" s="1" t="s">
        <v>1</v>
      </c>
      <c r="B150" s="1" t="s">
        <v>1</v>
      </c>
      <c r="C150" s="1" t="s">
        <v>1</v>
      </c>
      <c r="D150" s="1" t="s">
        <v>1</v>
      </c>
      <c r="E150" s="1" t="s">
        <v>1</v>
      </c>
      <c r="F150" s="1" t="s">
        <v>1</v>
      </c>
      <c r="G150" s="130" t="s">
        <v>1</v>
      </c>
      <c r="H150" s="130" t="s">
        <v>1</v>
      </c>
      <c r="I150" s="130" t="s">
        <v>1</v>
      </c>
      <c r="J150" s="130" t="s">
        <v>1</v>
      </c>
      <c r="K150" s="130" t="s">
        <v>1</v>
      </c>
      <c r="L150" s="159" t="s">
        <v>1</v>
      </c>
      <c r="M150" s="130" t="s">
        <v>1</v>
      </c>
      <c r="N150" s="130" t="s">
        <v>1</v>
      </c>
      <c r="O150" s="130" t="s">
        <v>1</v>
      </c>
      <c r="P150" s="130" t="s">
        <v>1</v>
      </c>
      <c r="Q150" s="130" t="s">
        <v>1</v>
      </c>
      <c r="R150" s="130" t="s">
        <v>1</v>
      </c>
      <c r="S150" s="130" t="s">
        <v>1</v>
      </c>
      <c r="T150" s="130" t="s">
        <v>1</v>
      </c>
      <c r="U150" s="130" t="s">
        <v>1</v>
      </c>
      <c r="V150" s="126" t="s">
        <v>1</v>
      </c>
      <c r="W150" s="126" t="s">
        <v>1</v>
      </c>
      <c r="X150" s="126" t="s">
        <v>1</v>
      </c>
      <c r="Y150" s="126" t="s">
        <v>1</v>
      </c>
      <c r="Z150" s="126" t="s">
        <v>1</v>
      </c>
      <c r="AA150" s="126" t="s">
        <v>1</v>
      </c>
      <c r="AB150" s="126" t="s">
        <v>1</v>
      </c>
      <c r="AC150" s="126" t="s">
        <v>1</v>
      </c>
      <c r="AD150" s="126" t="s">
        <v>1</v>
      </c>
      <c r="AE150" s="126" t="s">
        <v>1</v>
      </c>
      <c r="AF150" s="126" t="s">
        <v>1</v>
      </c>
      <c r="AG150" s="126" t="s">
        <v>1</v>
      </c>
      <c r="AH150" s="126" t="s">
        <v>1</v>
      </c>
      <c r="AI150" s="126" t="s">
        <v>1</v>
      </c>
      <c r="AJ150" s="126" t="s">
        <v>1</v>
      </c>
      <c r="AK150" s="126" t="s">
        <v>1</v>
      </c>
      <c r="AL150" s="126" t="s">
        <v>1</v>
      </c>
      <c r="AM150" s="126" t="s">
        <v>1</v>
      </c>
      <c r="AN150" s="126" t="s">
        <v>1</v>
      </c>
      <c r="AO150" s="126" t="s">
        <v>1</v>
      </c>
      <c r="AP150" s="126" t="s">
        <v>1</v>
      </c>
      <c r="AQ150" s="126" t="s">
        <v>1</v>
      </c>
      <c r="AR150" s="126" t="s">
        <v>1</v>
      </c>
      <c r="AS150" s="126" t="s">
        <v>1</v>
      </c>
      <c r="AT150" s="126" t="s">
        <v>1</v>
      </c>
      <c r="AU150" s="126" t="s">
        <v>1</v>
      </c>
      <c r="AV150" s="126" t="s">
        <v>1</v>
      </c>
      <c r="AW150" s="126" t="s">
        <v>1</v>
      </c>
      <c r="AX150" s="126" t="s">
        <v>1</v>
      </c>
      <c r="AY150" s="126" t="s">
        <v>1</v>
      </c>
      <c r="AZ150" s="126" t="s">
        <v>1</v>
      </c>
      <c r="BA150" s="126" t="s">
        <v>1</v>
      </c>
      <c r="BB150" s="126" t="s">
        <v>1</v>
      </c>
      <c r="BC150" s="126" t="s">
        <v>1</v>
      </c>
      <c r="BD150" s="126" t="s">
        <v>1</v>
      </c>
      <c r="BE150" s="126" t="s">
        <v>1</v>
      </c>
      <c r="BF150" s="126" t="s">
        <v>1</v>
      </c>
      <c r="BG150" s="137" t="s">
        <v>1</v>
      </c>
      <c r="BH150" s="137" t="s">
        <v>1</v>
      </c>
      <c r="BI150" s="137" t="s">
        <v>1</v>
      </c>
      <c r="BJ150" s="137" t="s">
        <v>1</v>
      </c>
      <c r="BK150" s="137" t="s">
        <v>1</v>
      </c>
      <c r="BL150" s="137" t="s">
        <v>1</v>
      </c>
      <c r="BM150" s="137" t="s">
        <v>1</v>
      </c>
      <c r="BN150" s="137" t="s">
        <v>1</v>
      </c>
      <c r="BO150" s="137" t="s">
        <v>1</v>
      </c>
      <c r="BP150" s="138" t="s">
        <v>1</v>
      </c>
      <c r="BQ150" s="138" t="s">
        <v>1</v>
      </c>
      <c r="BR150" s="138" t="s">
        <v>1</v>
      </c>
      <c r="BS150" s="138" t="s">
        <v>1</v>
      </c>
      <c r="BT150" s="138" t="s">
        <v>1</v>
      </c>
      <c r="BU150" s="138" t="s">
        <v>1</v>
      </c>
      <c r="BV150" s="138" t="s">
        <v>1</v>
      </c>
      <c r="BW150" s="138" t="s">
        <v>1</v>
      </c>
      <c r="BX150" s="138" t="s">
        <v>1</v>
      </c>
      <c r="BY150" s="138" t="s">
        <v>1</v>
      </c>
      <c r="BZ150" s="138" t="s">
        <v>1</v>
      </c>
      <c r="CA150" s="138" t="s">
        <v>1</v>
      </c>
      <c r="CB150" s="138" t="s">
        <v>1</v>
      </c>
      <c r="CC150" s="138" t="s">
        <v>1</v>
      </c>
      <c r="CD150" s="138" t="s">
        <v>1</v>
      </c>
      <c r="CE150" s="138" t="s">
        <v>1</v>
      </c>
    </row>
    <row r="151" ht="25" customHeight="1" spans="1:83">
      <c r="A151" s="1" t="s">
        <v>1</v>
      </c>
      <c r="B151" s="1" t="s">
        <v>1</v>
      </c>
      <c r="C151" s="1" t="s">
        <v>1</v>
      </c>
      <c r="D151" s="1" t="s">
        <v>1</v>
      </c>
      <c r="E151" s="1" t="s">
        <v>1</v>
      </c>
      <c r="F151" s="1" t="s">
        <v>1</v>
      </c>
      <c r="G151" s="130" t="s">
        <v>1</v>
      </c>
      <c r="H151" s="130" t="s">
        <v>1</v>
      </c>
      <c r="I151" s="130" t="s">
        <v>1</v>
      </c>
      <c r="J151" s="130" t="s">
        <v>1</v>
      </c>
      <c r="K151" s="130" t="s">
        <v>1</v>
      </c>
      <c r="L151" s="159" t="s">
        <v>1</v>
      </c>
      <c r="M151" s="130" t="s">
        <v>1</v>
      </c>
      <c r="N151" s="130" t="s">
        <v>1</v>
      </c>
      <c r="O151" s="130" t="s">
        <v>1</v>
      </c>
      <c r="P151" s="130" t="s">
        <v>1</v>
      </c>
      <c r="Q151" s="130" t="s">
        <v>1</v>
      </c>
      <c r="R151" s="130" t="s">
        <v>1</v>
      </c>
      <c r="S151" s="130" t="s">
        <v>1</v>
      </c>
      <c r="T151" s="130" t="s">
        <v>1</v>
      </c>
      <c r="U151" s="130" t="s">
        <v>1</v>
      </c>
      <c r="V151" s="126" t="s">
        <v>1</v>
      </c>
      <c r="W151" s="126" t="s">
        <v>1</v>
      </c>
      <c r="X151" s="126" t="s">
        <v>1</v>
      </c>
      <c r="Y151" s="126" t="s">
        <v>1</v>
      </c>
      <c r="Z151" s="126" t="s">
        <v>1</v>
      </c>
      <c r="AA151" s="126" t="s">
        <v>1</v>
      </c>
      <c r="AB151" s="126" t="s">
        <v>1</v>
      </c>
      <c r="AC151" s="126" t="s">
        <v>1</v>
      </c>
      <c r="AD151" s="126" t="s">
        <v>1</v>
      </c>
      <c r="AE151" s="126" t="s">
        <v>1</v>
      </c>
      <c r="AF151" s="126" t="s">
        <v>1</v>
      </c>
      <c r="AG151" s="126" t="s">
        <v>1</v>
      </c>
      <c r="AH151" s="126" t="s">
        <v>1</v>
      </c>
      <c r="AI151" s="126" t="s">
        <v>1</v>
      </c>
      <c r="AJ151" s="126" t="s">
        <v>1</v>
      </c>
      <c r="AK151" s="126" t="s">
        <v>1</v>
      </c>
      <c r="AL151" s="126" t="s">
        <v>1</v>
      </c>
      <c r="AM151" s="126" t="s">
        <v>1</v>
      </c>
      <c r="AN151" s="126" t="s">
        <v>1</v>
      </c>
      <c r="AO151" s="126" t="s">
        <v>1</v>
      </c>
      <c r="AP151" s="126" t="s">
        <v>1</v>
      </c>
      <c r="AQ151" s="126" t="s">
        <v>1</v>
      </c>
      <c r="AR151" s="126" t="s">
        <v>1</v>
      </c>
      <c r="AS151" s="126" t="s">
        <v>1</v>
      </c>
      <c r="AT151" s="126" t="s">
        <v>1</v>
      </c>
      <c r="AU151" s="126" t="s">
        <v>1</v>
      </c>
      <c r="AV151" s="126" t="s">
        <v>1</v>
      </c>
      <c r="AW151" s="126" t="s">
        <v>1</v>
      </c>
      <c r="AX151" s="126" t="s">
        <v>1</v>
      </c>
      <c r="AY151" s="126" t="s">
        <v>1</v>
      </c>
      <c r="AZ151" s="126" t="s">
        <v>1</v>
      </c>
      <c r="BA151" s="126" t="s">
        <v>1</v>
      </c>
      <c r="BB151" s="126" t="s">
        <v>1</v>
      </c>
      <c r="BC151" s="126" t="s">
        <v>1</v>
      </c>
      <c r="BD151" s="126" t="s">
        <v>1</v>
      </c>
      <c r="BE151" s="126" t="s">
        <v>1</v>
      </c>
      <c r="BF151" s="126" t="s">
        <v>1</v>
      </c>
      <c r="BG151" s="137" t="s">
        <v>1</v>
      </c>
      <c r="BH151" s="137" t="s">
        <v>1</v>
      </c>
      <c r="BI151" s="137" t="s">
        <v>1</v>
      </c>
      <c r="BJ151" s="137" t="s">
        <v>1</v>
      </c>
      <c r="BK151" s="137" t="s">
        <v>1</v>
      </c>
      <c r="BL151" s="137" t="s">
        <v>1</v>
      </c>
      <c r="BM151" s="137" t="s">
        <v>1</v>
      </c>
      <c r="BN151" s="137" t="s">
        <v>1</v>
      </c>
      <c r="BO151" s="137" t="s">
        <v>1</v>
      </c>
      <c r="BP151" s="138" t="s">
        <v>1</v>
      </c>
      <c r="BQ151" s="138" t="s">
        <v>1</v>
      </c>
      <c r="BR151" s="138" t="s">
        <v>1</v>
      </c>
      <c r="BS151" s="138" t="s">
        <v>1</v>
      </c>
      <c r="BT151" s="138" t="s">
        <v>1</v>
      </c>
      <c r="BU151" s="138" t="s">
        <v>1</v>
      </c>
      <c r="BV151" s="138" t="s">
        <v>1</v>
      </c>
      <c r="BW151" s="138" t="s">
        <v>1</v>
      </c>
      <c r="BX151" s="138" t="s">
        <v>1</v>
      </c>
      <c r="BY151" s="138" t="s">
        <v>1</v>
      </c>
      <c r="BZ151" s="138" t="s">
        <v>1</v>
      </c>
      <c r="CA151" s="138" t="s">
        <v>1</v>
      </c>
      <c r="CB151" s="138" t="s">
        <v>1</v>
      </c>
      <c r="CC151" s="138" t="s">
        <v>1</v>
      </c>
      <c r="CD151" s="138" t="s">
        <v>1</v>
      </c>
      <c r="CE151" s="138" t="s">
        <v>1</v>
      </c>
    </row>
    <row r="152" ht="25" customHeight="1" spans="1:83">
      <c r="A152" s="1" t="s">
        <v>1</v>
      </c>
      <c r="B152" s="1" t="s">
        <v>1</v>
      </c>
      <c r="C152" s="1" t="s">
        <v>1</v>
      </c>
      <c r="D152" s="1" t="s">
        <v>1</v>
      </c>
      <c r="E152" s="1" t="s">
        <v>1</v>
      </c>
      <c r="F152" s="1" t="s">
        <v>1</v>
      </c>
      <c r="G152" s="130" t="s">
        <v>1</v>
      </c>
      <c r="H152" s="130" t="s">
        <v>1</v>
      </c>
      <c r="I152" s="130" t="s">
        <v>1</v>
      </c>
      <c r="J152" s="130" t="s">
        <v>1</v>
      </c>
      <c r="K152" s="130" t="s">
        <v>1</v>
      </c>
      <c r="L152" s="159" t="s">
        <v>1</v>
      </c>
      <c r="M152" s="130" t="s">
        <v>1</v>
      </c>
      <c r="N152" s="130" t="s">
        <v>1</v>
      </c>
      <c r="O152" s="130" t="s">
        <v>1</v>
      </c>
      <c r="P152" s="130" t="s">
        <v>1</v>
      </c>
      <c r="Q152" s="130" t="s">
        <v>1</v>
      </c>
      <c r="R152" s="130" t="s">
        <v>1</v>
      </c>
      <c r="S152" s="130" t="s">
        <v>1</v>
      </c>
      <c r="T152" s="130" t="s">
        <v>1</v>
      </c>
      <c r="U152" s="130" t="s">
        <v>1</v>
      </c>
      <c r="V152" s="126" t="s">
        <v>1</v>
      </c>
      <c r="W152" s="126" t="s">
        <v>1</v>
      </c>
      <c r="X152" s="126" t="s">
        <v>1</v>
      </c>
      <c r="Y152" s="126" t="s">
        <v>1</v>
      </c>
      <c r="Z152" s="126" t="s">
        <v>1</v>
      </c>
      <c r="AA152" s="126" t="s">
        <v>1</v>
      </c>
      <c r="AB152" s="126" t="s">
        <v>1</v>
      </c>
      <c r="AC152" s="126" t="s">
        <v>1</v>
      </c>
      <c r="AD152" s="126" t="s">
        <v>1</v>
      </c>
      <c r="AE152" s="126" t="s">
        <v>1</v>
      </c>
      <c r="AF152" s="126" t="s">
        <v>1</v>
      </c>
      <c r="AG152" s="126" t="s">
        <v>1</v>
      </c>
      <c r="AH152" s="126" t="s">
        <v>1</v>
      </c>
      <c r="AI152" s="126" t="s">
        <v>1</v>
      </c>
      <c r="AJ152" s="126" t="s">
        <v>1</v>
      </c>
      <c r="AK152" s="126" t="s">
        <v>1</v>
      </c>
      <c r="AL152" s="126" t="s">
        <v>1</v>
      </c>
      <c r="AM152" s="126" t="s">
        <v>1</v>
      </c>
      <c r="AN152" s="126" t="s">
        <v>1</v>
      </c>
      <c r="AO152" s="126" t="s">
        <v>1</v>
      </c>
      <c r="AP152" s="126" t="s">
        <v>1</v>
      </c>
      <c r="AQ152" s="126" t="s">
        <v>1</v>
      </c>
      <c r="AR152" s="126" t="s">
        <v>1</v>
      </c>
      <c r="AS152" s="126" t="s">
        <v>1</v>
      </c>
      <c r="AT152" s="126" t="s">
        <v>1</v>
      </c>
      <c r="AU152" s="126" t="s">
        <v>1</v>
      </c>
      <c r="AV152" s="126" t="s">
        <v>1</v>
      </c>
      <c r="AW152" s="126" t="s">
        <v>1</v>
      </c>
      <c r="AX152" s="126" t="s">
        <v>1</v>
      </c>
      <c r="AY152" s="126" t="s">
        <v>1</v>
      </c>
      <c r="AZ152" s="126" t="s">
        <v>1</v>
      </c>
      <c r="BA152" s="126" t="s">
        <v>1</v>
      </c>
      <c r="BB152" s="126" t="s">
        <v>1</v>
      </c>
      <c r="BC152" s="126" t="s">
        <v>1</v>
      </c>
      <c r="BD152" s="126" t="s">
        <v>1</v>
      </c>
      <c r="BE152" s="126" t="s">
        <v>1</v>
      </c>
      <c r="BF152" s="126" t="s">
        <v>1</v>
      </c>
      <c r="BG152" s="137" t="s">
        <v>1</v>
      </c>
      <c r="BH152" s="137" t="s">
        <v>1</v>
      </c>
      <c r="BI152" s="137" t="s">
        <v>1</v>
      </c>
      <c r="BJ152" s="137" t="s">
        <v>1</v>
      </c>
      <c r="BK152" s="137" t="s">
        <v>1</v>
      </c>
      <c r="BL152" s="137" t="s">
        <v>1</v>
      </c>
      <c r="BM152" s="137" t="s">
        <v>1</v>
      </c>
      <c r="BN152" s="137" t="s">
        <v>1</v>
      </c>
      <c r="BO152" s="137" t="s">
        <v>1</v>
      </c>
      <c r="BP152" s="138" t="s">
        <v>1</v>
      </c>
      <c r="BQ152" s="138" t="s">
        <v>1</v>
      </c>
      <c r="BR152" s="138" t="s">
        <v>1</v>
      </c>
      <c r="BS152" s="138" t="s">
        <v>1</v>
      </c>
      <c r="BT152" s="138" t="s">
        <v>1</v>
      </c>
      <c r="BU152" s="138" t="s">
        <v>1</v>
      </c>
      <c r="BV152" s="138" t="s">
        <v>1</v>
      </c>
      <c r="BW152" s="138" t="s">
        <v>1</v>
      </c>
      <c r="BX152" s="138" t="s">
        <v>1</v>
      </c>
      <c r="BY152" s="138" t="s">
        <v>1</v>
      </c>
      <c r="BZ152" s="138" t="s">
        <v>1</v>
      </c>
      <c r="CA152" s="138" t="s">
        <v>1</v>
      </c>
      <c r="CB152" s="138" t="s">
        <v>1</v>
      </c>
      <c r="CC152" s="138" t="s">
        <v>1</v>
      </c>
      <c r="CD152" s="138" t="s">
        <v>1</v>
      </c>
      <c r="CE152" s="138" t="s">
        <v>1</v>
      </c>
    </row>
    <row r="153" ht="25" customHeight="1" spans="1:83">
      <c r="A153" s="1" t="s">
        <v>1</v>
      </c>
      <c r="B153" s="1" t="s">
        <v>1</v>
      </c>
      <c r="C153" s="1" t="s">
        <v>1</v>
      </c>
      <c r="D153" s="1" t="s">
        <v>1</v>
      </c>
      <c r="E153" s="1" t="s">
        <v>1</v>
      </c>
      <c r="F153" s="1" t="s">
        <v>1</v>
      </c>
      <c r="G153" s="130" t="s">
        <v>1</v>
      </c>
      <c r="H153" s="130" t="s">
        <v>1</v>
      </c>
      <c r="I153" s="130" t="s">
        <v>1</v>
      </c>
      <c r="J153" s="130" t="s">
        <v>1</v>
      </c>
      <c r="K153" s="130" t="s">
        <v>1</v>
      </c>
      <c r="L153" s="159" t="s">
        <v>1</v>
      </c>
      <c r="M153" s="130" t="s">
        <v>1</v>
      </c>
      <c r="N153" s="130" t="s">
        <v>1</v>
      </c>
      <c r="O153" s="130" t="s">
        <v>1</v>
      </c>
      <c r="P153" s="130" t="s">
        <v>1</v>
      </c>
      <c r="Q153" s="130" t="s">
        <v>1</v>
      </c>
      <c r="R153" s="130" t="s">
        <v>1</v>
      </c>
      <c r="S153" s="130" t="s">
        <v>1</v>
      </c>
      <c r="T153" s="130" t="s">
        <v>1</v>
      </c>
      <c r="U153" s="130" t="s">
        <v>1</v>
      </c>
      <c r="V153" s="126" t="s">
        <v>1</v>
      </c>
      <c r="W153" s="126" t="s">
        <v>1</v>
      </c>
      <c r="X153" s="126" t="s">
        <v>1</v>
      </c>
      <c r="Y153" s="126" t="s">
        <v>1</v>
      </c>
      <c r="Z153" s="126" t="s">
        <v>1</v>
      </c>
      <c r="AA153" s="126" t="s">
        <v>1</v>
      </c>
      <c r="AB153" s="126" t="s">
        <v>1</v>
      </c>
      <c r="AC153" s="126" t="s">
        <v>1</v>
      </c>
      <c r="AD153" s="126" t="s">
        <v>1</v>
      </c>
      <c r="AE153" s="126" t="s">
        <v>1</v>
      </c>
      <c r="AF153" s="126" t="s">
        <v>1</v>
      </c>
      <c r="AG153" s="126" t="s">
        <v>1</v>
      </c>
      <c r="AH153" s="126" t="s">
        <v>1</v>
      </c>
      <c r="AI153" s="126" t="s">
        <v>1</v>
      </c>
      <c r="AJ153" s="126" t="s">
        <v>1</v>
      </c>
      <c r="AK153" s="126" t="s">
        <v>1</v>
      </c>
      <c r="AL153" s="126" t="s">
        <v>1</v>
      </c>
      <c r="AM153" s="126" t="s">
        <v>1</v>
      </c>
      <c r="AN153" s="126" t="s">
        <v>1</v>
      </c>
      <c r="AO153" s="126" t="s">
        <v>1</v>
      </c>
      <c r="AP153" s="126" t="s">
        <v>1</v>
      </c>
      <c r="AQ153" s="126" t="s">
        <v>1</v>
      </c>
      <c r="AR153" s="126" t="s">
        <v>1</v>
      </c>
      <c r="AS153" s="126" t="s">
        <v>1</v>
      </c>
      <c r="AT153" s="126" t="s">
        <v>1</v>
      </c>
      <c r="AU153" s="126" t="s">
        <v>1</v>
      </c>
      <c r="AV153" s="126" t="s">
        <v>1</v>
      </c>
      <c r="AW153" s="126" t="s">
        <v>1</v>
      </c>
      <c r="AX153" s="126" t="s">
        <v>1</v>
      </c>
      <c r="AY153" s="126" t="s">
        <v>1</v>
      </c>
      <c r="AZ153" s="126" t="s">
        <v>1</v>
      </c>
      <c r="BA153" s="126" t="s">
        <v>1</v>
      </c>
      <c r="BB153" s="126" t="s">
        <v>1</v>
      </c>
      <c r="BC153" s="126" t="s">
        <v>1</v>
      </c>
      <c r="BD153" s="126" t="s">
        <v>1</v>
      </c>
      <c r="BE153" s="126" t="s">
        <v>1</v>
      </c>
      <c r="BF153" s="126" t="s">
        <v>1</v>
      </c>
      <c r="BG153" s="137" t="s">
        <v>1</v>
      </c>
      <c r="BH153" s="137" t="s">
        <v>1</v>
      </c>
      <c r="BI153" s="137" t="s">
        <v>1</v>
      </c>
      <c r="BJ153" s="137" t="s">
        <v>1</v>
      </c>
      <c r="BK153" s="137" t="s">
        <v>1</v>
      </c>
      <c r="BL153" s="137" t="s">
        <v>1</v>
      </c>
      <c r="BM153" s="137" t="s">
        <v>1</v>
      </c>
      <c r="BN153" s="137" t="s">
        <v>1</v>
      </c>
      <c r="BO153" s="137" t="s">
        <v>1</v>
      </c>
      <c r="BP153" s="138" t="s">
        <v>1</v>
      </c>
      <c r="BQ153" s="138" t="s">
        <v>1</v>
      </c>
      <c r="BR153" s="138" t="s">
        <v>1</v>
      </c>
      <c r="BS153" s="138" t="s">
        <v>1</v>
      </c>
      <c r="BT153" s="138" t="s">
        <v>1</v>
      </c>
      <c r="BU153" s="138" t="s">
        <v>1</v>
      </c>
      <c r="BV153" s="138" t="s">
        <v>1</v>
      </c>
      <c r="BW153" s="138" t="s">
        <v>1</v>
      </c>
      <c r="BX153" s="138" t="s">
        <v>1</v>
      </c>
      <c r="BY153" s="138" t="s">
        <v>1</v>
      </c>
      <c r="BZ153" s="138" t="s">
        <v>1</v>
      </c>
      <c r="CA153" s="138" t="s">
        <v>1</v>
      </c>
      <c r="CB153" s="138" t="s">
        <v>1</v>
      </c>
      <c r="CC153" s="138" t="s">
        <v>1</v>
      </c>
      <c r="CD153" s="138" t="s">
        <v>1</v>
      </c>
      <c r="CE153" s="138" t="s">
        <v>1</v>
      </c>
    </row>
    <row r="154" ht="25" customHeight="1" spans="1:83">
      <c r="A154" s="1" t="s">
        <v>1</v>
      </c>
      <c r="B154" s="1" t="s">
        <v>1</v>
      </c>
      <c r="C154" s="1" t="s">
        <v>1</v>
      </c>
      <c r="D154" s="1" t="s">
        <v>1</v>
      </c>
      <c r="E154" s="1" t="s">
        <v>1</v>
      </c>
      <c r="F154" s="1" t="s">
        <v>1</v>
      </c>
      <c r="G154" s="130" t="s">
        <v>1</v>
      </c>
      <c r="H154" s="130" t="s">
        <v>1</v>
      </c>
      <c r="I154" s="130" t="s">
        <v>1</v>
      </c>
      <c r="J154" s="130" t="s">
        <v>1</v>
      </c>
      <c r="K154" s="130" t="s">
        <v>1</v>
      </c>
      <c r="L154" s="159" t="s">
        <v>1</v>
      </c>
      <c r="M154" s="130" t="s">
        <v>1</v>
      </c>
      <c r="N154" s="130" t="s">
        <v>1</v>
      </c>
      <c r="O154" s="130" t="s">
        <v>1</v>
      </c>
      <c r="P154" s="130" t="s">
        <v>1</v>
      </c>
      <c r="Q154" s="130" t="s">
        <v>1</v>
      </c>
      <c r="R154" s="130" t="s">
        <v>1</v>
      </c>
      <c r="S154" s="130" t="s">
        <v>1</v>
      </c>
      <c r="T154" s="130" t="s">
        <v>1</v>
      </c>
      <c r="U154" s="130" t="s">
        <v>1</v>
      </c>
      <c r="V154" s="126" t="s">
        <v>1</v>
      </c>
      <c r="W154" s="126" t="s">
        <v>1</v>
      </c>
      <c r="X154" s="126" t="s">
        <v>1</v>
      </c>
      <c r="Y154" s="126" t="s">
        <v>1</v>
      </c>
      <c r="Z154" s="126" t="s">
        <v>1</v>
      </c>
      <c r="AA154" s="126" t="s">
        <v>1</v>
      </c>
      <c r="AB154" s="126" t="s">
        <v>1</v>
      </c>
      <c r="AC154" s="126" t="s">
        <v>1</v>
      </c>
      <c r="AD154" s="126" t="s">
        <v>1</v>
      </c>
      <c r="AE154" s="126" t="s">
        <v>1</v>
      </c>
      <c r="AF154" s="126" t="s">
        <v>1</v>
      </c>
      <c r="AG154" s="126" t="s">
        <v>1</v>
      </c>
      <c r="AH154" s="126" t="s">
        <v>1</v>
      </c>
      <c r="AI154" s="126" t="s">
        <v>1</v>
      </c>
      <c r="AJ154" s="126" t="s">
        <v>1</v>
      </c>
      <c r="AK154" s="126" t="s">
        <v>1</v>
      </c>
      <c r="AL154" s="126" t="s">
        <v>1</v>
      </c>
      <c r="AM154" s="126" t="s">
        <v>1</v>
      </c>
      <c r="AN154" s="126" t="s">
        <v>1</v>
      </c>
      <c r="AO154" s="126" t="s">
        <v>1</v>
      </c>
      <c r="AP154" s="126" t="s">
        <v>1</v>
      </c>
      <c r="AQ154" s="126" t="s">
        <v>1</v>
      </c>
      <c r="AR154" s="126" t="s">
        <v>1</v>
      </c>
      <c r="AS154" s="126" t="s">
        <v>1</v>
      </c>
      <c r="AT154" s="126" t="s">
        <v>1</v>
      </c>
      <c r="AU154" s="126" t="s">
        <v>1</v>
      </c>
      <c r="AV154" s="126" t="s">
        <v>1</v>
      </c>
      <c r="AW154" s="126" t="s">
        <v>1</v>
      </c>
      <c r="AX154" s="126" t="s">
        <v>1</v>
      </c>
      <c r="AY154" s="126" t="s">
        <v>1</v>
      </c>
      <c r="AZ154" s="126" t="s">
        <v>1</v>
      </c>
      <c r="BA154" s="126" t="s">
        <v>1</v>
      </c>
      <c r="BB154" s="126" t="s">
        <v>1</v>
      </c>
      <c r="BC154" s="126" t="s">
        <v>1</v>
      </c>
      <c r="BD154" s="126" t="s">
        <v>1</v>
      </c>
      <c r="BE154" s="126" t="s">
        <v>1</v>
      </c>
      <c r="BF154" s="126" t="s">
        <v>1</v>
      </c>
      <c r="BG154" s="137" t="s">
        <v>1</v>
      </c>
      <c r="BH154" s="137" t="s">
        <v>1</v>
      </c>
      <c r="BI154" s="137" t="s">
        <v>1</v>
      </c>
      <c r="BJ154" s="137" t="s">
        <v>1</v>
      </c>
      <c r="BK154" s="137" t="s">
        <v>1</v>
      </c>
      <c r="BL154" s="137" t="s">
        <v>1</v>
      </c>
      <c r="BM154" s="137" t="s">
        <v>1</v>
      </c>
      <c r="BN154" s="137" t="s">
        <v>1</v>
      </c>
      <c r="BO154" s="137" t="s">
        <v>1</v>
      </c>
      <c r="BP154" s="138" t="s">
        <v>1</v>
      </c>
      <c r="BQ154" s="138" t="s">
        <v>1</v>
      </c>
      <c r="BR154" s="138" t="s">
        <v>1</v>
      </c>
      <c r="BS154" s="138" t="s">
        <v>1</v>
      </c>
      <c r="BT154" s="138" t="s">
        <v>1</v>
      </c>
      <c r="BU154" s="138" t="s">
        <v>1</v>
      </c>
      <c r="BV154" s="138" t="s">
        <v>1</v>
      </c>
      <c r="BW154" s="138" t="s">
        <v>1</v>
      </c>
      <c r="BX154" s="138" t="s">
        <v>1</v>
      </c>
      <c r="BY154" s="138" t="s">
        <v>1</v>
      </c>
      <c r="BZ154" s="138" t="s">
        <v>1</v>
      </c>
      <c r="CA154" s="138" t="s">
        <v>1</v>
      </c>
      <c r="CB154" s="138" t="s">
        <v>1</v>
      </c>
      <c r="CC154" s="138" t="s">
        <v>1</v>
      </c>
      <c r="CD154" s="138" t="s">
        <v>1</v>
      </c>
      <c r="CE154" s="138" t="s">
        <v>1</v>
      </c>
    </row>
    <row r="155" ht="25" customHeight="1" spans="1:83">
      <c r="A155" s="1" t="s">
        <v>1</v>
      </c>
      <c r="B155" s="1" t="s">
        <v>1</v>
      </c>
      <c r="C155" s="1" t="s">
        <v>1</v>
      </c>
      <c r="D155" s="1" t="s">
        <v>1</v>
      </c>
      <c r="E155" s="1" t="s">
        <v>1</v>
      </c>
      <c r="F155" s="1" t="s">
        <v>1</v>
      </c>
      <c r="G155" s="130" t="s">
        <v>1</v>
      </c>
      <c r="H155" s="130" t="s">
        <v>1</v>
      </c>
      <c r="I155" s="130" t="s">
        <v>1</v>
      </c>
      <c r="J155" s="130" t="s">
        <v>1</v>
      </c>
      <c r="K155" s="130" t="s">
        <v>1</v>
      </c>
      <c r="L155" s="159" t="s">
        <v>1</v>
      </c>
      <c r="M155" s="130" t="s">
        <v>1</v>
      </c>
      <c r="N155" s="130" t="s">
        <v>1</v>
      </c>
      <c r="O155" s="130" t="s">
        <v>1</v>
      </c>
      <c r="P155" s="130" t="s">
        <v>1</v>
      </c>
      <c r="Q155" s="130" t="s">
        <v>1</v>
      </c>
      <c r="R155" s="130" t="s">
        <v>1</v>
      </c>
      <c r="S155" s="130" t="s">
        <v>1</v>
      </c>
      <c r="T155" s="130" t="s">
        <v>1</v>
      </c>
      <c r="U155" s="130" t="s">
        <v>1</v>
      </c>
      <c r="V155" s="126" t="s">
        <v>1</v>
      </c>
      <c r="W155" s="126" t="s">
        <v>1</v>
      </c>
      <c r="X155" s="126" t="s">
        <v>1</v>
      </c>
      <c r="Y155" s="126" t="s">
        <v>1</v>
      </c>
      <c r="Z155" s="126" t="s">
        <v>1</v>
      </c>
      <c r="AA155" s="126" t="s">
        <v>1</v>
      </c>
      <c r="AB155" s="126" t="s">
        <v>1</v>
      </c>
      <c r="AC155" s="126" t="s">
        <v>1</v>
      </c>
      <c r="AD155" s="126" t="s">
        <v>1</v>
      </c>
      <c r="AE155" s="126" t="s">
        <v>1</v>
      </c>
      <c r="AF155" s="126" t="s">
        <v>1</v>
      </c>
      <c r="AG155" s="126" t="s">
        <v>1</v>
      </c>
      <c r="AH155" s="126" t="s">
        <v>1</v>
      </c>
      <c r="AI155" s="126" t="s">
        <v>1</v>
      </c>
      <c r="AJ155" s="126" t="s">
        <v>1</v>
      </c>
      <c r="AK155" s="126" t="s">
        <v>1</v>
      </c>
      <c r="AL155" s="126" t="s">
        <v>1</v>
      </c>
      <c r="AM155" s="126" t="s">
        <v>1</v>
      </c>
      <c r="AN155" s="126" t="s">
        <v>1</v>
      </c>
      <c r="AO155" s="126" t="s">
        <v>1</v>
      </c>
      <c r="AP155" s="126" t="s">
        <v>1</v>
      </c>
      <c r="AQ155" s="126" t="s">
        <v>1</v>
      </c>
      <c r="AR155" s="126" t="s">
        <v>1</v>
      </c>
      <c r="AS155" s="126" t="s">
        <v>1</v>
      </c>
      <c r="AT155" s="126" t="s">
        <v>1</v>
      </c>
      <c r="AU155" s="126" t="s">
        <v>1</v>
      </c>
      <c r="AV155" s="126" t="s">
        <v>1</v>
      </c>
      <c r="AW155" s="126" t="s">
        <v>1</v>
      </c>
      <c r="AX155" s="126" t="s">
        <v>1</v>
      </c>
      <c r="AY155" s="126" t="s">
        <v>1</v>
      </c>
      <c r="AZ155" s="126" t="s">
        <v>1</v>
      </c>
      <c r="BA155" s="126" t="s">
        <v>1</v>
      </c>
      <c r="BB155" s="126" t="s">
        <v>1</v>
      </c>
      <c r="BC155" s="126" t="s">
        <v>1</v>
      </c>
      <c r="BD155" s="126" t="s">
        <v>1</v>
      </c>
      <c r="BE155" s="126" t="s">
        <v>1</v>
      </c>
      <c r="BF155" s="126" t="s">
        <v>1</v>
      </c>
      <c r="BG155" s="137" t="s">
        <v>1</v>
      </c>
      <c r="BH155" s="137" t="s">
        <v>1</v>
      </c>
      <c r="BI155" s="137" t="s">
        <v>1</v>
      </c>
      <c r="BJ155" s="137" t="s">
        <v>1</v>
      </c>
      <c r="BK155" s="137" t="s">
        <v>1</v>
      </c>
      <c r="BL155" s="137" t="s">
        <v>1</v>
      </c>
      <c r="BM155" s="137" t="s">
        <v>1</v>
      </c>
      <c r="BN155" s="137" t="s">
        <v>1</v>
      </c>
      <c r="BO155" s="137" t="s">
        <v>1</v>
      </c>
      <c r="BP155" s="138" t="s">
        <v>1</v>
      </c>
      <c r="BQ155" s="138" t="s">
        <v>1</v>
      </c>
      <c r="BR155" s="138" t="s">
        <v>1</v>
      </c>
      <c r="BS155" s="138" t="s">
        <v>1</v>
      </c>
      <c r="BT155" s="138" t="s">
        <v>1</v>
      </c>
      <c r="BU155" s="138" t="s">
        <v>1</v>
      </c>
      <c r="BV155" s="138" t="s">
        <v>1</v>
      </c>
      <c r="BW155" s="138" t="s">
        <v>1</v>
      </c>
      <c r="BX155" s="138" t="s">
        <v>1</v>
      </c>
      <c r="BY155" s="138" t="s">
        <v>1</v>
      </c>
      <c r="BZ155" s="138" t="s">
        <v>1</v>
      </c>
      <c r="CA155" s="138" t="s">
        <v>1</v>
      </c>
      <c r="CB155" s="138" t="s">
        <v>1</v>
      </c>
      <c r="CC155" s="138" t="s">
        <v>1</v>
      </c>
      <c r="CD155" s="138" t="s">
        <v>1</v>
      </c>
      <c r="CE155" s="138" t="s">
        <v>1</v>
      </c>
    </row>
    <row r="156" ht="25" customHeight="1" spans="1:83">
      <c r="A156" s="1" t="s">
        <v>1</v>
      </c>
      <c r="B156" s="1" t="s">
        <v>1</v>
      </c>
      <c r="C156" s="1" t="s">
        <v>1</v>
      </c>
      <c r="D156" s="1" t="s">
        <v>1</v>
      </c>
      <c r="E156" s="1" t="s">
        <v>1</v>
      </c>
      <c r="F156" s="1" t="s">
        <v>1</v>
      </c>
      <c r="G156" s="130" t="s">
        <v>1</v>
      </c>
      <c r="H156" s="130" t="s">
        <v>1</v>
      </c>
      <c r="I156" s="130" t="s">
        <v>1</v>
      </c>
      <c r="J156" s="130" t="s">
        <v>1</v>
      </c>
      <c r="K156" s="130" t="s">
        <v>1</v>
      </c>
      <c r="L156" s="159" t="s">
        <v>1</v>
      </c>
      <c r="M156" s="130" t="s">
        <v>1</v>
      </c>
      <c r="N156" s="130" t="s">
        <v>1</v>
      </c>
      <c r="O156" s="130" t="s">
        <v>1</v>
      </c>
      <c r="P156" s="130" t="s">
        <v>1</v>
      </c>
      <c r="Q156" s="130" t="s">
        <v>1</v>
      </c>
      <c r="R156" s="130" t="s">
        <v>1</v>
      </c>
      <c r="S156" s="130" t="s">
        <v>1</v>
      </c>
      <c r="T156" s="130" t="s">
        <v>1</v>
      </c>
      <c r="U156" s="130" t="s">
        <v>1</v>
      </c>
      <c r="V156" s="126" t="s">
        <v>1</v>
      </c>
      <c r="W156" s="126" t="s">
        <v>1</v>
      </c>
      <c r="X156" s="126" t="s">
        <v>1</v>
      </c>
      <c r="Y156" s="126" t="s">
        <v>1</v>
      </c>
      <c r="Z156" s="126" t="s">
        <v>1</v>
      </c>
      <c r="AA156" s="126" t="s">
        <v>1</v>
      </c>
      <c r="AB156" s="126" t="s">
        <v>1</v>
      </c>
      <c r="AC156" s="126" t="s">
        <v>1</v>
      </c>
      <c r="AD156" s="126" t="s">
        <v>1</v>
      </c>
      <c r="AE156" s="126" t="s">
        <v>1</v>
      </c>
      <c r="AF156" s="126" t="s">
        <v>1</v>
      </c>
      <c r="AG156" s="126" t="s">
        <v>1</v>
      </c>
      <c r="AH156" s="126" t="s">
        <v>1</v>
      </c>
      <c r="AI156" s="126" t="s">
        <v>1</v>
      </c>
      <c r="AJ156" s="126" t="s">
        <v>1</v>
      </c>
      <c r="AK156" s="126" t="s">
        <v>1</v>
      </c>
      <c r="AL156" s="126" t="s">
        <v>1</v>
      </c>
      <c r="AM156" s="126" t="s">
        <v>1</v>
      </c>
      <c r="AN156" s="126" t="s">
        <v>1</v>
      </c>
      <c r="AO156" s="126" t="s">
        <v>1</v>
      </c>
      <c r="AP156" s="126" t="s">
        <v>1</v>
      </c>
      <c r="AQ156" s="126" t="s">
        <v>1</v>
      </c>
      <c r="AR156" s="126" t="s">
        <v>1</v>
      </c>
      <c r="AS156" s="126" t="s">
        <v>1</v>
      </c>
      <c r="AT156" s="126" t="s">
        <v>1</v>
      </c>
      <c r="AU156" s="126" t="s">
        <v>1</v>
      </c>
      <c r="AV156" s="126" t="s">
        <v>1</v>
      </c>
      <c r="AW156" s="126" t="s">
        <v>1</v>
      </c>
      <c r="AX156" s="126" t="s">
        <v>1</v>
      </c>
      <c r="AY156" s="126" t="s">
        <v>1</v>
      </c>
      <c r="AZ156" s="126" t="s">
        <v>1</v>
      </c>
      <c r="BA156" s="126" t="s">
        <v>1</v>
      </c>
      <c r="BB156" s="126" t="s">
        <v>1</v>
      </c>
      <c r="BC156" s="126" t="s">
        <v>1</v>
      </c>
      <c r="BD156" s="126" t="s">
        <v>1</v>
      </c>
      <c r="BE156" s="126" t="s">
        <v>1</v>
      </c>
      <c r="BF156" s="126" t="s">
        <v>1</v>
      </c>
      <c r="BG156" s="137" t="s">
        <v>1</v>
      </c>
      <c r="BH156" s="137" t="s">
        <v>1</v>
      </c>
      <c r="BI156" s="137" t="s">
        <v>1</v>
      </c>
      <c r="BJ156" s="137" t="s">
        <v>1</v>
      </c>
      <c r="BK156" s="137" t="s">
        <v>1</v>
      </c>
      <c r="BL156" s="137" t="s">
        <v>1</v>
      </c>
      <c r="BM156" s="137" t="s">
        <v>1</v>
      </c>
      <c r="BN156" s="137" t="s">
        <v>1</v>
      </c>
      <c r="BO156" s="137" t="s">
        <v>1</v>
      </c>
      <c r="BP156" s="138" t="s">
        <v>1</v>
      </c>
      <c r="BQ156" s="138" t="s">
        <v>1</v>
      </c>
      <c r="BR156" s="138" t="s">
        <v>1</v>
      </c>
      <c r="BS156" s="138" t="s">
        <v>1</v>
      </c>
      <c r="BT156" s="138" t="s">
        <v>1</v>
      </c>
      <c r="BU156" s="138" t="s">
        <v>1</v>
      </c>
      <c r="BV156" s="138" t="s">
        <v>1</v>
      </c>
      <c r="BW156" s="138" t="s">
        <v>1</v>
      </c>
      <c r="BX156" s="138" t="s">
        <v>1</v>
      </c>
      <c r="BY156" s="138" t="s">
        <v>1</v>
      </c>
      <c r="BZ156" s="138" t="s">
        <v>1</v>
      </c>
      <c r="CA156" s="138" t="s">
        <v>1</v>
      </c>
      <c r="CB156" s="138" t="s">
        <v>1</v>
      </c>
      <c r="CC156" s="138" t="s">
        <v>1</v>
      </c>
      <c r="CD156" s="138" t="s">
        <v>1</v>
      </c>
      <c r="CE156" s="138" t="s">
        <v>1</v>
      </c>
    </row>
    <row r="157" ht="25" customHeight="1" spans="1:83">
      <c r="A157" s="1" t="s">
        <v>1</v>
      </c>
      <c r="B157" s="1" t="s">
        <v>1</v>
      </c>
      <c r="C157" s="1" t="s">
        <v>1</v>
      </c>
      <c r="D157" s="1" t="s">
        <v>1</v>
      </c>
      <c r="E157" s="1" t="s">
        <v>1</v>
      </c>
      <c r="F157" s="1" t="s">
        <v>1</v>
      </c>
      <c r="G157" s="130" t="s">
        <v>1</v>
      </c>
      <c r="H157" s="130" t="s">
        <v>1</v>
      </c>
      <c r="I157" s="130" t="s">
        <v>1</v>
      </c>
      <c r="J157" s="130" t="s">
        <v>1</v>
      </c>
      <c r="K157" s="130" t="s">
        <v>1</v>
      </c>
      <c r="L157" s="159" t="s">
        <v>1</v>
      </c>
      <c r="M157" s="130" t="s">
        <v>1</v>
      </c>
      <c r="N157" s="130" t="s">
        <v>1</v>
      </c>
      <c r="O157" s="130" t="s">
        <v>1</v>
      </c>
      <c r="P157" s="130" t="s">
        <v>1</v>
      </c>
      <c r="Q157" s="130" t="s">
        <v>1</v>
      </c>
      <c r="R157" s="130" t="s">
        <v>1</v>
      </c>
      <c r="S157" s="130" t="s">
        <v>1</v>
      </c>
      <c r="T157" s="130" t="s">
        <v>1</v>
      </c>
      <c r="U157" s="130" t="s">
        <v>1</v>
      </c>
      <c r="V157" s="126" t="s">
        <v>1</v>
      </c>
      <c r="W157" s="126" t="s">
        <v>1</v>
      </c>
      <c r="X157" s="126" t="s">
        <v>1</v>
      </c>
      <c r="Y157" s="126" t="s">
        <v>1</v>
      </c>
      <c r="Z157" s="126" t="s">
        <v>1</v>
      </c>
      <c r="AA157" s="126" t="s">
        <v>1</v>
      </c>
      <c r="AB157" s="126" t="s">
        <v>1</v>
      </c>
      <c r="AC157" s="126" t="s">
        <v>1</v>
      </c>
      <c r="AD157" s="126" t="s">
        <v>1</v>
      </c>
      <c r="AE157" s="126" t="s">
        <v>1</v>
      </c>
      <c r="AF157" s="126" t="s">
        <v>1</v>
      </c>
      <c r="AG157" s="126" t="s">
        <v>1</v>
      </c>
      <c r="AH157" s="126" t="s">
        <v>1</v>
      </c>
      <c r="AI157" s="126" t="s">
        <v>1</v>
      </c>
      <c r="AJ157" s="126" t="s">
        <v>1</v>
      </c>
      <c r="AK157" s="126" t="s">
        <v>1</v>
      </c>
      <c r="AL157" s="126" t="s">
        <v>1</v>
      </c>
      <c r="AM157" s="126" t="s">
        <v>1</v>
      </c>
      <c r="AN157" s="126" t="s">
        <v>1</v>
      </c>
      <c r="AO157" s="126" t="s">
        <v>1</v>
      </c>
      <c r="AP157" s="126" t="s">
        <v>1</v>
      </c>
      <c r="AQ157" s="126" t="s">
        <v>1</v>
      </c>
      <c r="AR157" s="126" t="s">
        <v>1</v>
      </c>
      <c r="AS157" s="126" t="s">
        <v>1</v>
      </c>
      <c r="AT157" s="126" t="s">
        <v>1</v>
      </c>
      <c r="AU157" s="126" t="s">
        <v>1</v>
      </c>
      <c r="AV157" s="126" t="s">
        <v>1</v>
      </c>
      <c r="AW157" s="126" t="s">
        <v>1</v>
      </c>
      <c r="AX157" s="126" t="s">
        <v>1</v>
      </c>
      <c r="AY157" s="126" t="s">
        <v>1</v>
      </c>
      <c r="AZ157" s="126" t="s">
        <v>1</v>
      </c>
      <c r="BA157" s="126" t="s">
        <v>1</v>
      </c>
      <c r="BB157" s="126" t="s">
        <v>1</v>
      </c>
      <c r="BC157" s="126" t="s">
        <v>1</v>
      </c>
      <c r="BD157" s="126" t="s">
        <v>1</v>
      </c>
      <c r="BE157" s="126" t="s">
        <v>1</v>
      </c>
      <c r="BF157" s="126" t="s">
        <v>1</v>
      </c>
      <c r="BG157" s="137" t="s">
        <v>1</v>
      </c>
      <c r="BH157" s="137" t="s">
        <v>1</v>
      </c>
      <c r="BI157" s="137" t="s">
        <v>1</v>
      </c>
      <c r="BJ157" s="137" t="s">
        <v>1</v>
      </c>
      <c r="BK157" s="137" t="s">
        <v>1</v>
      </c>
      <c r="BL157" s="137" t="s">
        <v>1</v>
      </c>
      <c r="BM157" s="137" t="s">
        <v>1</v>
      </c>
      <c r="BN157" s="137" t="s">
        <v>1</v>
      </c>
      <c r="BO157" s="137" t="s">
        <v>1</v>
      </c>
      <c r="BP157" s="138" t="s">
        <v>1</v>
      </c>
      <c r="BQ157" s="138" t="s">
        <v>1</v>
      </c>
      <c r="BR157" s="138" t="s">
        <v>1</v>
      </c>
      <c r="BS157" s="138" t="s">
        <v>1</v>
      </c>
      <c r="BT157" s="138" t="s">
        <v>1</v>
      </c>
      <c r="BU157" s="138" t="s">
        <v>1</v>
      </c>
      <c r="BV157" s="138" t="s">
        <v>1</v>
      </c>
      <c r="BW157" s="138" t="s">
        <v>1</v>
      </c>
      <c r="BX157" s="138" t="s">
        <v>1</v>
      </c>
      <c r="BY157" s="138" t="s">
        <v>1</v>
      </c>
      <c r="BZ157" s="138" t="s">
        <v>1</v>
      </c>
      <c r="CA157" s="138" t="s">
        <v>1</v>
      </c>
      <c r="CB157" s="138" t="s">
        <v>1</v>
      </c>
      <c r="CC157" s="138" t="s">
        <v>1</v>
      </c>
      <c r="CD157" s="138" t="s">
        <v>1</v>
      </c>
      <c r="CE157" s="138" t="s">
        <v>1</v>
      </c>
    </row>
    <row r="158" ht="25" customHeight="1" spans="1:83">
      <c r="A158" s="1" t="s">
        <v>1</v>
      </c>
      <c r="B158" s="1" t="s">
        <v>1</v>
      </c>
      <c r="C158" s="1" t="s">
        <v>1</v>
      </c>
      <c r="D158" s="1" t="s">
        <v>1</v>
      </c>
      <c r="E158" s="1" t="s">
        <v>1</v>
      </c>
      <c r="F158" s="1" t="s">
        <v>1</v>
      </c>
      <c r="G158" s="130" t="s">
        <v>1</v>
      </c>
      <c r="H158" s="130" t="s">
        <v>1</v>
      </c>
      <c r="I158" s="130" t="s">
        <v>1</v>
      </c>
      <c r="J158" s="130" t="s">
        <v>1</v>
      </c>
      <c r="K158" s="130" t="s">
        <v>1</v>
      </c>
      <c r="L158" s="159" t="s">
        <v>1</v>
      </c>
      <c r="M158" s="130" t="s">
        <v>1</v>
      </c>
      <c r="N158" s="130" t="s">
        <v>1</v>
      </c>
      <c r="O158" s="130" t="s">
        <v>1</v>
      </c>
      <c r="P158" s="130" t="s">
        <v>1</v>
      </c>
      <c r="Q158" s="130" t="s">
        <v>1</v>
      </c>
      <c r="R158" s="130" t="s">
        <v>1</v>
      </c>
      <c r="S158" s="130" t="s">
        <v>1</v>
      </c>
      <c r="T158" s="130" t="s">
        <v>1</v>
      </c>
      <c r="U158" s="130" t="s">
        <v>1</v>
      </c>
      <c r="V158" s="126" t="s">
        <v>1</v>
      </c>
      <c r="W158" s="126" t="s">
        <v>1</v>
      </c>
      <c r="X158" s="126" t="s">
        <v>1</v>
      </c>
      <c r="Y158" s="126" t="s">
        <v>1</v>
      </c>
      <c r="Z158" s="126" t="s">
        <v>1</v>
      </c>
      <c r="AA158" s="126" t="s">
        <v>1</v>
      </c>
      <c r="AB158" s="126" t="s">
        <v>1</v>
      </c>
      <c r="AC158" s="126" t="s">
        <v>1</v>
      </c>
      <c r="AD158" s="126" t="s">
        <v>1</v>
      </c>
      <c r="AE158" s="126" t="s">
        <v>1</v>
      </c>
      <c r="AF158" s="126" t="s">
        <v>1</v>
      </c>
      <c r="AG158" s="126" t="s">
        <v>1</v>
      </c>
      <c r="AH158" s="126" t="s">
        <v>1</v>
      </c>
      <c r="AI158" s="126" t="s">
        <v>1</v>
      </c>
      <c r="AJ158" s="126" t="s">
        <v>1</v>
      </c>
      <c r="AK158" s="126" t="s">
        <v>1</v>
      </c>
      <c r="AL158" s="126" t="s">
        <v>1</v>
      </c>
      <c r="AM158" s="126" t="s">
        <v>1</v>
      </c>
      <c r="AN158" s="126" t="s">
        <v>1</v>
      </c>
      <c r="AO158" s="126" t="s">
        <v>1</v>
      </c>
      <c r="AP158" s="126" t="s">
        <v>1</v>
      </c>
      <c r="AQ158" s="126" t="s">
        <v>1</v>
      </c>
      <c r="AR158" s="126" t="s">
        <v>1</v>
      </c>
      <c r="AS158" s="126" t="s">
        <v>1</v>
      </c>
      <c r="AT158" s="126" t="s">
        <v>1</v>
      </c>
      <c r="AU158" s="126" t="s">
        <v>1</v>
      </c>
      <c r="AV158" s="126" t="s">
        <v>1</v>
      </c>
      <c r="AW158" s="126" t="s">
        <v>1</v>
      </c>
      <c r="AX158" s="126" t="s">
        <v>1</v>
      </c>
      <c r="AY158" s="126" t="s">
        <v>1</v>
      </c>
      <c r="AZ158" s="126" t="s">
        <v>1</v>
      </c>
      <c r="BA158" s="126" t="s">
        <v>1</v>
      </c>
      <c r="BB158" s="126" t="s">
        <v>1</v>
      </c>
      <c r="BC158" s="126" t="s">
        <v>1</v>
      </c>
      <c r="BD158" s="126" t="s">
        <v>1</v>
      </c>
      <c r="BE158" s="126" t="s">
        <v>1</v>
      </c>
      <c r="BF158" s="126" t="s">
        <v>1</v>
      </c>
      <c r="BG158" s="137" t="s">
        <v>1</v>
      </c>
      <c r="BH158" s="137" t="s">
        <v>1</v>
      </c>
      <c r="BI158" s="137" t="s">
        <v>1</v>
      </c>
      <c r="BJ158" s="137" t="s">
        <v>1</v>
      </c>
      <c r="BK158" s="137" t="s">
        <v>1</v>
      </c>
      <c r="BL158" s="137" t="s">
        <v>1</v>
      </c>
      <c r="BM158" s="137" t="s">
        <v>1</v>
      </c>
      <c r="BN158" s="137" t="s">
        <v>1</v>
      </c>
      <c r="BO158" s="137" t="s">
        <v>1</v>
      </c>
      <c r="BP158" s="138" t="s">
        <v>1</v>
      </c>
      <c r="BQ158" s="138" t="s">
        <v>1</v>
      </c>
      <c r="BR158" s="138" t="s">
        <v>1</v>
      </c>
      <c r="BS158" s="138" t="s">
        <v>1</v>
      </c>
      <c r="BT158" s="138" t="s">
        <v>1</v>
      </c>
      <c r="BU158" s="138" t="s">
        <v>1</v>
      </c>
      <c r="BV158" s="138" t="s">
        <v>1</v>
      </c>
      <c r="BW158" s="138" t="s">
        <v>1</v>
      </c>
      <c r="BX158" s="138" t="s">
        <v>1</v>
      </c>
      <c r="BY158" s="138" t="s">
        <v>1</v>
      </c>
      <c r="BZ158" s="138" t="s">
        <v>1</v>
      </c>
      <c r="CA158" s="138" t="s">
        <v>1</v>
      </c>
      <c r="CB158" s="138" t="s">
        <v>1</v>
      </c>
      <c r="CC158" s="138" t="s">
        <v>1</v>
      </c>
      <c r="CD158" s="138" t="s">
        <v>1</v>
      </c>
      <c r="CE158" s="138" t="s">
        <v>1</v>
      </c>
    </row>
    <row r="159" ht="25" customHeight="1" spans="1:83">
      <c r="A159" s="1" t="s">
        <v>1</v>
      </c>
      <c r="B159" s="1" t="s">
        <v>1</v>
      </c>
      <c r="C159" s="1" t="s">
        <v>1</v>
      </c>
      <c r="D159" s="1" t="s">
        <v>1</v>
      </c>
      <c r="E159" s="1" t="s">
        <v>1</v>
      </c>
      <c r="F159" s="1" t="s">
        <v>1</v>
      </c>
      <c r="G159" s="130" t="s">
        <v>1</v>
      </c>
      <c r="H159" s="130" t="s">
        <v>1</v>
      </c>
      <c r="I159" s="130" t="s">
        <v>1</v>
      </c>
      <c r="J159" s="130" t="s">
        <v>1</v>
      </c>
      <c r="K159" s="130" t="s">
        <v>1</v>
      </c>
      <c r="L159" s="159" t="s">
        <v>1</v>
      </c>
      <c r="M159" s="130" t="s">
        <v>1</v>
      </c>
      <c r="N159" s="130" t="s">
        <v>1</v>
      </c>
      <c r="O159" s="130" t="s">
        <v>1</v>
      </c>
      <c r="P159" s="130" t="s">
        <v>1</v>
      </c>
      <c r="Q159" s="130" t="s">
        <v>1</v>
      </c>
      <c r="R159" s="130" t="s">
        <v>1</v>
      </c>
      <c r="S159" s="130" t="s">
        <v>1</v>
      </c>
      <c r="T159" s="130" t="s">
        <v>1</v>
      </c>
      <c r="U159" s="130" t="s">
        <v>1</v>
      </c>
      <c r="V159" s="126" t="s">
        <v>1</v>
      </c>
      <c r="W159" s="126" t="s">
        <v>1</v>
      </c>
      <c r="X159" s="126" t="s">
        <v>1</v>
      </c>
      <c r="Y159" s="126" t="s">
        <v>1</v>
      </c>
      <c r="Z159" s="126" t="s">
        <v>1</v>
      </c>
      <c r="AA159" s="126" t="s">
        <v>1</v>
      </c>
      <c r="AB159" s="126" t="s">
        <v>1</v>
      </c>
      <c r="AC159" s="126" t="s">
        <v>1</v>
      </c>
      <c r="AD159" s="126" t="s">
        <v>1</v>
      </c>
      <c r="AE159" s="126" t="s">
        <v>1</v>
      </c>
      <c r="AF159" s="126" t="s">
        <v>1</v>
      </c>
      <c r="AG159" s="126" t="s">
        <v>1</v>
      </c>
      <c r="AH159" s="126" t="s">
        <v>1</v>
      </c>
      <c r="AI159" s="126" t="s">
        <v>1</v>
      </c>
      <c r="AJ159" s="126" t="s">
        <v>1</v>
      </c>
      <c r="AK159" s="126" t="s">
        <v>1</v>
      </c>
      <c r="AL159" s="126" t="s">
        <v>1</v>
      </c>
      <c r="AM159" s="126" t="s">
        <v>1</v>
      </c>
      <c r="AN159" s="126" t="s">
        <v>1</v>
      </c>
      <c r="AO159" s="126" t="s">
        <v>1</v>
      </c>
      <c r="AP159" s="126" t="s">
        <v>1</v>
      </c>
      <c r="AQ159" s="126" t="s">
        <v>1</v>
      </c>
      <c r="AR159" s="126" t="s">
        <v>1</v>
      </c>
      <c r="AS159" s="126" t="s">
        <v>1</v>
      </c>
      <c r="AT159" s="126" t="s">
        <v>1</v>
      </c>
      <c r="AU159" s="126" t="s">
        <v>1</v>
      </c>
      <c r="AV159" s="126" t="s">
        <v>1</v>
      </c>
      <c r="AW159" s="126" t="s">
        <v>1</v>
      </c>
      <c r="AX159" s="126" t="s">
        <v>1</v>
      </c>
      <c r="AY159" s="126" t="s">
        <v>1</v>
      </c>
      <c r="AZ159" s="126" t="s">
        <v>1</v>
      </c>
      <c r="BA159" s="126" t="s">
        <v>1</v>
      </c>
      <c r="BB159" s="126" t="s">
        <v>1</v>
      </c>
      <c r="BC159" s="126" t="s">
        <v>1</v>
      </c>
      <c r="BD159" s="126" t="s">
        <v>1</v>
      </c>
      <c r="BE159" s="126" t="s">
        <v>1</v>
      </c>
      <c r="BF159" s="126" t="s">
        <v>1</v>
      </c>
      <c r="BG159" s="137" t="s">
        <v>1</v>
      </c>
      <c r="BH159" s="137" t="s">
        <v>1</v>
      </c>
      <c r="BI159" s="137" t="s">
        <v>1</v>
      </c>
      <c r="BJ159" s="137" t="s">
        <v>1</v>
      </c>
      <c r="BK159" s="137" t="s">
        <v>1</v>
      </c>
      <c r="BL159" s="137" t="s">
        <v>1</v>
      </c>
      <c r="BM159" s="137" t="s">
        <v>1</v>
      </c>
      <c r="BN159" s="137" t="s">
        <v>1</v>
      </c>
      <c r="BO159" s="137" t="s">
        <v>1</v>
      </c>
      <c r="BP159" s="138" t="s">
        <v>1</v>
      </c>
      <c r="BQ159" s="138" t="s">
        <v>1</v>
      </c>
      <c r="BR159" s="138" t="s">
        <v>1</v>
      </c>
      <c r="BS159" s="138" t="s">
        <v>1</v>
      </c>
      <c r="BT159" s="138" t="s">
        <v>1</v>
      </c>
      <c r="BU159" s="138" t="s">
        <v>1</v>
      </c>
      <c r="BV159" s="138" t="s">
        <v>1</v>
      </c>
      <c r="BW159" s="138" t="s">
        <v>1</v>
      </c>
      <c r="BX159" s="138" t="s">
        <v>1</v>
      </c>
      <c r="BY159" s="138" t="s">
        <v>1</v>
      </c>
      <c r="BZ159" s="138" t="s">
        <v>1</v>
      </c>
      <c r="CA159" s="138" t="s">
        <v>1</v>
      </c>
      <c r="CB159" s="138" t="s">
        <v>1</v>
      </c>
      <c r="CC159" s="138" t="s">
        <v>1</v>
      </c>
      <c r="CD159" s="138" t="s">
        <v>1</v>
      </c>
      <c r="CE159" s="138" t="s">
        <v>1</v>
      </c>
    </row>
    <row r="160" ht="25" customHeight="1" spans="1:83">
      <c r="A160" s="1" t="s">
        <v>1</v>
      </c>
      <c r="B160" s="1" t="s">
        <v>1</v>
      </c>
      <c r="C160" s="1" t="s">
        <v>1</v>
      </c>
      <c r="D160" s="1" t="s">
        <v>1</v>
      </c>
      <c r="E160" s="1" t="s">
        <v>1</v>
      </c>
      <c r="F160" s="1" t="s">
        <v>1</v>
      </c>
      <c r="G160" s="130" t="s">
        <v>1</v>
      </c>
      <c r="H160" s="130" t="s">
        <v>1</v>
      </c>
      <c r="I160" s="130" t="s">
        <v>1</v>
      </c>
      <c r="J160" s="130" t="s">
        <v>1</v>
      </c>
      <c r="K160" s="130" t="s">
        <v>1</v>
      </c>
      <c r="L160" s="159" t="s">
        <v>1</v>
      </c>
      <c r="M160" s="130" t="s">
        <v>1</v>
      </c>
      <c r="N160" s="130" t="s">
        <v>1</v>
      </c>
      <c r="O160" s="130" t="s">
        <v>1</v>
      </c>
      <c r="P160" s="130" t="s">
        <v>1</v>
      </c>
      <c r="Q160" s="130" t="s">
        <v>1</v>
      </c>
      <c r="R160" s="130" t="s">
        <v>1</v>
      </c>
      <c r="S160" s="130" t="s">
        <v>1</v>
      </c>
      <c r="T160" s="130" t="s">
        <v>1</v>
      </c>
      <c r="U160" s="130" t="s">
        <v>1</v>
      </c>
      <c r="V160" s="126" t="s">
        <v>1</v>
      </c>
      <c r="W160" s="126" t="s">
        <v>1</v>
      </c>
      <c r="X160" s="126" t="s">
        <v>1</v>
      </c>
      <c r="Y160" s="126" t="s">
        <v>1</v>
      </c>
      <c r="Z160" s="126" t="s">
        <v>1</v>
      </c>
      <c r="AA160" s="126" t="s">
        <v>1</v>
      </c>
      <c r="AB160" s="126" t="s">
        <v>1</v>
      </c>
      <c r="AC160" s="126" t="s">
        <v>1</v>
      </c>
      <c r="AD160" s="126" t="s">
        <v>1</v>
      </c>
      <c r="AE160" s="126" t="s">
        <v>1</v>
      </c>
      <c r="AF160" s="126" t="s">
        <v>1</v>
      </c>
      <c r="AG160" s="126" t="s">
        <v>1</v>
      </c>
      <c r="AH160" s="126" t="s">
        <v>1</v>
      </c>
      <c r="AI160" s="126" t="s">
        <v>1</v>
      </c>
      <c r="AJ160" s="126" t="s">
        <v>1</v>
      </c>
      <c r="AK160" s="126" t="s">
        <v>1</v>
      </c>
      <c r="AL160" s="126" t="s">
        <v>1</v>
      </c>
      <c r="AM160" s="126" t="s">
        <v>1</v>
      </c>
      <c r="AN160" s="126" t="s">
        <v>1</v>
      </c>
      <c r="AO160" s="126" t="s">
        <v>1</v>
      </c>
      <c r="AP160" s="126" t="s">
        <v>1</v>
      </c>
      <c r="AQ160" s="126" t="s">
        <v>1</v>
      </c>
      <c r="AR160" s="126" t="s">
        <v>1</v>
      </c>
      <c r="AS160" s="126" t="s">
        <v>1</v>
      </c>
      <c r="AT160" s="126" t="s">
        <v>1</v>
      </c>
      <c r="AU160" s="126" t="s">
        <v>1</v>
      </c>
      <c r="AV160" s="126" t="s">
        <v>1</v>
      </c>
      <c r="AW160" s="126" t="s">
        <v>1</v>
      </c>
      <c r="AX160" s="126" t="s">
        <v>1</v>
      </c>
      <c r="AY160" s="126" t="s">
        <v>1</v>
      </c>
      <c r="AZ160" s="126" t="s">
        <v>1</v>
      </c>
      <c r="BA160" s="126" t="s">
        <v>1</v>
      </c>
      <c r="BB160" s="126" t="s">
        <v>1</v>
      </c>
      <c r="BC160" s="126" t="s">
        <v>1</v>
      </c>
      <c r="BD160" s="126" t="s">
        <v>1</v>
      </c>
      <c r="BE160" s="126" t="s">
        <v>1</v>
      </c>
      <c r="BF160" s="126" t="s">
        <v>1</v>
      </c>
      <c r="BG160" s="137" t="s">
        <v>1</v>
      </c>
      <c r="BH160" s="137" t="s">
        <v>1</v>
      </c>
      <c r="BI160" s="137" t="s">
        <v>1</v>
      </c>
      <c r="BJ160" s="137" t="s">
        <v>1</v>
      </c>
      <c r="BK160" s="137" t="s">
        <v>1</v>
      </c>
      <c r="BL160" s="137" t="s">
        <v>1</v>
      </c>
      <c r="BM160" s="137" t="s">
        <v>1</v>
      </c>
      <c r="BN160" s="137" t="s">
        <v>1</v>
      </c>
      <c r="BO160" s="137" t="s">
        <v>1</v>
      </c>
      <c r="BP160" s="138" t="s">
        <v>1</v>
      </c>
      <c r="BQ160" s="138" t="s">
        <v>1</v>
      </c>
      <c r="BR160" s="138" t="s">
        <v>1</v>
      </c>
      <c r="BS160" s="138" t="s">
        <v>1</v>
      </c>
      <c r="BT160" s="138" t="s">
        <v>1</v>
      </c>
      <c r="BU160" s="138" t="s">
        <v>1</v>
      </c>
      <c r="BV160" s="138" t="s">
        <v>1</v>
      </c>
      <c r="BW160" s="138" t="s">
        <v>1</v>
      </c>
      <c r="BX160" s="138" t="s">
        <v>1</v>
      </c>
      <c r="BY160" s="138" t="s">
        <v>1</v>
      </c>
      <c r="BZ160" s="138" t="s">
        <v>1</v>
      </c>
      <c r="CA160" s="138" t="s">
        <v>1</v>
      </c>
      <c r="CB160" s="138" t="s">
        <v>1</v>
      </c>
      <c r="CC160" s="138" t="s">
        <v>1</v>
      </c>
      <c r="CD160" s="138" t="s">
        <v>1</v>
      </c>
      <c r="CE160" s="138" t="s">
        <v>1</v>
      </c>
    </row>
    <row r="161" ht="25" customHeight="1" spans="1:84">
      <c r="A161" s="63" t="s">
        <v>177</v>
      </c>
      <c r="B161" s="64" t="s">
        <v>1</v>
      </c>
      <c r="C161" s="64" t="s">
        <v>1</v>
      </c>
      <c r="D161" s="65" t="s">
        <v>2</v>
      </c>
      <c r="E161" s="65" t="s">
        <v>1</v>
      </c>
      <c r="F161" s="65" t="s">
        <v>1</v>
      </c>
      <c r="G161" s="65" t="s">
        <v>1</v>
      </c>
      <c r="H161" s="65" t="s">
        <v>1</v>
      </c>
      <c r="I161" s="65" t="s">
        <v>1</v>
      </c>
      <c r="J161" s="65" t="s">
        <v>1</v>
      </c>
      <c r="K161" s="230" t="s">
        <v>1</v>
      </c>
      <c r="L161" s="231" t="s">
        <v>1</v>
      </c>
      <c r="M161" s="232" t="s">
        <v>1</v>
      </c>
      <c r="N161" s="65" t="s">
        <v>1</v>
      </c>
      <c r="O161" s="65" t="s">
        <v>1</v>
      </c>
      <c r="P161" s="65" t="s">
        <v>1</v>
      </c>
      <c r="Q161" s="65" t="s">
        <v>1</v>
      </c>
      <c r="R161" s="65" t="s">
        <v>1</v>
      </c>
      <c r="S161" s="65" t="s">
        <v>1</v>
      </c>
      <c r="T161" s="65" t="s">
        <v>1</v>
      </c>
      <c r="U161" s="65" t="s">
        <v>1</v>
      </c>
      <c r="V161" s="66" t="s">
        <v>3</v>
      </c>
      <c r="W161" s="67" t="s">
        <v>1</v>
      </c>
      <c r="X161" s="67" t="s">
        <v>1</v>
      </c>
      <c r="Y161" s="67" t="s">
        <v>1</v>
      </c>
      <c r="Z161" s="67" t="s">
        <v>1</v>
      </c>
      <c r="AA161" s="67" t="s">
        <v>1</v>
      </c>
      <c r="AB161" s="67" t="s">
        <v>1</v>
      </c>
      <c r="AC161" s="67" t="s">
        <v>1</v>
      </c>
      <c r="AD161" s="67" t="s">
        <v>1</v>
      </c>
      <c r="AE161" s="67" t="s">
        <v>1</v>
      </c>
      <c r="AF161" s="67" t="s">
        <v>1</v>
      </c>
      <c r="AG161" s="67" t="s">
        <v>1</v>
      </c>
      <c r="AH161" s="67" t="s">
        <v>1</v>
      </c>
      <c r="AI161" s="67" t="s">
        <v>1</v>
      </c>
      <c r="AJ161" s="67" t="s">
        <v>1</v>
      </c>
      <c r="AK161" s="67" t="s">
        <v>1</v>
      </c>
      <c r="AL161" s="67" t="s">
        <v>1</v>
      </c>
      <c r="AM161" s="67" t="s">
        <v>1</v>
      </c>
      <c r="AN161" s="67" t="s">
        <v>1</v>
      </c>
      <c r="AO161" s="67" t="s">
        <v>1</v>
      </c>
      <c r="AP161" s="67" t="s">
        <v>1</v>
      </c>
      <c r="AQ161" s="67" t="s">
        <v>1</v>
      </c>
      <c r="AR161" s="67" t="s">
        <v>1</v>
      </c>
      <c r="AS161" s="67" t="s">
        <v>1</v>
      </c>
      <c r="AT161" s="68" t="s">
        <v>4</v>
      </c>
      <c r="AU161" s="68" t="s">
        <v>1</v>
      </c>
      <c r="AV161" s="68" t="s">
        <v>1</v>
      </c>
      <c r="AW161" s="68" t="s">
        <v>1</v>
      </c>
      <c r="AX161" s="68" t="s">
        <v>1</v>
      </c>
      <c r="AY161" s="68" t="s">
        <v>1</v>
      </c>
      <c r="AZ161" s="68" t="s">
        <v>1</v>
      </c>
      <c r="BA161" s="68" t="s">
        <v>1</v>
      </c>
      <c r="BB161" s="68" t="s">
        <v>1</v>
      </c>
      <c r="BC161" s="68" t="s">
        <v>1</v>
      </c>
      <c r="BD161" s="68" t="s">
        <v>1</v>
      </c>
      <c r="BE161" s="68" t="s">
        <v>1</v>
      </c>
      <c r="BF161" s="68" t="s">
        <v>1</v>
      </c>
      <c r="BG161" s="68" t="s">
        <v>1</v>
      </c>
      <c r="BH161" s="149" t="s">
        <v>5</v>
      </c>
      <c r="BI161" s="150" t="s">
        <v>6</v>
      </c>
      <c r="BJ161" s="150" t="s">
        <v>1</v>
      </c>
      <c r="BK161" s="150" t="s">
        <v>1</v>
      </c>
      <c r="BL161" s="150" t="s">
        <v>1</v>
      </c>
      <c r="BM161" s="150" t="s">
        <v>1</v>
      </c>
      <c r="BN161" s="150" t="s">
        <v>1</v>
      </c>
      <c r="BO161" s="150" t="s">
        <v>1</v>
      </c>
      <c r="BP161" s="101" t="s">
        <v>1</v>
      </c>
      <c r="BQ161" s="71" t="s">
        <v>7</v>
      </c>
      <c r="BR161" s="71" t="s">
        <v>1</v>
      </c>
      <c r="BS161" s="71" t="s">
        <v>1</v>
      </c>
      <c r="BT161" s="71" t="s">
        <v>1</v>
      </c>
      <c r="BU161" s="71" t="s">
        <v>1</v>
      </c>
      <c r="BV161" s="71" t="s">
        <v>1</v>
      </c>
      <c r="BW161" s="71" t="s">
        <v>1</v>
      </c>
      <c r="BX161" s="71" t="s">
        <v>1</v>
      </c>
      <c r="BY161" s="71" t="s">
        <v>1</v>
      </c>
      <c r="BZ161" s="71" t="s">
        <v>1</v>
      </c>
      <c r="CA161" s="71" t="s">
        <v>1</v>
      </c>
      <c r="CB161" s="71" t="s">
        <v>1</v>
      </c>
      <c r="CC161" s="71" t="s">
        <v>1</v>
      </c>
      <c r="CD161" s="71" t="s">
        <v>1</v>
      </c>
      <c r="CE161" s="90" t="s">
        <v>1</v>
      </c>
      <c r="CF161" s="72" t="s">
        <v>178</v>
      </c>
    </row>
    <row r="162" ht="25" customHeight="1" spans="1:84">
      <c r="A162" s="73" t="s">
        <v>9</v>
      </c>
      <c r="B162" s="74" t="s">
        <v>10</v>
      </c>
      <c r="C162" s="75" t="s">
        <v>1</v>
      </c>
      <c r="D162" s="76" t="s">
        <v>11</v>
      </c>
      <c r="E162" s="77" t="s">
        <v>1</v>
      </c>
      <c r="F162" s="77" t="s">
        <v>1</v>
      </c>
      <c r="G162" s="77" t="s">
        <v>1</v>
      </c>
      <c r="H162" s="77" t="s">
        <v>1</v>
      </c>
      <c r="I162" s="77" t="s">
        <v>1</v>
      </c>
      <c r="J162" s="77" t="s">
        <v>1</v>
      </c>
      <c r="K162" s="77" t="s">
        <v>1</v>
      </c>
      <c r="L162" s="231" t="s">
        <v>12</v>
      </c>
      <c r="M162" s="77" t="s">
        <v>1</v>
      </c>
      <c r="N162" s="77" t="s">
        <v>1</v>
      </c>
      <c r="O162" s="77" t="s">
        <v>1</v>
      </c>
      <c r="P162" s="77" t="s">
        <v>1</v>
      </c>
      <c r="Q162" s="77" t="s">
        <v>1</v>
      </c>
      <c r="R162" s="77" t="s">
        <v>1</v>
      </c>
      <c r="S162" s="77" t="s">
        <v>1</v>
      </c>
      <c r="T162" s="77" t="s">
        <v>1</v>
      </c>
      <c r="U162" s="78" t="s">
        <v>1</v>
      </c>
      <c r="V162" s="79" t="s">
        <v>13</v>
      </c>
      <c r="W162" s="80" t="s">
        <v>1</v>
      </c>
      <c r="X162" s="81" t="s">
        <v>14</v>
      </c>
      <c r="Y162" s="82" t="s">
        <v>1</v>
      </c>
      <c r="Z162" s="81" t="s">
        <v>15</v>
      </c>
      <c r="AA162" s="82" t="s">
        <v>1</v>
      </c>
      <c r="AB162" s="81" t="s">
        <v>16</v>
      </c>
      <c r="AC162" s="82" t="s">
        <v>1</v>
      </c>
      <c r="AD162" s="81" t="s">
        <v>17</v>
      </c>
      <c r="AE162" s="81" t="s">
        <v>1</v>
      </c>
      <c r="AF162" s="81" t="s">
        <v>18</v>
      </c>
      <c r="AG162" s="82" t="s">
        <v>1</v>
      </c>
      <c r="AH162" s="83" t="s">
        <v>19</v>
      </c>
      <c r="AI162" s="84" t="s">
        <v>1</v>
      </c>
      <c r="AJ162" s="83" t="s">
        <v>20</v>
      </c>
      <c r="AK162" s="84" t="s">
        <v>1</v>
      </c>
      <c r="AL162" s="83" t="s">
        <v>21</v>
      </c>
      <c r="AM162" s="84" t="s">
        <v>1</v>
      </c>
      <c r="AN162" s="83" t="s">
        <v>22</v>
      </c>
      <c r="AO162" s="84" t="s">
        <v>1</v>
      </c>
      <c r="AP162" s="85" t="s">
        <v>23</v>
      </c>
      <c r="AQ162" s="86" t="s">
        <v>1</v>
      </c>
      <c r="AR162" s="85" t="s">
        <v>24</v>
      </c>
      <c r="AS162" s="86" t="s">
        <v>1</v>
      </c>
      <c r="AT162" s="68" t="s">
        <v>25</v>
      </c>
      <c r="AU162" s="68" t="s">
        <v>1</v>
      </c>
      <c r="AV162" s="87" t="s">
        <v>26</v>
      </c>
      <c r="AW162" s="87" t="s">
        <v>1</v>
      </c>
      <c r="AX162" s="87" t="s">
        <v>27</v>
      </c>
      <c r="AY162" s="87" t="s">
        <v>1</v>
      </c>
      <c r="AZ162" s="88" t="s">
        <v>28</v>
      </c>
      <c r="BA162" s="88" t="s">
        <v>1</v>
      </c>
      <c r="BB162" s="87" t="s">
        <v>29</v>
      </c>
      <c r="BC162" s="87" t="s">
        <v>1</v>
      </c>
      <c r="BD162" s="89" t="s">
        <v>30</v>
      </c>
      <c r="BE162" s="89" t="s">
        <v>1</v>
      </c>
      <c r="BF162" s="89" t="s">
        <v>31</v>
      </c>
      <c r="BG162" s="89" t="s">
        <v>1</v>
      </c>
      <c r="BH162" s="149" t="s">
        <v>1</v>
      </c>
      <c r="BI162" s="150" t="s">
        <v>32</v>
      </c>
      <c r="BJ162" s="150" t="s">
        <v>1</v>
      </c>
      <c r="BK162" s="150" t="s">
        <v>1</v>
      </c>
      <c r="BL162" s="150" t="s">
        <v>1</v>
      </c>
      <c r="BM162" s="151" t="s">
        <v>33</v>
      </c>
      <c r="BN162" s="150" t="s">
        <v>1</v>
      </c>
      <c r="BO162" s="150" t="s">
        <v>1</v>
      </c>
      <c r="BP162" s="101" t="s">
        <v>1</v>
      </c>
      <c r="BQ162" s="71" t="s">
        <v>34</v>
      </c>
      <c r="BR162" s="71" t="s">
        <v>1</v>
      </c>
      <c r="BS162" s="71" t="s">
        <v>1</v>
      </c>
      <c r="BT162" s="71" t="s">
        <v>1</v>
      </c>
      <c r="BU162" s="90" t="s">
        <v>1</v>
      </c>
      <c r="BV162" s="71" t="s">
        <v>35</v>
      </c>
      <c r="BW162" s="71" t="s">
        <v>1</v>
      </c>
      <c r="BX162" s="71" t="s">
        <v>1</v>
      </c>
      <c r="BY162" s="71" t="s">
        <v>1</v>
      </c>
      <c r="BZ162" s="71" t="s">
        <v>1</v>
      </c>
      <c r="CA162" s="71" t="s">
        <v>1</v>
      </c>
      <c r="CB162" s="71" t="s">
        <v>1</v>
      </c>
      <c r="CC162" s="71" t="s">
        <v>1</v>
      </c>
      <c r="CD162" s="71" t="s">
        <v>1</v>
      </c>
      <c r="CE162" s="90" t="s">
        <v>1</v>
      </c>
      <c r="CF162" s="72" t="s">
        <v>1</v>
      </c>
    </row>
    <row r="163" ht="53" customHeight="1" spans="1:84">
      <c r="A163" s="91" t="s">
        <v>1</v>
      </c>
      <c r="B163" s="92" t="s">
        <v>36</v>
      </c>
      <c r="C163" s="92" t="s">
        <v>37</v>
      </c>
      <c r="D163" s="93" t="s">
        <v>38</v>
      </c>
      <c r="E163" s="93" t="s">
        <v>39</v>
      </c>
      <c r="F163" s="93" t="s">
        <v>40</v>
      </c>
      <c r="G163" s="65" t="s">
        <v>41</v>
      </c>
      <c r="H163" s="65" t="s">
        <v>42</v>
      </c>
      <c r="I163" s="65" t="s">
        <v>43</v>
      </c>
      <c r="J163" s="65" t="s">
        <v>44</v>
      </c>
      <c r="K163" s="230" t="s">
        <v>45</v>
      </c>
      <c r="L163" s="231" t="s">
        <v>46</v>
      </c>
      <c r="M163" s="232" t="s">
        <v>42</v>
      </c>
      <c r="N163" s="65" t="s">
        <v>47</v>
      </c>
      <c r="O163" s="65" t="s">
        <v>48</v>
      </c>
      <c r="P163" s="65" t="s">
        <v>42</v>
      </c>
      <c r="Q163" s="65" t="s">
        <v>47</v>
      </c>
      <c r="R163" s="65" t="s">
        <v>179</v>
      </c>
      <c r="S163" s="65" t="s">
        <v>1</v>
      </c>
      <c r="T163" s="65" t="s">
        <v>42</v>
      </c>
      <c r="U163" s="65" t="s">
        <v>47</v>
      </c>
      <c r="V163" s="94" t="s">
        <v>36</v>
      </c>
      <c r="W163" s="94" t="s">
        <v>37</v>
      </c>
      <c r="X163" s="95" t="s">
        <v>36</v>
      </c>
      <c r="Y163" s="95" t="s">
        <v>37</v>
      </c>
      <c r="Z163" s="95" t="s">
        <v>36</v>
      </c>
      <c r="AA163" s="95" t="s">
        <v>37</v>
      </c>
      <c r="AB163" s="95" t="s">
        <v>36</v>
      </c>
      <c r="AC163" s="95" t="s">
        <v>37</v>
      </c>
      <c r="AD163" s="95" t="s">
        <v>36</v>
      </c>
      <c r="AE163" s="95" t="s">
        <v>37</v>
      </c>
      <c r="AF163" s="95" t="s">
        <v>36</v>
      </c>
      <c r="AG163" s="95" t="s">
        <v>37</v>
      </c>
      <c r="AH163" s="96" t="s">
        <v>36</v>
      </c>
      <c r="AI163" s="96" t="s">
        <v>37</v>
      </c>
      <c r="AJ163" s="96" t="s">
        <v>36</v>
      </c>
      <c r="AK163" s="96" t="s">
        <v>37</v>
      </c>
      <c r="AL163" s="96" t="s">
        <v>36</v>
      </c>
      <c r="AM163" s="96" t="s">
        <v>37</v>
      </c>
      <c r="AN163" s="96" t="s">
        <v>36</v>
      </c>
      <c r="AO163" s="96" t="s">
        <v>37</v>
      </c>
      <c r="AP163" s="97" t="s">
        <v>36</v>
      </c>
      <c r="AQ163" s="97" t="s">
        <v>37</v>
      </c>
      <c r="AR163" s="97" t="s">
        <v>36</v>
      </c>
      <c r="AS163" s="97" t="s">
        <v>37</v>
      </c>
      <c r="AT163" s="68" t="s">
        <v>36</v>
      </c>
      <c r="AU163" s="68" t="s">
        <v>37</v>
      </c>
      <c r="AV163" s="98" t="s">
        <v>36</v>
      </c>
      <c r="AW163" s="98" t="s">
        <v>37</v>
      </c>
      <c r="AX163" s="98" t="s">
        <v>36</v>
      </c>
      <c r="AY163" s="98" t="s">
        <v>37</v>
      </c>
      <c r="AZ163" s="68" t="s">
        <v>36</v>
      </c>
      <c r="BA163" s="68" t="s">
        <v>37</v>
      </c>
      <c r="BB163" s="98" t="s">
        <v>36</v>
      </c>
      <c r="BC163" s="98" t="s">
        <v>37</v>
      </c>
      <c r="BD163" s="99" t="s">
        <v>36</v>
      </c>
      <c r="BE163" s="99" t="s">
        <v>37</v>
      </c>
      <c r="BF163" s="99" t="s">
        <v>36</v>
      </c>
      <c r="BG163" s="99" t="s">
        <v>37</v>
      </c>
      <c r="BH163" s="149" t="s">
        <v>1</v>
      </c>
      <c r="BI163" s="153" t="s">
        <v>49</v>
      </c>
      <c r="BJ163" s="100" t="s">
        <v>50</v>
      </c>
      <c r="BK163" s="100" t="s">
        <v>51</v>
      </c>
      <c r="BL163" s="101" t="s">
        <v>52</v>
      </c>
      <c r="BM163" s="100" t="s">
        <v>49</v>
      </c>
      <c r="BN163" s="100" t="s">
        <v>50</v>
      </c>
      <c r="BO163" s="100" t="s">
        <v>51</v>
      </c>
      <c r="BP163" s="101" t="s">
        <v>52</v>
      </c>
      <c r="BQ163" s="90" t="s">
        <v>53</v>
      </c>
      <c r="BR163" s="90" t="s">
        <v>54</v>
      </c>
      <c r="BS163" s="90" t="s">
        <v>55</v>
      </c>
      <c r="BT163" s="90" t="s">
        <v>56</v>
      </c>
      <c r="BU163" s="90" t="s">
        <v>57</v>
      </c>
      <c r="BV163" s="90" t="s">
        <v>53</v>
      </c>
      <c r="BW163" s="90" t="s">
        <v>54</v>
      </c>
      <c r="BX163" s="90" t="s">
        <v>55</v>
      </c>
      <c r="BY163" s="90" t="s">
        <v>56</v>
      </c>
      <c r="BZ163" s="90" t="s">
        <v>57</v>
      </c>
      <c r="CA163" s="90" t="s">
        <v>58</v>
      </c>
      <c r="CB163" s="90" t="s">
        <v>59</v>
      </c>
      <c r="CC163" s="90" t="s">
        <v>60</v>
      </c>
      <c r="CD163" s="90" t="s">
        <v>61</v>
      </c>
      <c r="CE163" s="90" t="s">
        <v>62</v>
      </c>
      <c r="CF163" s="72" t="s">
        <v>1</v>
      </c>
    </row>
    <row r="164" ht="36" customHeight="1" spans="1:84">
      <c r="A164" s="102" t="s">
        <v>63</v>
      </c>
      <c r="B164" s="103" t="s">
        <v>64</v>
      </c>
      <c r="C164" s="103" t="s">
        <v>64</v>
      </c>
      <c r="D164" s="184" t="s">
        <v>65</v>
      </c>
      <c r="E164" s="184" t="s">
        <v>65</v>
      </c>
      <c r="F164" s="103" t="s">
        <v>64</v>
      </c>
      <c r="G164" s="184" t="s">
        <v>65</v>
      </c>
      <c r="H164" s="184" t="s">
        <v>65</v>
      </c>
      <c r="I164" s="184" t="s">
        <v>65</v>
      </c>
      <c r="J164" s="184" t="s">
        <v>65</v>
      </c>
      <c r="K164" s="233" t="s">
        <v>65</v>
      </c>
      <c r="L164" s="234" t="s">
        <v>66</v>
      </c>
      <c r="M164" s="235" t="s">
        <v>66</v>
      </c>
      <c r="N164" s="186" t="s">
        <v>66</v>
      </c>
      <c r="O164" s="186" t="s">
        <v>67</v>
      </c>
      <c r="P164" s="186" t="s">
        <v>67</v>
      </c>
      <c r="Q164" s="186" t="s">
        <v>67</v>
      </c>
      <c r="R164" s="186" t="s">
        <v>68</v>
      </c>
      <c r="S164" s="186" t="s">
        <v>1</v>
      </c>
      <c r="T164" s="186" t="s">
        <v>68</v>
      </c>
      <c r="U164" s="186" t="s">
        <v>68</v>
      </c>
      <c r="V164" s="103" t="s">
        <v>64</v>
      </c>
      <c r="W164" s="103" t="s">
        <v>64</v>
      </c>
      <c r="X164" s="103" t="s">
        <v>64</v>
      </c>
      <c r="Y164" s="103" t="s">
        <v>64</v>
      </c>
      <c r="Z164" s="103" t="s">
        <v>64</v>
      </c>
      <c r="AA164" s="103" t="s">
        <v>64</v>
      </c>
      <c r="AB164" s="103" t="s">
        <v>64</v>
      </c>
      <c r="AC164" s="103" t="s">
        <v>64</v>
      </c>
      <c r="AD164" s="103" t="s">
        <v>64</v>
      </c>
      <c r="AE164" s="103" t="s">
        <v>64</v>
      </c>
      <c r="AF164" s="103" t="s">
        <v>64</v>
      </c>
      <c r="AG164" s="103" t="s">
        <v>64</v>
      </c>
      <c r="AH164" s="103" t="s">
        <v>64</v>
      </c>
      <c r="AI164" s="103" t="s">
        <v>64</v>
      </c>
      <c r="AJ164" s="103" t="s">
        <v>64</v>
      </c>
      <c r="AK164" s="103" t="s">
        <v>64</v>
      </c>
      <c r="AL164" s="103" t="s">
        <v>64</v>
      </c>
      <c r="AM164" s="103" t="s">
        <v>64</v>
      </c>
      <c r="AN164" s="103" t="s">
        <v>64</v>
      </c>
      <c r="AO164" s="103" t="s">
        <v>64</v>
      </c>
      <c r="AP164" s="103" t="s">
        <v>64</v>
      </c>
      <c r="AQ164" s="103" t="s">
        <v>64</v>
      </c>
      <c r="AR164" s="103" t="s">
        <v>64</v>
      </c>
      <c r="AS164" s="103" t="s">
        <v>64</v>
      </c>
      <c r="AT164" s="149" t="s">
        <v>67</v>
      </c>
      <c r="AU164" s="149" t="s">
        <v>67</v>
      </c>
      <c r="AV164" s="149" t="s">
        <v>67</v>
      </c>
      <c r="AW164" s="149" t="s">
        <v>67</v>
      </c>
      <c r="AX164" s="149" t="s">
        <v>67</v>
      </c>
      <c r="AY164" s="149" t="s">
        <v>67</v>
      </c>
      <c r="AZ164" s="149" t="s">
        <v>67</v>
      </c>
      <c r="BA164" s="149" t="s">
        <v>67</v>
      </c>
      <c r="BB164" s="149" t="s">
        <v>67</v>
      </c>
      <c r="BC164" s="149" t="s">
        <v>67</v>
      </c>
      <c r="BD164" s="149" t="s">
        <v>67</v>
      </c>
      <c r="BE164" s="149" t="s">
        <v>67</v>
      </c>
      <c r="BF164" s="149" t="s">
        <v>67</v>
      </c>
      <c r="BG164" s="149" t="s">
        <v>67</v>
      </c>
      <c r="BH164" s="149" t="s">
        <v>69</v>
      </c>
      <c r="BI164" s="149" t="s">
        <v>64</v>
      </c>
      <c r="BJ164" s="149" t="s">
        <v>64</v>
      </c>
      <c r="BK164" s="149" t="s">
        <v>64</v>
      </c>
      <c r="BL164" s="149" t="s">
        <v>64</v>
      </c>
      <c r="BM164" s="149" t="s">
        <v>64</v>
      </c>
      <c r="BN164" s="149" t="s">
        <v>64</v>
      </c>
      <c r="BO164" s="149" t="s">
        <v>64</v>
      </c>
      <c r="BP164" s="149" t="s">
        <v>64</v>
      </c>
      <c r="BQ164" s="149" t="s">
        <v>64</v>
      </c>
      <c r="BR164" s="149" t="s">
        <v>64</v>
      </c>
      <c r="BS164" s="149" t="s">
        <v>64</v>
      </c>
      <c r="BT164" s="149" t="s">
        <v>64</v>
      </c>
      <c r="BU164" s="149" t="s">
        <v>64</v>
      </c>
      <c r="BV164" s="149" t="s">
        <v>64</v>
      </c>
      <c r="BW164" s="149" t="s">
        <v>64</v>
      </c>
      <c r="BX164" s="149" t="s">
        <v>64</v>
      </c>
      <c r="BY164" s="149" t="s">
        <v>64</v>
      </c>
      <c r="BZ164" s="149" t="s">
        <v>64</v>
      </c>
      <c r="CA164" s="149" t="s">
        <v>64</v>
      </c>
      <c r="CB164" s="149" t="s">
        <v>64</v>
      </c>
      <c r="CC164" s="149" t="s">
        <v>64</v>
      </c>
      <c r="CD164" s="149" t="s">
        <v>64</v>
      </c>
      <c r="CE164" s="149" t="s">
        <v>64</v>
      </c>
      <c r="CF164" s="149" t="s">
        <v>64</v>
      </c>
    </row>
    <row r="165" ht="25" customHeight="1" spans="1:84">
      <c r="A165" s="108" t="s">
        <v>135</v>
      </c>
      <c r="B165" s="124" t="s">
        <v>1</v>
      </c>
      <c r="C165" s="124" t="s">
        <v>1</v>
      </c>
      <c r="D165" s="124">
        <f>SUM(D5:D11)</f>
        <v>0</v>
      </c>
      <c r="E165" s="124">
        <f>SUM(E5:E11)</f>
        <v>0</v>
      </c>
      <c r="F165" s="124">
        <f>SUM(F5:F11)</f>
        <v>22.5237</v>
      </c>
      <c r="G165" s="141">
        <f>D165/F165-1</f>
        <v>-1</v>
      </c>
      <c r="H165" s="124">
        <f>SUM(H5:H11)</f>
        <v>0</v>
      </c>
      <c r="I165" s="141" t="e">
        <f>D165/H165</f>
        <v>#DIV/0!</v>
      </c>
      <c r="J165" s="124">
        <f>SUM(J5:J11)</f>
        <v>0</v>
      </c>
      <c r="K165" s="124" t="s">
        <v>1</v>
      </c>
      <c r="L165" s="30" t="e">
        <f>J165/D165</f>
        <v>#DIV/0!</v>
      </c>
      <c r="M165" s="163">
        <f t="shared" ref="M165:R165" si="4">SUM(M5:M11)</f>
        <v>0</v>
      </c>
      <c r="N165" s="124">
        <f t="shared" si="4"/>
        <v>0</v>
      </c>
      <c r="O165" s="124">
        <f t="shared" si="4"/>
        <v>0</v>
      </c>
      <c r="P165" s="124">
        <f t="shared" si="4"/>
        <v>0</v>
      </c>
      <c r="Q165" s="124">
        <f t="shared" si="4"/>
        <v>0</v>
      </c>
      <c r="R165" s="124">
        <f t="shared" si="4"/>
        <v>3199</v>
      </c>
      <c r="S165" s="124" t="s">
        <v>1</v>
      </c>
      <c r="T165" s="124">
        <f>SUM(T5:T11)</f>
        <v>0</v>
      </c>
      <c r="U165" s="124">
        <f>SUM(U5:U11)</f>
        <v>0</v>
      </c>
      <c r="V165" s="124">
        <f>SUM(V5:V11)</f>
        <v>0</v>
      </c>
      <c r="W165" s="124" t="s">
        <v>1</v>
      </c>
      <c r="X165" s="124">
        <f>SUM(X5:X11)</f>
        <v>0</v>
      </c>
      <c r="Y165" s="124">
        <f>SUM(Y5:Y11)</f>
        <v>0</v>
      </c>
      <c r="Z165" s="124">
        <f>SUM(Z5:Z11)</f>
        <v>0</v>
      </c>
      <c r="AA165" s="124">
        <f>SUM(AA5:AA11)</f>
        <v>0</v>
      </c>
      <c r="AB165" s="142">
        <f>SUM(AB5:AB11)/7</f>
        <v>0</v>
      </c>
      <c r="AC165" s="142">
        <f>SUM(AC5:AC11)/7</f>
        <v>0</v>
      </c>
      <c r="AD165" s="143">
        <f>SUM(AD5:AD11)/7</f>
        <v>8.28571428571429</v>
      </c>
      <c r="AE165" s="143">
        <f>SUM(AE5:AE11)/7</f>
        <v>0</v>
      </c>
      <c r="AF165" s="124">
        <f t="shared" ref="AF165:AO165" si="5">SUM(AF5:AF11)</f>
        <v>0</v>
      </c>
      <c r="AG165" s="143">
        <f t="shared" si="5"/>
        <v>0</v>
      </c>
      <c r="AH165" s="143">
        <f t="shared" si="5"/>
        <v>6438</v>
      </c>
      <c r="AI165" s="143">
        <f t="shared" si="5"/>
        <v>0</v>
      </c>
      <c r="AJ165" s="143">
        <f t="shared" si="5"/>
        <v>2074</v>
      </c>
      <c r="AK165" s="143">
        <f t="shared" si="5"/>
        <v>0</v>
      </c>
      <c r="AL165" s="143">
        <f t="shared" si="5"/>
        <v>258</v>
      </c>
      <c r="AM165" s="143">
        <f t="shared" si="5"/>
        <v>0</v>
      </c>
      <c r="AN165" s="143">
        <f t="shared" si="5"/>
        <v>128</v>
      </c>
      <c r="AO165" s="143">
        <f t="shared" si="5"/>
        <v>0</v>
      </c>
      <c r="AP165" s="141">
        <f>AN165/(AF165+AH165+AJ165+AL165)</f>
        <v>0.0145952109464082</v>
      </c>
      <c r="AQ165" s="124">
        <f>SUM(AQ5:AQ11)</f>
        <v>0</v>
      </c>
      <c r="AR165" s="124">
        <f>SUM(AR5:AR11)</f>
        <v>370</v>
      </c>
      <c r="AS165" s="144">
        <f>SUM(AS5:AS11)/7</f>
        <v>0</v>
      </c>
      <c r="AT165" s="144">
        <f>SUM(AT5:AT11)/7</f>
        <v>0.00538571428571429</v>
      </c>
      <c r="AU165" s="124">
        <f>SUM(AU5:AU11)</f>
        <v>0</v>
      </c>
      <c r="AV165" s="124">
        <f>SUM(AV5:AV11)</f>
        <v>0</v>
      </c>
      <c r="AW165" s="124">
        <f>SUM(AW5:AW11)</f>
        <v>0</v>
      </c>
      <c r="AX165" s="124">
        <f>SUM(AX5:AX11)</f>
        <v>0</v>
      </c>
      <c r="AY165" s="144">
        <f>SUM(AY5:AY11)/7</f>
        <v>0</v>
      </c>
      <c r="AZ165" s="144">
        <f>SUM(AZ5:AZ11)/7</f>
        <v>0</v>
      </c>
      <c r="BA165" s="124">
        <f>SUM(BA5:BA11)</f>
        <v>0</v>
      </c>
      <c r="BB165" s="124">
        <f>SUM(BB5:BB11)</f>
        <v>0</v>
      </c>
      <c r="BC165" s="144">
        <f>SUM(BC5:BC11)/7</f>
        <v>0</v>
      </c>
      <c r="BD165" s="144">
        <f>SUM(BD5:BD11)/7</f>
        <v>0</v>
      </c>
      <c r="BE165" s="124">
        <f>SUM(BE5:BE11)</f>
        <v>0</v>
      </c>
      <c r="BF165" s="124">
        <f>SUM(BF5:BF11)</f>
        <v>0</v>
      </c>
      <c r="BG165" s="145">
        <f>SUM(BG5:BG11)/7</f>
        <v>0</v>
      </c>
      <c r="BH165" s="145">
        <f>SUM(BH5:BH11)/7</f>
        <v>0.264285714285714</v>
      </c>
      <c r="BI165" s="124">
        <f t="shared" ref="BI165:BP165" si="6">SUM(BI5:BI11)</f>
        <v>0</v>
      </c>
      <c r="BJ165" s="124">
        <f t="shared" si="6"/>
        <v>1097</v>
      </c>
      <c r="BK165" s="124">
        <f t="shared" si="6"/>
        <v>3211</v>
      </c>
      <c r="BL165" s="124">
        <f t="shared" si="6"/>
        <v>0</v>
      </c>
      <c r="BM165" s="124">
        <f t="shared" si="6"/>
        <v>0</v>
      </c>
      <c r="BN165" s="124">
        <f t="shared" si="6"/>
        <v>6328</v>
      </c>
      <c r="BO165" s="124">
        <f t="shared" si="6"/>
        <v>749</v>
      </c>
      <c r="BP165" s="124">
        <f t="shared" si="6"/>
        <v>0</v>
      </c>
      <c r="BQ165" s="146" t="s">
        <v>1</v>
      </c>
      <c r="BR165" s="146" t="s">
        <v>1</v>
      </c>
      <c r="BS165" s="146" t="s">
        <v>1</v>
      </c>
      <c r="BT165" s="146" t="s">
        <v>1</v>
      </c>
      <c r="BU165" s="146" t="s">
        <v>1</v>
      </c>
      <c r="BV165" s="146" t="s">
        <v>1</v>
      </c>
      <c r="BW165" s="146" t="s">
        <v>1</v>
      </c>
      <c r="BX165" s="146" t="s">
        <v>1</v>
      </c>
      <c r="BY165" s="146" t="s">
        <v>1</v>
      </c>
      <c r="BZ165" s="146" t="s">
        <v>1</v>
      </c>
      <c r="CA165" s="146" t="s">
        <v>1</v>
      </c>
      <c r="CB165" s="146" t="s">
        <v>1</v>
      </c>
      <c r="CC165" s="146" t="s">
        <v>1</v>
      </c>
      <c r="CD165" s="146" t="s">
        <v>1</v>
      </c>
      <c r="CE165" s="146" t="s">
        <v>1</v>
      </c>
      <c r="CF165" s="227" t="s">
        <v>1</v>
      </c>
    </row>
    <row r="166" ht="25" customHeight="1" spans="1:84">
      <c r="A166" s="108" t="s">
        <v>136</v>
      </c>
      <c r="B166" s="124" t="s">
        <v>1</v>
      </c>
      <c r="C166" s="124" t="s">
        <v>1</v>
      </c>
      <c r="D166" s="124">
        <f>SUM(D12:D18)</f>
        <v>0</v>
      </c>
      <c r="E166" s="124">
        <f>SUM(E12:E18)</f>
        <v>0</v>
      </c>
      <c r="F166" s="124">
        <f>SUM(F12:F18)</f>
        <v>27.0228</v>
      </c>
      <c r="G166" s="141">
        <f>D166/F166-1</f>
        <v>-1</v>
      </c>
      <c r="H166" s="124">
        <f>SUM(H12:H18)</f>
        <v>0</v>
      </c>
      <c r="I166" s="141" t="e">
        <f>D166/H166</f>
        <v>#DIV/0!</v>
      </c>
      <c r="J166" s="124">
        <f>SUM(J12:J18)</f>
        <v>0</v>
      </c>
      <c r="K166" s="124" t="s">
        <v>1</v>
      </c>
      <c r="L166" s="30" t="e">
        <f>J166/D166</f>
        <v>#DIV/0!</v>
      </c>
      <c r="M166" s="163">
        <f t="shared" ref="M166:R166" si="7">SUM(M12:M18)</f>
        <v>0</v>
      </c>
      <c r="N166" s="124">
        <f t="shared" si="7"/>
        <v>0</v>
      </c>
      <c r="O166" s="124">
        <f t="shared" si="7"/>
        <v>0</v>
      </c>
      <c r="P166" s="124">
        <f t="shared" si="7"/>
        <v>0</v>
      </c>
      <c r="Q166" s="124">
        <f t="shared" si="7"/>
        <v>0</v>
      </c>
      <c r="R166" s="124">
        <f t="shared" si="7"/>
        <v>9597</v>
      </c>
      <c r="S166" s="124" t="s">
        <v>1</v>
      </c>
      <c r="T166" s="124">
        <f>SUM(T12:T18)</f>
        <v>0</v>
      </c>
      <c r="U166" s="124">
        <f>SUM(U12:U18)</f>
        <v>0</v>
      </c>
      <c r="V166" s="124">
        <f>SUM(V12:V18)</f>
        <v>0</v>
      </c>
      <c r="W166" s="124" t="s">
        <v>1</v>
      </c>
      <c r="X166" s="124">
        <f>SUM(X12:X18)</f>
        <v>0</v>
      </c>
      <c r="Y166" s="124">
        <f>SUM(Y12:Y18)</f>
        <v>0</v>
      </c>
      <c r="Z166" s="124">
        <f>SUM(Z12:Z18)</f>
        <v>0</v>
      </c>
      <c r="AA166" s="124">
        <f>SUM(AA12:AA18)</f>
        <v>0</v>
      </c>
      <c r="AB166" s="142">
        <f>SUM(AB6:AB12)/7</f>
        <v>0</v>
      </c>
      <c r="AC166" s="142">
        <f>SUM(AC6:AC12)/7</f>
        <v>0</v>
      </c>
      <c r="AD166" s="143">
        <f>SUM(AD6:AD12)/7</f>
        <v>8.57142857142857</v>
      </c>
      <c r="AE166" s="143">
        <f>SUM(AE6:AE12)/7</f>
        <v>0</v>
      </c>
      <c r="AF166" s="124">
        <f t="shared" ref="AF166:AO166" si="8">SUM(AF12:AF18)</f>
        <v>0</v>
      </c>
      <c r="AG166" s="143">
        <f t="shared" si="8"/>
        <v>0</v>
      </c>
      <c r="AH166" s="143">
        <f t="shared" si="8"/>
        <v>5627</v>
      </c>
      <c r="AI166" s="143">
        <f t="shared" si="8"/>
        <v>0</v>
      </c>
      <c r="AJ166" s="143">
        <f t="shared" si="8"/>
        <v>1809</v>
      </c>
      <c r="AK166" s="143">
        <f t="shared" si="8"/>
        <v>0</v>
      </c>
      <c r="AL166" s="143">
        <f t="shared" si="8"/>
        <v>210</v>
      </c>
      <c r="AM166" s="143">
        <f t="shared" si="8"/>
        <v>0</v>
      </c>
      <c r="AN166" s="143">
        <f t="shared" si="8"/>
        <v>235</v>
      </c>
      <c r="AO166" s="143">
        <f t="shared" si="8"/>
        <v>0</v>
      </c>
      <c r="AP166" s="141">
        <f>AN166/(AF166+AH166+AJ166+AL166)</f>
        <v>0.0307350248495946</v>
      </c>
      <c r="AQ166" s="124">
        <f>SUM(AQ12:AQ18)</f>
        <v>0</v>
      </c>
      <c r="AR166" s="124">
        <f>SUM(AR12:AR18)</f>
        <v>402</v>
      </c>
      <c r="AS166" s="144">
        <f>SUM(AS6:AS12)/7</f>
        <v>0</v>
      </c>
      <c r="AT166" s="144">
        <f>SUM(AT6:AT12)/7</f>
        <v>0.00627142857142857</v>
      </c>
      <c r="AU166" s="124">
        <f>SUM(AU12:AU18)</f>
        <v>0</v>
      </c>
      <c r="AV166" s="124">
        <f>SUM(AV12:AV18)</f>
        <v>0</v>
      </c>
      <c r="AW166" s="124">
        <f>SUM(AW12:AW18)</f>
        <v>0</v>
      </c>
      <c r="AX166" s="124">
        <f>SUM(AX12:AX18)</f>
        <v>0</v>
      </c>
      <c r="AY166" s="144">
        <f>SUM(AY6:AY12)/7</f>
        <v>0</v>
      </c>
      <c r="AZ166" s="144">
        <f>SUM(AZ6:AZ12)/7</f>
        <v>0</v>
      </c>
      <c r="BA166" s="124">
        <f>SUM(BA12:BA18)</f>
        <v>0</v>
      </c>
      <c r="BB166" s="124">
        <f>SUM(BB12:BB18)</f>
        <v>0</v>
      </c>
      <c r="BC166" s="144">
        <f>SUM(BC6:BC12)/7</f>
        <v>0</v>
      </c>
      <c r="BD166" s="144">
        <f>SUM(BD6:BD12)/7</f>
        <v>0</v>
      </c>
      <c r="BE166" s="124">
        <f>SUM(BE12:BE18)</f>
        <v>0</v>
      </c>
      <c r="BF166" s="124">
        <f>SUM(BF12:BF18)</f>
        <v>0</v>
      </c>
      <c r="BG166" s="145">
        <f>SUM(BG6:BG12)/7</f>
        <v>0</v>
      </c>
      <c r="BH166" s="145">
        <f>SUM(BH6:BH12)/7</f>
        <v>0.264285714285714</v>
      </c>
      <c r="BI166" s="124">
        <f t="shared" ref="BI166:BP166" si="9">SUM(BI12:BI18)</f>
        <v>0</v>
      </c>
      <c r="BJ166" s="124">
        <f t="shared" si="9"/>
        <v>1755</v>
      </c>
      <c r="BK166" s="124">
        <f t="shared" si="9"/>
        <v>2003</v>
      </c>
      <c r="BL166" s="124">
        <f t="shared" si="9"/>
        <v>0</v>
      </c>
      <c r="BM166" s="124">
        <f t="shared" si="9"/>
        <v>0</v>
      </c>
      <c r="BN166" s="124">
        <f t="shared" si="9"/>
        <v>7756</v>
      </c>
      <c r="BO166" s="124">
        <f t="shared" si="9"/>
        <v>568</v>
      </c>
      <c r="BP166" s="124">
        <f t="shared" si="9"/>
        <v>0</v>
      </c>
      <c r="BQ166" s="146" t="s">
        <v>1</v>
      </c>
      <c r="BR166" s="146" t="s">
        <v>1</v>
      </c>
      <c r="BS166" s="146" t="s">
        <v>1</v>
      </c>
      <c r="BT166" s="146" t="s">
        <v>1</v>
      </c>
      <c r="BU166" s="146" t="s">
        <v>1</v>
      </c>
      <c r="BV166" s="146" t="s">
        <v>1</v>
      </c>
      <c r="BW166" s="146" t="s">
        <v>1</v>
      </c>
      <c r="BX166" s="146" t="s">
        <v>1</v>
      </c>
      <c r="BY166" s="146" t="s">
        <v>1</v>
      </c>
      <c r="BZ166" s="146" t="s">
        <v>1</v>
      </c>
      <c r="CA166" s="146" t="s">
        <v>1</v>
      </c>
      <c r="CB166" s="146" t="s">
        <v>1</v>
      </c>
      <c r="CC166" s="146" t="s">
        <v>1</v>
      </c>
      <c r="CD166" s="146" t="s">
        <v>1</v>
      </c>
      <c r="CE166" s="146" t="s">
        <v>1</v>
      </c>
      <c r="CF166" s="227" t="s">
        <v>1</v>
      </c>
    </row>
    <row r="167" ht="25" customHeight="1" spans="1:84">
      <c r="A167" s="108" t="s">
        <v>137</v>
      </c>
      <c r="B167" s="124" t="s">
        <v>1</v>
      </c>
      <c r="C167" s="124" t="s">
        <v>1</v>
      </c>
      <c r="D167" s="124">
        <f>SUM(D19:D25)</f>
        <v>0</v>
      </c>
      <c r="E167" s="124">
        <f>SUM(E19:E25)</f>
        <v>0</v>
      </c>
      <c r="F167" s="124">
        <f>SUM(F19:F25)</f>
        <v>29.5967</v>
      </c>
      <c r="G167" s="141">
        <f>D167/F167-1</f>
        <v>-1</v>
      </c>
      <c r="H167" s="124">
        <f>SUM(H19:H25)</f>
        <v>0</v>
      </c>
      <c r="I167" s="141" t="e">
        <f>D167/H167</f>
        <v>#DIV/0!</v>
      </c>
      <c r="J167" s="124">
        <f>SUM(J19:J25)</f>
        <v>0</v>
      </c>
      <c r="K167" s="124" t="s">
        <v>1</v>
      </c>
      <c r="L167" s="30" t="e">
        <f>J167/D167</f>
        <v>#DIV/0!</v>
      </c>
      <c r="M167" s="163">
        <f t="shared" ref="M167:R167" si="10">SUM(M19:M25)</f>
        <v>0</v>
      </c>
      <c r="N167" s="124">
        <f t="shared" si="10"/>
        <v>0</v>
      </c>
      <c r="O167" s="124">
        <f t="shared" si="10"/>
        <v>0</v>
      </c>
      <c r="P167" s="124">
        <f t="shared" si="10"/>
        <v>0</v>
      </c>
      <c r="Q167" s="124">
        <f t="shared" si="10"/>
        <v>0</v>
      </c>
      <c r="R167" s="124">
        <f t="shared" si="10"/>
        <v>19594</v>
      </c>
      <c r="S167" s="124" t="s">
        <v>1</v>
      </c>
      <c r="T167" s="124">
        <f>SUM(T19:T25)</f>
        <v>0</v>
      </c>
      <c r="U167" s="124">
        <f>SUM(U19:U25)</f>
        <v>0</v>
      </c>
      <c r="V167" s="124">
        <f>SUM(V19:V25)</f>
        <v>0</v>
      </c>
      <c r="W167" s="124" t="s">
        <v>1</v>
      </c>
      <c r="X167" s="124">
        <f>SUM(X19:X25)</f>
        <v>0</v>
      </c>
      <c r="Y167" s="124">
        <f>SUM(Y19:Y25)</f>
        <v>0</v>
      </c>
      <c r="Z167" s="124">
        <f>SUM(Z19:Z25)</f>
        <v>0</v>
      </c>
      <c r="AA167" s="124">
        <f>SUM(AA19:AA25)</f>
        <v>0</v>
      </c>
      <c r="AB167" s="142">
        <f>SUM(AB7:AB13)/7</f>
        <v>0</v>
      </c>
      <c r="AC167" s="142">
        <f>SUM(AC7:AC13)/7</f>
        <v>0</v>
      </c>
      <c r="AD167" s="143">
        <f>SUM(AD7:AD13)/7</f>
        <v>8</v>
      </c>
      <c r="AE167" s="143">
        <f>SUM(AE7:AE13)/7</f>
        <v>0</v>
      </c>
      <c r="AF167" s="124">
        <f t="shared" ref="AF167:AO167" si="11">SUM(AF19:AF25)</f>
        <v>0</v>
      </c>
      <c r="AG167" s="143">
        <f t="shared" si="11"/>
        <v>0</v>
      </c>
      <c r="AH167" s="143">
        <f t="shared" si="11"/>
        <v>8556</v>
      </c>
      <c r="AI167" s="143">
        <f t="shared" si="11"/>
        <v>0</v>
      </c>
      <c r="AJ167" s="143">
        <f t="shared" si="11"/>
        <v>2971</v>
      </c>
      <c r="AK167" s="143">
        <f t="shared" si="11"/>
        <v>0</v>
      </c>
      <c r="AL167" s="143">
        <f t="shared" si="11"/>
        <v>242</v>
      </c>
      <c r="AM167" s="143">
        <f t="shared" si="11"/>
        <v>0</v>
      </c>
      <c r="AN167" s="143">
        <f t="shared" si="11"/>
        <v>966</v>
      </c>
      <c r="AO167" s="143">
        <f t="shared" si="11"/>
        <v>0</v>
      </c>
      <c r="AP167" s="141">
        <f>AN167/(AF167+AH167+AJ167+AL167)</f>
        <v>0.0820800407851134</v>
      </c>
      <c r="AQ167" s="124">
        <f>SUM(AQ19:AQ25)</f>
        <v>0</v>
      </c>
      <c r="AR167" s="124">
        <f>SUM(AR19:AR25)</f>
        <v>869</v>
      </c>
      <c r="AS167" s="144">
        <f>SUM(AS7:AS13)/7</f>
        <v>0</v>
      </c>
      <c r="AT167" s="144">
        <f>SUM(AT7:AT13)/7</f>
        <v>0.006</v>
      </c>
      <c r="AU167" s="124">
        <f>SUM(AU19:AU25)</f>
        <v>0</v>
      </c>
      <c r="AV167" s="124">
        <f>SUM(AV19:AV25)</f>
        <v>0</v>
      </c>
      <c r="AW167" s="124">
        <f>SUM(AW19:AW25)</f>
        <v>0</v>
      </c>
      <c r="AX167" s="124">
        <f>SUM(AX19:AX25)</f>
        <v>0</v>
      </c>
      <c r="AY167" s="144">
        <f>SUM(AY7:AY13)/7</f>
        <v>0</v>
      </c>
      <c r="AZ167" s="144">
        <f>SUM(AZ7:AZ13)/7</f>
        <v>0</v>
      </c>
      <c r="BA167" s="124">
        <f>SUM(BA19:BA25)</f>
        <v>0</v>
      </c>
      <c r="BB167" s="124">
        <f>SUM(BB19:BB25)</f>
        <v>0</v>
      </c>
      <c r="BC167" s="144">
        <f>SUM(BC7:BC13)/7</f>
        <v>0</v>
      </c>
      <c r="BD167" s="144">
        <f>SUM(BD7:BD13)/7</f>
        <v>0</v>
      </c>
      <c r="BE167" s="124">
        <f>SUM(BE19:BE25)</f>
        <v>0</v>
      </c>
      <c r="BF167" s="124">
        <f>SUM(BF19:BF25)</f>
        <v>0</v>
      </c>
      <c r="BG167" s="145">
        <f>SUM(BG7:BG13)/7</f>
        <v>0</v>
      </c>
      <c r="BH167" s="145">
        <f>SUM(BH7:BH13)/7</f>
        <v>0.264285714285714</v>
      </c>
      <c r="BI167" s="124">
        <f t="shared" ref="BI167:BP167" si="12">SUM(BI19:BI25)</f>
        <v>0</v>
      </c>
      <c r="BJ167" s="124">
        <f t="shared" si="12"/>
        <v>905</v>
      </c>
      <c r="BK167" s="124">
        <f t="shared" si="12"/>
        <v>3680</v>
      </c>
      <c r="BL167" s="124">
        <f t="shared" si="12"/>
        <v>0</v>
      </c>
      <c r="BM167" s="124">
        <f t="shared" si="12"/>
        <v>0</v>
      </c>
      <c r="BN167" s="124">
        <f t="shared" si="12"/>
        <v>6262</v>
      </c>
      <c r="BO167" s="124">
        <f t="shared" si="12"/>
        <v>955</v>
      </c>
      <c r="BP167" s="124">
        <f t="shared" si="12"/>
        <v>0</v>
      </c>
      <c r="BQ167" s="146" t="s">
        <v>1</v>
      </c>
      <c r="BR167" s="146" t="s">
        <v>1</v>
      </c>
      <c r="BS167" s="146" t="s">
        <v>1</v>
      </c>
      <c r="BT167" s="146" t="s">
        <v>1</v>
      </c>
      <c r="BU167" s="146" t="s">
        <v>1</v>
      </c>
      <c r="BV167" s="146" t="s">
        <v>1</v>
      </c>
      <c r="BW167" s="146" t="s">
        <v>1</v>
      </c>
      <c r="BX167" s="146" t="s">
        <v>1</v>
      </c>
      <c r="BY167" s="146" t="s">
        <v>1</v>
      </c>
      <c r="BZ167" s="146" t="s">
        <v>1</v>
      </c>
      <c r="CA167" s="146" t="s">
        <v>1</v>
      </c>
      <c r="CB167" s="146" t="s">
        <v>1</v>
      </c>
      <c r="CC167" s="146" t="s">
        <v>1</v>
      </c>
      <c r="CD167" s="146" t="s">
        <v>1</v>
      </c>
      <c r="CE167" s="146" t="s">
        <v>1</v>
      </c>
      <c r="CF167" s="227" t="s">
        <v>1</v>
      </c>
    </row>
    <row r="168" ht="25" customHeight="1" spans="1:84">
      <c r="A168" s="108" t="s">
        <v>138</v>
      </c>
      <c r="B168" s="124" t="s">
        <v>1</v>
      </c>
      <c r="C168" s="124" t="s">
        <v>1</v>
      </c>
      <c r="D168" s="124">
        <f>SUM(D26:D32)</f>
        <v>0</v>
      </c>
      <c r="E168" s="124">
        <f>SUM(E26:E32)</f>
        <v>0</v>
      </c>
      <c r="F168" s="124">
        <f>SUM(F26:F32)</f>
        <v>76.5055</v>
      </c>
      <c r="G168" s="141">
        <f>D168/F168-1</f>
        <v>-1</v>
      </c>
      <c r="H168" s="124">
        <f>SUM(H26:H32)</f>
        <v>0</v>
      </c>
      <c r="I168" s="141" t="e">
        <f>D168/H168</f>
        <v>#DIV/0!</v>
      </c>
      <c r="J168" s="124">
        <f>SUM(J26:J32)</f>
        <v>0</v>
      </c>
      <c r="K168" s="124" t="s">
        <v>1</v>
      </c>
      <c r="L168" s="30" t="e">
        <f>J168/D168</f>
        <v>#DIV/0!</v>
      </c>
      <c r="M168" s="163">
        <f t="shared" ref="M168:R168" si="13">SUM(M26:M32)</f>
        <v>0</v>
      </c>
      <c r="N168" s="124">
        <f t="shared" si="13"/>
        <v>0</v>
      </c>
      <c r="O168" s="124">
        <f t="shared" si="13"/>
        <v>0</v>
      </c>
      <c r="P168" s="124">
        <f t="shared" si="13"/>
        <v>0</v>
      </c>
      <c r="Q168" s="124">
        <f t="shared" si="13"/>
        <v>0</v>
      </c>
      <c r="R168" s="124">
        <f t="shared" si="13"/>
        <v>22241</v>
      </c>
      <c r="S168" s="124" t="s">
        <v>1</v>
      </c>
      <c r="T168" s="124">
        <f>SUM(T26:T32)</f>
        <v>0</v>
      </c>
      <c r="U168" s="124">
        <f>SUM(U26:U32)</f>
        <v>0</v>
      </c>
      <c r="V168" s="124">
        <f>SUM(V26:V32)</f>
        <v>0</v>
      </c>
      <c r="W168" s="124" t="s">
        <v>1</v>
      </c>
      <c r="X168" s="124">
        <f>SUM(X26:X32)</f>
        <v>0</v>
      </c>
      <c r="Y168" s="124">
        <f>SUM(Y26:Y32)</f>
        <v>0</v>
      </c>
      <c r="Z168" s="124">
        <f>SUM(Z26:Z32)</f>
        <v>0</v>
      </c>
      <c r="AA168" s="124">
        <f>SUM(AA26:AA32)</f>
        <v>0</v>
      </c>
      <c r="AB168" s="142">
        <f>SUM(AB8:AB14)/7</f>
        <v>0</v>
      </c>
      <c r="AC168" s="142">
        <f>SUM(AC8:AC14)/7</f>
        <v>0</v>
      </c>
      <c r="AD168" s="143">
        <f>SUM(AD8:AD14)/7</f>
        <v>7</v>
      </c>
      <c r="AE168" s="143">
        <f>SUM(AE8:AE14)/7</f>
        <v>0</v>
      </c>
      <c r="AF168" s="124">
        <f t="shared" ref="AF168:AO168" si="14">SUM(AF26:AF32)</f>
        <v>0</v>
      </c>
      <c r="AG168" s="143">
        <f t="shared" si="14"/>
        <v>0</v>
      </c>
      <c r="AH168" s="143">
        <f t="shared" si="14"/>
        <v>12543</v>
      </c>
      <c r="AI168" s="143">
        <f t="shared" si="14"/>
        <v>0</v>
      </c>
      <c r="AJ168" s="143">
        <f t="shared" si="14"/>
        <v>3096</v>
      </c>
      <c r="AK168" s="143">
        <f t="shared" si="14"/>
        <v>0</v>
      </c>
      <c r="AL168" s="143">
        <f t="shared" si="14"/>
        <v>381</v>
      </c>
      <c r="AM168" s="143">
        <f t="shared" si="14"/>
        <v>0</v>
      </c>
      <c r="AN168" s="143">
        <f t="shared" si="14"/>
        <v>12674</v>
      </c>
      <c r="AO168" s="143">
        <f t="shared" si="14"/>
        <v>0</v>
      </c>
      <c r="AP168" s="141">
        <f>AN168/(AF168+AH168+AJ168+AL168)</f>
        <v>0.791136079900125</v>
      </c>
      <c r="AQ168" s="124">
        <f>SUM(AQ26:AQ32)</f>
        <v>0</v>
      </c>
      <c r="AR168" s="124">
        <f>SUM(AR26:AR32)</f>
        <v>1163</v>
      </c>
      <c r="AS168" s="144">
        <f>SUM(AS8:AS14)/7</f>
        <v>0</v>
      </c>
      <c r="AT168" s="144">
        <f>SUM(AT8:AT14)/7</f>
        <v>0.006</v>
      </c>
      <c r="AU168" s="124">
        <f>SUM(AU26:AU32)</f>
        <v>0</v>
      </c>
      <c r="AV168" s="124">
        <f>SUM(AV26:AV32)</f>
        <v>0</v>
      </c>
      <c r="AW168" s="124">
        <f>SUM(AW26:AW32)</f>
        <v>0</v>
      </c>
      <c r="AX168" s="124">
        <f>SUM(AX26:AX32)</f>
        <v>0</v>
      </c>
      <c r="AY168" s="144">
        <f>SUM(AY8:AY14)/7</f>
        <v>0</v>
      </c>
      <c r="AZ168" s="144">
        <f>SUM(AZ8:AZ14)/7</f>
        <v>0</v>
      </c>
      <c r="BA168" s="124">
        <f>SUM(BA26:BA32)</f>
        <v>0</v>
      </c>
      <c r="BB168" s="124">
        <f>SUM(BB26:BB32)</f>
        <v>0</v>
      </c>
      <c r="BC168" s="144">
        <f>SUM(BC8:BC14)/7</f>
        <v>0</v>
      </c>
      <c r="BD168" s="144">
        <f>SUM(BD8:BD14)/7</f>
        <v>0</v>
      </c>
      <c r="BE168" s="124">
        <f>SUM(BE26:BE32)</f>
        <v>0</v>
      </c>
      <c r="BF168" s="124">
        <f>SUM(BF26:BF32)</f>
        <v>0</v>
      </c>
      <c r="BG168" s="145">
        <f>SUM(BG8:BG14)/7</f>
        <v>0</v>
      </c>
      <c r="BH168" s="145">
        <f>SUM(BH8:BH14)/7</f>
        <v>0.357142857142857</v>
      </c>
      <c r="BI168" s="124">
        <f t="shared" ref="BI168:BP168" si="15">SUM(BI26:BI32)</f>
        <v>0</v>
      </c>
      <c r="BJ168" s="124">
        <f t="shared" si="15"/>
        <v>459</v>
      </c>
      <c r="BK168" s="124">
        <f t="shared" si="15"/>
        <v>7127</v>
      </c>
      <c r="BL168" s="124">
        <f t="shared" si="15"/>
        <v>0</v>
      </c>
      <c r="BM168" s="124">
        <f t="shared" si="15"/>
        <v>0</v>
      </c>
      <c r="BN168" s="124">
        <f t="shared" si="15"/>
        <v>2979</v>
      </c>
      <c r="BO168" s="124">
        <f t="shared" si="15"/>
        <v>1928</v>
      </c>
      <c r="BP168" s="124">
        <f t="shared" si="15"/>
        <v>0</v>
      </c>
      <c r="BQ168" s="146" t="s">
        <v>1</v>
      </c>
      <c r="BR168" s="146" t="s">
        <v>1</v>
      </c>
      <c r="BS168" s="146" t="s">
        <v>1</v>
      </c>
      <c r="BT168" s="146" t="s">
        <v>1</v>
      </c>
      <c r="BU168" s="146" t="s">
        <v>1</v>
      </c>
      <c r="BV168" s="146" t="s">
        <v>1</v>
      </c>
      <c r="BW168" s="146" t="s">
        <v>1</v>
      </c>
      <c r="BX168" s="146" t="s">
        <v>1</v>
      </c>
      <c r="BY168" s="146" t="s">
        <v>1</v>
      </c>
      <c r="BZ168" s="146" t="s">
        <v>1</v>
      </c>
      <c r="CA168" s="146" t="s">
        <v>1</v>
      </c>
      <c r="CB168" s="146" t="s">
        <v>1</v>
      </c>
      <c r="CC168" s="146" t="s">
        <v>1</v>
      </c>
      <c r="CD168" s="146" t="s">
        <v>1</v>
      </c>
      <c r="CE168" s="146" t="s">
        <v>1</v>
      </c>
      <c r="CF168" s="228" t="s">
        <v>1</v>
      </c>
    </row>
    <row r="169" ht="25" customHeight="1" spans="1:84">
      <c r="A169" s="108" t="s">
        <v>139</v>
      </c>
      <c r="B169" s="124" t="s">
        <v>1</v>
      </c>
      <c r="C169" s="124" t="s">
        <v>1</v>
      </c>
      <c r="D169" s="124">
        <f>SUM(D33:D35)</f>
        <v>0</v>
      </c>
      <c r="E169" s="124">
        <f>SUM(E33:E35)</f>
        <v>0</v>
      </c>
      <c r="F169" s="124">
        <f>SUM(F33:F35)</f>
        <v>0.3499</v>
      </c>
      <c r="G169" s="141">
        <f>D169/F169-1</f>
        <v>-1</v>
      </c>
      <c r="H169" s="124">
        <f>SUM(H33:H35)</f>
        <v>0</v>
      </c>
      <c r="I169" s="141" t="e">
        <f>D169/H169</f>
        <v>#DIV/0!</v>
      </c>
      <c r="J169" s="124">
        <f>SUM(J33:J35)</f>
        <v>0</v>
      </c>
      <c r="K169" s="124" t="s">
        <v>1</v>
      </c>
      <c r="L169" s="30" t="e">
        <f>J169/D169</f>
        <v>#DIV/0!</v>
      </c>
      <c r="M169" s="163">
        <f t="shared" ref="M169:R169" si="16">SUM(M33:M35)</f>
        <v>0</v>
      </c>
      <c r="N169" s="124">
        <f t="shared" si="16"/>
        <v>0</v>
      </c>
      <c r="O169" s="124">
        <f t="shared" si="16"/>
        <v>14.7459</v>
      </c>
      <c r="P169" s="124">
        <f t="shared" si="16"/>
        <v>0</v>
      </c>
      <c r="Q169" s="124">
        <f t="shared" si="16"/>
        <v>0.1344</v>
      </c>
      <c r="R169" s="124">
        <f t="shared" si="16"/>
        <v>9842</v>
      </c>
      <c r="S169" s="124" t="s">
        <v>1</v>
      </c>
      <c r="T169" s="124">
        <f>SUM(T33:T35)</f>
        <v>0</v>
      </c>
      <c r="U169" s="124">
        <f>SUM(U33:U35)</f>
        <v>0</v>
      </c>
      <c r="V169" s="124">
        <f>SUM(V33:V35)</f>
        <v>0</v>
      </c>
      <c r="W169" s="124" t="s">
        <v>1</v>
      </c>
      <c r="X169" s="124">
        <f>SUM(X33:X35)</f>
        <v>0</v>
      </c>
      <c r="Y169" s="124">
        <f>SUM(Y33:Y35)</f>
        <v>0</v>
      </c>
      <c r="Z169" s="124">
        <f>SUM(Z33:Z35)</f>
        <v>0</v>
      </c>
      <c r="AA169" s="124">
        <f>SUM(AA33:AA35)</f>
        <v>0</v>
      </c>
      <c r="AB169" s="142">
        <f>SUM(AB33:AB35)/2</f>
        <v>0</v>
      </c>
      <c r="AC169" s="142">
        <f>SUM(AC33:AC35)/2</f>
        <v>0</v>
      </c>
      <c r="AD169" s="143">
        <f>SUM(AD33:AD35)/2</f>
        <v>23</v>
      </c>
      <c r="AE169" s="143">
        <f>SUM(AE33:AE35)/2</f>
        <v>0</v>
      </c>
      <c r="AF169" s="124">
        <f t="shared" ref="AF169:AO169" si="17">SUM(AF33:AF35)</f>
        <v>0</v>
      </c>
      <c r="AG169" s="143">
        <f t="shared" si="17"/>
        <v>0</v>
      </c>
      <c r="AH169" s="143">
        <f t="shared" si="17"/>
        <v>6437</v>
      </c>
      <c r="AI169" s="143">
        <f t="shared" si="17"/>
        <v>0</v>
      </c>
      <c r="AJ169" s="143">
        <f t="shared" si="17"/>
        <v>1405</v>
      </c>
      <c r="AK169" s="143">
        <f t="shared" si="17"/>
        <v>0</v>
      </c>
      <c r="AL169" s="143">
        <f t="shared" si="17"/>
        <v>207</v>
      </c>
      <c r="AM169" s="143">
        <f t="shared" si="17"/>
        <v>0</v>
      </c>
      <c r="AN169" s="143">
        <f t="shared" si="17"/>
        <v>8642</v>
      </c>
      <c r="AO169" s="143">
        <f t="shared" si="17"/>
        <v>0</v>
      </c>
      <c r="AP169" s="141">
        <f>AN169/(AF169+AH169+AJ169+AL169)</f>
        <v>1.07367374829171</v>
      </c>
      <c r="AQ169" s="124">
        <f>SUM(AQ33:AQ35)</f>
        <v>0</v>
      </c>
      <c r="AR169" s="124">
        <f>SUM(AR33:AR35)</f>
        <v>396</v>
      </c>
      <c r="AS169" s="144">
        <f>SUM(AS33:AS35)/2</f>
        <v>0</v>
      </c>
      <c r="AT169" s="144">
        <f>SUM(AT33:AT35)/2</f>
        <v>0.00585</v>
      </c>
      <c r="AU169" s="124">
        <f>SUM(AU33:AU35)</f>
        <v>0</v>
      </c>
      <c r="AV169" s="124">
        <f>SUM(AV33:AV35)</f>
        <v>115</v>
      </c>
      <c r="AW169" s="124">
        <f>SUM(AW33:AW35)</f>
        <v>0</v>
      </c>
      <c r="AX169" s="124">
        <f>SUM(AX33:AX35)</f>
        <v>0</v>
      </c>
      <c r="AY169" s="144">
        <f>SUM(AY33:AY35)/2</f>
        <v>0</v>
      </c>
      <c r="AZ169" s="144">
        <f>SUM(AZ33:AZ35)/2</f>
        <v>7.5</v>
      </c>
      <c r="BA169" s="124">
        <f>SUM(BA33:BA35)</f>
        <v>0</v>
      </c>
      <c r="BB169" s="124">
        <f>SUM(BB33:BB35)</f>
        <v>0.130434782608696</v>
      </c>
      <c r="BC169" s="144">
        <f>SUM(BC33:BC35)/2</f>
        <v>0</v>
      </c>
      <c r="BD169" s="144">
        <f>SUM(BD33:BD35)/2</f>
        <v>0</v>
      </c>
      <c r="BE169" s="124">
        <f>SUM(BE33:BE35)</f>
        <v>0</v>
      </c>
      <c r="BF169" s="124">
        <f>SUM(BF33:BF35)</f>
        <v>0</v>
      </c>
      <c r="BG169" s="145">
        <f>SUM(BG33:BG35)/2</f>
        <v>0</v>
      </c>
      <c r="BH169" s="145">
        <f>SUM(BH33:BH35)/2</f>
        <v>0.8</v>
      </c>
      <c r="BI169" s="124">
        <f t="shared" ref="BI169:BP169" si="18">SUM(BI33:BI35)</f>
        <v>0</v>
      </c>
      <c r="BJ169" s="124">
        <f t="shared" si="18"/>
        <v>165</v>
      </c>
      <c r="BK169" s="124">
        <f t="shared" si="18"/>
        <v>3718</v>
      </c>
      <c r="BL169" s="124">
        <f t="shared" si="18"/>
        <v>0</v>
      </c>
      <c r="BM169" s="124">
        <f t="shared" si="18"/>
        <v>0</v>
      </c>
      <c r="BN169" s="124">
        <f t="shared" si="18"/>
        <v>1068</v>
      </c>
      <c r="BO169" s="124">
        <f t="shared" si="18"/>
        <v>1043</v>
      </c>
      <c r="BP169" s="124">
        <f t="shared" si="18"/>
        <v>0</v>
      </c>
      <c r="BQ169" s="92" t="s">
        <v>1</v>
      </c>
      <c r="BR169" s="92" t="s">
        <v>1</v>
      </c>
      <c r="BS169" s="92" t="s">
        <v>1</v>
      </c>
      <c r="BT169" s="92" t="s">
        <v>1</v>
      </c>
      <c r="BU169" s="92" t="s">
        <v>1</v>
      </c>
      <c r="BV169" s="92" t="s">
        <v>1</v>
      </c>
      <c r="BW169" s="92" t="s">
        <v>1</v>
      </c>
      <c r="BX169" s="92" t="s">
        <v>1</v>
      </c>
      <c r="BY169" s="92" t="s">
        <v>1</v>
      </c>
      <c r="BZ169" s="92" t="s">
        <v>1</v>
      </c>
      <c r="CA169" s="92" t="s">
        <v>1</v>
      </c>
      <c r="CB169" s="92" t="s">
        <v>1</v>
      </c>
      <c r="CC169" s="92" t="s">
        <v>1</v>
      </c>
      <c r="CD169" s="92" t="s">
        <v>1</v>
      </c>
      <c r="CE169" s="92" t="s">
        <v>1</v>
      </c>
      <c r="CF169" s="227" t="s">
        <v>1</v>
      </c>
    </row>
  </sheetData>
  <mergeCells count="183">
    <mergeCell ref="A1:C1"/>
    <mergeCell ref="D1:U1"/>
    <mergeCell ref="V1:AS1"/>
    <mergeCell ref="AT1:BG1"/>
    <mergeCell ref="BI1:BP1"/>
    <mergeCell ref="BQ1:CE1"/>
    <mergeCell ref="B2:C2"/>
    <mergeCell ref="D2:K2"/>
    <mergeCell ref="L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I2:BL2"/>
    <mergeCell ref="BM2:BP2"/>
    <mergeCell ref="BQ2:BU2"/>
    <mergeCell ref="BV2:CE2"/>
    <mergeCell ref="A161:C161"/>
    <mergeCell ref="D161:U161"/>
    <mergeCell ref="V161:AS161"/>
    <mergeCell ref="AT161:BG161"/>
    <mergeCell ref="BI161:BP161"/>
    <mergeCell ref="BQ161:CE161"/>
    <mergeCell ref="B162:C162"/>
    <mergeCell ref="D162:K162"/>
    <mergeCell ref="L162:U162"/>
    <mergeCell ref="V162:W162"/>
    <mergeCell ref="X162:Y162"/>
    <mergeCell ref="Z162:AA162"/>
    <mergeCell ref="AB162:AC162"/>
    <mergeCell ref="AD162:AE162"/>
    <mergeCell ref="AF162:AG162"/>
    <mergeCell ref="AH162:AI162"/>
    <mergeCell ref="AJ162:AK162"/>
    <mergeCell ref="AL162:AM162"/>
    <mergeCell ref="AN162:AO162"/>
    <mergeCell ref="AP162:AQ162"/>
    <mergeCell ref="AR162:AS162"/>
    <mergeCell ref="AT162:AU162"/>
    <mergeCell ref="AV162:AW162"/>
    <mergeCell ref="AX162:AY162"/>
    <mergeCell ref="AZ162:BA162"/>
    <mergeCell ref="BB162:BC162"/>
    <mergeCell ref="BD162:BE162"/>
    <mergeCell ref="BF162:BG162"/>
    <mergeCell ref="BI162:BL162"/>
    <mergeCell ref="BM162:BP162"/>
    <mergeCell ref="BQ162:BU162"/>
    <mergeCell ref="BV162:CE162"/>
    <mergeCell ref="A2:A3"/>
    <mergeCell ref="A162:A163"/>
    <mergeCell ref="B66:B67"/>
    <mergeCell ref="B73:B75"/>
    <mergeCell ref="B80:B81"/>
    <mergeCell ref="BH1:BH3"/>
    <mergeCell ref="BH161:BH163"/>
    <mergeCell ref="BV7:BV13"/>
    <mergeCell ref="BV15:BV21"/>
    <mergeCell ref="BV22:BV28"/>
    <mergeCell ref="BV29:BV35"/>
    <mergeCell ref="BV36:BV42"/>
    <mergeCell ref="BV43:BV49"/>
    <mergeCell ref="BV50:BV56"/>
    <mergeCell ref="BV57:BV63"/>
    <mergeCell ref="BV64:BV70"/>
    <mergeCell ref="BV71:BV77"/>
    <mergeCell ref="BV78:BV84"/>
    <mergeCell ref="BW7:BW13"/>
    <mergeCell ref="BW15:BW21"/>
    <mergeCell ref="BW22:BW28"/>
    <mergeCell ref="BW29:BW35"/>
    <mergeCell ref="BW36:BW42"/>
    <mergeCell ref="BW43:BW49"/>
    <mergeCell ref="BW50:BW56"/>
    <mergeCell ref="BW57:BW63"/>
    <mergeCell ref="BW64:BW70"/>
    <mergeCell ref="BW71:BW77"/>
    <mergeCell ref="BW78:BW84"/>
    <mergeCell ref="BX7:BX13"/>
    <mergeCell ref="BX15:BX21"/>
    <mergeCell ref="BX22:BX28"/>
    <mergeCell ref="BX29:BX35"/>
    <mergeCell ref="BX36:BX42"/>
    <mergeCell ref="BX43:BX49"/>
    <mergeCell ref="BX50:BX56"/>
    <mergeCell ref="BX57:BX63"/>
    <mergeCell ref="BX64:BX70"/>
    <mergeCell ref="BX71:BX77"/>
    <mergeCell ref="BX78:BX84"/>
    <mergeCell ref="BY7:BY13"/>
    <mergeCell ref="BY15:BY21"/>
    <mergeCell ref="BY22:BY28"/>
    <mergeCell ref="BY29:BY35"/>
    <mergeCell ref="BY36:BY42"/>
    <mergeCell ref="BY43:BY49"/>
    <mergeCell ref="BY50:BY56"/>
    <mergeCell ref="BY57:BY63"/>
    <mergeCell ref="BY64:BY70"/>
    <mergeCell ref="BY71:BY77"/>
    <mergeCell ref="BY78:BY84"/>
    <mergeCell ref="BZ7:BZ13"/>
    <mergeCell ref="BZ15:BZ21"/>
    <mergeCell ref="BZ22:BZ28"/>
    <mergeCell ref="BZ29:BZ35"/>
    <mergeCell ref="BZ36:BZ42"/>
    <mergeCell ref="BZ43:BZ49"/>
    <mergeCell ref="BZ50:BZ56"/>
    <mergeCell ref="BZ57:BZ63"/>
    <mergeCell ref="BZ64:BZ70"/>
    <mergeCell ref="BZ71:BZ77"/>
    <mergeCell ref="BZ78:BZ84"/>
    <mergeCell ref="CA7:CA13"/>
    <mergeCell ref="CA15:CA21"/>
    <mergeCell ref="CA22:CA28"/>
    <mergeCell ref="CA29:CA35"/>
    <mergeCell ref="CA36:CA42"/>
    <mergeCell ref="CA43:CA49"/>
    <mergeCell ref="CA50:CA56"/>
    <mergeCell ref="CA57:CA63"/>
    <mergeCell ref="CA64:CA70"/>
    <mergeCell ref="CA71:CA77"/>
    <mergeCell ref="CA78:CA84"/>
    <mergeCell ref="CB7:CB13"/>
    <mergeCell ref="CB15:CB21"/>
    <mergeCell ref="CB22:CB28"/>
    <mergeCell ref="CB29:CB35"/>
    <mergeCell ref="CB36:CB42"/>
    <mergeCell ref="CB43:CB49"/>
    <mergeCell ref="CB50:CB56"/>
    <mergeCell ref="CB57:CB63"/>
    <mergeCell ref="CB64:CB70"/>
    <mergeCell ref="CB71:CB77"/>
    <mergeCell ref="CB78:CB84"/>
    <mergeCell ref="CC7:CC13"/>
    <mergeCell ref="CC15:CC21"/>
    <mergeCell ref="CC22:CC28"/>
    <mergeCell ref="CC29:CC35"/>
    <mergeCell ref="CC36:CC42"/>
    <mergeCell ref="CC43:CC49"/>
    <mergeCell ref="CC50:CC56"/>
    <mergeCell ref="CC57:CC63"/>
    <mergeCell ref="CC64:CC70"/>
    <mergeCell ref="CC71:CC77"/>
    <mergeCell ref="CC78:CC84"/>
    <mergeCell ref="CD7:CD13"/>
    <mergeCell ref="CD15:CD21"/>
    <mergeCell ref="CD22:CD28"/>
    <mergeCell ref="CD29:CD35"/>
    <mergeCell ref="CD36:CD42"/>
    <mergeCell ref="CD43:CD49"/>
    <mergeCell ref="CD50:CD56"/>
    <mergeCell ref="CD57:CD63"/>
    <mergeCell ref="CD64:CD70"/>
    <mergeCell ref="CD71:CD77"/>
    <mergeCell ref="CD78:CD84"/>
    <mergeCell ref="CE7:CE13"/>
    <mergeCell ref="CE15:CE21"/>
    <mergeCell ref="CE22:CE28"/>
    <mergeCell ref="CE29:CE35"/>
    <mergeCell ref="CE36:CE42"/>
    <mergeCell ref="CE43:CE49"/>
    <mergeCell ref="CE50:CE56"/>
    <mergeCell ref="CE57:CE63"/>
    <mergeCell ref="CE64:CE70"/>
    <mergeCell ref="CE71:CE77"/>
    <mergeCell ref="CE78:CE84"/>
    <mergeCell ref="CF1:CF3"/>
    <mergeCell ref="CF161:CF16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H169"/>
  <sheetViews>
    <sheetView workbookViewId="0">
      <pane xSplit="3" ySplit="4" topLeftCell="D5" activePane="bottomRight" state="frozen"/>
      <selection/>
      <selection pane="topRight"/>
      <selection pane="bottomLeft"/>
      <selection pane="bottomRight" activeCell="A1" sqref="A1:C1"/>
    </sheetView>
  </sheetViews>
  <sheetFormatPr defaultColWidth="14" defaultRowHeight="12.75"/>
  <cols>
    <col min="1" max="2" width="11" customWidth="1"/>
    <col min="3" max="3" width="12" customWidth="1"/>
    <col min="4" max="5" width="11" customWidth="1"/>
    <col min="6" max="6" width="10" customWidth="1"/>
    <col min="7" max="7" width="18" customWidth="1"/>
    <col min="8" max="8" width="13" customWidth="1"/>
    <col min="9" max="9" width="10" customWidth="1"/>
    <col min="10" max="10" width="13" customWidth="1"/>
    <col min="11" max="11" width="10" customWidth="1"/>
    <col min="12" max="12" width="31" customWidth="1"/>
    <col min="13" max="13" width="23" customWidth="1"/>
    <col min="14" max="14" width="14" customWidth="1"/>
    <col min="15" max="15" width="7" customWidth="1"/>
    <col min="16" max="17" width="14" customWidth="1"/>
    <col min="18" max="18" width="7" customWidth="1"/>
    <col min="19" max="19" width="10" customWidth="1"/>
    <col min="20" max="20" width="14" customWidth="1"/>
    <col min="21" max="21" width="11" customWidth="1"/>
    <col min="22" max="23" width="7" customWidth="1"/>
    <col min="24" max="24" width="9" customWidth="1"/>
    <col min="25" max="25" width="11" customWidth="1"/>
    <col min="26" max="26" width="9" customWidth="1"/>
    <col min="27" max="27" width="12" customWidth="1"/>
    <col min="28" max="28" width="13" customWidth="1"/>
    <col min="29" max="29" width="12" customWidth="1"/>
    <col min="30" max="30" width="13" customWidth="1"/>
    <col min="31" max="31" width="14" customWidth="1"/>
    <col min="32" max="33" width="8" hidden="1" customWidth="1"/>
    <col min="34" max="34" width="12" customWidth="1"/>
    <col min="35" max="35" width="10" customWidth="1"/>
    <col min="36" max="36" width="14" customWidth="1"/>
    <col min="37" max="37" width="11" customWidth="1"/>
    <col min="38" max="38" width="13" customWidth="1"/>
    <col min="39" max="39" width="12" customWidth="1"/>
    <col min="40" max="40" width="13" customWidth="1"/>
    <col min="41" max="41" width="10" customWidth="1"/>
    <col min="42" max="42" width="14" customWidth="1"/>
    <col min="43" max="43" width="11" customWidth="1"/>
    <col min="44" max="44" width="13" customWidth="1"/>
    <col min="45" max="45" width="10" customWidth="1"/>
    <col min="46" max="46" width="13" customWidth="1"/>
    <col min="47" max="47" width="11" customWidth="1"/>
    <col min="48" max="49" width="10" customWidth="1"/>
    <col min="50" max="51" width="8" customWidth="1"/>
    <col min="52" max="53" width="9" customWidth="1"/>
    <col min="54" max="56" width="8" customWidth="1"/>
    <col min="57" max="57" width="10" customWidth="1"/>
    <col min="58" max="60" width="8" customWidth="1"/>
    <col min="61" max="61" width="9" customWidth="1"/>
    <col min="62" max="62" width="15" customWidth="1"/>
    <col min="63" max="63" width="9" customWidth="1"/>
    <col min="64" max="65" width="11" customWidth="1"/>
    <col min="66" max="66" width="14" customWidth="1"/>
    <col min="67" max="67" width="9" customWidth="1"/>
    <col min="68" max="69" width="11" customWidth="1"/>
    <col min="70" max="70" width="14" customWidth="1"/>
    <col min="71" max="75" width="9" customWidth="1"/>
    <col min="76" max="76" width="13" customWidth="1"/>
    <col min="77" max="77" width="15" customWidth="1"/>
    <col min="78" max="78" width="17" customWidth="1"/>
    <col min="79" max="80" width="15" customWidth="1"/>
    <col min="81" max="81" width="18" customWidth="1"/>
    <col min="82" max="82" width="17" customWidth="1"/>
    <col min="83" max="83" width="15" customWidth="1"/>
    <col min="84" max="85" width="20" customWidth="1"/>
    <col min="86" max="86" width="17" customWidth="1"/>
  </cols>
  <sheetData>
    <row r="1" ht="29" customHeight="1" spans="1:86">
      <c r="A1" s="63" t="s">
        <v>215</v>
      </c>
      <c r="B1" s="64" t="s">
        <v>1</v>
      </c>
      <c r="C1" s="64" t="s">
        <v>1</v>
      </c>
      <c r="D1" s="65" t="s">
        <v>2</v>
      </c>
      <c r="E1" s="65" t="s">
        <v>1</v>
      </c>
      <c r="F1" s="65" t="s">
        <v>1</v>
      </c>
      <c r="G1" s="65" t="s">
        <v>1</v>
      </c>
      <c r="H1" s="65" t="s">
        <v>1</v>
      </c>
      <c r="I1" s="65" t="s">
        <v>1</v>
      </c>
      <c r="J1" s="65" t="s">
        <v>1</v>
      </c>
      <c r="K1" s="65" t="s">
        <v>1</v>
      </c>
      <c r="L1" s="182" t="s">
        <v>1</v>
      </c>
      <c r="M1" s="65" t="s">
        <v>1</v>
      </c>
      <c r="N1" s="65" t="s">
        <v>1</v>
      </c>
      <c r="O1" s="65" t="s">
        <v>1</v>
      </c>
      <c r="P1" s="65" t="s">
        <v>1</v>
      </c>
      <c r="Q1" s="65" t="s">
        <v>1</v>
      </c>
      <c r="R1" s="65" t="s">
        <v>1</v>
      </c>
      <c r="S1" s="65" t="s">
        <v>1</v>
      </c>
      <c r="T1" s="65" t="s">
        <v>1</v>
      </c>
      <c r="U1" s="65" t="s">
        <v>1</v>
      </c>
      <c r="V1" s="65" t="s">
        <v>1</v>
      </c>
      <c r="W1" s="65" t="s">
        <v>1</v>
      </c>
      <c r="X1" s="66" t="s">
        <v>3</v>
      </c>
      <c r="Y1" s="67" t="s">
        <v>1</v>
      </c>
      <c r="Z1" s="67" t="s">
        <v>1</v>
      </c>
      <c r="AA1" s="67" t="s">
        <v>1</v>
      </c>
      <c r="AB1" s="67" t="s">
        <v>1</v>
      </c>
      <c r="AC1" s="67" t="s">
        <v>1</v>
      </c>
      <c r="AD1" s="67" t="s">
        <v>1</v>
      </c>
      <c r="AE1" s="67" t="s">
        <v>1</v>
      </c>
      <c r="AF1" s="67" t="s">
        <v>1</v>
      </c>
      <c r="AG1" s="67" t="s">
        <v>1</v>
      </c>
      <c r="AH1" s="67" t="s">
        <v>1</v>
      </c>
      <c r="AI1" s="67" t="s">
        <v>1</v>
      </c>
      <c r="AJ1" s="67" t="s">
        <v>1</v>
      </c>
      <c r="AK1" s="67" t="s">
        <v>1</v>
      </c>
      <c r="AL1" s="67" t="s">
        <v>1</v>
      </c>
      <c r="AM1" s="67" t="s">
        <v>1</v>
      </c>
      <c r="AN1" s="67" t="s">
        <v>1</v>
      </c>
      <c r="AO1" s="67" t="s">
        <v>1</v>
      </c>
      <c r="AP1" s="67" t="s">
        <v>1</v>
      </c>
      <c r="AQ1" s="67" t="s">
        <v>1</v>
      </c>
      <c r="AR1" s="67" t="s">
        <v>1</v>
      </c>
      <c r="AS1" s="67" t="s">
        <v>1</v>
      </c>
      <c r="AT1" s="67" t="s">
        <v>1</v>
      </c>
      <c r="AU1" s="67" t="s">
        <v>1</v>
      </c>
      <c r="AV1" s="68" t="s">
        <v>4</v>
      </c>
      <c r="AW1" s="68" t="s">
        <v>1</v>
      </c>
      <c r="AX1" s="68" t="s">
        <v>1</v>
      </c>
      <c r="AY1" s="68" t="s">
        <v>1</v>
      </c>
      <c r="AZ1" s="68" t="s">
        <v>1</v>
      </c>
      <c r="BA1" s="68" t="s">
        <v>1</v>
      </c>
      <c r="BB1" s="68" t="s">
        <v>1</v>
      </c>
      <c r="BC1" s="68" t="s">
        <v>1</v>
      </c>
      <c r="BD1" s="68" t="s">
        <v>1</v>
      </c>
      <c r="BE1" s="68" t="s">
        <v>1</v>
      </c>
      <c r="BF1" s="68" t="s">
        <v>1</v>
      </c>
      <c r="BG1" s="68" t="s">
        <v>1</v>
      </c>
      <c r="BH1" s="68" t="s">
        <v>1</v>
      </c>
      <c r="BI1" s="68" t="s">
        <v>1</v>
      </c>
      <c r="BJ1" s="149" t="s">
        <v>5</v>
      </c>
      <c r="BK1" s="150" t="s">
        <v>6</v>
      </c>
      <c r="BL1" s="150" t="s">
        <v>1</v>
      </c>
      <c r="BM1" s="150" t="s">
        <v>1</v>
      </c>
      <c r="BN1" s="150" t="s">
        <v>1</v>
      </c>
      <c r="BO1" s="150" t="s">
        <v>1</v>
      </c>
      <c r="BP1" s="150" t="s">
        <v>1</v>
      </c>
      <c r="BQ1" s="150" t="s">
        <v>1</v>
      </c>
      <c r="BR1" s="101" t="s">
        <v>1</v>
      </c>
      <c r="BS1" s="71" t="s">
        <v>7</v>
      </c>
      <c r="BT1" s="71" t="s">
        <v>1</v>
      </c>
      <c r="BU1" s="71" t="s">
        <v>1</v>
      </c>
      <c r="BV1" s="71" t="s">
        <v>1</v>
      </c>
      <c r="BW1" s="71" t="s">
        <v>1</v>
      </c>
      <c r="BX1" s="71" t="s">
        <v>1</v>
      </c>
      <c r="BY1" s="71" t="s">
        <v>1</v>
      </c>
      <c r="BZ1" s="71" t="s">
        <v>1</v>
      </c>
      <c r="CA1" s="71" t="s">
        <v>1</v>
      </c>
      <c r="CB1" s="71" t="s">
        <v>1</v>
      </c>
      <c r="CC1" s="71" t="s">
        <v>1</v>
      </c>
      <c r="CD1" s="71" t="s">
        <v>1</v>
      </c>
      <c r="CE1" s="71" t="s">
        <v>1</v>
      </c>
      <c r="CF1" s="71" t="s">
        <v>1</v>
      </c>
      <c r="CG1" s="90" t="s">
        <v>1</v>
      </c>
      <c r="CH1" s="72" t="s">
        <v>8</v>
      </c>
    </row>
    <row r="2" ht="25" customHeight="1" spans="1:86">
      <c r="A2" s="73" t="s">
        <v>9</v>
      </c>
      <c r="B2" s="74" t="s">
        <v>10</v>
      </c>
      <c r="C2" s="75" t="s">
        <v>1</v>
      </c>
      <c r="D2" s="76" t="s">
        <v>11</v>
      </c>
      <c r="E2" s="77" t="s">
        <v>1</v>
      </c>
      <c r="F2" s="77" t="s">
        <v>1</v>
      </c>
      <c r="G2" s="77" t="s">
        <v>1</v>
      </c>
      <c r="H2" s="77" t="s">
        <v>1</v>
      </c>
      <c r="I2" s="77" t="s">
        <v>1</v>
      </c>
      <c r="J2" s="77" t="s">
        <v>1</v>
      </c>
      <c r="K2" s="77" t="s">
        <v>1</v>
      </c>
      <c r="L2" s="183" t="s">
        <v>12</v>
      </c>
      <c r="M2" s="77" t="s">
        <v>1</v>
      </c>
      <c r="N2" s="77" t="s">
        <v>1</v>
      </c>
      <c r="O2" s="77" t="s">
        <v>1</v>
      </c>
      <c r="P2" s="77" t="s">
        <v>1</v>
      </c>
      <c r="Q2" s="77" t="s">
        <v>1</v>
      </c>
      <c r="R2" s="77" t="s">
        <v>1</v>
      </c>
      <c r="S2" s="77" t="s">
        <v>1</v>
      </c>
      <c r="T2" s="77" t="s">
        <v>1</v>
      </c>
      <c r="U2" s="77" t="s">
        <v>1</v>
      </c>
      <c r="V2" s="77" t="s">
        <v>1</v>
      </c>
      <c r="W2" s="78" t="s">
        <v>1</v>
      </c>
      <c r="X2" s="79" t="s">
        <v>13</v>
      </c>
      <c r="Y2" s="80" t="s">
        <v>1</v>
      </c>
      <c r="Z2" s="81" t="s">
        <v>14</v>
      </c>
      <c r="AA2" s="82" t="s">
        <v>1</v>
      </c>
      <c r="AB2" s="81" t="s">
        <v>15</v>
      </c>
      <c r="AC2" s="82" t="s">
        <v>1</v>
      </c>
      <c r="AD2" s="81" t="s">
        <v>16</v>
      </c>
      <c r="AE2" s="82" t="s">
        <v>1</v>
      </c>
      <c r="AF2" s="81" t="s">
        <v>17</v>
      </c>
      <c r="AG2" s="82" t="s">
        <v>1</v>
      </c>
      <c r="AH2" s="81" t="s">
        <v>18</v>
      </c>
      <c r="AI2" s="82" t="s">
        <v>1</v>
      </c>
      <c r="AJ2" s="83" t="s">
        <v>19</v>
      </c>
      <c r="AK2" s="84" t="s">
        <v>1</v>
      </c>
      <c r="AL2" s="83" t="s">
        <v>20</v>
      </c>
      <c r="AM2" s="84" t="s">
        <v>1</v>
      </c>
      <c r="AN2" s="83" t="s">
        <v>21</v>
      </c>
      <c r="AO2" s="84" t="s">
        <v>1</v>
      </c>
      <c r="AP2" s="83" t="s">
        <v>22</v>
      </c>
      <c r="AQ2" s="84" t="s">
        <v>1</v>
      </c>
      <c r="AR2" s="85" t="s">
        <v>23</v>
      </c>
      <c r="AS2" s="86" t="s">
        <v>1</v>
      </c>
      <c r="AT2" s="85" t="s">
        <v>24</v>
      </c>
      <c r="AU2" s="86" t="s">
        <v>1</v>
      </c>
      <c r="AV2" s="68" t="s">
        <v>25</v>
      </c>
      <c r="AW2" s="68" t="s">
        <v>1</v>
      </c>
      <c r="AX2" s="87" t="s">
        <v>26</v>
      </c>
      <c r="AY2" s="87" t="s">
        <v>1</v>
      </c>
      <c r="AZ2" s="87" t="s">
        <v>27</v>
      </c>
      <c r="BA2" s="87" t="s">
        <v>1</v>
      </c>
      <c r="BB2" s="88" t="s">
        <v>28</v>
      </c>
      <c r="BC2" s="88" t="s">
        <v>1</v>
      </c>
      <c r="BD2" s="87" t="s">
        <v>29</v>
      </c>
      <c r="BE2" s="87" t="s">
        <v>1</v>
      </c>
      <c r="BF2" s="89" t="s">
        <v>30</v>
      </c>
      <c r="BG2" s="89" t="s">
        <v>1</v>
      </c>
      <c r="BH2" s="89" t="s">
        <v>31</v>
      </c>
      <c r="BI2" s="89" t="s">
        <v>1</v>
      </c>
      <c r="BJ2" s="149" t="s">
        <v>1</v>
      </c>
      <c r="BK2" s="150" t="s">
        <v>32</v>
      </c>
      <c r="BL2" s="150" t="s">
        <v>1</v>
      </c>
      <c r="BM2" s="150" t="s">
        <v>1</v>
      </c>
      <c r="BN2" s="150" t="s">
        <v>1</v>
      </c>
      <c r="BO2" s="151" t="s">
        <v>33</v>
      </c>
      <c r="BP2" s="150" t="s">
        <v>1</v>
      </c>
      <c r="BQ2" s="150" t="s">
        <v>1</v>
      </c>
      <c r="BR2" s="101" t="s">
        <v>1</v>
      </c>
      <c r="BS2" s="71" t="s">
        <v>34</v>
      </c>
      <c r="BT2" s="71" t="s">
        <v>1</v>
      </c>
      <c r="BU2" s="71" t="s">
        <v>1</v>
      </c>
      <c r="BV2" s="71" t="s">
        <v>1</v>
      </c>
      <c r="BW2" s="90" t="s">
        <v>1</v>
      </c>
      <c r="BX2" s="71" t="s">
        <v>35</v>
      </c>
      <c r="BY2" s="71" t="s">
        <v>1</v>
      </c>
      <c r="BZ2" s="71" t="s">
        <v>1</v>
      </c>
      <c r="CA2" s="71" t="s">
        <v>1</v>
      </c>
      <c r="CB2" s="71" t="s">
        <v>1</v>
      </c>
      <c r="CC2" s="71" t="s">
        <v>1</v>
      </c>
      <c r="CD2" s="71" t="s">
        <v>1</v>
      </c>
      <c r="CE2" s="71" t="s">
        <v>1</v>
      </c>
      <c r="CF2" s="71" t="s">
        <v>1</v>
      </c>
      <c r="CG2" s="90" t="s">
        <v>1</v>
      </c>
      <c r="CH2" s="72" t="s">
        <v>1</v>
      </c>
    </row>
    <row r="3" ht="53" customHeight="1" spans="1:86">
      <c r="A3" s="91" t="s">
        <v>1</v>
      </c>
      <c r="B3" s="92" t="s">
        <v>36</v>
      </c>
      <c r="C3" s="92" t="s">
        <v>37</v>
      </c>
      <c r="D3" s="93" t="s">
        <v>38</v>
      </c>
      <c r="E3" s="93" t="s">
        <v>39</v>
      </c>
      <c r="F3" s="93" t="s">
        <v>40</v>
      </c>
      <c r="G3" s="65" t="s">
        <v>41</v>
      </c>
      <c r="H3" s="65" t="s">
        <v>42</v>
      </c>
      <c r="I3" s="65" t="s">
        <v>43</v>
      </c>
      <c r="J3" s="65" t="s">
        <v>44</v>
      </c>
      <c r="K3" s="65" t="s">
        <v>45</v>
      </c>
      <c r="L3" s="182" t="s">
        <v>216</v>
      </c>
      <c r="M3" s="65" t="s">
        <v>217</v>
      </c>
      <c r="N3" s="65" t="s">
        <v>42</v>
      </c>
      <c r="O3" s="65" t="s">
        <v>47</v>
      </c>
      <c r="P3" s="65" t="s">
        <v>36</v>
      </c>
      <c r="Q3" s="65" t="s">
        <v>37</v>
      </c>
      <c r="R3" s="65" t="s">
        <v>42</v>
      </c>
      <c r="S3" s="65" t="s">
        <v>47</v>
      </c>
      <c r="T3" s="65" t="s">
        <v>36</v>
      </c>
      <c r="U3" s="65" t="s">
        <v>37</v>
      </c>
      <c r="V3" s="65" t="s">
        <v>42</v>
      </c>
      <c r="W3" s="65" t="s">
        <v>47</v>
      </c>
      <c r="X3" s="94" t="s">
        <v>36</v>
      </c>
      <c r="Y3" s="94" t="s">
        <v>37</v>
      </c>
      <c r="Z3" s="95" t="s">
        <v>36</v>
      </c>
      <c r="AA3" s="95" t="s">
        <v>37</v>
      </c>
      <c r="AB3" s="95" t="s">
        <v>36</v>
      </c>
      <c r="AC3" s="95" t="s">
        <v>37</v>
      </c>
      <c r="AD3" s="95" t="s">
        <v>36</v>
      </c>
      <c r="AE3" s="95" t="s">
        <v>37</v>
      </c>
      <c r="AF3" s="95" t="s">
        <v>36</v>
      </c>
      <c r="AG3" s="95" t="s">
        <v>37</v>
      </c>
      <c r="AH3" s="95" t="s">
        <v>36</v>
      </c>
      <c r="AI3" s="95" t="s">
        <v>37</v>
      </c>
      <c r="AJ3" s="96" t="s">
        <v>36</v>
      </c>
      <c r="AK3" s="96" t="s">
        <v>37</v>
      </c>
      <c r="AL3" s="96" t="s">
        <v>36</v>
      </c>
      <c r="AM3" s="96" t="s">
        <v>37</v>
      </c>
      <c r="AN3" s="96" t="s">
        <v>36</v>
      </c>
      <c r="AO3" s="96" t="s">
        <v>37</v>
      </c>
      <c r="AP3" s="96" t="s">
        <v>36</v>
      </c>
      <c r="AQ3" s="96" t="s">
        <v>37</v>
      </c>
      <c r="AR3" s="97" t="s">
        <v>36</v>
      </c>
      <c r="AS3" s="97" t="s">
        <v>37</v>
      </c>
      <c r="AT3" s="97" t="s">
        <v>36</v>
      </c>
      <c r="AU3" s="97" t="s">
        <v>37</v>
      </c>
      <c r="AV3" s="68" t="s">
        <v>36</v>
      </c>
      <c r="AW3" s="68" t="s">
        <v>37</v>
      </c>
      <c r="AX3" s="98" t="s">
        <v>36</v>
      </c>
      <c r="AY3" s="98" t="s">
        <v>37</v>
      </c>
      <c r="AZ3" s="98" t="s">
        <v>36</v>
      </c>
      <c r="BA3" s="98" t="s">
        <v>37</v>
      </c>
      <c r="BB3" s="68" t="s">
        <v>36</v>
      </c>
      <c r="BC3" s="68" t="s">
        <v>37</v>
      </c>
      <c r="BD3" s="98" t="s">
        <v>36</v>
      </c>
      <c r="BE3" s="98" t="s">
        <v>37</v>
      </c>
      <c r="BF3" s="99" t="s">
        <v>36</v>
      </c>
      <c r="BG3" s="99" t="s">
        <v>37</v>
      </c>
      <c r="BH3" s="99" t="s">
        <v>36</v>
      </c>
      <c r="BI3" s="99" t="s">
        <v>37</v>
      </c>
      <c r="BJ3" s="149" t="s">
        <v>1</v>
      </c>
      <c r="BK3" s="153" t="s">
        <v>49</v>
      </c>
      <c r="BL3" s="100" t="s">
        <v>50</v>
      </c>
      <c r="BM3" s="100" t="s">
        <v>51</v>
      </c>
      <c r="BN3" s="101" t="s">
        <v>52</v>
      </c>
      <c r="BO3" s="100" t="s">
        <v>49</v>
      </c>
      <c r="BP3" s="100" t="s">
        <v>50</v>
      </c>
      <c r="BQ3" s="100" t="s">
        <v>51</v>
      </c>
      <c r="BR3" s="101" t="s">
        <v>52</v>
      </c>
      <c r="BS3" s="90" t="s">
        <v>53</v>
      </c>
      <c r="BT3" s="90" t="s">
        <v>54</v>
      </c>
      <c r="BU3" s="90" t="s">
        <v>55</v>
      </c>
      <c r="BV3" s="90" t="s">
        <v>56</v>
      </c>
      <c r="BW3" s="90" t="s">
        <v>57</v>
      </c>
      <c r="BX3" s="90" t="s">
        <v>53</v>
      </c>
      <c r="BY3" s="90" t="s">
        <v>54</v>
      </c>
      <c r="BZ3" s="90" t="s">
        <v>55</v>
      </c>
      <c r="CA3" s="90" t="s">
        <v>56</v>
      </c>
      <c r="CB3" s="90" t="s">
        <v>57</v>
      </c>
      <c r="CC3" s="90" t="s">
        <v>58</v>
      </c>
      <c r="CD3" s="90" t="s">
        <v>59</v>
      </c>
      <c r="CE3" s="90" t="s">
        <v>60</v>
      </c>
      <c r="CF3" s="90" t="s">
        <v>61</v>
      </c>
      <c r="CG3" s="90" t="s">
        <v>62</v>
      </c>
      <c r="CH3" s="72" t="s">
        <v>1</v>
      </c>
    </row>
    <row r="4" ht="36" customHeight="1" spans="1:86">
      <c r="A4" s="102" t="s">
        <v>63</v>
      </c>
      <c r="B4" s="103" t="s">
        <v>64</v>
      </c>
      <c r="C4" s="103" t="s">
        <v>64</v>
      </c>
      <c r="D4" s="184" t="s">
        <v>65</v>
      </c>
      <c r="E4" s="184" t="s">
        <v>65</v>
      </c>
      <c r="F4" s="103" t="s">
        <v>64</v>
      </c>
      <c r="G4" s="184" t="s">
        <v>65</v>
      </c>
      <c r="H4" s="184" t="s">
        <v>65</v>
      </c>
      <c r="I4" s="184" t="s">
        <v>65</v>
      </c>
      <c r="J4" s="184" t="s">
        <v>65</v>
      </c>
      <c r="K4" s="184" t="s">
        <v>65</v>
      </c>
      <c r="L4" s="185" t="s">
        <v>66</v>
      </c>
      <c r="M4" s="186" t="s">
        <v>66</v>
      </c>
      <c r="N4" s="186" t="s">
        <v>66</v>
      </c>
      <c r="O4" s="186" t="s">
        <v>66</v>
      </c>
      <c r="P4" s="186" t="s">
        <v>67</v>
      </c>
      <c r="Q4" s="186" t="s">
        <v>67</v>
      </c>
      <c r="R4" s="186" t="s">
        <v>67</v>
      </c>
      <c r="S4" s="186" t="s">
        <v>67</v>
      </c>
      <c r="T4" s="186" t="s">
        <v>68</v>
      </c>
      <c r="U4" s="186" t="s">
        <v>68</v>
      </c>
      <c r="V4" s="186" t="s">
        <v>68</v>
      </c>
      <c r="W4" s="186" t="s">
        <v>68</v>
      </c>
      <c r="X4" s="103" t="s">
        <v>64</v>
      </c>
      <c r="Y4" s="103" t="s">
        <v>64</v>
      </c>
      <c r="Z4" s="103" t="s">
        <v>64</v>
      </c>
      <c r="AA4" s="103" t="s">
        <v>64</v>
      </c>
      <c r="AB4" s="103" t="s">
        <v>64</v>
      </c>
      <c r="AC4" s="103" t="s">
        <v>64</v>
      </c>
      <c r="AD4" s="103" t="s">
        <v>64</v>
      </c>
      <c r="AE4" s="103" t="s">
        <v>64</v>
      </c>
      <c r="AF4" s="103" t="s">
        <v>64</v>
      </c>
      <c r="AG4" s="103" t="s">
        <v>64</v>
      </c>
      <c r="AH4" s="103" t="s">
        <v>64</v>
      </c>
      <c r="AI4" s="103" t="s">
        <v>64</v>
      </c>
      <c r="AJ4" s="103" t="s">
        <v>64</v>
      </c>
      <c r="AK4" s="103" t="s">
        <v>64</v>
      </c>
      <c r="AL4" s="103" t="s">
        <v>64</v>
      </c>
      <c r="AM4" s="103" t="s">
        <v>64</v>
      </c>
      <c r="AN4" s="103" t="s">
        <v>64</v>
      </c>
      <c r="AO4" s="103" t="s">
        <v>64</v>
      </c>
      <c r="AP4" s="103" t="s">
        <v>64</v>
      </c>
      <c r="AQ4" s="103" t="s">
        <v>64</v>
      </c>
      <c r="AR4" s="103" t="s">
        <v>64</v>
      </c>
      <c r="AS4" s="103" t="s">
        <v>64</v>
      </c>
      <c r="AT4" s="103" t="s">
        <v>64</v>
      </c>
      <c r="AU4" s="103" t="s">
        <v>64</v>
      </c>
      <c r="AV4" s="149" t="s">
        <v>67</v>
      </c>
      <c r="AW4" s="149" t="s">
        <v>67</v>
      </c>
      <c r="AX4" s="149" t="s">
        <v>67</v>
      </c>
      <c r="AY4" s="149" t="s">
        <v>67</v>
      </c>
      <c r="AZ4" s="149" t="s">
        <v>67</v>
      </c>
      <c r="BA4" s="149" t="s">
        <v>67</v>
      </c>
      <c r="BB4" s="149" t="s">
        <v>67</v>
      </c>
      <c r="BC4" s="149" t="s">
        <v>67</v>
      </c>
      <c r="BD4" s="149" t="s">
        <v>67</v>
      </c>
      <c r="BE4" s="149" t="s">
        <v>67</v>
      </c>
      <c r="BF4" s="149" t="s">
        <v>67</v>
      </c>
      <c r="BG4" s="149" t="s">
        <v>67</v>
      </c>
      <c r="BH4" s="149" t="s">
        <v>67</v>
      </c>
      <c r="BI4" s="149" t="s">
        <v>67</v>
      </c>
      <c r="BJ4" s="149" t="s">
        <v>69</v>
      </c>
      <c r="BK4" s="149" t="s">
        <v>64</v>
      </c>
      <c r="BL4" s="149" t="s">
        <v>64</v>
      </c>
      <c r="BM4" s="149" t="s">
        <v>64</v>
      </c>
      <c r="BN4" s="149" t="s">
        <v>64</v>
      </c>
      <c r="BO4" s="149" t="s">
        <v>64</v>
      </c>
      <c r="BP4" s="149" t="s">
        <v>64</v>
      </c>
      <c r="BQ4" s="149" t="s">
        <v>64</v>
      </c>
      <c r="BR4" s="149" t="s">
        <v>64</v>
      </c>
      <c r="BS4" s="149" t="s">
        <v>64</v>
      </c>
      <c r="BT4" s="149" t="s">
        <v>64</v>
      </c>
      <c r="BU4" s="149" t="s">
        <v>64</v>
      </c>
      <c r="BV4" s="149" t="s">
        <v>64</v>
      </c>
      <c r="BW4" s="149" t="s">
        <v>64</v>
      </c>
      <c r="BX4" s="149" t="s">
        <v>64</v>
      </c>
      <c r="BY4" s="149" t="s">
        <v>64</v>
      </c>
      <c r="BZ4" s="149" t="s">
        <v>64</v>
      </c>
      <c r="CA4" s="149" t="s">
        <v>64</v>
      </c>
      <c r="CB4" s="149" t="s">
        <v>64</v>
      </c>
      <c r="CC4" s="149" t="s">
        <v>64</v>
      </c>
      <c r="CD4" s="149" t="s">
        <v>64</v>
      </c>
      <c r="CE4" s="149" t="s">
        <v>64</v>
      </c>
      <c r="CF4" s="149" t="s">
        <v>64</v>
      </c>
      <c r="CG4" s="149" t="s">
        <v>64</v>
      </c>
      <c r="CH4" s="149" t="s">
        <v>64</v>
      </c>
    </row>
    <row r="5" ht="21" customHeight="1" spans="1:86">
      <c r="A5" s="107">
        <v>45108</v>
      </c>
      <c r="B5" s="108" t="s">
        <v>70</v>
      </c>
      <c r="C5" s="92" t="s">
        <v>125</v>
      </c>
      <c r="D5" s="30" t="s">
        <v>1</v>
      </c>
      <c r="E5" s="30" t="s">
        <v>1</v>
      </c>
      <c r="F5" s="30">
        <v>4.4791</v>
      </c>
      <c r="G5" s="30">
        <v>5.612</v>
      </c>
      <c r="H5" s="141" t="str">
        <f t="shared" ref="H5:H68" si="0">IFERROR(E5/G5-1,"")</f>
        <v/>
      </c>
      <c r="I5" s="30">
        <v>3.5793</v>
      </c>
      <c r="J5" s="141" t="str">
        <f t="shared" ref="J5:J68" si="1">IFERROR(E5/I5,"")</f>
        <v/>
      </c>
      <c r="K5" s="141" t="str">
        <f>IFERROR(E5/#REF!,"")</f>
        <v/>
      </c>
      <c r="L5" s="30">
        <v>66322</v>
      </c>
      <c r="M5" s="30">
        <v>30203.76</v>
      </c>
      <c r="N5" s="141">
        <f t="shared" ref="N5:N68" si="2">L5/M5-1</f>
        <v>1.19581932845447</v>
      </c>
      <c r="O5" s="92" t="s">
        <v>1</v>
      </c>
      <c r="P5" s="92" t="s">
        <v>1</v>
      </c>
      <c r="Q5" s="92" t="s">
        <v>1</v>
      </c>
      <c r="R5" s="92" t="s">
        <v>1</v>
      </c>
      <c r="S5" s="92" t="s">
        <v>1</v>
      </c>
      <c r="T5" s="108">
        <v>0</v>
      </c>
      <c r="U5" s="108">
        <v>8967.68</v>
      </c>
      <c r="V5" s="92" t="s">
        <v>1</v>
      </c>
      <c r="W5" s="92" t="s">
        <v>1</v>
      </c>
      <c r="X5" s="92" t="s">
        <v>1</v>
      </c>
      <c r="Y5" s="92">
        <v>6236</v>
      </c>
      <c r="Z5" s="92" t="s">
        <v>1</v>
      </c>
      <c r="AA5" s="92">
        <v>2063</v>
      </c>
      <c r="AB5" s="92" t="s">
        <v>1</v>
      </c>
      <c r="AC5" s="92">
        <v>3</v>
      </c>
      <c r="AD5" s="92" t="s">
        <v>1</v>
      </c>
      <c r="AE5" s="92">
        <v>84</v>
      </c>
      <c r="AF5" s="92">
        <v>15</v>
      </c>
      <c r="AG5" s="92">
        <v>6</v>
      </c>
      <c r="AH5" s="92" t="s">
        <v>1</v>
      </c>
      <c r="AI5" s="92">
        <v>102</v>
      </c>
      <c r="AJ5" s="92">
        <v>1967</v>
      </c>
      <c r="AK5" s="92">
        <v>1786</v>
      </c>
      <c r="AL5" s="92">
        <v>595</v>
      </c>
      <c r="AM5" s="92">
        <v>321</v>
      </c>
      <c r="AN5" s="92">
        <v>94</v>
      </c>
      <c r="AO5" s="92">
        <v>74</v>
      </c>
      <c r="AP5" s="92">
        <v>30</v>
      </c>
      <c r="AQ5" s="92">
        <v>99</v>
      </c>
      <c r="AR5" s="92">
        <v>1012</v>
      </c>
      <c r="AS5" s="92">
        <v>994</v>
      </c>
      <c r="AT5" s="92">
        <v>156</v>
      </c>
      <c r="AU5" s="92">
        <v>145</v>
      </c>
      <c r="AV5" s="187">
        <v>0.0033</v>
      </c>
      <c r="AW5" s="187">
        <v>0.0126</v>
      </c>
      <c r="AX5" s="92" t="s">
        <v>1</v>
      </c>
      <c r="AY5" s="92" t="s">
        <v>1</v>
      </c>
      <c r="AZ5" s="92" t="s">
        <v>1</v>
      </c>
      <c r="BA5" s="92" t="s">
        <v>1</v>
      </c>
      <c r="BB5" s="92" t="s">
        <v>1</v>
      </c>
      <c r="BC5" s="92" t="s">
        <v>1</v>
      </c>
      <c r="BD5" s="92" t="s">
        <v>1</v>
      </c>
      <c r="BE5" s="92" t="s">
        <v>1</v>
      </c>
      <c r="BF5" s="92" t="s">
        <v>1</v>
      </c>
      <c r="BG5" s="92" t="s">
        <v>1</v>
      </c>
      <c r="BH5" s="92" t="s">
        <v>1</v>
      </c>
      <c r="BI5" s="92" t="s">
        <v>1</v>
      </c>
      <c r="BJ5" s="141" t="s">
        <v>1</v>
      </c>
      <c r="BK5" s="92" t="s">
        <v>73</v>
      </c>
      <c r="BL5" s="92">
        <v>98</v>
      </c>
      <c r="BM5" s="92">
        <v>755</v>
      </c>
      <c r="BN5" s="92">
        <v>998</v>
      </c>
      <c r="BO5" s="92" t="s">
        <v>74</v>
      </c>
      <c r="BP5" s="92">
        <v>551</v>
      </c>
      <c r="BQ5" s="92">
        <v>208</v>
      </c>
      <c r="BR5" s="92">
        <v>301</v>
      </c>
      <c r="BS5" s="92" t="s">
        <v>1</v>
      </c>
      <c r="BT5" s="92" t="s">
        <v>1</v>
      </c>
      <c r="BU5" s="92" t="s">
        <v>1</v>
      </c>
      <c r="BV5" s="92" t="s">
        <v>1</v>
      </c>
      <c r="BW5" s="92" t="s">
        <v>1</v>
      </c>
      <c r="BX5" s="92" t="s">
        <v>1</v>
      </c>
      <c r="BY5" s="92" t="s">
        <v>1</v>
      </c>
      <c r="BZ5" s="92" t="s">
        <v>1</v>
      </c>
      <c r="CA5" s="92" t="s">
        <v>1</v>
      </c>
      <c r="CB5" s="92" t="s">
        <v>1</v>
      </c>
      <c r="CC5" s="92" t="s">
        <v>1</v>
      </c>
      <c r="CD5" s="92" t="s">
        <v>1</v>
      </c>
      <c r="CE5" s="92" t="s">
        <v>1</v>
      </c>
      <c r="CF5" s="92" t="s">
        <v>1</v>
      </c>
      <c r="CG5" s="92" t="s">
        <v>1</v>
      </c>
      <c r="CH5" s="92" t="s">
        <v>1</v>
      </c>
    </row>
    <row r="6" ht="21" customHeight="1" spans="1:86">
      <c r="A6" s="107">
        <v>45109</v>
      </c>
      <c r="B6" s="108" t="s">
        <v>70</v>
      </c>
      <c r="C6" s="92" t="s">
        <v>218</v>
      </c>
      <c r="D6" s="30" t="s">
        <v>1</v>
      </c>
      <c r="E6" s="30" t="s">
        <v>1</v>
      </c>
      <c r="F6" s="30">
        <v>6.1787</v>
      </c>
      <c r="G6" s="30">
        <v>9.2912</v>
      </c>
      <c r="H6" s="141" t="str">
        <f t="shared" si="0"/>
        <v/>
      </c>
      <c r="I6" s="30">
        <v>5.2789</v>
      </c>
      <c r="J6" s="141" t="str">
        <f t="shared" si="1"/>
        <v/>
      </c>
      <c r="K6" s="141" t="str">
        <f>IFERROR(E6/#REF!,"")</f>
        <v/>
      </c>
      <c r="L6" s="30">
        <v>22467</v>
      </c>
      <c r="M6" s="30">
        <v>37991.1</v>
      </c>
      <c r="N6" s="141">
        <f t="shared" si="2"/>
        <v>-0.408624651563129</v>
      </c>
      <c r="O6" s="92" t="s">
        <v>1</v>
      </c>
      <c r="P6" s="92" t="s">
        <v>1</v>
      </c>
      <c r="Q6" s="92" t="s">
        <v>1</v>
      </c>
      <c r="R6" s="92" t="s">
        <v>1</v>
      </c>
      <c r="S6" s="92" t="s">
        <v>1</v>
      </c>
      <c r="T6" s="108">
        <v>0</v>
      </c>
      <c r="U6" s="108">
        <v>0</v>
      </c>
      <c r="V6" s="92" t="s">
        <v>1</v>
      </c>
      <c r="W6" s="92" t="s">
        <v>1</v>
      </c>
      <c r="X6" s="92" t="s">
        <v>1</v>
      </c>
      <c r="Y6" s="92">
        <v>7527</v>
      </c>
      <c r="Z6" s="92" t="s">
        <v>1</v>
      </c>
      <c r="AA6" s="92">
        <v>2429</v>
      </c>
      <c r="AB6" s="92" t="s">
        <v>1</v>
      </c>
      <c r="AC6" s="92">
        <v>3</v>
      </c>
      <c r="AD6" s="92" t="s">
        <v>1</v>
      </c>
      <c r="AE6" s="92">
        <v>89</v>
      </c>
      <c r="AF6" s="92">
        <v>17</v>
      </c>
      <c r="AG6" s="92">
        <v>11</v>
      </c>
      <c r="AH6" s="92" t="s">
        <v>1</v>
      </c>
      <c r="AI6" s="92">
        <v>97</v>
      </c>
      <c r="AJ6" s="92">
        <v>2177</v>
      </c>
      <c r="AK6" s="92">
        <v>2051</v>
      </c>
      <c r="AL6" s="92">
        <v>632</v>
      </c>
      <c r="AM6" s="92">
        <v>440</v>
      </c>
      <c r="AN6" s="92">
        <v>116</v>
      </c>
      <c r="AO6" s="92">
        <v>69</v>
      </c>
      <c r="AP6" s="92">
        <v>36</v>
      </c>
      <c r="AQ6" s="92">
        <v>166</v>
      </c>
      <c r="AR6" s="92">
        <v>1125</v>
      </c>
      <c r="AS6" s="92">
        <v>1113</v>
      </c>
      <c r="AT6" s="92">
        <v>138</v>
      </c>
      <c r="AU6" s="92">
        <v>153</v>
      </c>
      <c r="AV6" s="187">
        <v>0.0042</v>
      </c>
      <c r="AW6" s="187">
        <v>0.0095</v>
      </c>
      <c r="AX6" s="92" t="s">
        <v>1</v>
      </c>
      <c r="AY6" s="92" t="s">
        <v>1</v>
      </c>
      <c r="AZ6" s="92" t="s">
        <v>1</v>
      </c>
      <c r="BA6" s="92" t="s">
        <v>1</v>
      </c>
      <c r="BB6" s="92" t="s">
        <v>1</v>
      </c>
      <c r="BC6" s="92" t="s">
        <v>1</v>
      </c>
      <c r="BD6" s="92" t="s">
        <v>1</v>
      </c>
      <c r="BE6" s="92" t="s">
        <v>1</v>
      </c>
      <c r="BF6" s="92" t="s">
        <v>1</v>
      </c>
      <c r="BG6" s="92" t="s">
        <v>1</v>
      </c>
      <c r="BH6" s="92" t="s">
        <v>1</v>
      </c>
      <c r="BI6" s="92" t="s">
        <v>1</v>
      </c>
      <c r="BJ6" s="141" t="s">
        <v>1</v>
      </c>
      <c r="BK6" s="92" t="s">
        <v>73</v>
      </c>
      <c r="BL6" s="92">
        <v>77</v>
      </c>
      <c r="BM6" s="92">
        <v>1074</v>
      </c>
      <c r="BN6" s="92">
        <v>1299</v>
      </c>
      <c r="BO6" s="92" t="s">
        <v>74</v>
      </c>
      <c r="BP6" s="92">
        <v>528</v>
      </c>
      <c r="BQ6" s="92">
        <v>227</v>
      </c>
      <c r="BR6" s="92">
        <v>332</v>
      </c>
      <c r="BS6" s="92" t="s">
        <v>1</v>
      </c>
      <c r="BT6" s="92" t="s">
        <v>1</v>
      </c>
      <c r="BU6" s="92" t="s">
        <v>1</v>
      </c>
      <c r="BV6" s="92" t="s">
        <v>1</v>
      </c>
      <c r="BW6" s="92" t="s">
        <v>1</v>
      </c>
      <c r="BX6" s="92" t="s">
        <v>1</v>
      </c>
      <c r="BY6" s="92" t="s">
        <v>1</v>
      </c>
      <c r="BZ6" s="92" t="s">
        <v>1</v>
      </c>
      <c r="CA6" s="92" t="s">
        <v>1</v>
      </c>
      <c r="CB6" s="92" t="s">
        <v>1</v>
      </c>
      <c r="CC6" s="92" t="s">
        <v>1</v>
      </c>
      <c r="CD6" s="92" t="s">
        <v>1</v>
      </c>
      <c r="CE6" s="92" t="s">
        <v>1</v>
      </c>
      <c r="CF6" s="92" t="s">
        <v>1</v>
      </c>
      <c r="CG6" s="92" t="s">
        <v>1</v>
      </c>
      <c r="CH6" s="92" t="s">
        <v>1</v>
      </c>
    </row>
    <row r="7" ht="21" customHeight="1" spans="1:86">
      <c r="A7" s="107">
        <v>45110</v>
      </c>
      <c r="B7" s="188" t="s">
        <v>75</v>
      </c>
      <c r="C7" s="92" t="s">
        <v>125</v>
      </c>
      <c r="D7" s="30" t="s">
        <v>1</v>
      </c>
      <c r="E7" s="30" t="s">
        <v>1</v>
      </c>
      <c r="F7" s="30">
        <v>0.8998</v>
      </c>
      <c r="G7" s="30">
        <v>0.4369</v>
      </c>
      <c r="H7" s="141" t="str">
        <f t="shared" si="0"/>
        <v/>
      </c>
      <c r="I7" s="30">
        <v>0.4499</v>
      </c>
      <c r="J7" s="141" t="str">
        <f t="shared" si="1"/>
        <v/>
      </c>
      <c r="K7" s="141" t="str">
        <f>IFERROR(E7/#REF!,"")</f>
        <v/>
      </c>
      <c r="L7" s="30">
        <v>35146</v>
      </c>
      <c r="M7" s="30">
        <v>22267</v>
      </c>
      <c r="N7" s="141">
        <f t="shared" si="2"/>
        <v>0.578389545066691</v>
      </c>
      <c r="O7" s="92" t="s">
        <v>1</v>
      </c>
      <c r="P7" s="92" t="s">
        <v>1</v>
      </c>
      <c r="Q7" s="92" t="s">
        <v>1</v>
      </c>
      <c r="R7" s="92" t="s">
        <v>1</v>
      </c>
      <c r="S7" s="92" t="s">
        <v>1</v>
      </c>
      <c r="T7" s="108">
        <v>0</v>
      </c>
      <c r="U7" s="108">
        <v>0</v>
      </c>
      <c r="V7" s="92" t="s">
        <v>1</v>
      </c>
      <c r="W7" s="92" t="s">
        <v>1</v>
      </c>
      <c r="X7" s="92" t="s">
        <v>1</v>
      </c>
      <c r="Y7" s="92">
        <v>7101</v>
      </c>
      <c r="Z7" s="92" t="s">
        <v>1</v>
      </c>
      <c r="AA7" s="92">
        <v>2403</v>
      </c>
      <c r="AB7" s="92" t="s">
        <v>1</v>
      </c>
      <c r="AC7" s="92">
        <v>3</v>
      </c>
      <c r="AD7" s="92" t="s">
        <v>1</v>
      </c>
      <c r="AE7" s="92">
        <v>89</v>
      </c>
      <c r="AF7" s="92">
        <v>16</v>
      </c>
      <c r="AG7" s="92">
        <v>16</v>
      </c>
      <c r="AH7" s="92" t="s">
        <v>1</v>
      </c>
      <c r="AI7" s="92">
        <v>113</v>
      </c>
      <c r="AJ7" s="92">
        <v>1828</v>
      </c>
      <c r="AK7" s="92">
        <v>2002</v>
      </c>
      <c r="AL7" s="92">
        <v>504</v>
      </c>
      <c r="AM7" s="92">
        <v>564</v>
      </c>
      <c r="AN7" s="92">
        <v>94</v>
      </c>
      <c r="AO7" s="92">
        <v>83</v>
      </c>
      <c r="AP7" s="92">
        <v>35</v>
      </c>
      <c r="AQ7" s="92">
        <v>110</v>
      </c>
      <c r="AR7" s="92">
        <v>779</v>
      </c>
      <c r="AS7" s="92">
        <v>1063</v>
      </c>
      <c r="AT7" s="92">
        <v>175</v>
      </c>
      <c r="AU7" s="92">
        <v>226</v>
      </c>
      <c r="AV7" s="187">
        <v>0.0004</v>
      </c>
      <c r="AW7" s="187">
        <v>0.0029</v>
      </c>
      <c r="AX7" s="92" t="s">
        <v>1</v>
      </c>
      <c r="AY7" s="92" t="s">
        <v>1</v>
      </c>
      <c r="AZ7" s="92" t="s">
        <v>1</v>
      </c>
      <c r="BA7" s="92" t="s">
        <v>1</v>
      </c>
      <c r="BB7" s="92" t="s">
        <v>1</v>
      </c>
      <c r="BC7" s="92" t="s">
        <v>1</v>
      </c>
      <c r="BD7" s="92" t="s">
        <v>1</v>
      </c>
      <c r="BE7" s="92" t="s">
        <v>1</v>
      </c>
      <c r="BF7" s="92" t="s">
        <v>1</v>
      </c>
      <c r="BG7" s="92" t="s">
        <v>1</v>
      </c>
      <c r="BH7" s="92" t="s">
        <v>1</v>
      </c>
      <c r="BI7" s="92" t="s">
        <v>1</v>
      </c>
      <c r="BJ7" s="92" t="s">
        <v>1</v>
      </c>
      <c r="BK7" s="92" t="s">
        <v>74</v>
      </c>
      <c r="BL7" s="92">
        <v>123</v>
      </c>
      <c r="BM7" s="92">
        <v>511</v>
      </c>
      <c r="BN7" s="92">
        <v>1030</v>
      </c>
      <c r="BO7" s="92" t="s">
        <v>74</v>
      </c>
      <c r="BP7" s="92">
        <v>855</v>
      </c>
      <c r="BQ7" s="92">
        <v>106</v>
      </c>
      <c r="BR7" s="92">
        <v>224</v>
      </c>
      <c r="BS7" s="92" t="s">
        <v>1</v>
      </c>
      <c r="BT7" s="92" t="s">
        <v>1</v>
      </c>
      <c r="BU7" s="92" t="s">
        <v>1</v>
      </c>
      <c r="BV7" s="92" t="s">
        <v>1</v>
      </c>
      <c r="BW7" s="92" t="s">
        <v>1</v>
      </c>
      <c r="BX7" s="189" t="s">
        <v>83</v>
      </c>
      <c r="BY7" s="189" t="s">
        <v>78</v>
      </c>
      <c r="BZ7" s="190" t="s">
        <v>92</v>
      </c>
      <c r="CA7" s="189" t="s">
        <v>93</v>
      </c>
      <c r="CB7" s="188" t="s">
        <v>181</v>
      </c>
      <c r="CC7" s="190" t="s">
        <v>145</v>
      </c>
      <c r="CD7" s="189" t="s">
        <v>81</v>
      </c>
      <c r="CE7" s="190" t="s">
        <v>219</v>
      </c>
      <c r="CF7" s="191" t="s">
        <v>150</v>
      </c>
      <c r="CG7" s="188" t="s">
        <v>141</v>
      </c>
      <c r="CH7" s="92" t="s">
        <v>1</v>
      </c>
    </row>
    <row r="8" ht="21" customHeight="1" spans="1:86">
      <c r="A8" s="107">
        <v>45111</v>
      </c>
      <c r="B8" s="108" t="s">
        <v>70</v>
      </c>
      <c r="C8" s="92" t="s">
        <v>220</v>
      </c>
      <c r="D8" s="30" t="s">
        <v>1</v>
      </c>
      <c r="E8" s="30" t="s">
        <v>1</v>
      </c>
      <c r="F8" s="30">
        <v>8.0487</v>
      </c>
      <c r="G8" s="30">
        <v>9.1474</v>
      </c>
      <c r="H8" s="141" t="str">
        <f t="shared" si="0"/>
        <v/>
      </c>
      <c r="I8" s="30">
        <v>6.699</v>
      </c>
      <c r="J8" s="141" t="str">
        <f t="shared" si="1"/>
        <v/>
      </c>
      <c r="K8" s="141" t="str">
        <f>IFERROR(E8/#REF!,"")</f>
        <v/>
      </c>
      <c r="L8" s="30">
        <v>66870</v>
      </c>
      <c r="M8" s="30">
        <v>43640.41</v>
      </c>
      <c r="N8" s="141">
        <f t="shared" si="2"/>
        <v>0.532295411523402</v>
      </c>
      <c r="O8" s="92" t="s">
        <v>1</v>
      </c>
      <c r="P8" s="92" t="s">
        <v>1</v>
      </c>
      <c r="Q8" s="92" t="s">
        <v>1</v>
      </c>
      <c r="R8" s="92" t="s">
        <v>1</v>
      </c>
      <c r="S8" s="92" t="s">
        <v>1</v>
      </c>
      <c r="T8" s="108">
        <v>4599</v>
      </c>
      <c r="U8" s="108">
        <v>9198</v>
      </c>
      <c r="V8" s="92" t="s">
        <v>1</v>
      </c>
      <c r="W8" s="92" t="s">
        <v>1</v>
      </c>
      <c r="X8" s="92" t="s">
        <v>1</v>
      </c>
      <c r="Y8" s="92">
        <v>8376</v>
      </c>
      <c r="Z8" s="92" t="s">
        <v>1</v>
      </c>
      <c r="AA8" s="92">
        <v>2942</v>
      </c>
      <c r="AB8" s="92" t="s">
        <v>1</v>
      </c>
      <c r="AC8" s="92">
        <v>3</v>
      </c>
      <c r="AD8" s="92" t="s">
        <v>1</v>
      </c>
      <c r="AE8" s="92">
        <v>74</v>
      </c>
      <c r="AF8" s="92">
        <v>18</v>
      </c>
      <c r="AG8" s="92">
        <v>17</v>
      </c>
      <c r="AH8" s="92" t="s">
        <v>1</v>
      </c>
      <c r="AI8" s="92">
        <v>102</v>
      </c>
      <c r="AJ8" s="92">
        <v>1815</v>
      </c>
      <c r="AK8" s="92">
        <v>2471</v>
      </c>
      <c r="AL8" s="92">
        <v>539</v>
      </c>
      <c r="AM8" s="92">
        <v>613</v>
      </c>
      <c r="AN8" s="92">
        <v>108</v>
      </c>
      <c r="AO8" s="92">
        <v>129</v>
      </c>
      <c r="AP8" s="92">
        <v>31</v>
      </c>
      <c r="AQ8" s="92">
        <v>102</v>
      </c>
      <c r="AR8" s="92">
        <v>728</v>
      </c>
      <c r="AS8" s="92">
        <v>953</v>
      </c>
      <c r="AT8" s="92">
        <v>172</v>
      </c>
      <c r="AU8" s="92">
        <v>213</v>
      </c>
      <c r="AV8" s="187">
        <v>0.0063</v>
      </c>
      <c r="AW8" s="187">
        <v>0.0095</v>
      </c>
      <c r="AX8" s="92" t="s">
        <v>1</v>
      </c>
      <c r="AY8" s="92" t="s">
        <v>1</v>
      </c>
      <c r="AZ8" s="92" t="s">
        <v>1</v>
      </c>
      <c r="BA8" s="92" t="s">
        <v>1</v>
      </c>
      <c r="BB8" s="92" t="s">
        <v>1</v>
      </c>
      <c r="BC8" s="92" t="s">
        <v>1</v>
      </c>
      <c r="BD8" s="92" t="s">
        <v>1</v>
      </c>
      <c r="BE8" s="92" t="s">
        <v>1</v>
      </c>
      <c r="BF8" s="92" t="s">
        <v>1</v>
      </c>
      <c r="BG8" s="92" t="s">
        <v>1</v>
      </c>
      <c r="BH8" s="92" t="s">
        <v>1</v>
      </c>
      <c r="BI8" s="92" t="s">
        <v>1</v>
      </c>
      <c r="BJ8" s="92" t="s">
        <v>1</v>
      </c>
      <c r="BK8" s="92" t="s">
        <v>74</v>
      </c>
      <c r="BL8" s="92">
        <v>138</v>
      </c>
      <c r="BM8" s="92">
        <v>468</v>
      </c>
      <c r="BN8" s="92">
        <v>835</v>
      </c>
      <c r="BO8" s="92" t="s">
        <v>74</v>
      </c>
      <c r="BP8" s="92">
        <v>908</v>
      </c>
      <c r="BQ8" s="92">
        <v>93</v>
      </c>
      <c r="BR8" s="92">
        <v>186</v>
      </c>
      <c r="BS8" s="92" t="s">
        <v>1</v>
      </c>
      <c r="BT8" s="92" t="s">
        <v>1</v>
      </c>
      <c r="BU8" s="92" t="s">
        <v>1</v>
      </c>
      <c r="BV8" s="92" t="s">
        <v>1</v>
      </c>
      <c r="BW8" s="92" t="s">
        <v>1</v>
      </c>
      <c r="BX8" s="189" t="s">
        <v>1</v>
      </c>
      <c r="BY8" s="189" t="s">
        <v>1</v>
      </c>
      <c r="BZ8" s="190" t="s">
        <v>1</v>
      </c>
      <c r="CA8" s="189" t="s">
        <v>1</v>
      </c>
      <c r="CB8" s="188" t="s">
        <v>1</v>
      </c>
      <c r="CC8" s="190" t="s">
        <v>1</v>
      </c>
      <c r="CD8" s="189" t="s">
        <v>1</v>
      </c>
      <c r="CE8" s="190" t="s">
        <v>1</v>
      </c>
      <c r="CF8" s="191" t="s">
        <v>1</v>
      </c>
      <c r="CG8" s="188" t="s">
        <v>1</v>
      </c>
      <c r="CH8" s="92" t="s">
        <v>1</v>
      </c>
    </row>
    <row r="9" ht="21" customHeight="1" spans="1:86">
      <c r="A9" s="107">
        <v>45112</v>
      </c>
      <c r="B9" s="108" t="s">
        <v>70</v>
      </c>
      <c r="C9" s="92" t="s">
        <v>125</v>
      </c>
      <c r="D9" s="30" t="s">
        <v>1</v>
      </c>
      <c r="E9" s="30" t="s">
        <v>1</v>
      </c>
      <c r="F9" s="30">
        <v>12.0174</v>
      </c>
      <c r="G9" s="30">
        <v>9.3312</v>
      </c>
      <c r="H9" s="141" t="str">
        <f t="shared" si="0"/>
        <v/>
      </c>
      <c r="I9" s="30">
        <v>9.7679</v>
      </c>
      <c r="J9" s="141" t="str">
        <f t="shared" si="1"/>
        <v/>
      </c>
      <c r="K9" s="141" t="str">
        <f>IFERROR(E9/#REF!,"")</f>
        <v/>
      </c>
      <c r="L9" s="30">
        <v>57174</v>
      </c>
      <c r="M9" s="30">
        <v>65231</v>
      </c>
      <c r="N9" s="141">
        <f t="shared" si="2"/>
        <v>-0.123514893225614</v>
      </c>
      <c r="O9" s="92" t="s">
        <v>1</v>
      </c>
      <c r="P9" s="92" t="s">
        <v>1</v>
      </c>
      <c r="Q9" s="92" t="s">
        <v>1</v>
      </c>
      <c r="R9" s="92" t="s">
        <v>1</v>
      </c>
      <c r="S9" s="92" t="s">
        <v>1</v>
      </c>
      <c r="T9" s="108">
        <v>0</v>
      </c>
      <c r="U9" s="108">
        <v>9198</v>
      </c>
      <c r="V9" s="92" t="s">
        <v>1</v>
      </c>
      <c r="W9" s="92" t="s">
        <v>1</v>
      </c>
      <c r="X9" s="92" t="s">
        <v>1</v>
      </c>
      <c r="Y9" s="92">
        <v>8309</v>
      </c>
      <c r="Z9" s="92" t="s">
        <v>1</v>
      </c>
      <c r="AA9" s="92">
        <v>2767</v>
      </c>
      <c r="AB9" s="92" t="s">
        <v>1</v>
      </c>
      <c r="AC9" s="92">
        <v>3</v>
      </c>
      <c r="AD9" s="92" t="s">
        <v>1</v>
      </c>
      <c r="AE9" s="92">
        <v>89</v>
      </c>
      <c r="AF9" s="92">
        <v>21</v>
      </c>
      <c r="AG9" s="92">
        <v>6</v>
      </c>
      <c r="AH9" s="92" t="s">
        <v>1</v>
      </c>
      <c r="AI9" s="92">
        <v>119</v>
      </c>
      <c r="AJ9" s="92">
        <v>2070</v>
      </c>
      <c r="AK9" s="92">
        <v>2280</v>
      </c>
      <c r="AL9" s="92">
        <v>578</v>
      </c>
      <c r="AM9" s="92">
        <v>587</v>
      </c>
      <c r="AN9" s="92">
        <v>122</v>
      </c>
      <c r="AO9" s="92">
        <v>86</v>
      </c>
      <c r="AP9" s="92">
        <v>20</v>
      </c>
      <c r="AQ9" s="92">
        <v>187</v>
      </c>
      <c r="AR9" s="92">
        <v>1051</v>
      </c>
      <c r="AS9" s="92">
        <v>1155</v>
      </c>
      <c r="AT9" s="92">
        <v>199</v>
      </c>
      <c r="AU9" s="92">
        <v>188</v>
      </c>
      <c r="AV9" s="187">
        <v>0.0084</v>
      </c>
      <c r="AW9" s="187">
        <v>0.0101</v>
      </c>
      <c r="AX9" s="92" t="s">
        <v>1</v>
      </c>
      <c r="AY9" s="92" t="s">
        <v>1</v>
      </c>
      <c r="AZ9" s="92" t="s">
        <v>1</v>
      </c>
      <c r="BA9" s="92" t="s">
        <v>1</v>
      </c>
      <c r="BB9" s="92" t="s">
        <v>1</v>
      </c>
      <c r="BC9" s="92" t="s">
        <v>1</v>
      </c>
      <c r="BD9" s="92" t="s">
        <v>1</v>
      </c>
      <c r="BE9" s="92" t="s">
        <v>1</v>
      </c>
      <c r="BF9" s="92" t="s">
        <v>1</v>
      </c>
      <c r="BG9" s="92" t="s">
        <v>1</v>
      </c>
      <c r="BH9" s="92" t="s">
        <v>1</v>
      </c>
      <c r="BI9" s="92" t="s">
        <v>1</v>
      </c>
      <c r="BJ9" s="192">
        <v>1</v>
      </c>
      <c r="BK9" s="92" t="s">
        <v>73</v>
      </c>
      <c r="BL9" s="92">
        <v>72</v>
      </c>
      <c r="BM9" s="92">
        <v>872</v>
      </c>
      <c r="BN9" s="92">
        <v>1213</v>
      </c>
      <c r="BO9" s="92" t="s">
        <v>74</v>
      </c>
      <c r="BP9" s="92">
        <v>595</v>
      </c>
      <c r="BQ9" s="92">
        <v>168</v>
      </c>
      <c r="BR9" s="92">
        <v>252</v>
      </c>
      <c r="BS9" s="92" t="s">
        <v>1</v>
      </c>
      <c r="BT9" s="92" t="s">
        <v>1</v>
      </c>
      <c r="BU9" s="92" t="s">
        <v>1</v>
      </c>
      <c r="BV9" s="92" t="s">
        <v>1</v>
      </c>
      <c r="BW9" s="92" t="s">
        <v>1</v>
      </c>
      <c r="BX9" s="189" t="s">
        <v>1</v>
      </c>
      <c r="BY9" s="189" t="s">
        <v>1</v>
      </c>
      <c r="BZ9" s="190" t="s">
        <v>1</v>
      </c>
      <c r="CA9" s="189" t="s">
        <v>1</v>
      </c>
      <c r="CB9" s="188" t="s">
        <v>1</v>
      </c>
      <c r="CC9" s="190" t="s">
        <v>1</v>
      </c>
      <c r="CD9" s="189" t="s">
        <v>1</v>
      </c>
      <c r="CE9" s="190" t="s">
        <v>1</v>
      </c>
      <c r="CF9" s="191" t="s">
        <v>1</v>
      </c>
      <c r="CG9" s="188" t="s">
        <v>1</v>
      </c>
      <c r="CH9" s="92" t="s">
        <v>1</v>
      </c>
    </row>
    <row r="10" ht="21" customHeight="1" spans="1:86">
      <c r="A10" s="107">
        <v>45113</v>
      </c>
      <c r="B10" s="108" t="s">
        <v>70</v>
      </c>
      <c r="C10" s="92" t="s">
        <v>125</v>
      </c>
      <c r="D10" s="30" t="s">
        <v>1</v>
      </c>
      <c r="E10" s="30" t="s">
        <v>1</v>
      </c>
      <c r="F10" s="30">
        <v>6.9987</v>
      </c>
      <c r="G10" s="30">
        <v>6.9963</v>
      </c>
      <c r="H10" s="141" t="str">
        <f t="shared" si="0"/>
        <v/>
      </c>
      <c r="I10" s="30">
        <v>6.9987</v>
      </c>
      <c r="J10" s="141" t="str">
        <f t="shared" si="1"/>
        <v/>
      </c>
      <c r="K10" s="141" t="str">
        <f>IFERROR(E10/#REF!,"")</f>
        <v/>
      </c>
      <c r="L10" s="30">
        <v>71395</v>
      </c>
      <c r="M10" s="30">
        <v>72133.63</v>
      </c>
      <c r="N10" s="141">
        <f t="shared" si="2"/>
        <v>-0.0102397453171288</v>
      </c>
      <c r="O10" s="92" t="s">
        <v>1</v>
      </c>
      <c r="P10" s="92" t="s">
        <v>1</v>
      </c>
      <c r="Q10" s="92" t="s">
        <v>1</v>
      </c>
      <c r="R10" s="92" t="s">
        <v>1</v>
      </c>
      <c r="S10" s="92" t="s">
        <v>1</v>
      </c>
      <c r="T10" s="108">
        <v>0</v>
      </c>
      <c r="U10" s="108">
        <v>9198</v>
      </c>
      <c r="V10" s="92" t="s">
        <v>1</v>
      </c>
      <c r="W10" s="92" t="s">
        <v>1</v>
      </c>
      <c r="X10" s="92" t="s">
        <v>1</v>
      </c>
      <c r="Y10" s="92">
        <v>8167</v>
      </c>
      <c r="Z10" s="92" t="s">
        <v>1</v>
      </c>
      <c r="AA10" s="92">
        <v>2567</v>
      </c>
      <c r="AB10" s="92" t="s">
        <v>1</v>
      </c>
      <c r="AC10" s="92">
        <v>3</v>
      </c>
      <c r="AD10" s="92" t="s">
        <v>1</v>
      </c>
      <c r="AE10" s="92">
        <v>89</v>
      </c>
      <c r="AF10" s="92">
        <v>8</v>
      </c>
      <c r="AG10" s="92">
        <v>9</v>
      </c>
      <c r="AH10" s="92" t="s">
        <v>1</v>
      </c>
      <c r="AI10" s="92">
        <v>127</v>
      </c>
      <c r="AJ10" s="92">
        <v>2020</v>
      </c>
      <c r="AK10" s="92">
        <v>2094</v>
      </c>
      <c r="AL10" s="92">
        <v>523</v>
      </c>
      <c r="AM10" s="92">
        <v>672</v>
      </c>
      <c r="AN10" s="92">
        <v>87</v>
      </c>
      <c r="AO10" s="92">
        <v>74</v>
      </c>
      <c r="AP10" s="92">
        <v>26</v>
      </c>
      <c r="AQ10" s="92">
        <v>143</v>
      </c>
      <c r="AR10" s="92">
        <v>1091</v>
      </c>
      <c r="AS10" s="92">
        <v>1177</v>
      </c>
      <c r="AT10" s="92">
        <v>164</v>
      </c>
      <c r="AU10" s="92">
        <v>199</v>
      </c>
      <c r="AV10" s="187">
        <v>0.0059</v>
      </c>
      <c r="AW10" s="187">
        <v>0.0086</v>
      </c>
      <c r="AX10" s="92" t="s">
        <v>1</v>
      </c>
      <c r="AY10" s="92" t="s">
        <v>1</v>
      </c>
      <c r="AZ10" s="92" t="s">
        <v>1</v>
      </c>
      <c r="BA10" s="92" t="s">
        <v>1</v>
      </c>
      <c r="BB10" s="92" t="s">
        <v>1</v>
      </c>
      <c r="BC10" s="92" t="s">
        <v>1</v>
      </c>
      <c r="BD10" s="92" t="s">
        <v>1</v>
      </c>
      <c r="BE10" s="92" t="s">
        <v>1</v>
      </c>
      <c r="BF10" s="92" t="s">
        <v>1</v>
      </c>
      <c r="BG10" s="92" t="s">
        <v>1</v>
      </c>
      <c r="BH10" s="92" t="s">
        <v>1</v>
      </c>
      <c r="BI10" s="92" t="s">
        <v>1</v>
      </c>
      <c r="BJ10" s="192">
        <v>1</v>
      </c>
      <c r="BK10" s="92" t="s">
        <v>73</v>
      </c>
      <c r="BL10" s="92">
        <v>80</v>
      </c>
      <c r="BM10" s="92">
        <v>738</v>
      </c>
      <c r="BN10" s="92">
        <v>1133</v>
      </c>
      <c r="BO10" s="92" t="s">
        <v>74</v>
      </c>
      <c r="BP10" s="92">
        <v>444</v>
      </c>
      <c r="BQ10" s="92">
        <v>242</v>
      </c>
      <c r="BR10" s="92">
        <v>594</v>
      </c>
      <c r="BS10" s="92" t="s">
        <v>1</v>
      </c>
      <c r="BT10" s="92" t="s">
        <v>1</v>
      </c>
      <c r="BU10" s="92" t="s">
        <v>1</v>
      </c>
      <c r="BV10" s="92" t="s">
        <v>1</v>
      </c>
      <c r="BW10" s="92" t="s">
        <v>1</v>
      </c>
      <c r="BX10" s="189" t="s">
        <v>1</v>
      </c>
      <c r="BY10" s="189" t="s">
        <v>1</v>
      </c>
      <c r="BZ10" s="190" t="s">
        <v>1</v>
      </c>
      <c r="CA10" s="189" t="s">
        <v>1</v>
      </c>
      <c r="CB10" s="188" t="s">
        <v>1</v>
      </c>
      <c r="CC10" s="190" t="s">
        <v>1</v>
      </c>
      <c r="CD10" s="189" t="s">
        <v>1</v>
      </c>
      <c r="CE10" s="190" t="s">
        <v>1</v>
      </c>
      <c r="CF10" s="191" t="s">
        <v>1</v>
      </c>
      <c r="CG10" s="188" t="s">
        <v>1</v>
      </c>
      <c r="CH10" s="92" t="s">
        <v>1</v>
      </c>
    </row>
    <row r="11" ht="21" customHeight="1" spans="1:86">
      <c r="A11" s="107">
        <v>45114</v>
      </c>
      <c r="B11" s="108" t="s">
        <v>70</v>
      </c>
      <c r="C11" s="92" t="s">
        <v>220</v>
      </c>
      <c r="D11" s="30" t="s">
        <v>1</v>
      </c>
      <c r="E11" s="30" t="s">
        <v>1</v>
      </c>
      <c r="F11" s="30">
        <v>7.2385</v>
      </c>
      <c r="G11" s="30">
        <v>5.1525</v>
      </c>
      <c r="H11" s="141" t="str">
        <f t="shared" si="0"/>
        <v/>
      </c>
      <c r="I11" s="30">
        <v>6.3387</v>
      </c>
      <c r="J11" s="141" t="str">
        <f t="shared" si="1"/>
        <v/>
      </c>
      <c r="K11" s="141" t="str">
        <f>IFERROR(E11/#REF!,"")</f>
        <v/>
      </c>
      <c r="L11" s="30">
        <v>34694</v>
      </c>
      <c r="M11" s="30">
        <v>109910.41</v>
      </c>
      <c r="N11" s="141">
        <f t="shared" si="2"/>
        <v>-0.684342911649588</v>
      </c>
      <c r="O11" s="92" t="s">
        <v>1</v>
      </c>
      <c r="P11" s="92" t="s">
        <v>1</v>
      </c>
      <c r="Q11" s="92" t="s">
        <v>1</v>
      </c>
      <c r="R11" s="92" t="s">
        <v>1</v>
      </c>
      <c r="S11" s="92" t="s">
        <v>1</v>
      </c>
      <c r="T11" s="108">
        <v>4599</v>
      </c>
      <c r="U11" s="108">
        <v>24295</v>
      </c>
      <c r="V11" s="92" t="s">
        <v>1</v>
      </c>
      <c r="W11" s="92" t="s">
        <v>1</v>
      </c>
      <c r="X11" s="92" t="s">
        <v>1</v>
      </c>
      <c r="Y11" s="92">
        <v>6666</v>
      </c>
      <c r="Z11" s="92" t="s">
        <v>1</v>
      </c>
      <c r="AA11" s="92">
        <v>2209</v>
      </c>
      <c r="AB11" s="92" t="s">
        <v>1</v>
      </c>
      <c r="AC11" s="92">
        <v>3</v>
      </c>
      <c r="AD11" s="92" t="s">
        <v>1</v>
      </c>
      <c r="AE11" s="92">
        <v>91</v>
      </c>
      <c r="AF11" s="92">
        <v>15</v>
      </c>
      <c r="AG11" s="92">
        <v>14</v>
      </c>
      <c r="AH11" s="92" t="s">
        <v>1</v>
      </c>
      <c r="AI11" s="92">
        <v>95</v>
      </c>
      <c r="AJ11" s="92">
        <v>1918</v>
      </c>
      <c r="AK11" s="92">
        <v>1730</v>
      </c>
      <c r="AL11" s="92">
        <v>589</v>
      </c>
      <c r="AM11" s="92">
        <v>598</v>
      </c>
      <c r="AN11" s="92">
        <v>102</v>
      </c>
      <c r="AO11" s="92">
        <v>72</v>
      </c>
      <c r="AP11" s="92">
        <v>27</v>
      </c>
      <c r="AQ11" s="92">
        <v>137</v>
      </c>
      <c r="AR11" s="92">
        <v>966</v>
      </c>
      <c r="AS11" s="92">
        <v>891</v>
      </c>
      <c r="AT11" s="92">
        <v>143</v>
      </c>
      <c r="AU11" s="92">
        <v>184</v>
      </c>
      <c r="AV11" s="187">
        <v>0.006</v>
      </c>
      <c r="AW11" s="187">
        <v>0.0081</v>
      </c>
      <c r="AX11" s="92" t="s">
        <v>1</v>
      </c>
      <c r="AY11" s="92" t="s">
        <v>1</v>
      </c>
      <c r="AZ11" s="92" t="s">
        <v>1</v>
      </c>
      <c r="BA11" s="92" t="s">
        <v>1</v>
      </c>
      <c r="BB11" s="92" t="s">
        <v>1</v>
      </c>
      <c r="BC11" s="92" t="s">
        <v>1</v>
      </c>
      <c r="BD11" s="92" t="s">
        <v>1</v>
      </c>
      <c r="BE11" s="92" t="s">
        <v>1</v>
      </c>
      <c r="BF11" s="92" t="s">
        <v>1</v>
      </c>
      <c r="BG11" s="92" t="s">
        <v>1</v>
      </c>
      <c r="BH11" s="92" t="s">
        <v>1</v>
      </c>
      <c r="BI11" s="92" t="s">
        <v>1</v>
      </c>
      <c r="BJ11" s="192">
        <v>1</v>
      </c>
      <c r="BK11" s="92" t="s">
        <v>73</v>
      </c>
      <c r="BL11" s="92">
        <v>87</v>
      </c>
      <c r="BM11" s="92">
        <v>704</v>
      </c>
      <c r="BN11" s="92">
        <v>616</v>
      </c>
      <c r="BO11" s="92" t="s">
        <v>74</v>
      </c>
      <c r="BP11" s="92">
        <v>559</v>
      </c>
      <c r="BQ11" s="92">
        <v>164</v>
      </c>
      <c r="BR11" s="92">
        <v>137</v>
      </c>
      <c r="BS11" s="92" t="s">
        <v>1</v>
      </c>
      <c r="BT11" s="92" t="s">
        <v>1</v>
      </c>
      <c r="BU11" s="92" t="s">
        <v>1</v>
      </c>
      <c r="BV11" s="92" t="s">
        <v>1</v>
      </c>
      <c r="BW11" s="92" t="s">
        <v>1</v>
      </c>
      <c r="BX11" s="189" t="s">
        <v>1</v>
      </c>
      <c r="BY11" s="189" t="s">
        <v>1</v>
      </c>
      <c r="BZ11" s="190" t="s">
        <v>1</v>
      </c>
      <c r="CA11" s="189" t="s">
        <v>1</v>
      </c>
      <c r="CB11" s="188" t="s">
        <v>1</v>
      </c>
      <c r="CC11" s="190" t="s">
        <v>1</v>
      </c>
      <c r="CD11" s="189" t="s">
        <v>1</v>
      </c>
      <c r="CE11" s="190" t="s">
        <v>1</v>
      </c>
      <c r="CF11" s="191" t="s">
        <v>1</v>
      </c>
      <c r="CG11" s="188" t="s">
        <v>1</v>
      </c>
      <c r="CH11" s="92" t="s">
        <v>1</v>
      </c>
    </row>
    <row r="12" ht="21" customHeight="1" spans="1:86">
      <c r="A12" s="107">
        <v>45115</v>
      </c>
      <c r="B12" s="108" t="s">
        <v>70</v>
      </c>
      <c r="C12" s="92" t="s">
        <v>125</v>
      </c>
      <c r="D12" s="30" t="s">
        <v>1</v>
      </c>
      <c r="E12" s="30" t="s">
        <v>1</v>
      </c>
      <c r="F12" s="30">
        <v>7.9283</v>
      </c>
      <c r="G12" s="30">
        <v>3.9395</v>
      </c>
      <c r="H12" s="141" t="str">
        <f t="shared" si="0"/>
        <v/>
      </c>
      <c r="I12" s="30">
        <v>7.9283</v>
      </c>
      <c r="J12" s="141" t="str">
        <f t="shared" si="1"/>
        <v/>
      </c>
      <c r="K12" s="141" t="str">
        <f>IFERROR(E12/#REF!,"")</f>
        <v/>
      </c>
      <c r="L12" s="30">
        <v>26553</v>
      </c>
      <c r="M12" s="30">
        <v>67231</v>
      </c>
      <c r="N12" s="141">
        <f t="shared" si="2"/>
        <v>-0.605048266424715</v>
      </c>
      <c r="O12" s="92" t="s">
        <v>1</v>
      </c>
      <c r="P12" s="92" t="s">
        <v>1</v>
      </c>
      <c r="Q12" s="92" t="s">
        <v>1</v>
      </c>
      <c r="R12" s="92" t="s">
        <v>1</v>
      </c>
      <c r="S12" s="92" t="s">
        <v>1</v>
      </c>
      <c r="T12" s="108">
        <v>0</v>
      </c>
      <c r="U12" s="108">
        <v>0</v>
      </c>
      <c r="V12" s="92" t="s">
        <v>1</v>
      </c>
      <c r="W12" s="92" t="s">
        <v>1</v>
      </c>
      <c r="X12" s="92" t="s">
        <v>1</v>
      </c>
      <c r="Y12" s="92">
        <v>6390</v>
      </c>
      <c r="Z12" s="92" t="s">
        <v>1</v>
      </c>
      <c r="AA12" s="92">
        <v>2093</v>
      </c>
      <c r="AB12" s="92" t="s">
        <v>1</v>
      </c>
      <c r="AC12" s="92">
        <v>3</v>
      </c>
      <c r="AD12" s="92" t="s">
        <v>1</v>
      </c>
      <c r="AE12" s="92">
        <v>86</v>
      </c>
      <c r="AF12" s="92">
        <v>14</v>
      </c>
      <c r="AG12" s="92">
        <v>5</v>
      </c>
      <c r="AH12" s="92" t="s">
        <v>1</v>
      </c>
      <c r="AI12" s="92">
        <v>89</v>
      </c>
      <c r="AJ12" s="92">
        <v>2212</v>
      </c>
      <c r="AK12" s="92">
        <v>1699</v>
      </c>
      <c r="AL12" s="92">
        <v>665</v>
      </c>
      <c r="AM12" s="92">
        <v>490</v>
      </c>
      <c r="AN12" s="92">
        <v>103</v>
      </c>
      <c r="AO12" s="92">
        <v>72</v>
      </c>
      <c r="AP12" s="92">
        <v>37</v>
      </c>
      <c r="AQ12" s="92">
        <v>143</v>
      </c>
      <c r="AR12" s="92">
        <v>1162</v>
      </c>
      <c r="AS12" s="92">
        <v>861</v>
      </c>
      <c r="AT12" s="92">
        <v>196</v>
      </c>
      <c r="AU12" s="92">
        <v>156</v>
      </c>
      <c r="AV12" s="187">
        <v>0.0064</v>
      </c>
      <c r="AW12" s="187">
        <v>0.0072</v>
      </c>
      <c r="AX12" s="92" t="s">
        <v>1</v>
      </c>
      <c r="AY12" s="92" t="s">
        <v>1</v>
      </c>
      <c r="AZ12" s="92" t="s">
        <v>1</v>
      </c>
      <c r="BA12" s="92" t="s">
        <v>1</v>
      </c>
      <c r="BB12" s="92" t="s">
        <v>1</v>
      </c>
      <c r="BC12" s="92" t="s">
        <v>1</v>
      </c>
      <c r="BD12" s="92" t="s">
        <v>1</v>
      </c>
      <c r="BE12" s="92" t="s">
        <v>1</v>
      </c>
      <c r="BF12" s="92" t="s">
        <v>1</v>
      </c>
      <c r="BG12" s="92" t="s">
        <v>1</v>
      </c>
      <c r="BH12" s="92" t="s">
        <v>1</v>
      </c>
      <c r="BI12" s="92" t="s">
        <v>1</v>
      </c>
      <c r="BJ12" s="92" t="s">
        <v>1</v>
      </c>
      <c r="BK12" s="92" t="s">
        <v>73</v>
      </c>
      <c r="BL12" s="92">
        <v>82</v>
      </c>
      <c r="BM12" s="92">
        <v>868</v>
      </c>
      <c r="BN12" s="92">
        <v>490</v>
      </c>
      <c r="BO12" s="92" t="s">
        <v>74</v>
      </c>
      <c r="BP12" s="92">
        <v>405</v>
      </c>
      <c r="BQ12" s="92">
        <v>274</v>
      </c>
      <c r="BR12" s="92">
        <v>146</v>
      </c>
      <c r="BS12" s="92" t="s">
        <v>1</v>
      </c>
      <c r="BT12" s="92" t="s">
        <v>1</v>
      </c>
      <c r="BU12" s="92" t="s">
        <v>1</v>
      </c>
      <c r="BV12" s="92" t="s">
        <v>1</v>
      </c>
      <c r="BW12" s="92" t="s">
        <v>1</v>
      </c>
      <c r="BX12" s="189" t="s">
        <v>1</v>
      </c>
      <c r="BY12" s="189" t="s">
        <v>1</v>
      </c>
      <c r="BZ12" s="190" t="s">
        <v>1</v>
      </c>
      <c r="CA12" s="189" t="s">
        <v>1</v>
      </c>
      <c r="CB12" s="188" t="s">
        <v>1</v>
      </c>
      <c r="CC12" s="190" t="s">
        <v>1</v>
      </c>
      <c r="CD12" s="189" t="s">
        <v>1</v>
      </c>
      <c r="CE12" s="190" t="s">
        <v>1</v>
      </c>
      <c r="CF12" s="191" t="s">
        <v>1</v>
      </c>
      <c r="CG12" s="188" t="s">
        <v>1</v>
      </c>
      <c r="CH12" s="92" t="s">
        <v>1</v>
      </c>
    </row>
    <row r="13" ht="21" customHeight="1" spans="1:86">
      <c r="A13" s="107">
        <v>45116</v>
      </c>
      <c r="B13" s="188" t="s">
        <v>75</v>
      </c>
      <c r="C13" s="92" t="s">
        <v>125</v>
      </c>
      <c r="D13" s="30" t="s">
        <v>1</v>
      </c>
      <c r="E13" s="30" t="s">
        <v>1</v>
      </c>
      <c r="F13" s="30">
        <v>1.7996</v>
      </c>
      <c r="G13" s="30">
        <v>6.3287</v>
      </c>
      <c r="H13" s="141" t="str">
        <f t="shared" si="0"/>
        <v/>
      </c>
      <c r="I13" s="30">
        <v>0</v>
      </c>
      <c r="J13" s="141" t="str">
        <f t="shared" si="1"/>
        <v/>
      </c>
      <c r="K13" s="141" t="str">
        <f>IFERROR(E13/#REF!,"")</f>
        <v/>
      </c>
      <c r="L13" s="30">
        <v>20946</v>
      </c>
      <c r="M13" s="30">
        <v>46280</v>
      </c>
      <c r="N13" s="141">
        <f t="shared" si="2"/>
        <v>-0.547407087294728</v>
      </c>
      <c r="O13" s="92" t="s">
        <v>1</v>
      </c>
      <c r="P13" s="92" t="s">
        <v>1</v>
      </c>
      <c r="Q13" s="92" t="s">
        <v>1</v>
      </c>
      <c r="R13" s="92" t="s">
        <v>1</v>
      </c>
      <c r="S13" s="92" t="s">
        <v>1</v>
      </c>
      <c r="T13" s="108">
        <v>0</v>
      </c>
      <c r="U13" s="108">
        <v>10498</v>
      </c>
      <c r="V13" s="92" t="s">
        <v>1</v>
      </c>
      <c r="W13" s="92" t="s">
        <v>1</v>
      </c>
      <c r="X13" s="92" t="s">
        <v>1</v>
      </c>
      <c r="Y13" s="92">
        <v>7875</v>
      </c>
      <c r="Z13" s="92" t="s">
        <v>1</v>
      </c>
      <c r="AA13" s="92">
        <v>2918</v>
      </c>
      <c r="AB13" s="92" t="s">
        <v>1</v>
      </c>
      <c r="AC13" s="92">
        <v>3</v>
      </c>
      <c r="AD13" s="92" t="s">
        <v>1</v>
      </c>
      <c r="AE13" s="92">
        <v>77</v>
      </c>
      <c r="AF13" s="92">
        <v>7</v>
      </c>
      <c r="AG13" s="92">
        <v>12</v>
      </c>
      <c r="AH13" s="92" t="s">
        <v>1</v>
      </c>
      <c r="AI13" s="92">
        <v>94</v>
      </c>
      <c r="AJ13" s="92">
        <v>1818</v>
      </c>
      <c r="AK13" s="92">
        <v>2413</v>
      </c>
      <c r="AL13" s="92">
        <v>648</v>
      </c>
      <c r="AM13" s="92">
        <v>669</v>
      </c>
      <c r="AN13" s="92">
        <v>69</v>
      </c>
      <c r="AO13" s="92">
        <v>79</v>
      </c>
      <c r="AP13" s="92">
        <v>39</v>
      </c>
      <c r="AQ13" s="92">
        <v>146</v>
      </c>
      <c r="AR13" s="92">
        <v>822</v>
      </c>
      <c r="AS13" s="92">
        <v>899</v>
      </c>
      <c r="AT13" s="92">
        <v>200</v>
      </c>
      <c r="AU13" s="92">
        <v>178</v>
      </c>
      <c r="AV13" s="187">
        <v>0</v>
      </c>
      <c r="AW13" s="187">
        <v>0.0055</v>
      </c>
      <c r="AX13" s="92" t="s">
        <v>1</v>
      </c>
      <c r="AY13" s="92" t="s">
        <v>1</v>
      </c>
      <c r="AZ13" s="92" t="s">
        <v>1</v>
      </c>
      <c r="BA13" s="92" t="s">
        <v>1</v>
      </c>
      <c r="BB13" s="92" t="s">
        <v>1</v>
      </c>
      <c r="BC13" s="92" t="s">
        <v>1</v>
      </c>
      <c r="BD13" s="92" t="s">
        <v>1</v>
      </c>
      <c r="BE13" s="92" t="s">
        <v>1</v>
      </c>
      <c r="BF13" s="92" t="s">
        <v>1</v>
      </c>
      <c r="BG13" s="92" t="s">
        <v>1</v>
      </c>
      <c r="BH13" s="92" t="s">
        <v>1</v>
      </c>
      <c r="BI13" s="92" t="s">
        <v>1</v>
      </c>
      <c r="BJ13" s="92" t="s">
        <v>1</v>
      </c>
      <c r="BK13" s="92" t="s">
        <v>74</v>
      </c>
      <c r="BL13" s="92">
        <v>166</v>
      </c>
      <c r="BM13" s="92">
        <v>433</v>
      </c>
      <c r="BN13" s="92">
        <v>517</v>
      </c>
      <c r="BO13" s="92" t="s">
        <v>74</v>
      </c>
      <c r="BP13" s="92">
        <v>867</v>
      </c>
      <c r="BQ13" s="92">
        <v>113</v>
      </c>
      <c r="BR13" s="92">
        <v>141</v>
      </c>
      <c r="BS13" s="92" t="s">
        <v>1</v>
      </c>
      <c r="BT13" s="92" t="s">
        <v>1</v>
      </c>
      <c r="BU13" s="92" t="s">
        <v>1</v>
      </c>
      <c r="BV13" s="92" t="s">
        <v>1</v>
      </c>
      <c r="BW13" s="92" t="s">
        <v>1</v>
      </c>
      <c r="BX13" s="189" t="s">
        <v>1</v>
      </c>
      <c r="BY13" s="189" t="s">
        <v>1</v>
      </c>
      <c r="BZ13" s="190" t="s">
        <v>1</v>
      </c>
      <c r="CA13" s="189" t="s">
        <v>1</v>
      </c>
      <c r="CB13" s="188" t="s">
        <v>1</v>
      </c>
      <c r="CC13" s="190" t="s">
        <v>1</v>
      </c>
      <c r="CD13" s="189" t="s">
        <v>1</v>
      </c>
      <c r="CE13" s="190" t="s">
        <v>1</v>
      </c>
      <c r="CF13" s="191" t="s">
        <v>1</v>
      </c>
      <c r="CG13" s="188" t="s">
        <v>1</v>
      </c>
      <c r="CH13" s="92" t="s">
        <v>1</v>
      </c>
    </row>
    <row r="14" ht="21" customHeight="1" spans="1:86">
      <c r="A14" s="107">
        <v>45117</v>
      </c>
      <c r="B14" s="188" t="s">
        <v>75</v>
      </c>
      <c r="C14" s="92" t="s">
        <v>75</v>
      </c>
      <c r="D14" s="30" t="s">
        <v>1</v>
      </c>
      <c r="E14" s="30" t="s">
        <v>1</v>
      </c>
      <c r="F14" s="30">
        <v>3.5093</v>
      </c>
      <c r="G14" s="30">
        <v>7.3584</v>
      </c>
      <c r="H14" s="141" t="str">
        <f t="shared" si="0"/>
        <v/>
      </c>
      <c r="I14" s="30">
        <v>0.36</v>
      </c>
      <c r="J14" s="141" t="str">
        <f t="shared" si="1"/>
        <v/>
      </c>
      <c r="K14" s="141" t="str">
        <f>IFERROR(E14/#REF!,"")</f>
        <v/>
      </c>
      <c r="L14" s="30">
        <v>48295</v>
      </c>
      <c r="M14" s="30">
        <v>40511</v>
      </c>
      <c r="N14" s="141">
        <f t="shared" si="2"/>
        <v>0.192145343240108</v>
      </c>
      <c r="O14" s="92" t="s">
        <v>1</v>
      </c>
      <c r="P14" s="92" t="s">
        <v>1</v>
      </c>
      <c r="Q14" s="92" t="s">
        <v>1</v>
      </c>
      <c r="R14" s="92" t="s">
        <v>1</v>
      </c>
      <c r="S14" s="92" t="s">
        <v>1</v>
      </c>
      <c r="T14" s="108">
        <v>4499</v>
      </c>
      <c r="U14" s="108">
        <v>9198</v>
      </c>
      <c r="V14" s="92" t="s">
        <v>1</v>
      </c>
      <c r="W14" s="92" t="s">
        <v>1</v>
      </c>
      <c r="X14" s="92" t="s">
        <v>1</v>
      </c>
      <c r="Y14" s="92">
        <v>10055</v>
      </c>
      <c r="Z14" s="92" t="s">
        <v>1</v>
      </c>
      <c r="AA14" s="92">
        <v>3177</v>
      </c>
      <c r="AB14" s="92" t="s">
        <v>1</v>
      </c>
      <c r="AC14" s="92">
        <v>3</v>
      </c>
      <c r="AD14" s="92" t="s">
        <v>1</v>
      </c>
      <c r="AE14" s="92">
        <v>88</v>
      </c>
      <c r="AF14" s="92">
        <v>12</v>
      </c>
      <c r="AG14" s="92">
        <v>16</v>
      </c>
      <c r="AH14" s="92" t="s">
        <v>1</v>
      </c>
      <c r="AI14" s="92">
        <v>165</v>
      </c>
      <c r="AJ14" s="92">
        <v>1187</v>
      </c>
      <c r="AK14" s="92">
        <v>2667</v>
      </c>
      <c r="AL14" s="92">
        <v>555</v>
      </c>
      <c r="AM14" s="92">
        <v>638</v>
      </c>
      <c r="AN14" s="92">
        <v>65</v>
      </c>
      <c r="AO14" s="92">
        <v>101</v>
      </c>
      <c r="AP14" s="92">
        <v>27</v>
      </c>
      <c r="AQ14" s="92">
        <v>200</v>
      </c>
      <c r="AR14" s="92">
        <v>360</v>
      </c>
      <c r="AS14" s="92">
        <v>1403</v>
      </c>
      <c r="AT14" s="92">
        <v>126</v>
      </c>
      <c r="AU14" s="92">
        <v>237</v>
      </c>
      <c r="AV14" s="187">
        <v>0.0006</v>
      </c>
      <c r="AW14" s="187">
        <v>0.0054</v>
      </c>
      <c r="AX14" s="92" t="s">
        <v>1</v>
      </c>
      <c r="AY14" s="92" t="s">
        <v>1</v>
      </c>
      <c r="AZ14" s="92" t="s">
        <v>1</v>
      </c>
      <c r="BA14" s="92" t="s">
        <v>1</v>
      </c>
      <c r="BB14" s="92" t="s">
        <v>1</v>
      </c>
      <c r="BC14" s="92" t="s">
        <v>1</v>
      </c>
      <c r="BD14" s="92" t="s">
        <v>1</v>
      </c>
      <c r="BE14" s="92" t="s">
        <v>1</v>
      </c>
      <c r="BF14" s="92" t="s">
        <v>1</v>
      </c>
      <c r="BG14" s="92" t="s">
        <v>1</v>
      </c>
      <c r="BH14" s="92" t="s">
        <v>1</v>
      </c>
      <c r="BI14" s="92" t="s">
        <v>1</v>
      </c>
      <c r="BJ14" s="192">
        <v>1</v>
      </c>
      <c r="BK14" s="92" t="s">
        <v>74</v>
      </c>
      <c r="BL14" s="92">
        <v>402</v>
      </c>
      <c r="BM14" s="92">
        <v>143</v>
      </c>
      <c r="BN14" s="92">
        <v>1368</v>
      </c>
      <c r="BO14" s="92" t="s">
        <v>74</v>
      </c>
      <c r="BP14" s="92">
        <v>1343</v>
      </c>
      <c r="BQ14" s="92">
        <v>50</v>
      </c>
      <c r="BR14" s="92">
        <v>377</v>
      </c>
      <c r="BS14" s="92" t="s">
        <v>1</v>
      </c>
      <c r="BT14" s="92" t="s">
        <v>1</v>
      </c>
      <c r="BU14" s="92" t="s">
        <v>1</v>
      </c>
      <c r="BV14" s="92" t="s">
        <v>1</v>
      </c>
      <c r="BW14" s="92" t="s">
        <v>1</v>
      </c>
      <c r="BX14" s="92" t="s">
        <v>1</v>
      </c>
      <c r="BY14" s="92" t="s">
        <v>1</v>
      </c>
      <c r="BZ14" s="92" t="s">
        <v>1</v>
      </c>
      <c r="CA14" s="92" t="s">
        <v>1</v>
      </c>
      <c r="CB14" s="92" t="s">
        <v>1</v>
      </c>
      <c r="CC14" s="92" t="s">
        <v>1</v>
      </c>
      <c r="CD14" s="92" t="s">
        <v>1</v>
      </c>
      <c r="CE14" s="92" t="s">
        <v>1</v>
      </c>
      <c r="CF14" s="92" t="s">
        <v>1</v>
      </c>
      <c r="CG14" s="92" t="s">
        <v>1</v>
      </c>
      <c r="CH14" s="92" t="s">
        <v>1</v>
      </c>
    </row>
    <row r="15" ht="21" customHeight="1" spans="1:86">
      <c r="A15" s="107">
        <v>45118</v>
      </c>
      <c r="B15" s="108" t="s">
        <v>70</v>
      </c>
      <c r="C15" s="92" t="s">
        <v>221</v>
      </c>
      <c r="D15" s="30" t="s">
        <v>1</v>
      </c>
      <c r="E15" s="30" t="s">
        <v>1</v>
      </c>
      <c r="F15" s="30">
        <v>7.6384</v>
      </c>
      <c r="G15" s="30">
        <v>1.7496</v>
      </c>
      <c r="H15" s="141" t="str">
        <f t="shared" si="0"/>
        <v/>
      </c>
      <c r="I15" s="30">
        <v>7.6384</v>
      </c>
      <c r="J15" s="141" t="str">
        <f t="shared" si="1"/>
        <v/>
      </c>
      <c r="K15" s="141" t="str">
        <f>IFERROR(E15/#REF!,"")</f>
        <v/>
      </c>
      <c r="L15" s="30">
        <v>61287</v>
      </c>
      <c r="M15" s="30">
        <v>27168</v>
      </c>
      <c r="N15" s="141">
        <f t="shared" si="2"/>
        <v>1.25585247349823</v>
      </c>
      <c r="O15" s="92" t="s">
        <v>1</v>
      </c>
      <c r="P15" s="92" t="s">
        <v>1</v>
      </c>
      <c r="Q15" s="92" t="s">
        <v>1</v>
      </c>
      <c r="R15" s="92" t="s">
        <v>1</v>
      </c>
      <c r="S15" s="92" t="s">
        <v>1</v>
      </c>
      <c r="T15" s="108">
        <v>4599</v>
      </c>
      <c r="U15" s="108">
        <v>9198</v>
      </c>
      <c r="V15" s="92" t="s">
        <v>1</v>
      </c>
      <c r="W15" s="92" t="s">
        <v>1</v>
      </c>
      <c r="X15" s="92" t="s">
        <v>1</v>
      </c>
      <c r="Y15" s="92">
        <v>8412</v>
      </c>
      <c r="Z15" s="92" t="s">
        <v>1</v>
      </c>
      <c r="AA15" s="92">
        <v>2651</v>
      </c>
      <c r="AB15" s="92" t="s">
        <v>1</v>
      </c>
      <c r="AC15" s="92">
        <v>3</v>
      </c>
      <c r="AD15" s="92" t="s">
        <v>1</v>
      </c>
      <c r="AE15" s="92">
        <v>93</v>
      </c>
      <c r="AF15" s="92">
        <v>3</v>
      </c>
      <c r="AG15" s="92">
        <v>11</v>
      </c>
      <c r="AH15" s="92" t="s">
        <v>1</v>
      </c>
      <c r="AI15" s="92">
        <v>134</v>
      </c>
      <c r="AJ15" s="92">
        <v>1331</v>
      </c>
      <c r="AK15" s="92">
        <v>2081</v>
      </c>
      <c r="AL15" s="92">
        <v>641</v>
      </c>
      <c r="AM15" s="92">
        <v>681</v>
      </c>
      <c r="AN15" s="92">
        <v>61</v>
      </c>
      <c r="AO15" s="92">
        <v>107</v>
      </c>
      <c r="AP15" s="92">
        <v>19</v>
      </c>
      <c r="AQ15" s="92">
        <v>196</v>
      </c>
      <c r="AR15" s="92">
        <v>479</v>
      </c>
      <c r="AS15" s="92">
        <v>1073</v>
      </c>
      <c r="AT15" s="92">
        <v>172</v>
      </c>
      <c r="AU15" s="92">
        <v>193</v>
      </c>
      <c r="AV15" s="187">
        <v>0.0049</v>
      </c>
      <c r="AW15" s="187">
        <v>0.0045</v>
      </c>
      <c r="AX15" s="92" t="s">
        <v>1</v>
      </c>
      <c r="AY15" s="92" t="s">
        <v>1</v>
      </c>
      <c r="AZ15" s="92" t="s">
        <v>1</v>
      </c>
      <c r="BA15" s="92" t="s">
        <v>1</v>
      </c>
      <c r="BB15" s="92" t="s">
        <v>1</v>
      </c>
      <c r="BC15" s="92" t="s">
        <v>1</v>
      </c>
      <c r="BD15" s="92" t="s">
        <v>1</v>
      </c>
      <c r="BE15" s="92" t="s">
        <v>1</v>
      </c>
      <c r="BF15" s="92" t="s">
        <v>1</v>
      </c>
      <c r="BG15" s="92" t="s">
        <v>1</v>
      </c>
      <c r="BH15" s="92" t="s">
        <v>1</v>
      </c>
      <c r="BI15" s="92" t="s">
        <v>1</v>
      </c>
      <c r="BJ15" s="92" t="s">
        <v>1</v>
      </c>
      <c r="BK15" s="92" t="s">
        <v>74</v>
      </c>
      <c r="BL15" s="92">
        <v>303</v>
      </c>
      <c r="BM15" s="92">
        <v>213</v>
      </c>
      <c r="BN15" s="92">
        <v>663</v>
      </c>
      <c r="BO15" s="92" t="s">
        <v>74</v>
      </c>
      <c r="BP15" s="92">
        <v>1025</v>
      </c>
      <c r="BQ15" s="92">
        <v>82</v>
      </c>
      <c r="BR15" s="92">
        <v>136</v>
      </c>
      <c r="BS15" s="92" t="s">
        <v>1</v>
      </c>
      <c r="BT15" s="92" t="s">
        <v>1</v>
      </c>
      <c r="BU15" s="92" t="s">
        <v>1</v>
      </c>
      <c r="BV15" s="92" t="s">
        <v>1</v>
      </c>
      <c r="BW15" s="92" t="s">
        <v>1</v>
      </c>
      <c r="BX15" s="189" t="s">
        <v>83</v>
      </c>
      <c r="BY15" s="189" t="s">
        <v>78</v>
      </c>
      <c r="BZ15" s="189" t="s">
        <v>222</v>
      </c>
      <c r="CA15" s="189" t="s">
        <v>223</v>
      </c>
      <c r="CB15" s="191" t="s">
        <v>150</v>
      </c>
      <c r="CC15" s="190" t="s">
        <v>145</v>
      </c>
      <c r="CD15" s="189" t="s">
        <v>87</v>
      </c>
      <c r="CE15" s="189" t="s">
        <v>105</v>
      </c>
      <c r="CF15" s="189" t="s">
        <v>93</v>
      </c>
      <c r="CG15" s="191" t="s">
        <v>185</v>
      </c>
      <c r="CH15" s="92" t="s">
        <v>1</v>
      </c>
    </row>
    <row r="16" ht="21" customHeight="1" spans="1:86">
      <c r="A16" s="107">
        <v>45119</v>
      </c>
      <c r="B16" s="108" t="s">
        <v>70</v>
      </c>
      <c r="C16" s="92" t="s">
        <v>126</v>
      </c>
      <c r="D16" s="30" t="s">
        <v>1</v>
      </c>
      <c r="E16" s="30" t="s">
        <v>1</v>
      </c>
      <c r="F16" s="30">
        <v>6.6687</v>
      </c>
      <c r="G16" s="30">
        <v>21.9262</v>
      </c>
      <c r="H16" s="141" t="str">
        <f t="shared" si="0"/>
        <v/>
      </c>
      <c r="I16" s="30">
        <v>9.9</v>
      </c>
      <c r="J16" s="141" t="str">
        <f t="shared" si="1"/>
        <v/>
      </c>
      <c r="K16" s="141" t="str">
        <f>IFERROR(E16/#REF!,"")</f>
        <v/>
      </c>
      <c r="L16" s="30">
        <v>28081</v>
      </c>
      <c r="M16" s="30">
        <v>115133</v>
      </c>
      <c r="N16" s="141">
        <f t="shared" si="2"/>
        <v>-0.756099467572286</v>
      </c>
      <c r="O16" s="92" t="s">
        <v>1</v>
      </c>
      <c r="P16" s="92" t="s">
        <v>1</v>
      </c>
      <c r="Q16" s="92" t="s">
        <v>1</v>
      </c>
      <c r="R16" s="92" t="s">
        <v>1</v>
      </c>
      <c r="S16" s="92" t="s">
        <v>1</v>
      </c>
      <c r="T16" s="108">
        <v>0</v>
      </c>
      <c r="U16" s="108">
        <v>15097</v>
      </c>
      <c r="V16" s="92" t="s">
        <v>1</v>
      </c>
      <c r="W16" s="92" t="s">
        <v>1</v>
      </c>
      <c r="X16" s="92" t="s">
        <v>1</v>
      </c>
      <c r="Y16" s="92">
        <v>7974</v>
      </c>
      <c r="Z16" s="92" t="s">
        <v>1</v>
      </c>
      <c r="AA16" s="92">
        <v>2547</v>
      </c>
      <c r="AB16" s="92" t="s">
        <v>1</v>
      </c>
      <c r="AC16" s="92">
        <v>3</v>
      </c>
      <c r="AD16" s="92" t="s">
        <v>1</v>
      </c>
      <c r="AE16" s="92">
        <v>96</v>
      </c>
      <c r="AF16" s="92">
        <v>14</v>
      </c>
      <c r="AG16" s="92">
        <v>13</v>
      </c>
      <c r="AH16" s="92" t="s">
        <v>1</v>
      </c>
      <c r="AI16" s="92">
        <v>113</v>
      </c>
      <c r="AJ16" s="92">
        <v>1756</v>
      </c>
      <c r="AK16" s="92">
        <v>2070</v>
      </c>
      <c r="AL16" s="92">
        <v>619</v>
      </c>
      <c r="AM16" s="92">
        <v>597</v>
      </c>
      <c r="AN16" s="92">
        <v>84</v>
      </c>
      <c r="AO16" s="92">
        <v>122</v>
      </c>
      <c r="AP16" s="92">
        <v>43</v>
      </c>
      <c r="AQ16" s="92">
        <v>190</v>
      </c>
      <c r="AR16" s="92">
        <v>800</v>
      </c>
      <c r="AS16" s="92">
        <v>978</v>
      </c>
      <c r="AT16" s="92">
        <v>157</v>
      </c>
      <c r="AU16" s="92">
        <v>181</v>
      </c>
      <c r="AV16" s="187">
        <v>0.0049</v>
      </c>
      <c r="AW16" s="187">
        <v>0.0192</v>
      </c>
      <c r="AX16" s="92" t="s">
        <v>1</v>
      </c>
      <c r="AY16" s="92" t="s">
        <v>1</v>
      </c>
      <c r="AZ16" s="92" t="s">
        <v>1</v>
      </c>
      <c r="BA16" s="92" t="s">
        <v>1</v>
      </c>
      <c r="BB16" s="92" t="s">
        <v>1</v>
      </c>
      <c r="BC16" s="92" t="s">
        <v>1</v>
      </c>
      <c r="BD16" s="92" t="s">
        <v>1</v>
      </c>
      <c r="BE16" s="92" t="s">
        <v>1</v>
      </c>
      <c r="BF16" s="92" t="s">
        <v>1</v>
      </c>
      <c r="BG16" s="92" t="s">
        <v>1</v>
      </c>
      <c r="BH16" s="92" t="s">
        <v>1</v>
      </c>
      <c r="BI16" s="92" t="s">
        <v>1</v>
      </c>
      <c r="BJ16" s="192">
        <v>1</v>
      </c>
      <c r="BK16" s="92" t="s">
        <v>74</v>
      </c>
      <c r="BL16" s="92">
        <v>151</v>
      </c>
      <c r="BM16" s="92">
        <v>441</v>
      </c>
      <c r="BN16" s="92">
        <v>602</v>
      </c>
      <c r="BO16" s="92" t="s">
        <v>74</v>
      </c>
      <c r="BP16" s="92">
        <v>782</v>
      </c>
      <c r="BQ16" s="92">
        <v>127</v>
      </c>
      <c r="BR16" s="92">
        <v>143</v>
      </c>
      <c r="BS16" s="92" t="s">
        <v>1</v>
      </c>
      <c r="BT16" s="92" t="s">
        <v>1</v>
      </c>
      <c r="BU16" s="92" t="s">
        <v>1</v>
      </c>
      <c r="BV16" s="92" t="s">
        <v>1</v>
      </c>
      <c r="BW16" s="92" t="s">
        <v>1</v>
      </c>
      <c r="BX16" s="189" t="s">
        <v>1</v>
      </c>
      <c r="BY16" s="189" t="s">
        <v>1</v>
      </c>
      <c r="BZ16" s="189" t="s">
        <v>1</v>
      </c>
      <c r="CA16" s="189" t="s">
        <v>1</v>
      </c>
      <c r="CB16" s="191" t="s">
        <v>1</v>
      </c>
      <c r="CC16" s="190" t="s">
        <v>1</v>
      </c>
      <c r="CD16" s="189" t="s">
        <v>1</v>
      </c>
      <c r="CE16" s="189" t="s">
        <v>1</v>
      </c>
      <c r="CF16" s="189" t="s">
        <v>1</v>
      </c>
      <c r="CG16" s="191" t="s">
        <v>1</v>
      </c>
      <c r="CH16" s="92" t="s">
        <v>1</v>
      </c>
    </row>
    <row r="17" ht="21" customHeight="1" spans="1:86">
      <c r="A17" s="107">
        <v>45120</v>
      </c>
      <c r="B17" s="108" t="s">
        <v>70</v>
      </c>
      <c r="C17" s="92" t="s">
        <v>1</v>
      </c>
      <c r="D17" s="30" t="s">
        <v>1</v>
      </c>
      <c r="E17" s="30" t="s">
        <v>1</v>
      </c>
      <c r="F17" s="30">
        <v>7.7783</v>
      </c>
      <c r="G17" s="30">
        <v>8.5214</v>
      </c>
      <c r="H17" s="141" t="str">
        <f t="shared" si="0"/>
        <v/>
      </c>
      <c r="I17" s="30">
        <v>8.1</v>
      </c>
      <c r="J17" s="141" t="str">
        <f t="shared" si="1"/>
        <v/>
      </c>
      <c r="K17" s="141" t="str">
        <f>IFERROR(E17/#REF!,"")</f>
        <v/>
      </c>
      <c r="L17" s="30">
        <v>51088</v>
      </c>
      <c r="M17" s="30">
        <v>60676</v>
      </c>
      <c r="N17" s="141">
        <f t="shared" si="2"/>
        <v>-0.15801964532929</v>
      </c>
      <c r="O17" s="92" t="s">
        <v>1</v>
      </c>
      <c r="P17" s="92" t="s">
        <v>1</v>
      </c>
      <c r="Q17" s="92" t="s">
        <v>1</v>
      </c>
      <c r="R17" s="92" t="s">
        <v>1</v>
      </c>
      <c r="S17" s="92" t="s">
        <v>1</v>
      </c>
      <c r="T17" s="108">
        <v>18396</v>
      </c>
      <c r="U17" s="108">
        <v>0</v>
      </c>
      <c r="V17" s="92" t="s">
        <v>1</v>
      </c>
      <c r="W17" s="92" t="s">
        <v>1</v>
      </c>
      <c r="X17" s="92" t="s">
        <v>1</v>
      </c>
      <c r="Y17" s="92">
        <v>7110</v>
      </c>
      <c r="Z17" s="92" t="s">
        <v>1</v>
      </c>
      <c r="AA17" s="92">
        <v>2430</v>
      </c>
      <c r="AB17" s="92" t="s">
        <v>1</v>
      </c>
      <c r="AC17" s="92">
        <v>3</v>
      </c>
      <c r="AD17" s="92" t="s">
        <v>1</v>
      </c>
      <c r="AE17" s="92">
        <v>89</v>
      </c>
      <c r="AF17" s="92">
        <v>12</v>
      </c>
      <c r="AG17" s="92">
        <v>12</v>
      </c>
      <c r="AH17" s="92" t="s">
        <v>1</v>
      </c>
      <c r="AI17" s="92">
        <v>114</v>
      </c>
      <c r="AJ17" s="92">
        <v>1667</v>
      </c>
      <c r="AK17" s="92">
        <v>2015</v>
      </c>
      <c r="AL17" s="92">
        <v>379</v>
      </c>
      <c r="AM17" s="92">
        <v>523</v>
      </c>
      <c r="AN17" s="92">
        <v>119</v>
      </c>
      <c r="AO17" s="92">
        <v>85</v>
      </c>
      <c r="AP17" s="92">
        <v>36</v>
      </c>
      <c r="AQ17" s="92">
        <v>170</v>
      </c>
      <c r="AR17" s="92">
        <v>769</v>
      </c>
      <c r="AS17" s="92">
        <v>1093</v>
      </c>
      <c r="AT17" s="92">
        <v>154</v>
      </c>
      <c r="AU17" s="92">
        <v>150</v>
      </c>
      <c r="AV17" s="187">
        <v>0.0065</v>
      </c>
      <c r="AW17" s="187">
        <v>0.0103</v>
      </c>
      <c r="AX17" s="92" t="s">
        <v>1</v>
      </c>
      <c r="AY17" s="92" t="s">
        <v>1</v>
      </c>
      <c r="AZ17" s="92" t="s">
        <v>1</v>
      </c>
      <c r="BA17" s="92" t="s">
        <v>1</v>
      </c>
      <c r="BB17" s="92" t="s">
        <v>1</v>
      </c>
      <c r="BC17" s="92" t="s">
        <v>1</v>
      </c>
      <c r="BD17" s="92" t="s">
        <v>1</v>
      </c>
      <c r="BE17" s="92" t="s">
        <v>1</v>
      </c>
      <c r="BF17" s="92" t="s">
        <v>1</v>
      </c>
      <c r="BG17" s="92" t="s">
        <v>1</v>
      </c>
      <c r="BH17" s="92" t="s">
        <v>1</v>
      </c>
      <c r="BI17" s="92" t="s">
        <v>1</v>
      </c>
      <c r="BJ17" s="141">
        <v>0.6</v>
      </c>
      <c r="BK17" s="92" t="s">
        <v>74</v>
      </c>
      <c r="BL17" s="92">
        <v>140</v>
      </c>
      <c r="BM17" s="92">
        <v>484</v>
      </c>
      <c r="BN17" s="92">
        <v>756</v>
      </c>
      <c r="BO17" s="92" t="s">
        <v>74</v>
      </c>
      <c r="BP17" s="92">
        <v>775</v>
      </c>
      <c r="BQ17" s="92">
        <v>121</v>
      </c>
      <c r="BR17" s="92">
        <v>193</v>
      </c>
      <c r="BS17" s="92" t="s">
        <v>1</v>
      </c>
      <c r="BT17" s="92" t="s">
        <v>1</v>
      </c>
      <c r="BU17" s="92" t="s">
        <v>1</v>
      </c>
      <c r="BV17" s="92" t="s">
        <v>1</v>
      </c>
      <c r="BW17" s="92" t="s">
        <v>1</v>
      </c>
      <c r="BX17" s="189" t="s">
        <v>1</v>
      </c>
      <c r="BY17" s="189" t="s">
        <v>1</v>
      </c>
      <c r="BZ17" s="189" t="s">
        <v>1</v>
      </c>
      <c r="CA17" s="189" t="s">
        <v>1</v>
      </c>
      <c r="CB17" s="191" t="s">
        <v>1</v>
      </c>
      <c r="CC17" s="190" t="s">
        <v>1</v>
      </c>
      <c r="CD17" s="189" t="s">
        <v>1</v>
      </c>
      <c r="CE17" s="189" t="s">
        <v>1</v>
      </c>
      <c r="CF17" s="189" t="s">
        <v>1</v>
      </c>
      <c r="CG17" s="191" t="s">
        <v>1</v>
      </c>
      <c r="CH17" s="92" t="s">
        <v>1</v>
      </c>
    </row>
    <row r="18" ht="21" customHeight="1" spans="1:86">
      <c r="A18" s="107">
        <v>45121</v>
      </c>
      <c r="B18" s="188" t="s">
        <v>75</v>
      </c>
      <c r="C18" s="92" t="s">
        <v>220</v>
      </c>
      <c r="D18" s="30" t="s">
        <v>1</v>
      </c>
      <c r="E18" s="30" t="s">
        <v>1</v>
      </c>
      <c r="F18" s="30">
        <v>6.6487</v>
      </c>
      <c r="G18" s="30">
        <v>4.5306</v>
      </c>
      <c r="H18" s="141" t="str">
        <f t="shared" si="0"/>
        <v/>
      </c>
      <c r="I18" s="30">
        <v>0</v>
      </c>
      <c r="J18" s="141" t="str">
        <f t="shared" si="1"/>
        <v/>
      </c>
      <c r="K18" s="141" t="str">
        <f>IFERROR(E18/#REF!,"")</f>
        <v/>
      </c>
      <c r="L18" s="30">
        <v>41905</v>
      </c>
      <c r="M18" s="30">
        <v>68425</v>
      </c>
      <c r="N18" s="141">
        <f t="shared" si="2"/>
        <v>-0.387577639751553</v>
      </c>
      <c r="O18" s="92" t="s">
        <v>1</v>
      </c>
      <c r="P18" s="92" t="s">
        <v>1</v>
      </c>
      <c r="Q18" s="92" t="s">
        <v>1</v>
      </c>
      <c r="R18" s="92" t="s">
        <v>1</v>
      </c>
      <c r="S18" s="92" t="s">
        <v>1</v>
      </c>
      <c r="T18" s="108" t="s">
        <v>90</v>
      </c>
      <c r="U18" s="108">
        <v>0</v>
      </c>
      <c r="V18" s="92" t="s">
        <v>1</v>
      </c>
      <c r="W18" s="92" t="s">
        <v>1</v>
      </c>
      <c r="X18" s="92" t="s">
        <v>1</v>
      </c>
      <c r="Y18" s="92">
        <v>7560</v>
      </c>
      <c r="Z18" s="92" t="s">
        <v>1</v>
      </c>
      <c r="AA18" s="92">
        <v>2384</v>
      </c>
      <c r="AB18" s="92" t="s">
        <v>1</v>
      </c>
      <c r="AC18" s="92">
        <v>3</v>
      </c>
      <c r="AD18" s="92" t="s">
        <v>1</v>
      </c>
      <c r="AE18" s="92">
        <v>91</v>
      </c>
      <c r="AF18" s="92">
        <v>6</v>
      </c>
      <c r="AG18" s="92">
        <v>9</v>
      </c>
      <c r="AH18" s="92" t="s">
        <v>1</v>
      </c>
      <c r="AI18" s="92">
        <v>92</v>
      </c>
      <c r="AJ18" s="92">
        <v>1540</v>
      </c>
      <c r="AK18" s="92">
        <v>1933</v>
      </c>
      <c r="AL18" s="92">
        <v>413</v>
      </c>
      <c r="AM18" s="92">
        <v>608</v>
      </c>
      <c r="AN18" s="92">
        <v>87</v>
      </c>
      <c r="AO18" s="92">
        <v>86</v>
      </c>
      <c r="AP18" s="92">
        <v>47</v>
      </c>
      <c r="AQ18" s="92">
        <v>113</v>
      </c>
      <c r="AR18" s="92">
        <v>693</v>
      </c>
      <c r="AS18" s="92">
        <v>995</v>
      </c>
      <c r="AT18" s="92">
        <v>157</v>
      </c>
      <c r="AU18" s="92">
        <v>169</v>
      </c>
      <c r="AV18" s="187">
        <v>0.0048</v>
      </c>
      <c r="AW18" s="187">
        <v>0.0063</v>
      </c>
      <c r="AX18" s="92" t="s">
        <v>1</v>
      </c>
      <c r="AY18" s="92" t="s">
        <v>1</v>
      </c>
      <c r="AZ18" s="92" t="s">
        <v>1</v>
      </c>
      <c r="BA18" s="92" t="s">
        <v>1</v>
      </c>
      <c r="BB18" s="92" t="s">
        <v>1</v>
      </c>
      <c r="BC18" s="92" t="s">
        <v>1</v>
      </c>
      <c r="BD18" s="92" t="s">
        <v>1</v>
      </c>
      <c r="BE18" s="92" t="s">
        <v>1</v>
      </c>
      <c r="BF18" s="92" t="s">
        <v>1</v>
      </c>
      <c r="BG18" s="92" t="s">
        <v>1</v>
      </c>
      <c r="BH18" s="92" t="s">
        <v>1</v>
      </c>
      <c r="BI18" s="92" t="s">
        <v>1</v>
      </c>
      <c r="BJ18" s="141">
        <v>0.6</v>
      </c>
      <c r="BK18" s="92" t="s">
        <v>74</v>
      </c>
      <c r="BL18" s="92">
        <v>174</v>
      </c>
      <c r="BM18" s="92">
        <v>396</v>
      </c>
      <c r="BN18" s="92">
        <v>562</v>
      </c>
      <c r="BO18" s="92" t="s">
        <v>74</v>
      </c>
      <c r="BP18" s="92">
        <v>685</v>
      </c>
      <c r="BQ18" s="92">
        <v>154</v>
      </c>
      <c r="BR18" s="92">
        <v>150</v>
      </c>
      <c r="BS18" s="92" t="s">
        <v>1</v>
      </c>
      <c r="BT18" s="92" t="s">
        <v>1</v>
      </c>
      <c r="BU18" s="92" t="s">
        <v>1</v>
      </c>
      <c r="BV18" s="92" t="s">
        <v>1</v>
      </c>
      <c r="BW18" s="92" t="s">
        <v>1</v>
      </c>
      <c r="BX18" s="189" t="s">
        <v>1</v>
      </c>
      <c r="BY18" s="189" t="s">
        <v>1</v>
      </c>
      <c r="BZ18" s="189" t="s">
        <v>1</v>
      </c>
      <c r="CA18" s="189" t="s">
        <v>1</v>
      </c>
      <c r="CB18" s="191" t="s">
        <v>1</v>
      </c>
      <c r="CC18" s="190" t="s">
        <v>1</v>
      </c>
      <c r="CD18" s="189" t="s">
        <v>1</v>
      </c>
      <c r="CE18" s="189" t="s">
        <v>1</v>
      </c>
      <c r="CF18" s="189" t="s">
        <v>1</v>
      </c>
      <c r="CG18" s="191" t="s">
        <v>1</v>
      </c>
      <c r="CH18" s="92" t="s">
        <v>1</v>
      </c>
    </row>
    <row r="19" ht="21" customHeight="1" spans="1:86">
      <c r="A19" s="107">
        <v>45122</v>
      </c>
      <c r="B19" s="188" t="s">
        <v>75</v>
      </c>
      <c r="C19" s="92" t="s">
        <v>125</v>
      </c>
      <c r="D19" s="30" t="s">
        <v>1</v>
      </c>
      <c r="E19" s="30" t="s">
        <v>1</v>
      </c>
      <c r="F19" s="30">
        <v>1.7996</v>
      </c>
      <c r="G19" s="30">
        <v>24.4865</v>
      </c>
      <c r="H19" s="141" t="str">
        <f t="shared" si="0"/>
        <v/>
      </c>
      <c r="I19" s="30">
        <v>0</v>
      </c>
      <c r="J19" s="141" t="str">
        <f t="shared" si="1"/>
        <v/>
      </c>
      <c r="K19" s="141" t="str">
        <f>IFERROR(E19/#REF!,"")</f>
        <v/>
      </c>
      <c r="L19" s="30">
        <v>16725</v>
      </c>
      <c r="M19" s="30">
        <v>96312</v>
      </c>
      <c r="N19" s="141">
        <f t="shared" si="2"/>
        <v>-0.826345626713182</v>
      </c>
      <c r="O19" s="92" t="s">
        <v>1</v>
      </c>
      <c r="P19" s="92" t="s">
        <v>1</v>
      </c>
      <c r="Q19" s="92" t="s">
        <v>1</v>
      </c>
      <c r="R19" s="92" t="s">
        <v>1</v>
      </c>
      <c r="S19" s="92" t="s">
        <v>1</v>
      </c>
      <c r="T19" s="108">
        <v>0</v>
      </c>
      <c r="U19" s="108">
        <v>0</v>
      </c>
      <c r="V19" s="92" t="s">
        <v>1</v>
      </c>
      <c r="W19" s="92" t="s">
        <v>1</v>
      </c>
      <c r="X19" s="92" t="s">
        <v>1</v>
      </c>
      <c r="Y19" s="92">
        <v>8587</v>
      </c>
      <c r="Z19" s="92" t="s">
        <v>1</v>
      </c>
      <c r="AA19" s="92">
        <v>3221</v>
      </c>
      <c r="AB19" s="92" t="s">
        <v>1</v>
      </c>
      <c r="AC19" s="92">
        <v>3</v>
      </c>
      <c r="AD19" s="92" t="s">
        <v>1</v>
      </c>
      <c r="AE19" s="92">
        <v>78</v>
      </c>
      <c r="AF19" s="92">
        <v>16</v>
      </c>
      <c r="AG19" s="92">
        <v>20</v>
      </c>
      <c r="AH19" s="92" t="s">
        <v>1</v>
      </c>
      <c r="AI19" s="92">
        <v>110</v>
      </c>
      <c r="AJ19" s="92">
        <v>1448</v>
      </c>
      <c r="AK19" s="92">
        <v>2755</v>
      </c>
      <c r="AL19" s="92">
        <v>729</v>
      </c>
      <c r="AM19" s="92">
        <v>548</v>
      </c>
      <c r="AN19" s="92">
        <v>114</v>
      </c>
      <c r="AO19" s="92">
        <v>89</v>
      </c>
      <c r="AP19" s="92">
        <v>39</v>
      </c>
      <c r="AQ19" s="92">
        <v>209</v>
      </c>
      <c r="AR19" s="92">
        <v>573</v>
      </c>
      <c r="AS19" s="92">
        <v>1152</v>
      </c>
      <c r="AT19" s="92">
        <v>134</v>
      </c>
      <c r="AU19" s="92">
        <v>220</v>
      </c>
      <c r="AV19" s="187">
        <v>0.0005</v>
      </c>
      <c r="AW19" s="187">
        <v>0.0112</v>
      </c>
      <c r="AX19" s="92" t="s">
        <v>1</v>
      </c>
      <c r="AY19" s="92" t="s">
        <v>1</v>
      </c>
      <c r="AZ19" s="92" t="s">
        <v>1</v>
      </c>
      <c r="BA19" s="92" t="s">
        <v>1</v>
      </c>
      <c r="BB19" s="92" t="s">
        <v>1</v>
      </c>
      <c r="BC19" s="92" t="s">
        <v>1</v>
      </c>
      <c r="BD19" s="92" t="s">
        <v>1</v>
      </c>
      <c r="BE19" s="92" t="s">
        <v>1</v>
      </c>
      <c r="BF19" s="92" t="s">
        <v>1</v>
      </c>
      <c r="BG19" s="92" t="s">
        <v>1</v>
      </c>
      <c r="BH19" s="92" t="s">
        <v>1</v>
      </c>
      <c r="BI19" s="92" t="s">
        <v>1</v>
      </c>
      <c r="BK19" s="92" t="s">
        <v>74</v>
      </c>
      <c r="BL19" s="92">
        <v>234</v>
      </c>
      <c r="BM19" s="92">
        <v>310</v>
      </c>
      <c r="BN19" s="92">
        <v>1147</v>
      </c>
      <c r="BO19" s="92" t="s">
        <v>74</v>
      </c>
      <c r="BP19" s="92">
        <v>980</v>
      </c>
      <c r="BQ19" s="92">
        <v>92</v>
      </c>
      <c r="BR19" s="92">
        <v>258</v>
      </c>
      <c r="BS19" s="92" t="s">
        <v>1</v>
      </c>
      <c r="BT19" s="92" t="s">
        <v>1</v>
      </c>
      <c r="BU19" s="92" t="s">
        <v>1</v>
      </c>
      <c r="BV19" s="92" t="s">
        <v>1</v>
      </c>
      <c r="BW19" s="92" t="s">
        <v>1</v>
      </c>
      <c r="BX19" s="189" t="s">
        <v>1</v>
      </c>
      <c r="BY19" s="189" t="s">
        <v>1</v>
      </c>
      <c r="BZ19" s="189" t="s">
        <v>1</v>
      </c>
      <c r="CA19" s="189" t="s">
        <v>1</v>
      </c>
      <c r="CB19" s="191" t="s">
        <v>1</v>
      </c>
      <c r="CC19" s="190" t="s">
        <v>1</v>
      </c>
      <c r="CD19" s="189" t="s">
        <v>1</v>
      </c>
      <c r="CE19" s="189" t="s">
        <v>1</v>
      </c>
      <c r="CF19" s="189" t="s">
        <v>1</v>
      </c>
      <c r="CG19" s="191" t="s">
        <v>1</v>
      </c>
      <c r="CH19" s="92" t="s">
        <v>1</v>
      </c>
    </row>
    <row r="20" ht="21" customHeight="1" spans="1:86">
      <c r="A20" s="107">
        <v>45123</v>
      </c>
      <c r="B20" s="105" t="s">
        <v>91</v>
      </c>
      <c r="C20" s="92" t="s">
        <v>125</v>
      </c>
      <c r="D20" s="30" t="s">
        <v>1</v>
      </c>
      <c r="E20" s="30" t="s">
        <v>1</v>
      </c>
      <c r="F20" s="30">
        <v>7.7583</v>
      </c>
      <c r="G20" s="30">
        <v>6.2986</v>
      </c>
      <c r="H20" s="141" t="str">
        <f t="shared" si="0"/>
        <v/>
      </c>
      <c r="I20" s="30">
        <v>25.2</v>
      </c>
      <c r="J20" s="141" t="str">
        <f t="shared" si="1"/>
        <v/>
      </c>
      <c r="K20" s="141" t="str">
        <f>IFERROR(E20/#REF!,"")</f>
        <v/>
      </c>
      <c r="L20" s="30">
        <v>23115</v>
      </c>
      <c r="M20" s="30">
        <v>57649</v>
      </c>
      <c r="N20" s="141">
        <f t="shared" si="2"/>
        <v>-0.599039011951638</v>
      </c>
      <c r="O20" s="92" t="s">
        <v>1</v>
      </c>
      <c r="P20" s="92" t="s">
        <v>1</v>
      </c>
      <c r="Q20" s="92" t="s">
        <v>1</v>
      </c>
      <c r="R20" s="92" t="s">
        <v>1</v>
      </c>
      <c r="S20" s="92" t="s">
        <v>1</v>
      </c>
      <c r="T20" s="108">
        <v>0</v>
      </c>
      <c r="U20" s="108">
        <v>0</v>
      </c>
      <c r="V20" s="92" t="s">
        <v>1</v>
      </c>
      <c r="W20" s="92" t="s">
        <v>1</v>
      </c>
      <c r="X20" s="92" t="s">
        <v>1</v>
      </c>
      <c r="Y20" s="92">
        <v>8414</v>
      </c>
      <c r="Z20" s="92" t="s">
        <v>1</v>
      </c>
      <c r="AA20" s="92">
        <v>2824</v>
      </c>
      <c r="AB20" s="92" t="s">
        <v>1</v>
      </c>
      <c r="AC20" s="92">
        <v>3</v>
      </c>
      <c r="AD20" s="92" t="s">
        <v>1</v>
      </c>
      <c r="AE20" s="92">
        <v>85</v>
      </c>
      <c r="AF20" s="92">
        <v>16</v>
      </c>
      <c r="AG20" s="92">
        <v>17</v>
      </c>
      <c r="AH20" s="92" t="s">
        <v>1</v>
      </c>
      <c r="AI20" s="92">
        <v>103</v>
      </c>
      <c r="AJ20" s="92">
        <v>1548</v>
      </c>
      <c r="AK20" s="92">
        <v>2332</v>
      </c>
      <c r="AL20" s="92">
        <v>784</v>
      </c>
      <c r="AM20" s="92">
        <v>661</v>
      </c>
      <c r="AN20" s="92">
        <v>83</v>
      </c>
      <c r="AO20" s="92">
        <v>80</v>
      </c>
      <c r="AP20" s="92">
        <v>36</v>
      </c>
      <c r="AQ20" s="92">
        <v>137</v>
      </c>
      <c r="AR20" s="92">
        <v>619</v>
      </c>
      <c r="AS20" s="92">
        <v>1301</v>
      </c>
      <c r="AT20" s="92">
        <v>176</v>
      </c>
      <c r="AU20" s="92">
        <v>168</v>
      </c>
      <c r="AV20" s="187">
        <v>0.0051</v>
      </c>
      <c r="AW20" s="187">
        <v>0.0067</v>
      </c>
      <c r="AX20" s="92" t="s">
        <v>1</v>
      </c>
      <c r="AY20" s="92" t="s">
        <v>1</v>
      </c>
      <c r="AZ20" s="92" t="s">
        <v>1</v>
      </c>
      <c r="BA20" s="92" t="s">
        <v>1</v>
      </c>
      <c r="BB20" s="92" t="s">
        <v>1</v>
      </c>
      <c r="BC20" s="92" t="s">
        <v>1</v>
      </c>
      <c r="BD20" s="92" t="s">
        <v>1</v>
      </c>
      <c r="BE20" s="92" t="s">
        <v>1</v>
      </c>
      <c r="BF20" s="92" t="s">
        <v>1</v>
      </c>
      <c r="BG20" s="92" t="s">
        <v>1</v>
      </c>
      <c r="BH20" s="92" t="s">
        <v>1</v>
      </c>
      <c r="BI20" s="92" t="s">
        <v>1</v>
      </c>
      <c r="BJ20" s="92" t="s">
        <v>1</v>
      </c>
      <c r="BK20" s="92" t="s">
        <v>74</v>
      </c>
      <c r="BL20" s="92">
        <v>280</v>
      </c>
      <c r="BM20" s="92">
        <v>274</v>
      </c>
      <c r="BN20" s="92">
        <v>1214</v>
      </c>
      <c r="BO20" s="92" t="s">
        <v>74</v>
      </c>
      <c r="BP20" s="92">
        <v>1588</v>
      </c>
      <c r="BQ20" s="92">
        <v>82</v>
      </c>
      <c r="BR20" s="92">
        <v>270</v>
      </c>
      <c r="BS20" s="92" t="s">
        <v>1</v>
      </c>
      <c r="BT20" s="92" t="s">
        <v>1</v>
      </c>
      <c r="BU20" s="92" t="s">
        <v>1</v>
      </c>
      <c r="BV20" s="92" t="s">
        <v>1</v>
      </c>
      <c r="BW20" s="92" t="s">
        <v>1</v>
      </c>
      <c r="BX20" s="189" t="s">
        <v>1</v>
      </c>
      <c r="BY20" s="189" t="s">
        <v>1</v>
      </c>
      <c r="BZ20" s="189" t="s">
        <v>1</v>
      </c>
      <c r="CA20" s="189" t="s">
        <v>1</v>
      </c>
      <c r="CB20" s="191" t="s">
        <v>1</v>
      </c>
      <c r="CC20" s="190" t="s">
        <v>1</v>
      </c>
      <c r="CD20" s="189" t="s">
        <v>1</v>
      </c>
      <c r="CE20" s="189" t="s">
        <v>1</v>
      </c>
      <c r="CF20" s="189" t="s">
        <v>1</v>
      </c>
      <c r="CG20" s="191" t="s">
        <v>1</v>
      </c>
      <c r="CH20" s="92" t="s">
        <v>1</v>
      </c>
    </row>
    <row r="21" ht="21" customHeight="1" spans="1:86">
      <c r="A21" s="107">
        <v>45124</v>
      </c>
      <c r="B21" s="105" t="s">
        <v>91</v>
      </c>
      <c r="C21" s="92" t="s">
        <v>75</v>
      </c>
      <c r="D21" s="30" t="s">
        <v>1</v>
      </c>
      <c r="E21" s="30" t="s">
        <v>1</v>
      </c>
      <c r="F21" s="30">
        <v>2.7594</v>
      </c>
      <c r="G21" s="30">
        <v>0.3938</v>
      </c>
      <c r="H21" s="141" t="str">
        <f t="shared" si="0"/>
        <v/>
      </c>
      <c r="I21" s="30">
        <v>16.2</v>
      </c>
      <c r="J21" s="141" t="str">
        <f t="shared" si="1"/>
        <v/>
      </c>
      <c r="K21" s="141" t="str">
        <f>IFERROR(E21/#REF!,"")</f>
        <v/>
      </c>
      <c r="L21" s="30">
        <v>53238</v>
      </c>
      <c r="M21" s="30">
        <v>11551</v>
      </c>
      <c r="N21" s="141">
        <f t="shared" si="2"/>
        <v>3.60895160592157</v>
      </c>
      <c r="O21" s="92" t="s">
        <v>1</v>
      </c>
      <c r="P21" s="92" t="s">
        <v>1</v>
      </c>
      <c r="Q21" s="92" t="s">
        <v>1</v>
      </c>
      <c r="R21" s="92" t="s">
        <v>1</v>
      </c>
      <c r="S21" s="92" t="s">
        <v>1</v>
      </c>
      <c r="T21" s="108">
        <v>0</v>
      </c>
      <c r="U21" s="108">
        <v>4599</v>
      </c>
      <c r="V21" s="92" t="s">
        <v>1</v>
      </c>
      <c r="W21" s="92" t="s">
        <v>1</v>
      </c>
      <c r="X21" s="92" t="s">
        <v>1</v>
      </c>
      <c r="Y21" s="92">
        <v>7654</v>
      </c>
      <c r="Z21" s="92" t="s">
        <v>1</v>
      </c>
      <c r="AA21" s="92">
        <v>2641</v>
      </c>
      <c r="AB21" s="92" t="s">
        <v>1</v>
      </c>
      <c r="AC21" s="92">
        <v>3</v>
      </c>
      <c r="AD21" s="92" t="s">
        <v>1</v>
      </c>
      <c r="AE21" s="92">
        <v>86</v>
      </c>
      <c r="AF21" s="92">
        <v>8</v>
      </c>
      <c r="AG21" s="92">
        <v>16</v>
      </c>
      <c r="AH21" s="92" t="s">
        <v>1</v>
      </c>
      <c r="AI21" s="92">
        <v>124</v>
      </c>
      <c r="AJ21" s="92">
        <v>1844</v>
      </c>
      <c r="AK21" s="92">
        <v>2118</v>
      </c>
      <c r="AL21" s="92">
        <v>578</v>
      </c>
      <c r="AM21" s="92">
        <v>720</v>
      </c>
      <c r="AN21" s="92">
        <v>102</v>
      </c>
      <c r="AO21" s="92">
        <v>89</v>
      </c>
      <c r="AP21" s="92">
        <v>49</v>
      </c>
      <c r="AQ21" s="92">
        <v>127</v>
      </c>
      <c r="AR21" s="92">
        <v>785</v>
      </c>
      <c r="AS21" s="92">
        <v>1112</v>
      </c>
      <c r="AT21" s="92">
        <v>170</v>
      </c>
      <c r="AU21" s="92">
        <v>186</v>
      </c>
      <c r="AV21" s="187">
        <v>0.0026</v>
      </c>
      <c r="AW21" s="187">
        <v>0.0027</v>
      </c>
      <c r="AX21" s="92" t="s">
        <v>1</v>
      </c>
      <c r="AY21" s="92" t="s">
        <v>1</v>
      </c>
      <c r="AZ21" s="92" t="s">
        <v>1</v>
      </c>
      <c r="BA21" s="92" t="s">
        <v>1</v>
      </c>
      <c r="BB21" s="92" t="s">
        <v>1</v>
      </c>
      <c r="BC21" s="92" t="s">
        <v>1</v>
      </c>
      <c r="BD21" s="92" t="s">
        <v>1</v>
      </c>
      <c r="BE21" s="92" t="s">
        <v>1</v>
      </c>
      <c r="BF21" s="92" t="s">
        <v>1</v>
      </c>
      <c r="BG21" s="92" t="s">
        <v>1</v>
      </c>
      <c r="BH21" s="92" t="s">
        <v>1</v>
      </c>
      <c r="BI21" s="92" t="s">
        <v>1</v>
      </c>
      <c r="BJ21" s="141">
        <v>0.9</v>
      </c>
      <c r="BK21" s="92" t="s">
        <v>74</v>
      </c>
      <c r="BL21" s="92">
        <v>163</v>
      </c>
      <c r="BM21" s="92">
        <v>402</v>
      </c>
      <c r="BN21" s="92">
        <v>719</v>
      </c>
      <c r="BO21" s="92" t="s">
        <v>74</v>
      </c>
      <c r="BP21" s="92">
        <v>1105</v>
      </c>
      <c r="BQ21" s="92">
        <v>130</v>
      </c>
      <c r="BR21" s="92">
        <v>146</v>
      </c>
      <c r="BS21" s="92" t="s">
        <v>1</v>
      </c>
      <c r="BT21" s="92" t="s">
        <v>1</v>
      </c>
      <c r="BU21" s="92" t="s">
        <v>1</v>
      </c>
      <c r="BV21" s="92" t="s">
        <v>1</v>
      </c>
      <c r="BW21" s="92" t="s">
        <v>1</v>
      </c>
      <c r="BX21" s="189" t="s">
        <v>1</v>
      </c>
      <c r="BY21" s="189" t="s">
        <v>1</v>
      </c>
      <c r="BZ21" s="189" t="s">
        <v>1</v>
      </c>
      <c r="CA21" s="189" t="s">
        <v>1</v>
      </c>
      <c r="CB21" s="191" t="s">
        <v>1</v>
      </c>
      <c r="CC21" s="190" t="s">
        <v>1</v>
      </c>
      <c r="CD21" s="189" t="s">
        <v>1</v>
      </c>
      <c r="CE21" s="189" t="s">
        <v>1</v>
      </c>
      <c r="CF21" s="189" t="s">
        <v>1</v>
      </c>
      <c r="CG21" s="191" t="s">
        <v>1</v>
      </c>
      <c r="CH21" s="92" t="s">
        <v>1</v>
      </c>
    </row>
    <row r="22" ht="21" customHeight="1" spans="1:86">
      <c r="A22" s="107">
        <v>45125</v>
      </c>
      <c r="B22" s="108" t="s">
        <v>70</v>
      </c>
      <c r="C22" s="92" t="s">
        <v>75</v>
      </c>
      <c r="D22" s="30" t="s">
        <v>1</v>
      </c>
      <c r="E22" s="30" t="s">
        <v>1</v>
      </c>
      <c r="F22" s="30">
        <v>8.0384</v>
      </c>
      <c r="G22" s="30">
        <v>0</v>
      </c>
      <c r="H22" s="141" t="str">
        <f t="shared" si="0"/>
        <v/>
      </c>
      <c r="I22" s="30">
        <v>8.1</v>
      </c>
      <c r="J22" s="141" t="str">
        <f t="shared" si="1"/>
        <v/>
      </c>
      <c r="K22" s="141" t="str">
        <f>IFERROR(E22/#REF!,"")</f>
        <v/>
      </c>
      <c r="L22" s="30">
        <v>126981</v>
      </c>
      <c r="M22" s="30">
        <v>23970</v>
      </c>
      <c r="N22" s="141">
        <f t="shared" si="2"/>
        <v>4.29749687108886</v>
      </c>
      <c r="O22" s="92" t="s">
        <v>1</v>
      </c>
      <c r="P22" s="92" t="s">
        <v>1</v>
      </c>
      <c r="Q22" s="92" t="s">
        <v>1</v>
      </c>
      <c r="R22" s="92" t="s">
        <v>1</v>
      </c>
      <c r="S22" s="92" t="s">
        <v>1</v>
      </c>
      <c r="T22" s="108">
        <v>0</v>
      </c>
      <c r="U22" s="108">
        <v>4599</v>
      </c>
      <c r="V22" s="92" t="s">
        <v>1</v>
      </c>
      <c r="W22" s="92" t="s">
        <v>1</v>
      </c>
      <c r="X22" s="92" t="s">
        <v>1</v>
      </c>
      <c r="Y22" s="92">
        <v>7806</v>
      </c>
      <c r="Z22" s="92" t="s">
        <v>1</v>
      </c>
      <c r="AA22" s="92">
        <v>2556</v>
      </c>
      <c r="AB22" s="92" t="s">
        <v>1</v>
      </c>
      <c r="AC22" s="92">
        <v>3</v>
      </c>
      <c r="AD22" s="92" t="s">
        <v>1</v>
      </c>
      <c r="AE22" s="92">
        <v>90</v>
      </c>
      <c r="AF22" s="92">
        <v>10</v>
      </c>
      <c r="AG22" s="92">
        <v>12</v>
      </c>
      <c r="AH22" s="92" t="s">
        <v>1</v>
      </c>
      <c r="AI22" s="92">
        <v>92</v>
      </c>
      <c r="AJ22" s="92">
        <v>1824</v>
      </c>
      <c r="AK22" s="92">
        <v>2019</v>
      </c>
      <c r="AL22" s="92">
        <v>594</v>
      </c>
      <c r="AM22" s="92">
        <v>660</v>
      </c>
      <c r="AN22" s="92">
        <v>94</v>
      </c>
      <c r="AO22" s="92">
        <v>104</v>
      </c>
      <c r="AP22" s="92">
        <v>37</v>
      </c>
      <c r="AQ22" s="92">
        <v>163</v>
      </c>
      <c r="AR22" s="92">
        <v>925</v>
      </c>
      <c r="AS22" s="92">
        <v>880</v>
      </c>
      <c r="AT22" s="92">
        <v>122</v>
      </c>
      <c r="AU22" s="92">
        <v>169</v>
      </c>
      <c r="AV22" s="187">
        <v>0.0057</v>
      </c>
      <c r="AW22" s="187">
        <v>0.002</v>
      </c>
      <c r="AX22" s="92" t="s">
        <v>1</v>
      </c>
      <c r="AY22" s="92" t="s">
        <v>1</v>
      </c>
      <c r="AZ22" s="92" t="s">
        <v>1</v>
      </c>
      <c r="BA22" s="92" t="s">
        <v>1</v>
      </c>
      <c r="BB22" s="92" t="s">
        <v>1</v>
      </c>
      <c r="BC22" s="92" t="s">
        <v>1</v>
      </c>
      <c r="BD22" s="92" t="s">
        <v>1</v>
      </c>
      <c r="BE22" s="92" t="s">
        <v>1</v>
      </c>
      <c r="BF22" s="92" t="s">
        <v>1</v>
      </c>
      <c r="BG22" s="92" t="s">
        <v>1</v>
      </c>
      <c r="BH22" s="92" t="s">
        <v>1</v>
      </c>
      <c r="BI22" s="92" t="s">
        <v>1</v>
      </c>
      <c r="BJ22" s="141">
        <v>0.9</v>
      </c>
      <c r="BK22" s="92" t="s">
        <v>74</v>
      </c>
      <c r="BL22" s="92">
        <v>113</v>
      </c>
      <c r="BM22" s="92">
        <v>529</v>
      </c>
      <c r="BN22" s="92">
        <v>559</v>
      </c>
      <c r="BO22" s="92" t="s">
        <v>74</v>
      </c>
      <c r="BP22" s="92">
        <v>824</v>
      </c>
      <c r="BQ22" s="92">
        <v>139</v>
      </c>
      <c r="BR22" s="92">
        <v>120</v>
      </c>
      <c r="BS22" s="92" t="s">
        <v>1</v>
      </c>
      <c r="BT22" s="92" t="s">
        <v>1</v>
      </c>
      <c r="BU22" s="92" t="s">
        <v>1</v>
      </c>
      <c r="BV22" s="92" t="s">
        <v>1</v>
      </c>
      <c r="BW22" s="92" t="s">
        <v>1</v>
      </c>
      <c r="BX22" s="189" t="s">
        <v>93</v>
      </c>
      <c r="BY22" s="189" t="s">
        <v>78</v>
      </c>
      <c r="BZ22" s="189" t="s">
        <v>83</v>
      </c>
      <c r="CA22" s="188" t="s">
        <v>181</v>
      </c>
      <c r="CB22" s="189" t="s">
        <v>223</v>
      </c>
      <c r="CC22" s="190" t="s">
        <v>145</v>
      </c>
      <c r="CD22" s="189" t="s">
        <v>222</v>
      </c>
      <c r="CE22" s="191" t="s">
        <v>185</v>
      </c>
      <c r="CF22" s="190" t="s">
        <v>219</v>
      </c>
      <c r="CG22" s="189" t="s">
        <v>105</v>
      </c>
      <c r="CH22" s="92" t="s">
        <v>1</v>
      </c>
    </row>
    <row r="23" ht="21" customHeight="1" spans="1:86">
      <c r="A23" s="107">
        <v>45126</v>
      </c>
      <c r="B23" s="108" t="s">
        <v>70</v>
      </c>
      <c r="C23" s="92" t="s">
        <v>126</v>
      </c>
      <c r="D23" s="30" t="s">
        <v>1</v>
      </c>
      <c r="E23" s="30" t="s">
        <v>1</v>
      </c>
      <c r="F23" s="30">
        <v>7.686</v>
      </c>
      <c r="G23" s="30">
        <v>21.8236</v>
      </c>
      <c r="H23" s="141" t="str">
        <f t="shared" si="0"/>
        <v/>
      </c>
      <c r="I23" s="30">
        <v>8.1</v>
      </c>
      <c r="J23" s="141" t="str">
        <f t="shared" si="1"/>
        <v/>
      </c>
      <c r="K23" s="141" t="str">
        <f>IFERROR(E23/#REF!,"")</f>
        <v/>
      </c>
      <c r="L23" s="30">
        <v>43248</v>
      </c>
      <c r="M23" s="30">
        <v>251962</v>
      </c>
      <c r="N23" s="141">
        <f t="shared" si="2"/>
        <v>-0.828355069415229</v>
      </c>
      <c r="O23" s="92" t="s">
        <v>1</v>
      </c>
      <c r="P23" s="92" t="s">
        <v>1</v>
      </c>
      <c r="Q23" s="92" t="s">
        <v>1</v>
      </c>
      <c r="R23" s="92" t="s">
        <v>1</v>
      </c>
      <c r="S23" s="92" t="s">
        <v>1</v>
      </c>
      <c r="T23" s="108">
        <v>0</v>
      </c>
      <c r="U23" s="108">
        <v>25856</v>
      </c>
      <c r="V23" s="92" t="s">
        <v>1</v>
      </c>
      <c r="W23" s="92" t="s">
        <v>1</v>
      </c>
      <c r="X23" s="92" t="s">
        <v>1</v>
      </c>
      <c r="Y23" s="92">
        <v>11132</v>
      </c>
      <c r="Z23" s="92" t="s">
        <v>1</v>
      </c>
      <c r="AA23" s="92">
        <v>3913</v>
      </c>
      <c r="AB23" s="92" t="s">
        <v>1</v>
      </c>
      <c r="AC23" s="92">
        <v>3</v>
      </c>
      <c r="AD23" s="92" t="s">
        <v>1</v>
      </c>
      <c r="AE23" s="92">
        <v>78</v>
      </c>
      <c r="AF23" s="92">
        <v>12</v>
      </c>
      <c r="AG23" s="92">
        <v>12</v>
      </c>
      <c r="AH23" s="92" t="s">
        <v>1</v>
      </c>
      <c r="AI23" s="92">
        <v>146</v>
      </c>
      <c r="AJ23" s="92">
        <v>1927</v>
      </c>
      <c r="AK23" s="92">
        <v>3287</v>
      </c>
      <c r="AL23" s="92">
        <v>612</v>
      </c>
      <c r="AM23" s="92">
        <v>661</v>
      </c>
      <c r="AN23" s="92">
        <v>147</v>
      </c>
      <c r="AO23" s="92">
        <v>106</v>
      </c>
      <c r="AP23" s="92">
        <v>40</v>
      </c>
      <c r="AQ23" s="92">
        <v>332</v>
      </c>
      <c r="AR23" s="92">
        <v>963</v>
      </c>
      <c r="AS23" s="92">
        <v>1336</v>
      </c>
      <c r="AT23" s="92">
        <v>119</v>
      </c>
      <c r="AU23" s="92">
        <v>259</v>
      </c>
      <c r="AV23" s="187">
        <v>0.007</v>
      </c>
      <c r="AW23" s="187">
        <v>0.023</v>
      </c>
      <c r="AX23" s="92" t="s">
        <v>1</v>
      </c>
      <c r="AY23" s="92" t="s">
        <v>1</v>
      </c>
      <c r="AZ23" s="92" t="s">
        <v>1</v>
      </c>
      <c r="BA23" s="92" t="s">
        <v>1</v>
      </c>
      <c r="BB23" s="92" t="s">
        <v>1</v>
      </c>
      <c r="BC23" s="92" t="s">
        <v>1</v>
      </c>
      <c r="BD23" s="92" t="s">
        <v>1</v>
      </c>
      <c r="BE23" s="92" t="s">
        <v>1</v>
      </c>
      <c r="BF23" s="92" t="s">
        <v>1</v>
      </c>
      <c r="BG23" s="92" t="s">
        <v>1</v>
      </c>
      <c r="BH23" s="92" t="s">
        <v>1</v>
      </c>
      <c r="BI23" s="92" t="s">
        <v>1</v>
      </c>
      <c r="BJ23" s="141">
        <v>0.9</v>
      </c>
      <c r="BK23" s="92" t="s">
        <v>74</v>
      </c>
      <c r="BL23" s="92">
        <v>112</v>
      </c>
      <c r="BM23" s="92">
        <v>556</v>
      </c>
      <c r="BN23" s="92">
        <v>1262</v>
      </c>
      <c r="BO23" s="92" t="s">
        <v>74</v>
      </c>
      <c r="BP23" s="92">
        <v>929</v>
      </c>
      <c r="BQ23" s="92">
        <v>127</v>
      </c>
      <c r="BR23" s="92">
        <v>281</v>
      </c>
      <c r="BS23" s="92" t="s">
        <v>1</v>
      </c>
      <c r="BT23" s="92" t="s">
        <v>1</v>
      </c>
      <c r="BU23" s="92" t="s">
        <v>1</v>
      </c>
      <c r="BV23" s="92" t="s">
        <v>1</v>
      </c>
      <c r="BW23" s="92" t="s">
        <v>1</v>
      </c>
      <c r="BX23" s="189" t="s">
        <v>1</v>
      </c>
      <c r="BY23" s="189" t="s">
        <v>1</v>
      </c>
      <c r="BZ23" s="189" t="s">
        <v>1</v>
      </c>
      <c r="CA23" s="188" t="s">
        <v>1</v>
      </c>
      <c r="CB23" s="189" t="s">
        <v>1</v>
      </c>
      <c r="CC23" s="190" t="s">
        <v>1</v>
      </c>
      <c r="CD23" s="189" t="s">
        <v>1</v>
      </c>
      <c r="CE23" s="191" t="s">
        <v>1</v>
      </c>
      <c r="CF23" s="190" t="s">
        <v>1</v>
      </c>
      <c r="CG23" s="189" t="s">
        <v>1</v>
      </c>
      <c r="CH23" s="92" t="s">
        <v>1</v>
      </c>
    </row>
    <row r="24" ht="21" customHeight="1" spans="1:86">
      <c r="A24" s="107">
        <v>45127</v>
      </c>
      <c r="B24" s="193" t="s">
        <v>224</v>
      </c>
      <c r="C24" s="92" t="s">
        <v>1</v>
      </c>
      <c r="D24" s="30" t="s">
        <v>1</v>
      </c>
      <c r="E24" s="30" t="s">
        <v>1</v>
      </c>
      <c r="F24" s="30">
        <v>5.399</v>
      </c>
      <c r="G24" s="30">
        <v>7.7493</v>
      </c>
      <c r="H24" s="141" t="str">
        <f t="shared" si="0"/>
        <v/>
      </c>
      <c r="I24" s="30">
        <v>15.3</v>
      </c>
      <c r="J24" s="141" t="str">
        <f t="shared" si="1"/>
        <v/>
      </c>
      <c r="K24" s="141" t="str">
        <f>IFERROR(E24/#REF!,"")</f>
        <v/>
      </c>
      <c r="L24" s="30">
        <v>594040</v>
      </c>
      <c r="M24" s="30">
        <v>198620</v>
      </c>
      <c r="N24" s="141">
        <f t="shared" si="2"/>
        <v>1.9908367737388</v>
      </c>
      <c r="O24" s="92" t="s">
        <v>1</v>
      </c>
      <c r="P24" s="92" t="s">
        <v>1</v>
      </c>
      <c r="Q24" s="92" t="s">
        <v>1</v>
      </c>
      <c r="R24" s="92" t="s">
        <v>1</v>
      </c>
      <c r="S24" s="92" t="s">
        <v>1</v>
      </c>
      <c r="T24" s="108">
        <v>10298</v>
      </c>
      <c r="U24" s="108">
        <v>4599</v>
      </c>
      <c r="V24" s="92" t="s">
        <v>1</v>
      </c>
      <c r="W24" s="92" t="s">
        <v>1</v>
      </c>
      <c r="X24" s="92" t="s">
        <v>1</v>
      </c>
      <c r="Y24" s="92">
        <v>10262</v>
      </c>
      <c r="Z24" s="92" t="s">
        <v>1</v>
      </c>
      <c r="AA24" s="92">
        <v>3453</v>
      </c>
      <c r="AB24" s="92" t="s">
        <v>1</v>
      </c>
      <c r="AC24" s="92">
        <v>3</v>
      </c>
      <c r="AD24" s="92" t="s">
        <v>1</v>
      </c>
      <c r="AE24" s="92">
        <v>87</v>
      </c>
      <c r="AF24" s="92">
        <v>10</v>
      </c>
      <c r="AG24" s="92">
        <v>26</v>
      </c>
      <c r="AH24" s="92" t="s">
        <v>1</v>
      </c>
      <c r="AI24" s="92">
        <v>146</v>
      </c>
      <c r="AJ24" s="92">
        <v>1739</v>
      </c>
      <c r="AK24" s="92">
        <v>2839</v>
      </c>
      <c r="AL24" s="92">
        <v>603</v>
      </c>
      <c r="AM24" s="92">
        <v>693</v>
      </c>
      <c r="AN24" s="92">
        <v>88</v>
      </c>
      <c r="AO24" s="92">
        <v>145</v>
      </c>
      <c r="AP24" s="92">
        <v>36</v>
      </c>
      <c r="AQ24" s="92">
        <v>257</v>
      </c>
      <c r="AR24" s="92">
        <v>864</v>
      </c>
      <c r="AS24" s="92">
        <v>1377</v>
      </c>
      <c r="AT24" s="92">
        <v>95</v>
      </c>
      <c r="AU24" s="92">
        <v>252</v>
      </c>
      <c r="AV24" s="187">
        <v>0.0037</v>
      </c>
      <c r="AW24" s="187">
        <v>0.0185</v>
      </c>
      <c r="AX24" s="92" t="s">
        <v>1</v>
      </c>
      <c r="AY24" s="92" t="s">
        <v>1</v>
      </c>
      <c r="AZ24" s="92" t="s">
        <v>1</v>
      </c>
      <c r="BA24" s="92" t="s">
        <v>1</v>
      </c>
      <c r="BB24" s="92" t="s">
        <v>1</v>
      </c>
      <c r="BC24" s="92" t="s">
        <v>1</v>
      </c>
      <c r="BD24" s="92" t="s">
        <v>1</v>
      </c>
      <c r="BE24" s="92" t="s">
        <v>1</v>
      </c>
      <c r="BF24" s="92" t="s">
        <v>1</v>
      </c>
      <c r="BG24" s="92" t="s">
        <v>1</v>
      </c>
      <c r="BH24" s="92" t="s">
        <v>1</v>
      </c>
      <c r="BI24" s="92" t="s">
        <v>1</v>
      </c>
      <c r="BJ24" s="141">
        <v>0.9</v>
      </c>
      <c r="BK24" s="92" t="s">
        <v>74</v>
      </c>
      <c r="BL24" s="92">
        <v>135</v>
      </c>
      <c r="BM24" s="92">
        <v>440</v>
      </c>
      <c r="BN24" s="92">
        <v>1391</v>
      </c>
      <c r="BO24" s="92" t="s">
        <v>74</v>
      </c>
      <c r="BP24" s="92">
        <v>879</v>
      </c>
      <c r="BQ24" s="92">
        <v>107</v>
      </c>
      <c r="BR24" s="92">
        <v>285</v>
      </c>
      <c r="BS24" s="92" t="s">
        <v>1</v>
      </c>
      <c r="BT24" s="92" t="s">
        <v>1</v>
      </c>
      <c r="BU24" s="92" t="s">
        <v>1</v>
      </c>
      <c r="BV24" s="92" t="s">
        <v>1</v>
      </c>
      <c r="BW24" s="92" t="s">
        <v>1</v>
      </c>
      <c r="BX24" s="189" t="s">
        <v>1</v>
      </c>
      <c r="BY24" s="189" t="s">
        <v>1</v>
      </c>
      <c r="BZ24" s="189" t="s">
        <v>1</v>
      </c>
      <c r="CA24" s="188" t="s">
        <v>1</v>
      </c>
      <c r="CB24" s="189" t="s">
        <v>1</v>
      </c>
      <c r="CC24" s="190" t="s">
        <v>1</v>
      </c>
      <c r="CD24" s="189" t="s">
        <v>1</v>
      </c>
      <c r="CE24" s="191" t="s">
        <v>1</v>
      </c>
      <c r="CF24" s="190" t="s">
        <v>1</v>
      </c>
      <c r="CG24" s="189" t="s">
        <v>1</v>
      </c>
      <c r="CH24" s="92" t="s">
        <v>1</v>
      </c>
    </row>
    <row r="25" ht="21" customHeight="1" spans="1:86">
      <c r="A25" s="107">
        <v>45128</v>
      </c>
      <c r="B25" s="108" t="s">
        <v>70</v>
      </c>
      <c r="C25" s="92" t="s">
        <v>225</v>
      </c>
      <c r="D25" s="30" t="s">
        <v>1</v>
      </c>
      <c r="E25" s="30" t="s">
        <v>1</v>
      </c>
      <c r="F25" s="30">
        <v>8.0585</v>
      </c>
      <c r="G25" s="30">
        <v>8.4485</v>
      </c>
      <c r="H25" s="141" t="str">
        <f t="shared" si="0"/>
        <v/>
      </c>
      <c r="I25" s="30">
        <v>11.7</v>
      </c>
      <c r="J25" s="141" t="str">
        <f t="shared" si="1"/>
        <v/>
      </c>
      <c r="K25" s="141" t="str">
        <f>IFERROR(E25/#REF!,"")</f>
        <v/>
      </c>
      <c r="L25" s="30">
        <v>148057</v>
      </c>
      <c r="M25" s="30">
        <v>109517</v>
      </c>
      <c r="N25" s="141">
        <f t="shared" si="2"/>
        <v>0.351908836071112</v>
      </c>
      <c r="O25" s="92" t="s">
        <v>1</v>
      </c>
      <c r="P25" s="92" t="s">
        <v>1</v>
      </c>
      <c r="Q25" s="92" t="s">
        <v>1</v>
      </c>
      <c r="R25" s="92" t="s">
        <v>1</v>
      </c>
      <c r="S25" s="92" t="s">
        <v>1</v>
      </c>
      <c r="T25" s="108">
        <v>4599</v>
      </c>
      <c r="U25" s="108">
        <v>0</v>
      </c>
      <c r="V25" s="92" t="s">
        <v>1</v>
      </c>
      <c r="W25" s="92" t="s">
        <v>1</v>
      </c>
      <c r="X25" s="92" t="s">
        <v>1</v>
      </c>
      <c r="Y25" s="92">
        <v>8779</v>
      </c>
      <c r="Z25" s="92" t="s">
        <v>1</v>
      </c>
      <c r="AA25" s="92">
        <v>2978</v>
      </c>
      <c r="AB25" s="92" t="s">
        <v>1</v>
      </c>
      <c r="AC25" s="92">
        <v>3</v>
      </c>
      <c r="AD25" s="92" t="s">
        <v>1</v>
      </c>
      <c r="AE25" s="92">
        <v>87</v>
      </c>
      <c r="AF25" s="92">
        <v>16</v>
      </c>
      <c r="AG25" s="92">
        <v>20</v>
      </c>
      <c r="AH25" s="92" t="s">
        <v>1</v>
      </c>
      <c r="AI25" s="92">
        <v>137</v>
      </c>
      <c r="AJ25" s="92">
        <v>1621</v>
      </c>
      <c r="AK25" s="92">
        <v>2490</v>
      </c>
      <c r="AL25" s="92">
        <v>480</v>
      </c>
      <c r="AM25" s="92">
        <v>543</v>
      </c>
      <c r="AN25" s="92">
        <v>101</v>
      </c>
      <c r="AO25" s="92">
        <v>163</v>
      </c>
      <c r="AP25" s="92">
        <v>945</v>
      </c>
      <c r="AQ25" s="92">
        <v>216</v>
      </c>
      <c r="AR25" s="92">
        <v>803</v>
      </c>
      <c r="AS25" s="92">
        <v>1244</v>
      </c>
      <c r="AT25" s="92">
        <v>84</v>
      </c>
      <c r="AU25" s="92">
        <v>199</v>
      </c>
      <c r="AV25" s="187">
        <v>0.0049</v>
      </c>
      <c r="AW25" s="187">
        <v>0.0185</v>
      </c>
      <c r="AX25" s="92" t="s">
        <v>1</v>
      </c>
      <c r="AY25" s="92" t="s">
        <v>1</v>
      </c>
      <c r="AZ25" s="92" t="s">
        <v>1</v>
      </c>
      <c r="BA25" s="92" t="s">
        <v>1</v>
      </c>
      <c r="BB25" s="92" t="s">
        <v>1</v>
      </c>
      <c r="BC25" s="92" t="s">
        <v>1</v>
      </c>
      <c r="BD25" s="92" t="s">
        <v>1</v>
      </c>
      <c r="BE25" s="92" t="s">
        <v>1</v>
      </c>
      <c r="BF25" s="92" t="s">
        <v>1</v>
      </c>
      <c r="BG25" s="92" t="s">
        <v>1</v>
      </c>
      <c r="BH25" s="92" t="s">
        <v>1</v>
      </c>
      <c r="BI25" s="92" t="s">
        <v>1</v>
      </c>
      <c r="BJ25" s="141">
        <v>0.9</v>
      </c>
      <c r="BK25" s="92" t="s">
        <v>74</v>
      </c>
      <c r="BL25" s="92">
        <v>137</v>
      </c>
      <c r="BM25" s="92">
        <v>432</v>
      </c>
      <c r="BN25" s="92">
        <v>1245</v>
      </c>
      <c r="BO25" s="92" t="s">
        <v>74</v>
      </c>
      <c r="BP25" s="92">
        <v>702</v>
      </c>
      <c r="BQ25" s="92">
        <v>139</v>
      </c>
      <c r="BR25" s="92">
        <v>276</v>
      </c>
      <c r="BS25" s="92" t="s">
        <v>1</v>
      </c>
      <c r="BT25" s="92" t="s">
        <v>1</v>
      </c>
      <c r="BU25" s="92" t="s">
        <v>1</v>
      </c>
      <c r="BV25" s="92" t="s">
        <v>1</v>
      </c>
      <c r="BW25" s="92" t="s">
        <v>1</v>
      </c>
      <c r="BX25" s="189" t="s">
        <v>1</v>
      </c>
      <c r="BY25" s="189" t="s">
        <v>1</v>
      </c>
      <c r="BZ25" s="189" t="s">
        <v>1</v>
      </c>
      <c r="CA25" s="188" t="s">
        <v>1</v>
      </c>
      <c r="CB25" s="189" t="s">
        <v>1</v>
      </c>
      <c r="CC25" s="190" t="s">
        <v>1</v>
      </c>
      <c r="CD25" s="189" t="s">
        <v>1</v>
      </c>
      <c r="CE25" s="191" t="s">
        <v>1</v>
      </c>
      <c r="CF25" s="190" t="s">
        <v>1</v>
      </c>
      <c r="CG25" s="189" t="s">
        <v>1</v>
      </c>
      <c r="CH25" s="92" t="s">
        <v>1</v>
      </c>
    </row>
    <row r="26" ht="21" customHeight="1" spans="1:86">
      <c r="A26" s="107">
        <v>45129</v>
      </c>
      <c r="B26" s="108" t="s">
        <v>70</v>
      </c>
      <c r="C26" s="92" t="s">
        <v>75</v>
      </c>
      <c r="D26" s="30" t="s">
        <v>1</v>
      </c>
      <c r="E26" s="30" t="s">
        <v>1</v>
      </c>
      <c r="F26" s="30">
        <v>4.8166</v>
      </c>
      <c r="G26" s="30">
        <v>1.6877</v>
      </c>
      <c r="H26" s="141" t="str">
        <f t="shared" si="0"/>
        <v/>
      </c>
      <c r="I26" s="30">
        <v>8.1</v>
      </c>
      <c r="J26" s="141" t="str">
        <f t="shared" si="1"/>
        <v/>
      </c>
      <c r="K26" s="141" t="str">
        <f>IFERROR(E26/#REF!,"")</f>
        <v/>
      </c>
      <c r="L26" s="30">
        <v>25675</v>
      </c>
      <c r="M26" s="30">
        <v>244266</v>
      </c>
      <c r="N26" s="141">
        <f t="shared" si="2"/>
        <v>-0.894889178190988</v>
      </c>
      <c r="O26" s="92" t="s">
        <v>1</v>
      </c>
      <c r="P26" s="92" t="s">
        <v>1</v>
      </c>
      <c r="Q26" s="92" t="s">
        <v>1</v>
      </c>
      <c r="R26" s="92" t="s">
        <v>1</v>
      </c>
      <c r="S26" s="92" t="s">
        <v>1</v>
      </c>
      <c r="T26" s="108">
        <v>0</v>
      </c>
      <c r="U26" s="108">
        <v>0</v>
      </c>
      <c r="V26" s="92" t="s">
        <v>1</v>
      </c>
      <c r="W26" s="92" t="s">
        <v>1</v>
      </c>
      <c r="X26" s="92" t="s">
        <v>1</v>
      </c>
      <c r="Y26" s="92">
        <v>7125</v>
      </c>
      <c r="Z26" s="92" t="s">
        <v>1</v>
      </c>
      <c r="AA26" s="92">
        <v>2555</v>
      </c>
      <c r="AB26" s="92" t="s">
        <v>1</v>
      </c>
      <c r="AC26" s="92">
        <v>3</v>
      </c>
      <c r="AD26" s="92" t="s">
        <v>1</v>
      </c>
      <c r="AE26" s="92">
        <v>88</v>
      </c>
      <c r="AF26" s="92">
        <v>12</v>
      </c>
      <c r="AG26" s="92">
        <v>13</v>
      </c>
      <c r="AH26" s="92" t="s">
        <v>1</v>
      </c>
      <c r="AI26" s="92">
        <v>103</v>
      </c>
      <c r="AJ26" s="92">
        <v>1656</v>
      </c>
      <c r="AK26" s="92">
        <v>2003</v>
      </c>
      <c r="AL26" s="92">
        <v>513</v>
      </c>
      <c r="AM26" s="92">
        <v>610</v>
      </c>
      <c r="AN26" s="92">
        <v>69</v>
      </c>
      <c r="AO26" s="92">
        <v>160</v>
      </c>
      <c r="AP26" s="92">
        <v>1395</v>
      </c>
      <c r="AQ26" s="92">
        <v>163</v>
      </c>
      <c r="AR26" s="92">
        <v>800</v>
      </c>
      <c r="AS26" s="92">
        <v>939</v>
      </c>
      <c r="AT26" s="92">
        <v>71</v>
      </c>
      <c r="AU26" s="92">
        <v>173</v>
      </c>
      <c r="AV26" s="187">
        <v>0.003</v>
      </c>
      <c r="AW26" s="187">
        <v>0.0215</v>
      </c>
      <c r="AX26" s="92" t="s">
        <v>1</v>
      </c>
      <c r="AY26" s="92" t="s">
        <v>1</v>
      </c>
      <c r="AZ26" s="92" t="s">
        <v>1</v>
      </c>
      <c r="BA26" s="92" t="s">
        <v>1</v>
      </c>
      <c r="BB26" s="92" t="s">
        <v>1</v>
      </c>
      <c r="BC26" s="92" t="s">
        <v>1</v>
      </c>
      <c r="BD26" s="92" t="s">
        <v>1</v>
      </c>
      <c r="BE26" s="92" t="s">
        <v>1</v>
      </c>
      <c r="BF26" s="92" t="s">
        <v>1</v>
      </c>
      <c r="BG26" s="92" t="s">
        <v>1</v>
      </c>
      <c r="BH26" s="92" t="s">
        <v>1</v>
      </c>
      <c r="BI26" s="92" t="s">
        <v>1</v>
      </c>
      <c r="BJ26" s="92" t="s">
        <v>1</v>
      </c>
      <c r="BK26" s="92" t="s">
        <v>74</v>
      </c>
      <c r="BL26" s="92">
        <v>136</v>
      </c>
      <c r="BM26" s="92">
        <v>474</v>
      </c>
      <c r="BN26" s="92">
        <v>670</v>
      </c>
      <c r="BO26" s="92" t="s">
        <v>74</v>
      </c>
      <c r="BP26" s="92">
        <v>706</v>
      </c>
      <c r="BQ26" s="92">
        <v>159</v>
      </c>
      <c r="BR26" s="92">
        <v>146</v>
      </c>
      <c r="BS26" s="92" t="s">
        <v>1</v>
      </c>
      <c r="BT26" s="92" t="s">
        <v>1</v>
      </c>
      <c r="BU26" s="92" t="s">
        <v>1</v>
      </c>
      <c r="BV26" s="92" t="s">
        <v>1</v>
      </c>
      <c r="BW26" s="92" t="s">
        <v>1</v>
      </c>
      <c r="BX26" s="189" t="s">
        <v>1</v>
      </c>
      <c r="BY26" s="189" t="s">
        <v>1</v>
      </c>
      <c r="BZ26" s="189" t="s">
        <v>1</v>
      </c>
      <c r="CA26" s="188" t="s">
        <v>1</v>
      </c>
      <c r="CB26" s="189" t="s">
        <v>1</v>
      </c>
      <c r="CC26" s="190" t="s">
        <v>1</v>
      </c>
      <c r="CD26" s="189" t="s">
        <v>1</v>
      </c>
      <c r="CE26" s="191" t="s">
        <v>1</v>
      </c>
      <c r="CF26" s="190" t="s">
        <v>1</v>
      </c>
      <c r="CG26" s="189" t="s">
        <v>1</v>
      </c>
      <c r="CH26" s="92" t="s">
        <v>1</v>
      </c>
    </row>
    <row r="27" ht="21" customHeight="1" spans="1:86">
      <c r="A27" s="107">
        <v>45130</v>
      </c>
      <c r="B27" s="108" t="s">
        <v>70</v>
      </c>
      <c r="C27" s="92" t="s">
        <v>75</v>
      </c>
      <c r="D27" s="30" t="s">
        <v>1</v>
      </c>
      <c r="E27" s="30" t="s">
        <v>1</v>
      </c>
      <c r="F27" s="30">
        <v>4.1191</v>
      </c>
      <c r="G27" s="30">
        <v>1.7997</v>
      </c>
      <c r="H27" s="141" t="str">
        <f t="shared" si="0"/>
        <v/>
      </c>
      <c r="I27" s="30">
        <v>8.1</v>
      </c>
      <c r="J27" s="141" t="str">
        <f t="shared" si="1"/>
        <v/>
      </c>
      <c r="K27" s="141" t="str">
        <f>IFERROR(E27/#REF!,"")</f>
        <v/>
      </c>
      <c r="L27" s="30">
        <v>29194</v>
      </c>
      <c r="M27" s="30">
        <v>9092</v>
      </c>
      <c r="N27" s="141">
        <f t="shared" si="2"/>
        <v>2.21095468543775</v>
      </c>
      <c r="O27" s="92" t="s">
        <v>1</v>
      </c>
      <c r="P27" s="92" t="s">
        <v>1</v>
      </c>
      <c r="Q27" s="92" t="s">
        <v>1</v>
      </c>
      <c r="R27" s="92" t="s">
        <v>1</v>
      </c>
      <c r="S27" s="92" t="s">
        <v>1</v>
      </c>
      <c r="T27" s="108">
        <v>0</v>
      </c>
      <c r="U27" s="108">
        <v>0</v>
      </c>
      <c r="V27" s="92" t="s">
        <v>1</v>
      </c>
      <c r="W27" s="92" t="s">
        <v>1</v>
      </c>
      <c r="X27" s="92" t="s">
        <v>1</v>
      </c>
      <c r="Y27" s="92">
        <v>6362</v>
      </c>
      <c r="Z27" s="92" t="s">
        <v>1</v>
      </c>
      <c r="AA27" s="92">
        <v>2309</v>
      </c>
      <c r="AB27" s="92" t="s">
        <v>1</v>
      </c>
      <c r="AC27" s="92">
        <v>3</v>
      </c>
      <c r="AD27" s="92" t="s">
        <v>1</v>
      </c>
      <c r="AE27" s="92">
        <v>83</v>
      </c>
      <c r="AF27" s="92">
        <v>14</v>
      </c>
      <c r="AG27" s="92">
        <v>17</v>
      </c>
      <c r="AH27" s="92" t="s">
        <v>1</v>
      </c>
      <c r="AI27" s="92">
        <v>83</v>
      </c>
      <c r="AJ27" s="92">
        <v>1819</v>
      </c>
      <c r="AK27" s="92">
        <v>1804</v>
      </c>
      <c r="AL27" s="92">
        <v>557</v>
      </c>
      <c r="AM27" s="92">
        <v>638</v>
      </c>
      <c r="AN27" s="92">
        <v>80</v>
      </c>
      <c r="AO27" s="92">
        <v>84</v>
      </c>
      <c r="AP27" s="92">
        <v>2890</v>
      </c>
      <c r="AQ27" s="92">
        <v>124</v>
      </c>
      <c r="AR27" s="92">
        <v>863</v>
      </c>
      <c r="AS27" s="92">
        <v>850</v>
      </c>
      <c r="AT27" s="92">
        <v>98</v>
      </c>
      <c r="AU27" s="92">
        <v>162</v>
      </c>
      <c r="AV27" s="187">
        <v>0.0016</v>
      </c>
      <c r="AW27" s="187">
        <v>0.0061</v>
      </c>
      <c r="AX27" s="92" t="s">
        <v>1</v>
      </c>
      <c r="AY27" s="92" t="s">
        <v>1</v>
      </c>
      <c r="AZ27" s="92" t="s">
        <v>1</v>
      </c>
      <c r="BA27" s="92" t="s">
        <v>1</v>
      </c>
      <c r="BB27" s="92" t="s">
        <v>1</v>
      </c>
      <c r="BC27" s="92" t="s">
        <v>1</v>
      </c>
      <c r="BD27" s="92" t="s">
        <v>1</v>
      </c>
      <c r="BE27" s="92" t="s">
        <v>1</v>
      </c>
      <c r="BF27" s="92" t="s">
        <v>1</v>
      </c>
      <c r="BG27" s="92" t="s">
        <v>1</v>
      </c>
      <c r="BH27" s="92" t="s">
        <v>1</v>
      </c>
      <c r="BI27" s="92" t="s">
        <v>1</v>
      </c>
      <c r="BJ27" s="92" t="s">
        <v>1</v>
      </c>
      <c r="BK27" s="92" t="s">
        <v>74</v>
      </c>
      <c r="BL27" s="92">
        <v>153</v>
      </c>
      <c r="BM27" s="92">
        <v>469</v>
      </c>
      <c r="BN27" s="92">
        <v>577</v>
      </c>
      <c r="BO27" s="92" t="s">
        <v>74</v>
      </c>
      <c r="BP27" s="92">
        <v>734</v>
      </c>
      <c r="BQ27" s="92">
        <v>150</v>
      </c>
      <c r="BR27" s="92">
        <v>119</v>
      </c>
      <c r="BS27" s="92" t="s">
        <v>1</v>
      </c>
      <c r="BT27" s="92" t="s">
        <v>1</v>
      </c>
      <c r="BU27" s="92" t="s">
        <v>1</v>
      </c>
      <c r="BV27" s="92" t="s">
        <v>1</v>
      </c>
      <c r="BW27" s="92" t="s">
        <v>1</v>
      </c>
      <c r="BX27" s="189" t="s">
        <v>1</v>
      </c>
      <c r="BY27" s="189" t="s">
        <v>1</v>
      </c>
      <c r="BZ27" s="189" t="s">
        <v>1</v>
      </c>
      <c r="CA27" s="188" t="s">
        <v>1</v>
      </c>
      <c r="CB27" s="189" t="s">
        <v>1</v>
      </c>
      <c r="CC27" s="190" t="s">
        <v>1</v>
      </c>
      <c r="CD27" s="189" t="s">
        <v>1</v>
      </c>
      <c r="CE27" s="191" t="s">
        <v>1</v>
      </c>
      <c r="CF27" s="190" t="s">
        <v>1</v>
      </c>
      <c r="CG27" s="189" t="s">
        <v>1</v>
      </c>
      <c r="CH27" s="92" t="s">
        <v>1</v>
      </c>
    </row>
    <row r="28" ht="21" customHeight="1" spans="1:86">
      <c r="A28" s="107">
        <v>45131</v>
      </c>
      <c r="B28" s="193" t="s">
        <v>224</v>
      </c>
      <c r="C28" s="92" t="s">
        <v>126</v>
      </c>
      <c r="D28" s="30" t="s">
        <v>1</v>
      </c>
      <c r="E28" s="30" t="s">
        <v>1</v>
      </c>
      <c r="F28" s="30">
        <v>7.5588</v>
      </c>
      <c r="G28" s="30">
        <v>17.9363</v>
      </c>
      <c r="H28" s="141" t="str">
        <f t="shared" si="0"/>
        <v/>
      </c>
      <c r="I28" s="30">
        <v>16.2</v>
      </c>
      <c r="J28" s="141" t="str">
        <f t="shared" si="1"/>
        <v/>
      </c>
      <c r="K28" s="141" t="str">
        <f>IFERROR(E28/#REF!,"")</f>
        <v/>
      </c>
      <c r="L28" s="30">
        <v>46731</v>
      </c>
      <c r="M28" s="30">
        <v>127443</v>
      </c>
      <c r="N28" s="141">
        <f t="shared" si="2"/>
        <v>-0.633318424707516</v>
      </c>
      <c r="O28" s="92" t="s">
        <v>1</v>
      </c>
      <c r="P28" s="92" t="s">
        <v>1</v>
      </c>
      <c r="Q28" s="92" t="s">
        <v>1</v>
      </c>
      <c r="R28" s="92" t="s">
        <v>1</v>
      </c>
      <c r="S28" s="92" t="s">
        <v>1</v>
      </c>
      <c r="T28" s="108">
        <v>13800</v>
      </c>
      <c r="U28" s="108">
        <v>32795</v>
      </c>
      <c r="V28" s="92" t="s">
        <v>1</v>
      </c>
      <c r="W28" s="92" t="s">
        <v>1</v>
      </c>
      <c r="X28" s="92" t="s">
        <v>1</v>
      </c>
      <c r="Y28" s="92">
        <v>9615</v>
      </c>
      <c r="Z28" s="92" t="s">
        <v>1</v>
      </c>
      <c r="AA28" s="92">
        <v>2704</v>
      </c>
      <c r="AB28" s="92" t="s">
        <v>1</v>
      </c>
      <c r="AC28" s="92">
        <v>4</v>
      </c>
      <c r="AD28" s="92" t="s">
        <v>1</v>
      </c>
      <c r="AE28" s="92">
        <v>102</v>
      </c>
      <c r="AF28" s="92">
        <v>20</v>
      </c>
      <c r="AG28" s="92">
        <v>24</v>
      </c>
      <c r="AH28" s="92" t="s">
        <v>1</v>
      </c>
      <c r="AI28" s="92">
        <v>135</v>
      </c>
      <c r="AJ28" s="92">
        <v>1712</v>
      </c>
      <c r="AK28" s="92">
        <v>2170</v>
      </c>
      <c r="AL28" s="92">
        <v>664</v>
      </c>
      <c r="AM28" s="92">
        <v>645</v>
      </c>
      <c r="AN28" s="92">
        <v>96</v>
      </c>
      <c r="AO28" s="92">
        <v>124</v>
      </c>
      <c r="AP28" s="92">
        <v>2415</v>
      </c>
      <c r="AQ28" s="92">
        <v>183</v>
      </c>
      <c r="AR28" s="92">
        <v>704</v>
      </c>
      <c r="AS28" s="92">
        <v>979</v>
      </c>
      <c r="AT28" s="92">
        <v>120</v>
      </c>
      <c r="AU28" s="92">
        <v>223</v>
      </c>
      <c r="AV28" s="187">
        <v>0.0027</v>
      </c>
      <c r="AW28" s="187">
        <v>0.0185</v>
      </c>
      <c r="AX28" s="92" t="s">
        <v>1</v>
      </c>
      <c r="AY28" s="92" t="s">
        <v>1</v>
      </c>
      <c r="AZ28" s="92" t="s">
        <v>1</v>
      </c>
      <c r="BA28" s="92" t="s">
        <v>1</v>
      </c>
      <c r="BB28" s="92" t="s">
        <v>1</v>
      </c>
      <c r="BC28" s="92" t="s">
        <v>1</v>
      </c>
      <c r="BD28" s="92" t="s">
        <v>1</v>
      </c>
      <c r="BE28" s="92" t="s">
        <v>1</v>
      </c>
      <c r="BF28" s="92" t="s">
        <v>1</v>
      </c>
      <c r="BG28" s="92" t="s">
        <v>1</v>
      </c>
      <c r="BH28" s="92" t="s">
        <v>1</v>
      </c>
      <c r="BI28" s="92" t="s">
        <v>1</v>
      </c>
      <c r="BJ28" s="141">
        <v>0.7</v>
      </c>
      <c r="BK28" s="92" t="s">
        <v>74</v>
      </c>
      <c r="BL28" s="92">
        <v>200</v>
      </c>
      <c r="BM28" s="92">
        <v>321</v>
      </c>
      <c r="BN28" s="92">
        <v>728</v>
      </c>
      <c r="BO28" s="92" t="s">
        <v>74</v>
      </c>
      <c r="BP28" s="92">
        <v>918</v>
      </c>
      <c r="BQ28" s="92">
        <v>101</v>
      </c>
      <c r="BR28" s="92">
        <v>205</v>
      </c>
      <c r="BS28" s="92" t="s">
        <v>1</v>
      </c>
      <c r="BT28" s="92" t="s">
        <v>1</v>
      </c>
      <c r="BU28" s="92" t="s">
        <v>1</v>
      </c>
      <c r="BV28" s="92" t="s">
        <v>1</v>
      </c>
      <c r="BW28" s="92" t="s">
        <v>1</v>
      </c>
      <c r="BX28" s="189" t="s">
        <v>1</v>
      </c>
      <c r="BY28" s="189" t="s">
        <v>1</v>
      </c>
      <c r="BZ28" s="189" t="s">
        <v>1</v>
      </c>
      <c r="CA28" s="188" t="s">
        <v>1</v>
      </c>
      <c r="CB28" s="189" t="s">
        <v>1</v>
      </c>
      <c r="CC28" s="190" t="s">
        <v>1</v>
      </c>
      <c r="CD28" s="189" t="s">
        <v>1</v>
      </c>
      <c r="CE28" s="191" t="s">
        <v>1</v>
      </c>
      <c r="CF28" s="190" t="s">
        <v>1</v>
      </c>
      <c r="CG28" s="189" t="s">
        <v>1</v>
      </c>
      <c r="CH28" s="92" t="s">
        <v>1</v>
      </c>
    </row>
    <row r="29" ht="21" customHeight="1" spans="1:86">
      <c r="A29" s="107">
        <v>45132</v>
      </c>
      <c r="B29" s="108" t="s">
        <v>70</v>
      </c>
      <c r="C29" s="92" t="s">
        <v>1</v>
      </c>
      <c r="D29" s="30" t="s">
        <v>1</v>
      </c>
      <c r="E29" s="30" t="s">
        <v>1</v>
      </c>
      <c r="F29" s="30">
        <v>5.5791</v>
      </c>
      <c r="G29" s="30">
        <v>12.5385</v>
      </c>
      <c r="H29" s="141" t="str">
        <f t="shared" si="0"/>
        <v/>
      </c>
      <c r="I29" s="30">
        <v>12.6</v>
      </c>
      <c r="J29" s="141" t="str">
        <f t="shared" si="1"/>
        <v/>
      </c>
      <c r="K29" s="141" t="str">
        <f>IFERROR(E29/#REF!,"")</f>
        <v/>
      </c>
      <c r="L29" s="30">
        <v>77503</v>
      </c>
      <c r="M29" s="30">
        <v>76923</v>
      </c>
      <c r="N29" s="141">
        <f t="shared" si="2"/>
        <v>0.00754000754000761</v>
      </c>
      <c r="O29" s="92" t="s">
        <v>1</v>
      </c>
      <c r="P29" s="92" t="s">
        <v>1</v>
      </c>
      <c r="Q29" s="92" t="s">
        <v>1</v>
      </c>
      <c r="R29" s="92" t="s">
        <v>1</v>
      </c>
      <c r="S29" s="92" t="s">
        <v>1</v>
      </c>
      <c r="T29" s="108">
        <v>0</v>
      </c>
      <c r="U29" s="108">
        <v>8998</v>
      </c>
      <c r="V29" s="92" t="s">
        <v>1</v>
      </c>
      <c r="W29" s="92" t="s">
        <v>1</v>
      </c>
      <c r="X29" s="92" t="s">
        <v>1</v>
      </c>
      <c r="Y29" s="92">
        <v>7789</v>
      </c>
      <c r="Z29" s="92" t="s">
        <v>1</v>
      </c>
      <c r="AA29" s="92">
        <v>2570</v>
      </c>
      <c r="AB29" s="92" t="s">
        <v>1</v>
      </c>
      <c r="AC29" s="92">
        <v>3</v>
      </c>
      <c r="AD29" s="92" t="s">
        <v>1</v>
      </c>
      <c r="AE29" s="92">
        <v>90</v>
      </c>
      <c r="AF29" s="92">
        <v>15</v>
      </c>
      <c r="AG29" s="92">
        <v>11</v>
      </c>
      <c r="AH29" s="92" t="s">
        <v>1</v>
      </c>
      <c r="AI29" s="92">
        <v>121</v>
      </c>
      <c r="AJ29" s="92">
        <v>1877</v>
      </c>
      <c r="AK29" s="92">
        <v>2062</v>
      </c>
      <c r="AL29" s="92">
        <v>669</v>
      </c>
      <c r="AM29" s="92">
        <v>542</v>
      </c>
      <c r="AN29" s="92">
        <v>111</v>
      </c>
      <c r="AO29" s="92">
        <v>110</v>
      </c>
      <c r="AP29" s="92">
        <v>3213</v>
      </c>
      <c r="AQ29" s="92">
        <v>197</v>
      </c>
      <c r="AR29" s="92">
        <v>829</v>
      </c>
      <c r="AS29" s="92">
        <v>973</v>
      </c>
      <c r="AT29" s="92">
        <v>124</v>
      </c>
      <c r="AU29" s="92">
        <v>191</v>
      </c>
      <c r="AV29" s="187">
        <v>0.0015</v>
      </c>
      <c r="AW29" s="187">
        <v>0.0125</v>
      </c>
      <c r="AX29" s="92" t="s">
        <v>1</v>
      </c>
      <c r="AY29" s="92" t="s">
        <v>1</v>
      </c>
      <c r="AZ29" s="92" t="s">
        <v>1</v>
      </c>
      <c r="BA29" s="92" t="s">
        <v>1</v>
      </c>
      <c r="BB29" s="92" t="s">
        <v>1</v>
      </c>
      <c r="BC29" s="92" t="s">
        <v>1</v>
      </c>
      <c r="BD29" s="92" t="s">
        <v>1</v>
      </c>
      <c r="BE29" s="92" t="s">
        <v>1</v>
      </c>
      <c r="BF29" s="92" t="s">
        <v>1</v>
      </c>
      <c r="BG29" s="92" t="s">
        <v>1</v>
      </c>
      <c r="BH29" s="92" t="s">
        <v>1</v>
      </c>
      <c r="BI29" s="92" t="s">
        <v>1</v>
      </c>
      <c r="BJ29" s="141">
        <v>0.95</v>
      </c>
      <c r="BK29" s="92" t="s">
        <v>74</v>
      </c>
      <c r="BL29" s="92">
        <v>156</v>
      </c>
      <c r="BM29" s="92">
        <v>391</v>
      </c>
      <c r="BN29" s="92">
        <v>891</v>
      </c>
      <c r="BO29" s="92" t="s">
        <v>74</v>
      </c>
      <c r="BP29" s="92">
        <v>823</v>
      </c>
      <c r="BQ29" s="92">
        <v>115</v>
      </c>
      <c r="BR29" s="92">
        <v>247</v>
      </c>
      <c r="BS29" s="92" t="s">
        <v>1</v>
      </c>
      <c r="BT29" s="92" t="s">
        <v>1</v>
      </c>
      <c r="BU29" s="92" t="s">
        <v>1</v>
      </c>
      <c r="BV29" s="92" t="s">
        <v>1</v>
      </c>
      <c r="BW29" s="92" t="s">
        <v>1</v>
      </c>
      <c r="BX29" s="189" t="s">
        <v>93</v>
      </c>
      <c r="BY29" s="189" t="s">
        <v>78</v>
      </c>
      <c r="BZ29" s="188" t="s">
        <v>149</v>
      </c>
      <c r="CA29" s="189" t="s">
        <v>83</v>
      </c>
      <c r="CB29" s="190" t="s">
        <v>219</v>
      </c>
      <c r="CC29" s="190" t="s">
        <v>145</v>
      </c>
      <c r="CD29" s="191" t="s">
        <v>150</v>
      </c>
      <c r="CE29" s="189" t="s">
        <v>81</v>
      </c>
      <c r="CF29" s="189" t="s">
        <v>86</v>
      </c>
      <c r="CG29" s="190" t="s">
        <v>92</v>
      </c>
      <c r="CH29" s="92" t="s">
        <v>1</v>
      </c>
    </row>
    <row r="30" ht="21" customHeight="1" spans="1:86">
      <c r="A30" s="107">
        <v>45133</v>
      </c>
      <c r="B30" s="108" t="s">
        <v>70</v>
      </c>
      <c r="C30" s="92" t="s">
        <v>125</v>
      </c>
      <c r="D30" s="30" t="s">
        <v>1</v>
      </c>
      <c r="E30" s="30" t="s">
        <v>1</v>
      </c>
      <c r="F30" s="30">
        <v>4.599</v>
      </c>
      <c r="G30" s="30">
        <v>0.9298</v>
      </c>
      <c r="H30" s="141" t="str">
        <f t="shared" si="0"/>
        <v/>
      </c>
      <c r="I30" s="30">
        <v>7.2</v>
      </c>
      <c r="J30" s="141" t="str">
        <f t="shared" si="1"/>
        <v/>
      </c>
      <c r="K30" s="141" t="str">
        <f>IFERROR(E30/#REF!,"")</f>
        <v/>
      </c>
      <c r="L30" s="30">
        <v>24595</v>
      </c>
      <c r="M30" s="30">
        <v>27597</v>
      </c>
      <c r="N30" s="141">
        <f t="shared" si="2"/>
        <v>-0.108779939848534</v>
      </c>
      <c r="O30" s="92" t="s">
        <v>1</v>
      </c>
      <c r="P30" s="92" t="s">
        <v>1</v>
      </c>
      <c r="Q30" s="92" t="s">
        <v>1</v>
      </c>
      <c r="R30" s="92" t="s">
        <v>1</v>
      </c>
      <c r="S30" s="92" t="s">
        <v>1</v>
      </c>
      <c r="T30" s="108">
        <v>0</v>
      </c>
      <c r="U30" s="108">
        <v>4499</v>
      </c>
      <c r="V30" s="92" t="s">
        <v>1</v>
      </c>
      <c r="W30" s="92" t="s">
        <v>1</v>
      </c>
      <c r="X30" s="92" t="s">
        <v>1</v>
      </c>
      <c r="Y30" s="92">
        <v>7265</v>
      </c>
      <c r="Z30" s="92" t="s">
        <v>1</v>
      </c>
      <c r="AA30" s="92">
        <v>2450</v>
      </c>
      <c r="AB30" s="92" t="s">
        <v>1</v>
      </c>
      <c r="AC30" s="92">
        <v>3</v>
      </c>
      <c r="AD30" s="92" t="s">
        <v>1</v>
      </c>
      <c r="AE30" s="92">
        <v>86</v>
      </c>
      <c r="AF30" s="92">
        <v>19</v>
      </c>
      <c r="AG30" s="92">
        <v>23</v>
      </c>
      <c r="AH30" s="92" t="s">
        <v>1</v>
      </c>
      <c r="AI30" s="92">
        <v>105</v>
      </c>
      <c r="AJ30" s="92">
        <v>2089</v>
      </c>
      <c r="AK30" s="92">
        <v>1905</v>
      </c>
      <c r="AL30" s="92">
        <v>687</v>
      </c>
      <c r="AM30" s="92">
        <v>658</v>
      </c>
      <c r="AN30" s="92">
        <v>99</v>
      </c>
      <c r="AO30" s="92">
        <v>87</v>
      </c>
      <c r="AP30" s="92">
        <v>1269</v>
      </c>
      <c r="AQ30" s="92">
        <v>181</v>
      </c>
      <c r="AR30" s="92">
        <v>1048</v>
      </c>
      <c r="AS30" s="92">
        <v>834</v>
      </c>
      <c r="AT30" s="92">
        <v>107</v>
      </c>
      <c r="AU30" s="92">
        <v>184</v>
      </c>
      <c r="AV30" s="187">
        <v>0.0027</v>
      </c>
      <c r="AW30" s="187">
        <v>0.0033</v>
      </c>
      <c r="AX30" s="92" t="s">
        <v>1</v>
      </c>
      <c r="AY30" s="92" t="s">
        <v>1</v>
      </c>
      <c r="AZ30" s="92" t="s">
        <v>1</v>
      </c>
      <c r="BA30" s="92" t="s">
        <v>1</v>
      </c>
      <c r="BB30" s="92" t="s">
        <v>1</v>
      </c>
      <c r="BC30" s="92" t="s">
        <v>1</v>
      </c>
      <c r="BD30" s="92" t="s">
        <v>1</v>
      </c>
      <c r="BE30" s="92" t="s">
        <v>1</v>
      </c>
      <c r="BF30" s="92" t="s">
        <v>1</v>
      </c>
      <c r="BG30" s="92" t="s">
        <v>1</v>
      </c>
      <c r="BH30" s="92" t="s">
        <v>1</v>
      </c>
      <c r="BI30" s="92" t="s">
        <v>1</v>
      </c>
      <c r="BJ30" s="92" t="s">
        <v>1</v>
      </c>
      <c r="BK30" s="92" t="s">
        <v>74</v>
      </c>
      <c r="BL30" s="92">
        <v>127</v>
      </c>
      <c r="BM30" s="92">
        <v>470</v>
      </c>
      <c r="BN30" s="92">
        <v>558</v>
      </c>
      <c r="BO30" s="92" t="s">
        <v>74</v>
      </c>
      <c r="BP30" s="92">
        <v>709</v>
      </c>
      <c r="BQ30" s="92">
        <v>140</v>
      </c>
      <c r="BR30" s="92">
        <v>110</v>
      </c>
      <c r="BS30" s="92" t="s">
        <v>1</v>
      </c>
      <c r="BT30" s="92" t="s">
        <v>1</v>
      </c>
      <c r="BU30" s="92" t="s">
        <v>1</v>
      </c>
      <c r="BV30" s="92" t="s">
        <v>1</v>
      </c>
      <c r="BW30" s="92" t="s">
        <v>1</v>
      </c>
      <c r="BX30" s="189" t="s">
        <v>1</v>
      </c>
      <c r="BY30" s="189" t="s">
        <v>1</v>
      </c>
      <c r="BZ30" s="188" t="s">
        <v>1</v>
      </c>
      <c r="CA30" s="189" t="s">
        <v>1</v>
      </c>
      <c r="CB30" s="190" t="s">
        <v>1</v>
      </c>
      <c r="CC30" s="190" t="s">
        <v>1</v>
      </c>
      <c r="CD30" s="191" t="s">
        <v>1</v>
      </c>
      <c r="CE30" s="189" t="s">
        <v>1</v>
      </c>
      <c r="CF30" s="189" t="s">
        <v>1</v>
      </c>
      <c r="CG30" s="190" t="s">
        <v>1</v>
      </c>
      <c r="CH30" s="92" t="s">
        <v>1</v>
      </c>
    </row>
    <row r="31" ht="21" customHeight="1" spans="1:86">
      <c r="A31" s="107">
        <v>45134</v>
      </c>
      <c r="B31" s="108" t="s">
        <v>70</v>
      </c>
      <c r="C31" s="92" t="s">
        <v>125</v>
      </c>
      <c r="D31" s="30" t="s">
        <v>1</v>
      </c>
      <c r="E31" s="30" t="s">
        <v>1</v>
      </c>
      <c r="F31" s="30">
        <v>8.1684</v>
      </c>
      <c r="G31" s="30">
        <v>13.527</v>
      </c>
      <c r="H31" s="141" t="str">
        <f t="shared" si="0"/>
        <v/>
      </c>
      <c r="I31" s="30">
        <v>9</v>
      </c>
      <c r="J31" s="141" t="str">
        <f t="shared" si="1"/>
        <v/>
      </c>
      <c r="K31" s="141" t="str">
        <f>IFERROR(E31/#REF!,"")</f>
        <v/>
      </c>
      <c r="L31" s="30">
        <v>40990</v>
      </c>
      <c r="M31" s="30">
        <v>63502</v>
      </c>
      <c r="N31" s="141">
        <f t="shared" si="2"/>
        <v>-0.354508519416711</v>
      </c>
      <c r="O31" s="92" t="s">
        <v>1</v>
      </c>
      <c r="P31" s="92" t="s">
        <v>1</v>
      </c>
      <c r="Q31" s="92" t="s">
        <v>1</v>
      </c>
      <c r="R31" s="92" t="s">
        <v>1</v>
      </c>
      <c r="S31" s="92" t="s">
        <v>1</v>
      </c>
      <c r="T31" s="108">
        <v>0</v>
      </c>
      <c r="U31" s="108">
        <v>19296</v>
      </c>
      <c r="V31" s="92" t="s">
        <v>1</v>
      </c>
      <c r="W31" s="92" t="s">
        <v>1</v>
      </c>
      <c r="X31" s="92" t="s">
        <v>1</v>
      </c>
      <c r="Y31" s="92">
        <v>9864</v>
      </c>
      <c r="Z31" s="92" t="s">
        <v>1</v>
      </c>
      <c r="AA31" s="92">
        <v>3660</v>
      </c>
      <c r="AB31" s="92" t="s">
        <v>1</v>
      </c>
      <c r="AC31" s="92">
        <v>3</v>
      </c>
      <c r="AD31" s="92" t="s">
        <v>1</v>
      </c>
      <c r="AE31" s="92">
        <v>76</v>
      </c>
      <c r="AF31" s="92">
        <v>19</v>
      </c>
      <c r="AG31" s="92">
        <v>14</v>
      </c>
      <c r="AH31" s="92" t="s">
        <v>1</v>
      </c>
      <c r="AI31" s="92">
        <v>123</v>
      </c>
      <c r="AJ31" s="92">
        <v>1912</v>
      </c>
      <c r="AK31" s="92">
        <v>3132</v>
      </c>
      <c r="AL31" s="92">
        <v>753</v>
      </c>
      <c r="AM31" s="92">
        <v>643</v>
      </c>
      <c r="AN31" s="92">
        <v>92</v>
      </c>
      <c r="AO31" s="92">
        <v>148</v>
      </c>
      <c r="AP31" s="92">
        <v>1368</v>
      </c>
      <c r="AQ31" s="92">
        <v>174</v>
      </c>
      <c r="AR31" s="92">
        <v>997</v>
      </c>
      <c r="AS31" s="92">
        <v>977</v>
      </c>
      <c r="AT31" s="92">
        <v>105</v>
      </c>
      <c r="AU31" s="92">
        <v>223</v>
      </c>
      <c r="AV31" s="187">
        <v>0.004</v>
      </c>
      <c r="AW31" s="187">
        <v>0.0082</v>
      </c>
      <c r="AX31" s="92" t="s">
        <v>1</v>
      </c>
      <c r="AY31" s="92" t="s">
        <v>1</v>
      </c>
      <c r="AZ31" s="92" t="s">
        <v>1</v>
      </c>
      <c r="BA31" s="92" t="s">
        <v>1</v>
      </c>
      <c r="BB31" s="92" t="s">
        <v>1</v>
      </c>
      <c r="BC31" s="92" t="s">
        <v>1</v>
      </c>
      <c r="BD31" s="92" t="s">
        <v>1</v>
      </c>
      <c r="BE31" s="92" t="s">
        <v>1</v>
      </c>
      <c r="BF31" s="92" t="s">
        <v>1</v>
      </c>
      <c r="BG31" s="92" t="s">
        <v>1</v>
      </c>
      <c r="BH31" s="92" t="s">
        <v>1</v>
      </c>
      <c r="BI31" s="92" t="s">
        <v>1</v>
      </c>
      <c r="BJ31" s="141">
        <v>0.95</v>
      </c>
      <c r="BK31" s="92" t="s">
        <v>74</v>
      </c>
      <c r="BL31" s="92">
        <v>110</v>
      </c>
      <c r="BM31" s="92">
        <v>500</v>
      </c>
      <c r="BN31" s="92">
        <v>774</v>
      </c>
      <c r="BO31" s="92" t="s">
        <v>74</v>
      </c>
      <c r="BP31" s="92">
        <v>658</v>
      </c>
      <c r="BQ31" s="92">
        <v>154</v>
      </c>
      <c r="BR31" s="92">
        <v>155</v>
      </c>
      <c r="BS31" s="92" t="s">
        <v>1</v>
      </c>
      <c r="BT31" s="92" t="s">
        <v>1</v>
      </c>
      <c r="BU31" s="92" t="s">
        <v>1</v>
      </c>
      <c r="BV31" s="92" t="s">
        <v>1</v>
      </c>
      <c r="BW31" s="92" t="s">
        <v>1</v>
      </c>
      <c r="BX31" s="189" t="s">
        <v>1</v>
      </c>
      <c r="BY31" s="189" t="s">
        <v>1</v>
      </c>
      <c r="BZ31" s="188" t="s">
        <v>1</v>
      </c>
      <c r="CA31" s="189" t="s">
        <v>1</v>
      </c>
      <c r="CB31" s="190" t="s">
        <v>1</v>
      </c>
      <c r="CC31" s="190" t="s">
        <v>1</v>
      </c>
      <c r="CD31" s="191" t="s">
        <v>1</v>
      </c>
      <c r="CE31" s="189" t="s">
        <v>1</v>
      </c>
      <c r="CF31" s="189" t="s">
        <v>1</v>
      </c>
      <c r="CG31" s="190" t="s">
        <v>1</v>
      </c>
      <c r="CH31" s="92" t="s">
        <v>1</v>
      </c>
    </row>
    <row r="32" ht="21" customHeight="1" spans="1:86">
      <c r="A32" s="107">
        <v>45135</v>
      </c>
      <c r="B32" s="108" t="s">
        <v>70</v>
      </c>
      <c r="C32" s="92" t="s">
        <v>125</v>
      </c>
      <c r="D32" s="30" t="s">
        <v>1</v>
      </c>
      <c r="E32" s="30" t="s">
        <v>1</v>
      </c>
      <c r="F32" s="30">
        <v>10.1634</v>
      </c>
      <c r="G32" s="30">
        <v>6.9193</v>
      </c>
      <c r="H32" s="141" t="str">
        <f t="shared" si="0"/>
        <v/>
      </c>
      <c r="I32" s="30">
        <v>9</v>
      </c>
      <c r="J32" s="141" t="str">
        <f t="shared" si="1"/>
        <v/>
      </c>
      <c r="K32" s="141" t="str">
        <f>IFERROR(E32/#REF!,"")</f>
        <v/>
      </c>
      <c r="L32" s="30">
        <v>38629</v>
      </c>
      <c r="M32" s="30">
        <v>47601</v>
      </c>
      <c r="N32" s="141">
        <f t="shared" si="2"/>
        <v>-0.188483435221949</v>
      </c>
      <c r="O32" s="92" t="s">
        <v>1</v>
      </c>
      <c r="P32" s="92" t="s">
        <v>1</v>
      </c>
      <c r="Q32" s="92" t="s">
        <v>1</v>
      </c>
      <c r="R32" s="92" t="s">
        <v>1</v>
      </c>
      <c r="S32" s="92" t="s">
        <v>1</v>
      </c>
      <c r="T32" s="108">
        <v>5699</v>
      </c>
      <c r="U32" s="108">
        <v>8998</v>
      </c>
      <c r="V32" s="92" t="s">
        <v>1</v>
      </c>
      <c r="W32" s="92" t="s">
        <v>1</v>
      </c>
      <c r="X32" s="92" t="s">
        <v>1</v>
      </c>
      <c r="Y32" s="92">
        <v>8805</v>
      </c>
      <c r="Z32" s="92" t="s">
        <v>1</v>
      </c>
      <c r="AA32" s="92">
        <v>2820</v>
      </c>
      <c r="AB32" s="92" t="s">
        <v>1</v>
      </c>
      <c r="AC32" s="92">
        <v>3</v>
      </c>
      <c r="AD32" s="92" t="s">
        <v>1</v>
      </c>
      <c r="AE32" s="92">
        <v>86</v>
      </c>
      <c r="AF32" s="92">
        <v>7</v>
      </c>
      <c r="AG32" s="92">
        <v>18</v>
      </c>
      <c r="AH32" s="92" t="s">
        <v>1</v>
      </c>
      <c r="AI32" s="92">
        <v>139</v>
      </c>
      <c r="AJ32" s="92">
        <v>1815</v>
      </c>
      <c r="AK32" s="92">
        <v>2272</v>
      </c>
      <c r="AL32" s="92">
        <v>490</v>
      </c>
      <c r="AM32" s="92">
        <v>600</v>
      </c>
      <c r="AN32" s="92">
        <v>129</v>
      </c>
      <c r="AO32" s="92">
        <v>117</v>
      </c>
      <c r="AP32" s="92">
        <v>1930</v>
      </c>
      <c r="AQ32" s="92">
        <v>220</v>
      </c>
      <c r="AR32" s="92">
        <v>905</v>
      </c>
      <c r="AS32" s="92">
        <v>1101</v>
      </c>
      <c r="AT32" s="92">
        <v>106</v>
      </c>
      <c r="AU32" s="92">
        <v>195</v>
      </c>
      <c r="AV32" s="187">
        <v>0.0053</v>
      </c>
      <c r="AW32" s="187">
        <v>0.0053</v>
      </c>
      <c r="AX32" s="92" t="s">
        <v>1</v>
      </c>
      <c r="AY32" s="92" t="s">
        <v>1</v>
      </c>
      <c r="AZ32" s="92" t="s">
        <v>1</v>
      </c>
      <c r="BA32" s="92" t="s">
        <v>1</v>
      </c>
      <c r="BB32" s="92" t="s">
        <v>1</v>
      </c>
      <c r="BC32" s="92" t="s">
        <v>1</v>
      </c>
      <c r="BD32" s="92" t="s">
        <v>1</v>
      </c>
      <c r="BE32" s="92" t="s">
        <v>1</v>
      </c>
      <c r="BF32" s="92" t="s">
        <v>1</v>
      </c>
      <c r="BG32" s="92" t="s">
        <v>1</v>
      </c>
      <c r="BH32" s="92" t="s">
        <v>1</v>
      </c>
      <c r="BI32" s="92" t="s">
        <v>1</v>
      </c>
      <c r="BJ32" s="141">
        <v>0.95</v>
      </c>
      <c r="BK32" s="92" t="s">
        <v>74</v>
      </c>
      <c r="BL32" s="92">
        <v>120</v>
      </c>
      <c r="BM32" s="92">
        <v>474</v>
      </c>
      <c r="BN32" s="92">
        <v>1008</v>
      </c>
      <c r="BO32" s="92" t="s">
        <v>74</v>
      </c>
      <c r="BP32" s="92">
        <v>665</v>
      </c>
      <c r="BQ32" s="92">
        <v>151</v>
      </c>
      <c r="BR32" s="92">
        <v>287</v>
      </c>
      <c r="BS32" s="92" t="s">
        <v>1</v>
      </c>
      <c r="BT32" s="92" t="s">
        <v>1</v>
      </c>
      <c r="BU32" s="92" t="s">
        <v>1</v>
      </c>
      <c r="BV32" s="92" t="s">
        <v>1</v>
      </c>
      <c r="BW32" s="92" t="s">
        <v>1</v>
      </c>
      <c r="BX32" s="189" t="s">
        <v>1</v>
      </c>
      <c r="BY32" s="189" t="s">
        <v>1</v>
      </c>
      <c r="BZ32" s="188" t="s">
        <v>1</v>
      </c>
      <c r="CA32" s="189" t="s">
        <v>1</v>
      </c>
      <c r="CB32" s="190" t="s">
        <v>1</v>
      </c>
      <c r="CC32" s="190" t="s">
        <v>1</v>
      </c>
      <c r="CD32" s="191" t="s">
        <v>1</v>
      </c>
      <c r="CE32" s="189" t="s">
        <v>1</v>
      </c>
      <c r="CF32" s="189" t="s">
        <v>1</v>
      </c>
      <c r="CG32" s="190" t="s">
        <v>1</v>
      </c>
      <c r="CH32" s="92" t="s">
        <v>1</v>
      </c>
    </row>
    <row r="33" ht="21" customHeight="1" spans="1:86">
      <c r="A33" s="107">
        <v>45136</v>
      </c>
      <c r="B33" s="194" t="s">
        <v>89</v>
      </c>
      <c r="C33" s="92" t="s">
        <v>75</v>
      </c>
      <c r="D33" s="30" t="s">
        <v>1</v>
      </c>
      <c r="E33" s="30" t="s">
        <v>1</v>
      </c>
      <c r="F33" s="30">
        <v>0.72</v>
      </c>
      <c r="G33" s="30">
        <v>1.4802</v>
      </c>
      <c r="H33" s="141" t="str">
        <f t="shared" si="0"/>
        <v/>
      </c>
      <c r="I33" s="30">
        <v>0</v>
      </c>
      <c r="J33" s="141" t="str">
        <f t="shared" si="1"/>
        <v/>
      </c>
      <c r="K33" s="141" t="str">
        <f>IFERROR(E33/#REF!,"")</f>
        <v/>
      </c>
      <c r="L33" s="30">
        <v>27693</v>
      </c>
      <c r="M33" s="30">
        <v>23481</v>
      </c>
      <c r="N33" s="141">
        <f t="shared" si="2"/>
        <v>0.179379072441548</v>
      </c>
      <c r="O33" s="92" t="s">
        <v>1</v>
      </c>
      <c r="P33" s="92" t="s">
        <v>1</v>
      </c>
      <c r="Q33" s="92" t="s">
        <v>1</v>
      </c>
      <c r="R33" s="92" t="s">
        <v>1</v>
      </c>
      <c r="S33" s="92" t="s">
        <v>1</v>
      </c>
      <c r="T33" s="108">
        <v>0</v>
      </c>
      <c r="U33" s="108">
        <v>0</v>
      </c>
      <c r="V33" s="92" t="s">
        <v>1</v>
      </c>
      <c r="W33" s="92" t="s">
        <v>1</v>
      </c>
      <c r="X33" s="92" t="s">
        <v>1</v>
      </c>
      <c r="Y33" s="92">
        <v>6305</v>
      </c>
      <c r="Z33" s="92" t="s">
        <v>1</v>
      </c>
      <c r="AA33" s="92">
        <v>2182</v>
      </c>
      <c r="AB33" s="92" t="s">
        <v>1</v>
      </c>
      <c r="AC33" s="92">
        <v>3</v>
      </c>
      <c r="AD33" s="92" t="s">
        <v>1</v>
      </c>
      <c r="AE33" s="92">
        <v>85</v>
      </c>
      <c r="AF33" s="92">
        <v>21</v>
      </c>
      <c r="AG33" s="92">
        <v>15</v>
      </c>
      <c r="AH33" s="92" t="s">
        <v>1</v>
      </c>
      <c r="AI33" s="92">
        <v>82</v>
      </c>
      <c r="AJ33" s="92">
        <v>1917</v>
      </c>
      <c r="AK33" s="92">
        <v>1710</v>
      </c>
      <c r="AL33" s="92">
        <v>715</v>
      </c>
      <c r="AM33" s="92">
        <v>541</v>
      </c>
      <c r="AN33" s="92">
        <v>87</v>
      </c>
      <c r="AO33" s="92">
        <v>93</v>
      </c>
      <c r="AP33" s="92">
        <v>2232</v>
      </c>
      <c r="AQ33" s="92">
        <v>167</v>
      </c>
      <c r="AR33" s="92">
        <v>833</v>
      </c>
      <c r="AS33" s="92">
        <v>797</v>
      </c>
      <c r="AT33" s="92">
        <v>170</v>
      </c>
      <c r="AU33" s="92">
        <v>166</v>
      </c>
      <c r="AV33" s="187">
        <v>0.0002</v>
      </c>
      <c r="AW33" s="187">
        <v>0.0027</v>
      </c>
      <c r="AX33" s="92" t="s">
        <v>1</v>
      </c>
      <c r="AY33" s="92" t="s">
        <v>1</v>
      </c>
      <c r="AZ33" s="92" t="s">
        <v>1</v>
      </c>
      <c r="BA33" s="92" t="s">
        <v>1</v>
      </c>
      <c r="BB33" s="92" t="s">
        <v>1</v>
      </c>
      <c r="BC33" s="92" t="s">
        <v>1</v>
      </c>
      <c r="BD33" s="92" t="s">
        <v>1</v>
      </c>
      <c r="BE33" s="92" t="s">
        <v>1</v>
      </c>
      <c r="BF33" s="92" t="s">
        <v>1</v>
      </c>
      <c r="BG33" s="92" t="s">
        <v>1</v>
      </c>
      <c r="BH33" s="92" t="s">
        <v>1</v>
      </c>
      <c r="BI33" s="92" t="s">
        <v>1</v>
      </c>
      <c r="BJ33" s="92" t="s">
        <v>1</v>
      </c>
      <c r="BK33" s="92" t="s">
        <v>74</v>
      </c>
      <c r="BL33" s="92">
        <v>171</v>
      </c>
      <c r="BM33" s="92">
        <v>377</v>
      </c>
      <c r="BN33" s="92">
        <v>520</v>
      </c>
      <c r="BO33" s="92" t="s">
        <v>74</v>
      </c>
      <c r="BP33" s="92">
        <v>962</v>
      </c>
      <c r="BQ33" s="92">
        <v>100</v>
      </c>
      <c r="BR33" s="92">
        <v>104</v>
      </c>
      <c r="BS33" s="92" t="s">
        <v>1</v>
      </c>
      <c r="BT33" s="92" t="s">
        <v>1</v>
      </c>
      <c r="BU33" s="92" t="s">
        <v>1</v>
      </c>
      <c r="BV33" s="92" t="s">
        <v>1</v>
      </c>
      <c r="BW33" s="92" t="s">
        <v>1</v>
      </c>
      <c r="BX33" s="189" t="s">
        <v>1</v>
      </c>
      <c r="BY33" s="189" t="s">
        <v>1</v>
      </c>
      <c r="BZ33" s="188" t="s">
        <v>1</v>
      </c>
      <c r="CA33" s="189" t="s">
        <v>1</v>
      </c>
      <c r="CB33" s="190" t="s">
        <v>1</v>
      </c>
      <c r="CC33" s="190" t="s">
        <v>1</v>
      </c>
      <c r="CD33" s="191" t="s">
        <v>1</v>
      </c>
      <c r="CE33" s="189" t="s">
        <v>1</v>
      </c>
      <c r="CF33" s="189" t="s">
        <v>1</v>
      </c>
      <c r="CG33" s="190" t="s">
        <v>1</v>
      </c>
      <c r="CH33" s="92" t="s">
        <v>1</v>
      </c>
    </row>
    <row r="34" ht="21" customHeight="1" spans="1:86">
      <c r="A34" s="107">
        <v>45137</v>
      </c>
      <c r="B34" s="194" t="s">
        <v>89</v>
      </c>
      <c r="C34" s="92" t="s">
        <v>75</v>
      </c>
      <c r="D34" s="30" t="s">
        <v>1</v>
      </c>
      <c r="E34" s="30" t="s">
        <v>1</v>
      </c>
      <c r="F34" s="155">
        <v>0</v>
      </c>
      <c r="G34" s="30">
        <v>1.4356</v>
      </c>
      <c r="H34" s="141" t="str">
        <f t="shared" si="0"/>
        <v/>
      </c>
      <c r="I34" s="30">
        <v>0</v>
      </c>
      <c r="J34" s="141" t="str">
        <f t="shared" si="1"/>
        <v/>
      </c>
      <c r="K34" s="141" t="str">
        <f>IFERROR(E34/#REF!,"")</f>
        <v/>
      </c>
      <c r="L34" s="30">
        <v>27589</v>
      </c>
      <c r="M34" s="30">
        <v>24651</v>
      </c>
      <c r="N34" s="141">
        <f t="shared" si="2"/>
        <v>0.119183805930794</v>
      </c>
      <c r="O34" s="92" t="s">
        <v>1</v>
      </c>
      <c r="P34" s="195">
        <v>109.6808</v>
      </c>
      <c r="Q34" s="92" t="s">
        <v>1</v>
      </c>
      <c r="R34" s="92" t="s">
        <v>97</v>
      </c>
      <c r="S34" s="187">
        <v>0.0104</v>
      </c>
      <c r="T34" s="108">
        <v>0</v>
      </c>
      <c r="U34" s="108">
        <v>0</v>
      </c>
      <c r="V34" s="92" t="s">
        <v>1</v>
      </c>
      <c r="W34" s="92" t="s">
        <v>1</v>
      </c>
      <c r="X34" s="92" t="s">
        <v>1</v>
      </c>
      <c r="Y34" s="92">
        <v>6959</v>
      </c>
      <c r="Z34" s="92" t="s">
        <v>1</v>
      </c>
      <c r="AA34" s="92">
        <v>2463</v>
      </c>
      <c r="AB34" s="92" t="s">
        <v>1</v>
      </c>
      <c r="AC34" s="92">
        <v>3</v>
      </c>
      <c r="AD34" s="92" t="s">
        <v>1</v>
      </c>
      <c r="AE34" s="92">
        <v>85</v>
      </c>
      <c r="AF34" s="92">
        <v>17</v>
      </c>
      <c r="AG34" s="92">
        <v>20</v>
      </c>
      <c r="AH34" s="92" t="s">
        <v>1</v>
      </c>
      <c r="AI34" s="92">
        <v>89</v>
      </c>
      <c r="AJ34" s="92">
        <v>2173</v>
      </c>
      <c r="AK34" s="92">
        <v>1840</v>
      </c>
      <c r="AL34" s="92">
        <v>856</v>
      </c>
      <c r="AM34" s="92">
        <v>745</v>
      </c>
      <c r="AN34" s="92">
        <v>119</v>
      </c>
      <c r="AO34" s="92">
        <v>79</v>
      </c>
      <c r="AP34" s="92">
        <v>2475</v>
      </c>
      <c r="AQ34" s="92">
        <v>182</v>
      </c>
      <c r="AR34" s="92">
        <v>1021</v>
      </c>
      <c r="AS34" s="92">
        <v>900</v>
      </c>
      <c r="AT34" s="92">
        <v>160</v>
      </c>
      <c r="AU34" s="92">
        <v>192</v>
      </c>
      <c r="AV34" s="187">
        <v>0</v>
      </c>
      <c r="AW34" s="187">
        <v>0.0045</v>
      </c>
      <c r="AX34" s="92">
        <v>0</v>
      </c>
      <c r="AY34" s="92">
        <v>139</v>
      </c>
      <c r="AZ34" s="92" t="s">
        <v>1</v>
      </c>
      <c r="BA34" s="92" t="s">
        <v>1</v>
      </c>
      <c r="BB34" s="92">
        <v>0</v>
      </c>
      <c r="BC34" s="92">
        <v>14</v>
      </c>
      <c r="BD34" s="92">
        <v>0</v>
      </c>
      <c r="BE34" s="187">
        <v>0.1007</v>
      </c>
      <c r="BF34" s="92" t="s">
        <v>1</v>
      </c>
      <c r="BG34" s="92" t="s">
        <v>1</v>
      </c>
      <c r="BH34" s="92" t="s">
        <v>1</v>
      </c>
      <c r="BI34" s="92" t="s">
        <v>1</v>
      </c>
      <c r="BJ34" s="141">
        <v>0.95</v>
      </c>
      <c r="BK34" s="92" t="s">
        <v>74</v>
      </c>
      <c r="BL34" s="92">
        <v>137</v>
      </c>
      <c r="BM34" s="92">
        <v>502</v>
      </c>
      <c r="BN34" s="92">
        <v>558</v>
      </c>
      <c r="BO34" s="92" t="s">
        <v>74</v>
      </c>
      <c r="BP34" s="92">
        <v>827</v>
      </c>
      <c r="BQ34" s="92">
        <v>120</v>
      </c>
      <c r="BR34" s="92">
        <v>143</v>
      </c>
      <c r="BS34" s="92" t="s">
        <v>1</v>
      </c>
      <c r="BT34" s="92" t="s">
        <v>1</v>
      </c>
      <c r="BU34" s="92" t="s">
        <v>1</v>
      </c>
      <c r="BV34" s="92" t="s">
        <v>1</v>
      </c>
      <c r="BW34" s="92" t="s">
        <v>1</v>
      </c>
      <c r="BX34" s="189" t="s">
        <v>1</v>
      </c>
      <c r="BY34" s="189" t="s">
        <v>1</v>
      </c>
      <c r="BZ34" s="188" t="s">
        <v>1</v>
      </c>
      <c r="CA34" s="189" t="s">
        <v>1</v>
      </c>
      <c r="CB34" s="190" t="s">
        <v>1</v>
      </c>
      <c r="CC34" s="190" t="s">
        <v>1</v>
      </c>
      <c r="CD34" s="191" t="s">
        <v>1</v>
      </c>
      <c r="CE34" s="189" t="s">
        <v>1</v>
      </c>
      <c r="CF34" s="189" t="s">
        <v>1</v>
      </c>
      <c r="CG34" s="190" t="s">
        <v>1</v>
      </c>
      <c r="CH34" s="92" t="s">
        <v>1</v>
      </c>
    </row>
    <row r="35" ht="21" customHeight="1" spans="1:86">
      <c r="A35" s="107">
        <v>45138</v>
      </c>
      <c r="B35" s="196" t="s">
        <v>98</v>
      </c>
      <c r="C35" s="92" t="s">
        <v>220</v>
      </c>
      <c r="D35" s="30" t="s">
        <v>1</v>
      </c>
      <c r="E35" s="30" t="s">
        <v>1</v>
      </c>
      <c r="F35" s="155" t="str">
        <f>E35</f>
        <v/>
      </c>
      <c r="G35" s="30">
        <v>24.9305</v>
      </c>
      <c r="H35" s="141" t="str">
        <f t="shared" si="0"/>
        <v/>
      </c>
      <c r="I35" s="30">
        <v>27</v>
      </c>
      <c r="J35" s="141" t="str">
        <f t="shared" si="1"/>
        <v/>
      </c>
      <c r="K35" s="141" t="str">
        <f>IFERROR(E35/#REF!,"")</f>
        <v/>
      </c>
      <c r="L35" s="30">
        <v>48577</v>
      </c>
      <c r="M35" s="30">
        <v>162894</v>
      </c>
      <c r="N35" s="141">
        <f t="shared" si="2"/>
        <v>-0.701787665598487</v>
      </c>
      <c r="O35" s="92" t="s">
        <v>1</v>
      </c>
      <c r="P35" s="92" t="s">
        <v>1</v>
      </c>
      <c r="Q35" s="92" t="s">
        <v>1</v>
      </c>
      <c r="R35" s="92" t="s">
        <v>1</v>
      </c>
      <c r="S35" s="92" t="s">
        <v>1</v>
      </c>
      <c r="T35" s="108">
        <v>18396</v>
      </c>
      <c r="U35" s="108">
        <v>32193</v>
      </c>
      <c r="V35" s="92" t="s">
        <v>1</v>
      </c>
      <c r="W35" s="92" t="s">
        <v>1</v>
      </c>
      <c r="X35" s="92" t="s">
        <v>1</v>
      </c>
      <c r="Y35" s="92">
        <v>9633</v>
      </c>
      <c r="Z35" s="92" t="s">
        <v>1</v>
      </c>
      <c r="AA35" s="92">
        <v>2900</v>
      </c>
      <c r="AB35" s="92" t="s">
        <v>1</v>
      </c>
      <c r="AC35" s="92">
        <v>3</v>
      </c>
      <c r="AD35" s="92" t="s">
        <v>1</v>
      </c>
      <c r="AE35" s="92">
        <v>96</v>
      </c>
      <c r="AF35" s="92">
        <v>13</v>
      </c>
      <c r="AG35" s="92">
        <v>26</v>
      </c>
      <c r="AH35" s="92" t="s">
        <v>1</v>
      </c>
      <c r="AI35" s="92">
        <v>119</v>
      </c>
      <c r="AJ35" s="92">
        <v>2168</v>
      </c>
      <c r="AK35" s="92">
        <v>2623</v>
      </c>
      <c r="AL35" s="92">
        <v>807</v>
      </c>
      <c r="AM35" s="92">
        <v>509</v>
      </c>
      <c r="AN35" s="92">
        <v>114</v>
      </c>
      <c r="AO35" s="92">
        <v>145</v>
      </c>
      <c r="AP35" s="92">
        <v>1601</v>
      </c>
      <c r="AQ35" s="92">
        <v>147</v>
      </c>
      <c r="AR35" s="92">
        <v>949</v>
      </c>
      <c r="AS35" s="92">
        <v>1250</v>
      </c>
      <c r="AT35" s="92">
        <v>125</v>
      </c>
      <c r="AU35" s="92">
        <v>253</v>
      </c>
      <c r="AV35" s="187">
        <v>0.0102</v>
      </c>
      <c r="AW35" s="187">
        <v>0.0217</v>
      </c>
      <c r="AX35" s="92" t="s">
        <v>1</v>
      </c>
      <c r="AY35" s="92" t="s">
        <v>1</v>
      </c>
      <c r="AZ35" s="92" t="s">
        <v>1</v>
      </c>
      <c r="BA35" s="92" t="s">
        <v>1</v>
      </c>
      <c r="BB35" s="92" t="s">
        <v>1</v>
      </c>
      <c r="BC35" s="92" t="s">
        <v>1</v>
      </c>
      <c r="BD35" s="92" t="s">
        <v>1</v>
      </c>
      <c r="BE35" s="92" t="s">
        <v>1</v>
      </c>
      <c r="BF35" s="92" t="s">
        <v>1</v>
      </c>
      <c r="BG35" s="92" t="s">
        <v>1</v>
      </c>
      <c r="BH35" s="92" t="s">
        <v>1</v>
      </c>
      <c r="BI35" s="92" t="s">
        <v>1</v>
      </c>
      <c r="BJ35" s="141">
        <v>0.95</v>
      </c>
      <c r="BK35" s="92" t="s">
        <v>74</v>
      </c>
      <c r="BL35" s="92">
        <v>146</v>
      </c>
      <c r="BM35" s="92">
        <v>483</v>
      </c>
      <c r="BN35" s="92">
        <v>693</v>
      </c>
      <c r="BO35" s="92" t="s">
        <v>74</v>
      </c>
      <c r="BP35" s="92">
        <v>785</v>
      </c>
      <c r="BQ35" s="92">
        <v>133</v>
      </c>
      <c r="BR35" s="92">
        <v>150</v>
      </c>
      <c r="BS35" s="92" t="s">
        <v>1</v>
      </c>
      <c r="BT35" s="92" t="s">
        <v>1</v>
      </c>
      <c r="BU35" s="92" t="s">
        <v>1</v>
      </c>
      <c r="BV35" s="92" t="s">
        <v>1</v>
      </c>
      <c r="BW35" s="92" t="s">
        <v>1</v>
      </c>
      <c r="BX35" s="189" t="s">
        <v>1</v>
      </c>
      <c r="BY35" s="189" t="s">
        <v>1</v>
      </c>
      <c r="BZ35" s="188" t="s">
        <v>1</v>
      </c>
      <c r="CA35" s="189" t="s">
        <v>1</v>
      </c>
      <c r="CB35" s="190" t="s">
        <v>1</v>
      </c>
      <c r="CC35" s="190" t="s">
        <v>1</v>
      </c>
      <c r="CD35" s="191" t="s">
        <v>1</v>
      </c>
      <c r="CE35" s="189" t="s">
        <v>1</v>
      </c>
      <c r="CF35" s="189" t="s">
        <v>1</v>
      </c>
      <c r="CG35" s="190" t="s">
        <v>1</v>
      </c>
      <c r="CH35" s="92" t="s">
        <v>1</v>
      </c>
    </row>
    <row r="36" ht="25" customHeight="1" spans="1:86">
      <c r="A36" s="107">
        <v>45139</v>
      </c>
      <c r="B36" s="197" t="s">
        <v>99</v>
      </c>
      <c r="C36" s="92" t="s">
        <v>125</v>
      </c>
      <c r="D36" s="30" t="s">
        <v>1</v>
      </c>
      <c r="E36" s="30" t="s">
        <v>1</v>
      </c>
      <c r="F36" s="109" t="str">
        <f>E36</f>
        <v/>
      </c>
      <c r="G36" s="30">
        <v>13.787865</v>
      </c>
      <c r="H36" s="141" t="str">
        <f t="shared" si="0"/>
        <v/>
      </c>
      <c r="I36" s="109">
        <v>14</v>
      </c>
      <c r="J36" s="141" t="str">
        <f t="shared" si="1"/>
        <v/>
      </c>
      <c r="K36" s="141" t="str">
        <f>IFERROR(E36/#REF!,"")</f>
        <v/>
      </c>
      <c r="L36" s="30">
        <v>244332</v>
      </c>
      <c r="M36" s="30">
        <v>147010</v>
      </c>
      <c r="N36" s="141">
        <f t="shared" si="2"/>
        <v>0.662009387116523</v>
      </c>
      <c r="O36" s="109" t="s">
        <v>1</v>
      </c>
      <c r="P36" s="109">
        <v>0.89</v>
      </c>
      <c r="Q36" s="109" t="s">
        <v>1</v>
      </c>
      <c r="R36" s="109" t="s">
        <v>1</v>
      </c>
      <c r="S36" s="109" t="s">
        <v>1</v>
      </c>
      <c r="T36" s="109" t="s">
        <v>1</v>
      </c>
      <c r="U36" s="109" t="s">
        <v>1</v>
      </c>
      <c r="V36" s="109" t="s">
        <v>1</v>
      </c>
      <c r="W36" s="109" t="s">
        <v>1</v>
      </c>
      <c r="X36" s="92" t="s">
        <v>1</v>
      </c>
      <c r="Y36" s="92">
        <v>10194</v>
      </c>
      <c r="Z36" s="92" t="s">
        <v>1</v>
      </c>
      <c r="AA36" s="92">
        <v>3561</v>
      </c>
      <c r="AB36" s="92" t="s">
        <v>1</v>
      </c>
      <c r="AC36" s="92">
        <v>3</v>
      </c>
      <c r="AD36" s="92" t="s">
        <v>1</v>
      </c>
      <c r="AE36" s="92">
        <v>81</v>
      </c>
      <c r="AF36" s="92">
        <v>9</v>
      </c>
      <c r="AG36" s="92">
        <v>13</v>
      </c>
      <c r="AH36" s="92" t="s">
        <v>1</v>
      </c>
      <c r="AI36" s="92">
        <v>160</v>
      </c>
      <c r="AJ36" s="92">
        <v>3088</v>
      </c>
      <c r="AK36" s="92">
        <v>3051</v>
      </c>
      <c r="AL36" s="92">
        <v>664</v>
      </c>
      <c r="AM36" s="92">
        <v>618</v>
      </c>
      <c r="AN36" s="92">
        <v>131</v>
      </c>
      <c r="AO36" s="92">
        <v>143</v>
      </c>
      <c r="AP36" s="92">
        <v>2415</v>
      </c>
      <c r="AQ36" s="92">
        <v>185</v>
      </c>
      <c r="AR36" s="92">
        <v>1179</v>
      </c>
      <c r="AS36" s="92">
        <v>1210</v>
      </c>
      <c r="AT36" s="92">
        <v>140</v>
      </c>
      <c r="AU36" s="92">
        <v>203</v>
      </c>
      <c r="AV36" s="187">
        <v>0.005371187</v>
      </c>
      <c r="AW36" s="109" t="s">
        <v>1</v>
      </c>
      <c r="AX36" s="198">
        <v>20</v>
      </c>
      <c r="AY36" s="198">
        <v>136</v>
      </c>
      <c r="AZ36" s="199">
        <v>0.0038</v>
      </c>
      <c r="BA36" s="199">
        <v>0.026</v>
      </c>
      <c r="BB36" s="200" t="s">
        <v>1</v>
      </c>
      <c r="BC36" s="109" t="s">
        <v>1</v>
      </c>
      <c r="BD36" s="109" t="s">
        <v>1</v>
      </c>
      <c r="BE36" s="200" t="s">
        <v>1</v>
      </c>
      <c r="BF36" s="200" t="s">
        <v>1</v>
      </c>
      <c r="BG36" s="109" t="s">
        <v>1</v>
      </c>
      <c r="BH36" s="109" t="s">
        <v>1</v>
      </c>
      <c r="BI36" s="200" t="s">
        <v>1</v>
      </c>
      <c r="BJ36" s="200">
        <v>0.95</v>
      </c>
      <c r="BK36" s="92" t="s">
        <v>74</v>
      </c>
      <c r="BL36" s="92">
        <v>96</v>
      </c>
      <c r="BM36" s="92">
        <v>715</v>
      </c>
      <c r="BN36" s="92">
        <v>932</v>
      </c>
      <c r="BO36" s="92" t="s">
        <v>74</v>
      </c>
      <c r="BP36" s="92">
        <v>1219</v>
      </c>
      <c r="BQ36" s="92">
        <v>69</v>
      </c>
      <c r="BR36" s="92">
        <v>259</v>
      </c>
      <c r="BS36" s="108" t="s">
        <v>1</v>
      </c>
      <c r="BT36" s="108" t="s">
        <v>1</v>
      </c>
      <c r="BU36" s="108" t="s">
        <v>1</v>
      </c>
      <c r="BV36" s="108" t="s">
        <v>1</v>
      </c>
      <c r="BW36" s="108" t="s">
        <v>1</v>
      </c>
      <c r="BX36" s="189" t="s">
        <v>78</v>
      </c>
      <c r="BY36" s="189" t="s">
        <v>93</v>
      </c>
      <c r="BZ36" s="189" t="s">
        <v>81</v>
      </c>
      <c r="CA36" s="190" t="s">
        <v>145</v>
      </c>
      <c r="CB36" s="189" t="s">
        <v>83</v>
      </c>
      <c r="CC36" s="189" t="s">
        <v>86</v>
      </c>
      <c r="CD36" s="190" t="s">
        <v>92</v>
      </c>
      <c r="CE36" s="201" t="s">
        <v>146</v>
      </c>
      <c r="CF36" s="191" t="s">
        <v>150</v>
      </c>
      <c r="CG36" s="189" t="s">
        <v>105</v>
      </c>
      <c r="CH36" s="108" t="s">
        <v>1</v>
      </c>
    </row>
    <row r="37" ht="25" customHeight="1" spans="1:86">
      <c r="A37" s="107">
        <v>45140</v>
      </c>
      <c r="B37" s="202" t="s">
        <v>100</v>
      </c>
      <c r="C37" s="92" t="s">
        <v>75</v>
      </c>
      <c r="D37" s="30" t="s">
        <v>1</v>
      </c>
      <c r="E37" s="30" t="s">
        <v>1</v>
      </c>
      <c r="F37" s="109" t="e">
        <f>E37-2.7</f>
        <v>#VALUE!</v>
      </c>
      <c r="G37" s="30">
        <v>2.3344</v>
      </c>
      <c r="H37" s="141" t="str">
        <f t="shared" si="0"/>
        <v/>
      </c>
      <c r="I37" s="109">
        <v>8</v>
      </c>
      <c r="J37" s="141" t="str">
        <f t="shared" si="1"/>
        <v/>
      </c>
      <c r="K37" s="141" t="str">
        <f>IFERROR(E37/#REF!,"")</f>
        <v/>
      </c>
      <c r="L37" s="30">
        <v>101149</v>
      </c>
      <c r="M37" s="30">
        <v>43528.55</v>
      </c>
      <c r="N37" s="141">
        <f t="shared" si="2"/>
        <v>1.32373924699996</v>
      </c>
      <c r="O37" s="109" t="s">
        <v>1</v>
      </c>
      <c r="P37" s="109" t="s">
        <v>1</v>
      </c>
      <c r="Q37" s="109" t="s">
        <v>1</v>
      </c>
      <c r="R37" s="109" t="s">
        <v>1</v>
      </c>
      <c r="S37" s="109" t="s">
        <v>1</v>
      </c>
      <c r="T37" s="109" t="s">
        <v>1</v>
      </c>
      <c r="U37" s="109" t="s">
        <v>1</v>
      </c>
      <c r="V37" s="109" t="s">
        <v>1</v>
      </c>
      <c r="W37" s="109" t="s">
        <v>1</v>
      </c>
      <c r="X37" s="92" t="s">
        <v>1</v>
      </c>
      <c r="Y37" s="92">
        <v>7157</v>
      </c>
      <c r="Z37" s="92" t="s">
        <v>1</v>
      </c>
      <c r="AA37" s="92">
        <v>2491</v>
      </c>
      <c r="AB37" s="92" t="s">
        <v>1</v>
      </c>
      <c r="AC37" s="92">
        <v>3</v>
      </c>
      <c r="AD37" s="92" t="s">
        <v>1</v>
      </c>
      <c r="AE37" s="92">
        <v>85</v>
      </c>
      <c r="AF37" s="92">
        <v>10</v>
      </c>
      <c r="AG37" s="92">
        <v>13</v>
      </c>
      <c r="AH37" s="92" t="s">
        <v>1</v>
      </c>
      <c r="AI37" s="92">
        <v>107</v>
      </c>
      <c r="AJ37" s="92">
        <v>2933</v>
      </c>
      <c r="AK37" s="92">
        <v>2014</v>
      </c>
      <c r="AL37" s="92">
        <v>516</v>
      </c>
      <c r="AM37" s="92">
        <v>587</v>
      </c>
      <c r="AN37" s="92">
        <v>126</v>
      </c>
      <c r="AO37" s="92">
        <v>105</v>
      </c>
      <c r="AP37" s="92">
        <v>1425</v>
      </c>
      <c r="AQ37" s="92">
        <v>120</v>
      </c>
      <c r="AR37" s="92">
        <v>1087</v>
      </c>
      <c r="AS37" s="92">
        <v>940</v>
      </c>
      <c r="AT37" s="92">
        <v>135</v>
      </c>
      <c r="AU37" s="92">
        <v>176</v>
      </c>
      <c r="AV37" s="200" t="s">
        <v>1</v>
      </c>
      <c r="AW37" s="109" t="s">
        <v>1</v>
      </c>
      <c r="AX37" s="109" t="s">
        <v>1</v>
      </c>
      <c r="AY37" s="109" t="s">
        <v>1</v>
      </c>
      <c r="AZ37" s="109" t="s">
        <v>1</v>
      </c>
      <c r="BA37" s="200" t="s">
        <v>1</v>
      </c>
      <c r="BB37" s="200" t="s">
        <v>1</v>
      </c>
      <c r="BC37" s="109" t="s">
        <v>1</v>
      </c>
      <c r="BD37" s="109" t="s">
        <v>1</v>
      </c>
      <c r="BE37" s="200" t="s">
        <v>1</v>
      </c>
      <c r="BF37" s="200" t="s">
        <v>1</v>
      </c>
      <c r="BG37" s="109" t="s">
        <v>1</v>
      </c>
      <c r="BH37" s="109" t="s">
        <v>1</v>
      </c>
      <c r="BI37" s="200" t="s">
        <v>1</v>
      </c>
      <c r="BJ37" s="200">
        <v>0.9</v>
      </c>
      <c r="BK37" s="92" t="s">
        <v>73</v>
      </c>
      <c r="BL37" s="92">
        <v>84</v>
      </c>
      <c r="BM37" s="92">
        <v>775</v>
      </c>
      <c r="BN37" s="92">
        <v>597</v>
      </c>
      <c r="BO37" s="92" t="s">
        <v>74</v>
      </c>
      <c r="BP37" s="92">
        <v>586</v>
      </c>
      <c r="BQ37" s="92">
        <v>193</v>
      </c>
      <c r="BR37" s="92">
        <v>148</v>
      </c>
      <c r="BS37" s="108" t="s">
        <v>1</v>
      </c>
      <c r="BT37" s="108" t="s">
        <v>1</v>
      </c>
      <c r="BU37" s="108" t="s">
        <v>1</v>
      </c>
      <c r="BV37" s="108" t="s">
        <v>1</v>
      </c>
      <c r="BW37" s="108" t="s">
        <v>1</v>
      </c>
      <c r="BX37" s="189" t="s">
        <v>1</v>
      </c>
      <c r="BY37" s="189" t="s">
        <v>1</v>
      </c>
      <c r="BZ37" s="189" t="s">
        <v>1</v>
      </c>
      <c r="CA37" s="190" t="s">
        <v>1</v>
      </c>
      <c r="CB37" s="189" t="s">
        <v>1</v>
      </c>
      <c r="CC37" s="189" t="s">
        <v>1</v>
      </c>
      <c r="CD37" s="190" t="s">
        <v>1</v>
      </c>
      <c r="CE37" s="201" t="s">
        <v>146</v>
      </c>
      <c r="CF37" s="191" t="s">
        <v>150</v>
      </c>
      <c r="CG37" s="189" t="s">
        <v>1</v>
      </c>
      <c r="CH37" s="108" t="s">
        <v>1</v>
      </c>
    </row>
    <row r="38" ht="25" customHeight="1" spans="1:86">
      <c r="A38" s="107">
        <v>45141</v>
      </c>
      <c r="B38" s="202" t="s">
        <v>100</v>
      </c>
      <c r="C38" s="92" t="s">
        <v>220</v>
      </c>
      <c r="D38" s="30" t="s">
        <v>1</v>
      </c>
      <c r="E38" s="30" t="s">
        <v>1</v>
      </c>
      <c r="F38" s="109" t="e">
        <f>E38-2.7</f>
        <v>#VALUE!</v>
      </c>
      <c r="G38" s="30">
        <v>11.9358</v>
      </c>
      <c r="H38" s="141" t="str">
        <f t="shared" si="0"/>
        <v/>
      </c>
      <c r="I38" s="109">
        <v>7</v>
      </c>
      <c r="J38" s="141" t="str">
        <f t="shared" si="1"/>
        <v/>
      </c>
      <c r="K38" s="141" t="str">
        <f>IFERROR(E38/#REF!,"")</f>
        <v/>
      </c>
      <c r="L38" s="30">
        <v>40190</v>
      </c>
      <c r="M38" s="30">
        <v>117806</v>
      </c>
      <c r="N38" s="141">
        <f t="shared" si="2"/>
        <v>-0.658845899190194</v>
      </c>
      <c r="O38" s="109" t="s">
        <v>1</v>
      </c>
      <c r="P38" s="109" t="s">
        <v>1</v>
      </c>
      <c r="Q38" s="109" t="s">
        <v>1</v>
      </c>
      <c r="R38" s="109" t="s">
        <v>1</v>
      </c>
      <c r="S38" s="109" t="s">
        <v>1</v>
      </c>
      <c r="T38" s="109" t="s">
        <v>1</v>
      </c>
      <c r="U38" s="109" t="s">
        <v>1</v>
      </c>
      <c r="V38" s="109" t="s">
        <v>1</v>
      </c>
      <c r="W38" s="109" t="s">
        <v>1</v>
      </c>
      <c r="X38" s="92" t="s">
        <v>1</v>
      </c>
      <c r="Y38" s="92">
        <v>7467</v>
      </c>
      <c r="Z38" s="92" t="s">
        <v>1</v>
      </c>
      <c r="AA38" s="92">
        <v>2413</v>
      </c>
      <c r="AB38" s="92" t="s">
        <v>1</v>
      </c>
      <c r="AC38" s="92">
        <v>3</v>
      </c>
      <c r="AD38" s="92" t="s">
        <v>1</v>
      </c>
      <c r="AE38" s="92">
        <v>100</v>
      </c>
      <c r="AF38" s="92">
        <v>18</v>
      </c>
      <c r="AG38" s="92">
        <v>9</v>
      </c>
      <c r="AH38" s="92" t="s">
        <v>1</v>
      </c>
      <c r="AI38" s="92">
        <v>126</v>
      </c>
      <c r="AJ38" s="92">
        <v>2932</v>
      </c>
      <c r="AK38" s="92">
        <v>1939</v>
      </c>
      <c r="AL38" s="92">
        <v>573</v>
      </c>
      <c r="AM38" s="92">
        <v>624</v>
      </c>
      <c r="AN38" s="92">
        <v>95</v>
      </c>
      <c r="AO38" s="92">
        <v>101</v>
      </c>
      <c r="AP38" s="92">
        <v>2049</v>
      </c>
      <c r="AQ38" s="92">
        <v>126</v>
      </c>
      <c r="AR38" s="92">
        <v>1065</v>
      </c>
      <c r="AS38" s="92">
        <v>901</v>
      </c>
      <c r="AT38" s="92">
        <v>127</v>
      </c>
      <c r="AU38" s="92">
        <v>181</v>
      </c>
      <c r="AV38" s="200" t="s">
        <v>1</v>
      </c>
      <c r="AW38" s="109" t="s">
        <v>1</v>
      </c>
      <c r="AX38" s="109" t="s">
        <v>1</v>
      </c>
      <c r="AY38" s="109" t="s">
        <v>1</v>
      </c>
      <c r="AZ38" s="109" t="s">
        <v>1</v>
      </c>
      <c r="BA38" s="200" t="s">
        <v>1</v>
      </c>
      <c r="BB38" s="200" t="s">
        <v>1</v>
      </c>
      <c r="BC38" s="109" t="s">
        <v>1</v>
      </c>
      <c r="BD38" s="109" t="s">
        <v>1</v>
      </c>
      <c r="BE38" s="200" t="s">
        <v>1</v>
      </c>
      <c r="BF38" s="200" t="s">
        <v>1</v>
      </c>
      <c r="BG38" s="109" t="s">
        <v>1</v>
      </c>
      <c r="BH38" s="109" t="s">
        <v>1</v>
      </c>
      <c r="BI38" s="200" t="s">
        <v>1</v>
      </c>
      <c r="BJ38" s="200">
        <v>0.9</v>
      </c>
      <c r="BK38" s="92" t="s">
        <v>74</v>
      </c>
      <c r="BL38" s="92">
        <v>126</v>
      </c>
      <c r="BM38" s="92">
        <v>535</v>
      </c>
      <c r="BN38" s="92">
        <v>491</v>
      </c>
      <c r="BO38" s="92" t="s">
        <v>74</v>
      </c>
      <c r="BP38" s="92">
        <v>611</v>
      </c>
      <c r="BQ38" s="92">
        <v>180</v>
      </c>
      <c r="BR38" s="92">
        <v>124</v>
      </c>
      <c r="BS38" s="108" t="s">
        <v>1</v>
      </c>
      <c r="BT38" s="108" t="s">
        <v>1</v>
      </c>
      <c r="BU38" s="108" t="s">
        <v>1</v>
      </c>
      <c r="BV38" s="108" t="s">
        <v>1</v>
      </c>
      <c r="BW38" s="108" t="s">
        <v>1</v>
      </c>
      <c r="BX38" s="189" t="s">
        <v>1</v>
      </c>
      <c r="BY38" s="189" t="s">
        <v>1</v>
      </c>
      <c r="BZ38" s="189" t="s">
        <v>1</v>
      </c>
      <c r="CA38" s="190" t="s">
        <v>1</v>
      </c>
      <c r="CB38" s="189" t="s">
        <v>1</v>
      </c>
      <c r="CC38" s="189" t="s">
        <v>1</v>
      </c>
      <c r="CD38" s="190" t="s">
        <v>1</v>
      </c>
      <c r="CE38" s="201" t="s">
        <v>146</v>
      </c>
      <c r="CF38" s="191" t="s">
        <v>150</v>
      </c>
      <c r="CG38" s="189" t="s">
        <v>1</v>
      </c>
      <c r="CH38" s="108" t="s">
        <v>1</v>
      </c>
    </row>
    <row r="39" ht="25" customHeight="1" spans="1:86">
      <c r="A39" s="107">
        <v>45142</v>
      </c>
      <c r="B39" s="202" t="s">
        <v>100</v>
      </c>
      <c r="C39" s="92" t="s">
        <v>125</v>
      </c>
      <c r="D39" s="30" t="s">
        <v>1</v>
      </c>
      <c r="E39" s="30" t="s">
        <v>1</v>
      </c>
      <c r="F39" s="109" t="e">
        <f>E39-2.7</f>
        <v>#VALUE!</v>
      </c>
      <c r="G39" s="30">
        <v>11.1676</v>
      </c>
      <c r="H39" s="141" t="str">
        <f t="shared" si="0"/>
        <v/>
      </c>
      <c r="I39" s="109">
        <v>9</v>
      </c>
      <c r="J39" s="141" t="str">
        <f t="shared" si="1"/>
        <v/>
      </c>
      <c r="K39" s="141" t="str">
        <f>IFERROR(E39/#REF!,"")</f>
        <v/>
      </c>
      <c r="L39" s="30">
        <v>35181</v>
      </c>
      <c r="M39" s="30">
        <v>34099</v>
      </c>
      <c r="N39" s="141">
        <f t="shared" si="2"/>
        <v>0.0317311358104344</v>
      </c>
      <c r="O39" s="109" t="s">
        <v>1</v>
      </c>
      <c r="P39" s="109" t="s">
        <v>1</v>
      </c>
      <c r="Q39" s="109" t="s">
        <v>1</v>
      </c>
      <c r="R39" s="109" t="s">
        <v>1</v>
      </c>
      <c r="S39" s="109" t="s">
        <v>1</v>
      </c>
      <c r="T39" s="109" t="s">
        <v>1</v>
      </c>
      <c r="U39" s="109" t="s">
        <v>1</v>
      </c>
      <c r="V39" s="109" t="s">
        <v>1</v>
      </c>
      <c r="W39" s="109" t="s">
        <v>1</v>
      </c>
      <c r="X39" s="92" t="s">
        <v>1</v>
      </c>
      <c r="Y39" s="92">
        <v>6851</v>
      </c>
      <c r="Z39" s="92" t="s">
        <v>1</v>
      </c>
      <c r="AA39" s="92">
        <v>2371</v>
      </c>
      <c r="AB39" s="92" t="s">
        <v>1</v>
      </c>
      <c r="AC39" s="92">
        <v>3</v>
      </c>
      <c r="AD39" s="92" t="s">
        <v>1</v>
      </c>
      <c r="AE39" s="92">
        <v>80</v>
      </c>
      <c r="AF39" s="92">
        <v>15</v>
      </c>
      <c r="AG39" s="92">
        <v>10</v>
      </c>
      <c r="AH39" s="92" t="s">
        <v>1</v>
      </c>
      <c r="AI39" s="92">
        <v>102</v>
      </c>
      <c r="AJ39" s="92">
        <v>3000</v>
      </c>
      <c r="AK39" s="92">
        <v>1925</v>
      </c>
      <c r="AL39" s="92">
        <v>620</v>
      </c>
      <c r="AM39" s="92">
        <v>544</v>
      </c>
      <c r="AN39" s="92">
        <v>92</v>
      </c>
      <c r="AO39" s="92">
        <v>116</v>
      </c>
      <c r="AP39" s="92">
        <v>1607</v>
      </c>
      <c r="AQ39" s="92">
        <v>114</v>
      </c>
      <c r="AR39" s="92">
        <v>1169</v>
      </c>
      <c r="AS39" s="92">
        <v>875</v>
      </c>
      <c r="AT39" s="92">
        <v>143</v>
      </c>
      <c r="AU39" s="92">
        <v>170</v>
      </c>
      <c r="AV39" s="200" t="s">
        <v>1</v>
      </c>
      <c r="AW39" s="109" t="s">
        <v>1</v>
      </c>
      <c r="AX39" s="109" t="s">
        <v>1</v>
      </c>
      <c r="AY39" s="109" t="s">
        <v>1</v>
      </c>
      <c r="AZ39" s="109" t="s">
        <v>1</v>
      </c>
      <c r="BA39" s="200" t="s">
        <v>1</v>
      </c>
      <c r="BB39" s="200" t="s">
        <v>1</v>
      </c>
      <c r="BC39" s="109" t="s">
        <v>1</v>
      </c>
      <c r="BD39" s="109" t="s">
        <v>1</v>
      </c>
      <c r="BE39" s="200" t="s">
        <v>1</v>
      </c>
      <c r="BF39" s="200" t="s">
        <v>1</v>
      </c>
      <c r="BG39" s="109" t="s">
        <v>1</v>
      </c>
      <c r="BH39" s="109" t="s">
        <v>1</v>
      </c>
      <c r="BI39" s="200" t="s">
        <v>1</v>
      </c>
      <c r="BJ39" s="200">
        <v>0.9</v>
      </c>
      <c r="BK39" s="92" t="s">
        <v>74</v>
      </c>
      <c r="BL39" s="92">
        <v>111</v>
      </c>
      <c r="BM39" s="92">
        <v>589</v>
      </c>
      <c r="BN39" s="92">
        <v>731</v>
      </c>
      <c r="BO39" s="92" t="s">
        <v>74</v>
      </c>
      <c r="BP39" s="92">
        <v>637</v>
      </c>
      <c r="BQ39" s="92">
        <v>168</v>
      </c>
      <c r="BR39" s="92">
        <v>137</v>
      </c>
      <c r="BS39" s="108" t="s">
        <v>1</v>
      </c>
      <c r="BT39" s="108" t="s">
        <v>1</v>
      </c>
      <c r="BU39" s="108" t="s">
        <v>1</v>
      </c>
      <c r="BV39" s="108" t="s">
        <v>1</v>
      </c>
      <c r="BW39" s="108" t="s">
        <v>1</v>
      </c>
      <c r="BX39" s="189" t="s">
        <v>1</v>
      </c>
      <c r="BY39" s="189" t="s">
        <v>1</v>
      </c>
      <c r="BZ39" s="189" t="s">
        <v>1</v>
      </c>
      <c r="CA39" s="190" t="s">
        <v>1</v>
      </c>
      <c r="CB39" s="189" t="s">
        <v>1</v>
      </c>
      <c r="CC39" s="189" t="s">
        <v>1</v>
      </c>
      <c r="CD39" s="190" t="s">
        <v>1</v>
      </c>
      <c r="CE39" s="201" t="s">
        <v>146</v>
      </c>
      <c r="CF39" s="191" t="s">
        <v>150</v>
      </c>
      <c r="CG39" s="189" t="s">
        <v>1</v>
      </c>
      <c r="CH39" s="108" t="s">
        <v>1</v>
      </c>
    </row>
    <row r="40" ht="25" customHeight="1" spans="1:86">
      <c r="A40" s="107">
        <v>45143</v>
      </c>
      <c r="B40" s="203" t="s">
        <v>89</v>
      </c>
      <c r="C40" s="92" t="s">
        <v>75</v>
      </c>
      <c r="D40" s="30" t="s">
        <v>1</v>
      </c>
      <c r="E40" s="30" t="s">
        <v>1</v>
      </c>
      <c r="F40" s="109" t="str">
        <f>E40</f>
        <v/>
      </c>
      <c r="G40" s="30">
        <v>0.8298</v>
      </c>
      <c r="H40" s="141" t="str">
        <f t="shared" si="0"/>
        <v/>
      </c>
      <c r="I40" s="109">
        <v>0</v>
      </c>
      <c r="J40" s="141" t="str">
        <f t="shared" si="1"/>
        <v/>
      </c>
      <c r="K40" s="141" t="str">
        <f>IFERROR(E40/#REF!,"")</f>
        <v/>
      </c>
      <c r="L40" s="30">
        <v>8999</v>
      </c>
      <c r="M40" s="30">
        <v>9401</v>
      </c>
      <c r="N40" s="141">
        <f t="shared" si="2"/>
        <v>-0.0427614083608127</v>
      </c>
      <c r="O40" s="109" t="s">
        <v>1</v>
      </c>
      <c r="P40" s="109" t="s">
        <v>1</v>
      </c>
      <c r="Q40" s="109" t="s">
        <v>1</v>
      </c>
      <c r="R40" s="109" t="s">
        <v>1</v>
      </c>
      <c r="S40" s="109" t="s">
        <v>1</v>
      </c>
      <c r="T40" s="109" t="s">
        <v>1</v>
      </c>
      <c r="U40" s="109" t="s">
        <v>1</v>
      </c>
      <c r="V40" s="109" t="s">
        <v>1</v>
      </c>
      <c r="W40" s="109" t="s">
        <v>1</v>
      </c>
      <c r="X40" s="92" t="s">
        <v>1</v>
      </c>
      <c r="Y40" s="92">
        <v>5905</v>
      </c>
      <c r="Z40" s="92" t="s">
        <v>1</v>
      </c>
      <c r="AA40" s="92">
        <v>2177</v>
      </c>
      <c r="AB40" s="92" t="s">
        <v>1</v>
      </c>
      <c r="AC40" s="92">
        <v>3</v>
      </c>
      <c r="AD40" s="92" t="s">
        <v>1</v>
      </c>
      <c r="AE40" s="92">
        <v>86</v>
      </c>
      <c r="AF40" s="92">
        <v>21</v>
      </c>
      <c r="AG40" s="92">
        <v>16</v>
      </c>
      <c r="AH40" s="92" t="s">
        <v>1</v>
      </c>
      <c r="AI40" s="92">
        <v>98</v>
      </c>
      <c r="AJ40" s="92">
        <v>3522</v>
      </c>
      <c r="AK40" s="92">
        <v>1652</v>
      </c>
      <c r="AL40" s="92">
        <v>739</v>
      </c>
      <c r="AM40" s="92">
        <v>680</v>
      </c>
      <c r="AN40" s="92">
        <v>95</v>
      </c>
      <c r="AO40" s="92">
        <v>109</v>
      </c>
      <c r="AP40" s="92">
        <v>8650</v>
      </c>
      <c r="AQ40" s="92">
        <v>76</v>
      </c>
      <c r="AR40" s="92">
        <v>1112</v>
      </c>
      <c r="AS40" s="92">
        <v>669</v>
      </c>
      <c r="AT40" s="92">
        <v>221</v>
      </c>
      <c r="AU40" s="92">
        <v>148</v>
      </c>
      <c r="AV40" s="200" t="s">
        <v>1</v>
      </c>
      <c r="AW40" s="109" t="s">
        <v>1</v>
      </c>
      <c r="AX40" s="109" t="s">
        <v>1</v>
      </c>
      <c r="AY40" s="109" t="s">
        <v>1</v>
      </c>
      <c r="AZ40" s="109" t="s">
        <v>1</v>
      </c>
      <c r="BA40" s="200" t="s">
        <v>1</v>
      </c>
      <c r="BB40" s="200" t="s">
        <v>1</v>
      </c>
      <c r="BC40" s="109" t="s">
        <v>1</v>
      </c>
      <c r="BD40" s="109" t="s">
        <v>1</v>
      </c>
      <c r="BE40" s="200" t="s">
        <v>1</v>
      </c>
      <c r="BF40" s="200" t="s">
        <v>1</v>
      </c>
      <c r="BG40" s="109" t="s">
        <v>1</v>
      </c>
      <c r="BH40" s="109" t="s">
        <v>1</v>
      </c>
      <c r="BI40" s="200" t="s">
        <v>1</v>
      </c>
      <c r="BJ40" s="200">
        <v>0.9</v>
      </c>
      <c r="BK40" s="92" t="s">
        <v>74</v>
      </c>
      <c r="BL40" s="92">
        <v>126</v>
      </c>
      <c r="BM40" s="92">
        <v>522</v>
      </c>
      <c r="BN40" s="92">
        <v>363</v>
      </c>
      <c r="BO40" s="92" t="s">
        <v>74</v>
      </c>
      <c r="BP40" s="92">
        <v>711</v>
      </c>
      <c r="BQ40" s="92">
        <v>146</v>
      </c>
      <c r="BR40" s="92">
        <v>63</v>
      </c>
      <c r="BS40" s="108" t="s">
        <v>1</v>
      </c>
      <c r="BT40" s="108" t="s">
        <v>1</v>
      </c>
      <c r="BU40" s="108" t="s">
        <v>1</v>
      </c>
      <c r="BV40" s="108" t="s">
        <v>1</v>
      </c>
      <c r="BW40" s="108" t="s">
        <v>1</v>
      </c>
      <c r="BX40" s="189" t="s">
        <v>1</v>
      </c>
      <c r="BY40" s="189" t="s">
        <v>1</v>
      </c>
      <c r="BZ40" s="189" t="s">
        <v>1</v>
      </c>
      <c r="CA40" s="190" t="s">
        <v>1</v>
      </c>
      <c r="CB40" s="189" t="s">
        <v>1</v>
      </c>
      <c r="CC40" s="189" t="s">
        <v>1</v>
      </c>
      <c r="CD40" s="190" t="s">
        <v>1</v>
      </c>
      <c r="CE40" s="201" t="s">
        <v>146</v>
      </c>
      <c r="CF40" s="191" t="s">
        <v>150</v>
      </c>
      <c r="CG40" s="189" t="s">
        <v>1</v>
      </c>
      <c r="CH40" s="108" t="s">
        <v>1</v>
      </c>
    </row>
    <row r="41" ht="25" customHeight="1" spans="1:86">
      <c r="A41" s="107">
        <v>45144</v>
      </c>
      <c r="B41" s="203" t="s">
        <v>89</v>
      </c>
      <c r="C41" s="92" t="s">
        <v>220</v>
      </c>
      <c r="D41" s="30" t="s">
        <v>1</v>
      </c>
      <c r="E41" s="30" t="s">
        <v>1</v>
      </c>
      <c r="F41" s="109" t="str">
        <f>E41</f>
        <v/>
      </c>
      <c r="G41" s="30">
        <v>0</v>
      </c>
      <c r="H41" s="141" t="str">
        <f t="shared" si="0"/>
        <v/>
      </c>
      <c r="I41" s="109">
        <v>0</v>
      </c>
      <c r="J41" s="141" t="str">
        <f t="shared" si="1"/>
        <v/>
      </c>
      <c r="K41" s="141" t="str">
        <f>IFERROR(E41/#REF!,"")</f>
        <v/>
      </c>
      <c r="L41" s="172">
        <v>8480</v>
      </c>
      <c r="M41" s="30">
        <v>2804</v>
      </c>
      <c r="N41" s="141">
        <f t="shared" si="2"/>
        <v>2.02425106990014</v>
      </c>
      <c r="O41" s="109" t="s">
        <v>1</v>
      </c>
      <c r="P41" s="109" t="s">
        <v>1</v>
      </c>
      <c r="Q41" s="109" t="s">
        <v>1</v>
      </c>
      <c r="R41" s="109" t="s">
        <v>1</v>
      </c>
      <c r="S41" s="109" t="s">
        <v>1</v>
      </c>
      <c r="T41" s="109" t="s">
        <v>1</v>
      </c>
      <c r="U41" s="109" t="s">
        <v>1</v>
      </c>
      <c r="V41" s="109" t="s">
        <v>1</v>
      </c>
      <c r="W41" s="109" t="s">
        <v>1</v>
      </c>
      <c r="X41" s="92" t="s">
        <v>1</v>
      </c>
      <c r="Y41" s="92">
        <v>6508</v>
      </c>
      <c r="Z41" s="92" t="s">
        <v>1</v>
      </c>
      <c r="AA41" s="92">
        <v>2376</v>
      </c>
      <c r="AB41" s="92" t="s">
        <v>1</v>
      </c>
      <c r="AC41" s="92">
        <v>3</v>
      </c>
      <c r="AD41" s="92" t="s">
        <v>1</v>
      </c>
      <c r="AE41" s="92">
        <v>80</v>
      </c>
      <c r="AF41" s="92">
        <v>24</v>
      </c>
      <c r="AG41" s="92">
        <v>14</v>
      </c>
      <c r="AH41" s="92" t="s">
        <v>1</v>
      </c>
      <c r="AI41" s="92">
        <v>97</v>
      </c>
      <c r="AJ41" s="92">
        <v>3444</v>
      </c>
      <c r="AK41" s="92">
        <v>1828</v>
      </c>
      <c r="AL41" s="92">
        <v>879</v>
      </c>
      <c r="AM41" s="92">
        <v>769</v>
      </c>
      <c r="AN41" s="92">
        <v>113</v>
      </c>
      <c r="AO41" s="92">
        <v>93</v>
      </c>
      <c r="AP41" s="92">
        <v>1888</v>
      </c>
      <c r="AQ41" s="92">
        <v>75</v>
      </c>
      <c r="AR41" s="92">
        <v>1228</v>
      </c>
      <c r="AS41" s="92">
        <v>815</v>
      </c>
      <c r="AT41" s="92">
        <v>204</v>
      </c>
      <c r="AU41" s="92">
        <v>223</v>
      </c>
      <c r="AV41" s="200" t="s">
        <v>1</v>
      </c>
      <c r="AW41" s="109" t="s">
        <v>1</v>
      </c>
      <c r="AX41" s="109" t="s">
        <v>1</v>
      </c>
      <c r="AY41" s="109" t="s">
        <v>1</v>
      </c>
      <c r="AZ41" s="109" t="s">
        <v>1</v>
      </c>
      <c r="BA41" s="200" t="s">
        <v>1</v>
      </c>
      <c r="BB41" s="200" t="s">
        <v>1</v>
      </c>
      <c r="BC41" s="109" t="s">
        <v>1</v>
      </c>
      <c r="BD41" s="109" t="s">
        <v>1</v>
      </c>
      <c r="BE41" s="200" t="s">
        <v>1</v>
      </c>
      <c r="BF41" s="200" t="s">
        <v>1</v>
      </c>
      <c r="BG41" s="109" t="s">
        <v>1</v>
      </c>
      <c r="BH41" s="109" t="s">
        <v>1</v>
      </c>
      <c r="BI41" s="200" t="s">
        <v>1</v>
      </c>
      <c r="BJ41" s="200">
        <v>0.9</v>
      </c>
      <c r="BK41" s="92" t="s">
        <v>74</v>
      </c>
      <c r="BL41" s="92">
        <v>103</v>
      </c>
      <c r="BM41" s="92">
        <v>692</v>
      </c>
      <c r="BN41" s="92">
        <v>474</v>
      </c>
      <c r="BO41" s="92" t="s">
        <v>74</v>
      </c>
      <c r="BP41" s="92">
        <v>559</v>
      </c>
      <c r="BQ41" s="92">
        <v>204</v>
      </c>
      <c r="BR41" s="92">
        <v>84</v>
      </c>
      <c r="BS41" s="108" t="s">
        <v>1</v>
      </c>
      <c r="BT41" s="108" t="s">
        <v>1</v>
      </c>
      <c r="BU41" s="108" t="s">
        <v>1</v>
      </c>
      <c r="BV41" s="108" t="s">
        <v>1</v>
      </c>
      <c r="BW41" s="108" t="s">
        <v>1</v>
      </c>
      <c r="BX41" s="189" t="s">
        <v>1</v>
      </c>
      <c r="BY41" s="189" t="s">
        <v>1</v>
      </c>
      <c r="BZ41" s="189" t="s">
        <v>1</v>
      </c>
      <c r="CA41" s="190" t="s">
        <v>1</v>
      </c>
      <c r="CB41" s="189" t="s">
        <v>1</v>
      </c>
      <c r="CC41" s="189" t="s">
        <v>1</v>
      </c>
      <c r="CD41" s="190" t="s">
        <v>1</v>
      </c>
      <c r="CE41" s="201" t="s">
        <v>146</v>
      </c>
      <c r="CF41" s="191" t="s">
        <v>150</v>
      </c>
      <c r="CG41" s="189" t="s">
        <v>1</v>
      </c>
      <c r="CH41" s="108" t="s">
        <v>1</v>
      </c>
    </row>
    <row r="42" ht="25" customHeight="1" spans="1:86">
      <c r="A42" s="107">
        <v>45145</v>
      </c>
      <c r="B42" s="197" t="s">
        <v>99</v>
      </c>
      <c r="C42" s="92" t="s">
        <v>125</v>
      </c>
      <c r="D42" s="30" t="s">
        <v>1</v>
      </c>
      <c r="E42" s="30" t="s">
        <v>1</v>
      </c>
      <c r="F42" s="109" t="e">
        <f>E42-0.9</f>
        <v>#VALUE!</v>
      </c>
      <c r="G42" s="30">
        <v>18.3966</v>
      </c>
      <c r="H42" s="141" t="str">
        <f t="shared" si="0"/>
        <v/>
      </c>
      <c r="I42" s="109">
        <v>25</v>
      </c>
      <c r="J42" s="141" t="str">
        <f t="shared" si="1"/>
        <v/>
      </c>
      <c r="K42" s="141" t="str">
        <f>IFERROR(E42/#REF!,"")</f>
        <v/>
      </c>
      <c r="L42" s="30">
        <v>49573</v>
      </c>
      <c r="M42" s="204">
        <v>109126.8</v>
      </c>
      <c r="N42" s="141">
        <f t="shared" si="2"/>
        <v>-0.545730288068559</v>
      </c>
      <c r="O42" s="109" t="s">
        <v>1</v>
      </c>
      <c r="P42" s="109" t="s">
        <v>1</v>
      </c>
      <c r="Q42" s="109" t="s">
        <v>1</v>
      </c>
      <c r="R42" s="109" t="s">
        <v>1</v>
      </c>
      <c r="S42" s="109" t="s">
        <v>1</v>
      </c>
      <c r="T42" s="109" t="s">
        <v>1</v>
      </c>
      <c r="U42" s="109" t="s">
        <v>1</v>
      </c>
      <c r="V42" s="109" t="s">
        <v>1</v>
      </c>
      <c r="W42" s="109" t="s">
        <v>1</v>
      </c>
      <c r="X42" s="92" t="s">
        <v>1</v>
      </c>
      <c r="Y42" s="92">
        <v>10001</v>
      </c>
      <c r="Z42" s="92" t="s">
        <v>1</v>
      </c>
      <c r="AA42" s="92">
        <v>2931</v>
      </c>
      <c r="AB42" s="92" t="s">
        <v>1</v>
      </c>
      <c r="AC42" s="92">
        <v>3</v>
      </c>
      <c r="AD42" s="92" t="s">
        <v>1</v>
      </c>
      <c r="AE42" s="92">
        <v>103</v>
      </c>
      <c r="AF42" s="92">
        <v>19</v>
      </c>
      <c r="AG42" s="92">
        <v>11</v>
      </c>
      <c r="AH42" s="92" t="s">
        <v>1</v>
      </c>
      <c r="AI42" s="92">
        <v>151</v>
      </c>
      <c r="AJ42" s="92">
        <v>3927</v>
      </c>
      <c r="AK42" s="92">
        <v>2261</v>
      </c>
      <c r="AL42" s="92">
        <v>850</v>
      </c>
      <c r="AM42" s="92">
        <v>946</v>
      </c>
      <c r="AN42" s="92">
        <v>134</v>
      </c>
      <c r="AO42" s="92">
        <v>163</v>
      </c>
      <c r="AP42" s="92">
        <v>6843</v>
      </c>
      <c r="AQ42" s="92">
        <v>96</v>
      </c>
      <c r="AR42" s="92">
        <v>1175</v>
      </c>
      <c r="AS42" s="92">
        <v>950</v>
      </c>
      <c r="AT42" s="92">
        <v>224</v>
      </c>
      <c r="AU42" s="92">
        <v>256</v>
      </c>
      <c r="AV42" s="200" t="s">
        <v>1</v>
      </c>
      <c r="AW42" s="109" t="s">
        <v>1</v>
      </c>
      <c r="AX42" s="109" t="s">
        <v>1</v>
      </c>
      <c r="AY42" s="109" t="s">
        <v>1</v>
      </c>
      <c r="AZ42" s="109" t="s">
        <v>1</v>
      </c>
      <c r="BA42" s="200" t="s">
        <v>1</v>
      </c>
      <c r="BB42" s="200" t="s">
        <v>1</v>
      </c>
      <c r="BC42" s="109" t="s">
        <v>1</v>
      </c>
      <c r="BD42" s="109" t="s">
        <v>1</v>
      </c>
      <c r="BE42" s="200" t="s">
        <v>1</v>
      </c>
      <c r="BF42" s="200" t="s">
        <v>1</v>
      </c>
      <c r="BG42" s="109" t="s">
        <v>1</v>
      </c>
      <c r="BH42" s="109" t="s">
        <v>1</v>
      </c>
      <c r="BI42" s="200" t="s">
        <v>1</v>
      </c>
      <c r="BJ42" s="200">
        <v>0.9</v>
      </c>
      <c r="BK42" s="92" t="s">
        <v>74</v>
      </c>
      <c r="BL42" s="92">
        <v>118</v>
      </c>
      <c r="BM42" s="92">
        <v>555</v>
      </c>
      <c r="BN42" s="92">
        <v>536</v>
      </c>
      <c r="BO42" s="92" t="s">
        <v>74</v>
      </c>
      <c r="BP42" s="92">
        <v>644</v>
      </c>
      <c r="BQ42" s="92">
        <v>173</v>
      </c>
      <c r="BR42" s="92">
        <v>102</v>
      </c>
      <c r="BS42" s="108" t="s">
        <v>1</v>
      </c>
      <c r="BT42" s="108" t="s">
        <v>1</v>
      </c>
      <c r="BU42" s="108" t="s">
        <v>1</v>
      </c>
      <c r="BV42" s="108" t="s">
        <v>1</v>
      </c>
      <c r="BW42" s="108" t="s">
        <v>1</v>
      </c>
      <c r="BX42" s="189" t="s">
        <v>1</v>
      </c>
      <c r="BY42" s="189" t="s">
        <v>1</v>
      </c>
      <c r="BZ42" s="189" t="s">
        <v>1</v>
      </c>
      <c r="CA42" s="190" t="s">
        <v>1</v>
      </c>
      <c r="CB42" s="189" t="s">
        <v>1</v>
      </c>
      <c r="CC42" s="189" t="s">
        <v>1</v>
      </c>
      <c r="CD42" s="190" t="s">
        <v>1</v>
      </c>
      <c r="CE42" s="201" t="s">
        <v>146</v>
      </c>
      <c r="CF42" s="191" t="s">
        <v>150</v>
      </c>
      <c r="CG42" s="189" t="s">
        <v>1</v>
      </c>
      <c r="CH42" s="108" t="s">
        <v>1</v>
      </c>
    </row>
    <row r="43" ht="25" customHeight="1" spans="1:86">
      <c r="A43" s="107">
        <v>45146</v>
      </c>
      <c r="B43" s="197" t="s">
        <v>99</v>
      </c>
      <c r="C43" s="92" t="s">
        <v>125</v>
      </c>
      <c r="D43" s="30" t="s">
        <v>1</v>
      </c>
      <c r="E43" s="30" t="s">
        <v>1</v>
      </c>
      <c r="F43" s="109" t="e">
        <f>E43-4</f>
        <v>#VALUE!</v>
      </c>
      <c r="G43" s="30">
        <v>14.2969</v>
      </c>
      <c r="H43" s="141" t="str">
        <f t="shared" si="0"/>
        <v/>
      </c>
      <c r="I43" s="109">
        <v>14</v>
      </c>
      <c r="J43" s="141" t="str">
        <f t="shared" si="1"/>
        <v/>
      </c>
      <c r="K43" s="141" t="str">
        <f>IFERROR(E43/#REF!,"")</f>
        <v/>
      </c>
      <c r="L43" s="30">
        <v>68635</v>
      </c>
      <c r="M43" s="204">
        <v>81834</v>
      </c>
      <c r="N43" s="141">
        <f t="shared" si="2"/>
        <v>-0.161289928391622</v>
      </c>
      <c r="O43" s="109" t="s">
        <v>1</v>
      </c>
      <c r="P43" s="109" t="s">
        <v>1</v>
      </c>
      <c r="Q43" s="109" t="s">
        <v>1</v>
      </c>
      <c r="R43" s="109" t="s">
        <v>1</v>
      </c>
      <c r="S43" s="109" t="s">
        <v>1</v>
      </c>
      <c r="T43" s="109" t="s">
        <v>1</v>
      </c>
      <c r="U43" s="109" t="s">
        <v>1</v>
      </c>
      <c r="V43" s="109" t="s">
        <v>1</v>
      </c>
      <c r="W43" s="109" t="s">
        <v>1</v>
      </c>
      <c r="X43" s="92" t="s">
        <v>1</v>
      </c>
      <c r="Y43" s="92">
        <v>10166</v>
      </c>
      <c r="Z43" s="92" t="s">
        <v>1</v>
      </c>
      <c r="AA43" s="92">
        <v>2990</v>
      </c>
      <c r="AB43" s="92" t="s">
        <v>1</v>
      </c>
      <c r="AC43" s="92">
        <v>3</v>
      </c>
      <c r="AD43" s="92" t="s">
        <v>1</v>
      </c>
      <c r="AE43" s="92">
        <v>98</v>
      </c>
      <c r="AF43" s="92" t="s">
        <v>1</v>
      </c>
      <c r="AG43" s="92">
        <v>15</v>
      </c>
      <c r="AH43" s="92" t="s">
        <v>1</v>
      </c>
      <c r="AI43" s="92">
        <v>148</v>
      </c>
      <c r="AJ43" s="92">
        <v>3721</v>
      </c>
      <c r="AK43" s="92">
        <v>2426</v>
      </c>
      <c r="AL43" s="92">
        <v>801</v>
      </c>
      <c r="AM43" s="92">
        <v>787</v>
      </c>
      <c r="AN43" s="92">
        <v>144</v>
      </c>
      <c r="AO43" s="92">
        <v>147</v>
      </c>
      <c r="AP43" s="92">
        <v>4641</v>
      </c>
      <c r="AQ43" s="92">
        <v>99</v>
      </c>
      <c r="AR43" s="92">
        <v>1189</v>
      </c>
      <c r="AS43" s="92">
        <v>1216</v>
      </c>
      <c r="AT43" s="92">
        <v>219</v>
      </c>
      <c r="AU43" s="92">
        <v>226</v>
      </c>
      <c r="AV43" s="200" t="s">
        <v>1</v>
      </c>
      <c r="AW43" s="109" t="s">
        <v>1</v>
      </c>
      <c r="AX43" s="109" t="s">
        <v>1</v>
      </c>
      <c r="AY43" s="109" t="s">
        <v>1</v>
      </c>
      <c r="AZ43" s="109" t="s">
        <v>1</v>
      </c>
      <c r="BA43" s="200" t="s">
        <v>1</v>
      </c>
      <c r="BB43" s="200" t="s">
        <v>1</v>
      </c>
      <c r="BC43" s="109" t="s">
        <v>1</v>
      </c>
      <c r="BD43" s="109" t="s">
        <v>1</v>
      </c>
      <c r="BE43" s="200" t="s">
        <v>1</v>
      </c>
      <c r="BF43" s="200" t="s">
        <v>1</v>
      </c>
      <c r="BG43" s="109" t="s">
        <v>1</v>
      </c>
      <c r="BH43" s="109" t="s">
        <v>1</v>
      </c>
      <c r="BI43" s="200" t="s">
        <v>1</v>
      </c>
      <c r="BJ43" s="200">
        <v>0.9</v>
      </c>
      <c r="BK43" s="92" t="s">
        <v>74</v>
      </c>
      <c r="BL43" s="92">
        <v>121</v>
      </c>
      <c r="BM43" s="92">
        <v>562</v>
      </c>
      <c r="BN43" s="92">
        <v>939</v>
      </c>
      <c r="BO43" s="92" t="s">
        <v>74</v>
      </c>
      <c r="BP43" s="92">
        <v>707</v>
      </c>
      <c r="BQ43" s="92">
        <v>146</v>
      </c>
      <c r="BR43" s="92">
        <v>197</v>
      </c>
      <c r="BS43" s="108" t="s">
        <v>1</v>
      </c>
      <c r="BT43" s="108" t="s">
        <v>1</v>
      </c>
      <c r="BU43" s="108" t="s">
        <v>1</v>
      </c>
      <c r="BV43" s="108" t="s">
        <v>1</v>
      </c>
      <c r="BW43" s="108" t="s">
        <v>1</v>
      </c>
      <c r="BX43" s="189" t="s">
        <v>93</v>
      </c>
      <c r="BY43" s="189" t="s">
        <v>78</v>
      </c>
      <c r="BZ43" s="190" t="s">
        <v>145</v>
      </c>
      <c r="CA43" s="105" t="s">
        <v>226</v>
      </c>
      <c r="CB43" s="189" t="s">
        <v>81</v>
      </c>
      <c r="CC43" s="191" t="s">
        <v>185</v>
      </c>
      <c r="CD43" s="190" t="s">
        <v>92</v>
      </c>
      <c r="CE43" s="189" t="s">
        <v>83</v>
      </c>
      <c r="CF43" s="188" t="s">
        <v>77</v>
      </c>
      <c r="CG43" s="189" t="s">
        <v>87</v>
      </c>
      <c r="CH43" s="108" t="s">
        <v>1</v>
      </c>
    </row>
    <row r="44" ht="25" customHeight="1" spans="1:86">
      <c r="A44" s="107">
        <v>45147</v>
      </c>
      <c r="B44" s="202" t="s">
        <v>100</v>
      </c>
      <c r="C44" s="92" t="s">
        <v>125</v>
      </c>
      <c r="D44" s="30" t="s">
        <v>1</v>
      </c>
      <c r="E44" s="30" t="s">
        <v>1</v>
      </c>
      <c r="F44" s="109" t="e">
        <f>E44-0.8</f>
        <v>#VALUE!</v>
      </c>
      <c r="G44" s="30">
        <v>9.3686</v>
      </c>
      <c r="H44" s="141" t="str">
        <f t="shared" si="0"/>
        <v/>
      </c>
      <c r="I44" s="109">
        <v>7</v>
      </c>
      <c r="J44" s="141" t="str">
        <f t="shared" si="1"/>
        <v/>
      </c>
      <c r="K44" s="141" t="str">
        <f>IFERROR(E44/#REF!,"")</f>
        <v/>
      </c>
      <c r="L44" s="30">
        <v>44704</v>
      </c>
      <c r="M44" s="204">
        <v>37545</v>
      </c>
      <c r="N44" s="141">
        <f t="shared" si="2"/>
        <v>0.190677853242775</v>
      </c>
      <c r="O44" s="109" t="s">
        <v>1</v>
      </c>
      <c r="P44" s="109" t="s">
        <v>1</v>
      </c>
      <c r="Q44" s="109" t="s">
        <v>1</v>
      </c>
      <c r="R44" s="109" t="s">
        <v>1</v>
      </c>
      <c r="S44" s="109" t="s">
        <v>1</v>
      </c>
      <c r="T44" s="109" t="s">
        <v>1</v>
      </c>
      <c r="U44" s="109" t="s">
        <v>1</v>
      </c>
      <c r="V44" s="109" t="s">
        <v>1</v>
      </c>
      <c r="W44" s="109" t="s">
        <v>1</v>
      </c>
      <c r="X44" s="92" t="s">
        <v>1</v>
      </c>
      <c r="Y44" s="92">
        <v>8756</v>
      </c>
      <c r="Z44" s="92" t="s">
        <v>1</v>
      </c>
      <c r="AA44" s="92">
        <v>2680</v>
      </c>
      <c r="AB44" s="92" t="s">
        <v>1</v>
      </c>
      <c r="AC44" s="92">
        <v>3</v>
      </c>
      <c r="AD44" s="92" t="s">
        <v>1</v>
      </c>
      <c r="AE44" s="92">
        <v>100</v>
      </c>
      <c r="AF44" s="92" t="s">
        <v>1</v>
      </c>
      <c r="AG44" s="92">
        <v>6</v>
      </c>
      <c r="AH44" s="92" t="s">
        <v>1</v>
      </c>
      <c r="AI44" s="92">
        <v>145</v>
      </c>
      <c r="AJ44" s="92">
        <v>3203</v>
      </c>
      <c r="AK44" s="92">
        <v>2259</v>
      </c>
      <c r="AL44" s="92">
        <v>664</v>
      </c>
      <c r="AM44" s="92">
        <v>626</v>
      </c>
      <c r="AN44" s="92">
        <v>147</v>
      </c>
      <c r="AO44" s="92">
        <v>127</v>
      </c>
      <c r="AP44" s="92">
        <v>1424</v>
      </c>
      <c r="AQ44" s="92">
        <v>91</v>
      </c>
      <c r="AR44" s="92">
        <v>1200</v>
      </c>
      <c r="AS44" s="92">
        <v>1116</v>
      </c>
      <c r="AT44" s="92">
        <v>211</v>
      </c>
      <c r="AU44" s="92">
        <v>233</v>
      </c>
      <c r="AV44" s="200" t="s">
        <v>1</v>
      </c>
      <c r="AW44" s="109" t="s">
        <v>1</v>
      </c>
      <c r="AX44" s="109" t="s">
        <v>1</v>
      </c>
      <c r="AY44" s="109" t="s">
        <v>1</v>
      </c>
      <c r="AZ44" s="109" t="s">
        <v>1</v>
      </c>
      <c r="BA44" s="200" t="s">
        <v>1</v>
      </c>
      <c r="BB44" s="200" t="s">
        <v>1</v>
      </c>
      <c r="BC44" s="109" t="s">
        <v>1</v>
      </c>
      <c r="BD44" s="109" t="s">
        <v>1</v>
      </c>
      <c r="BE44" s="200" t="s">
        <v>1</v>
      </c>
      <c r="BF44" s="200" t="s">
        <v>1</v>
      </c>
      <c r="BG44" s="109" t="s">
        <v>1</v>
      </c>
      <c r="BH44" s="109" t="s">
        <v>1</v>
      </c>
      <c r="BI44" s="200" t="s">
        <v>1</v>
      </c>
      <c r="BJ44" s="200">
        <v>0.95</v>
      </c>
      <c r="BK44" s="92" t="s">
        <v>73</v>
      </c>
      <c r="BL44" s="92">
        <v>94</v>
      </c>
      <c r="BM44" s="92">
        <v>761</v>
      </c>
      <c r="BN44" s="92">
        <v>878</v>
      </c>
      <c r="BO44" s="92" t="s">
        <v>74</v>
      </c>
      <c r="BP44" s="92">
        <v>611</v>
      </c>
      <c r="BQ44" s="92">
        <v>174</v>
      </c>
      <c r="BR44" s="92">
        <v>202</v>
      </c>
      <c r="BS44" s="108" t="s">
        <v>1</v>
      </c>
      <c r="BT44" s="108" t="s">
        <v>1</v>
      </c>
      <c r="BU44" s="108" t="s">
        <v>1</v>
      </c>
      <c r="BV44" s="108" t="s">
        <v>1</v>
      </c>
      <c r="BW44" s="108" t="s">
        <v>1</v>
      </c>
      <c r="BX44" s="189" t="s">
        <v>1</v>
      </c>
      <c r="BY44" s="189" t="s">
        <v>1</v>
      </c>
      <c r="BZ44" s="190" t="s">
        <v>1</v>
      </c>
      <c r="CA44" s="105" t="s">
        <v>1</v>
      </c>
      <c r="CB44" s="189" t="s">
        <v>1</v>
      </c>
      <c r="CC44" s="191" t="s">
        <v>1</v>
      </c>
      <c r="CD44" s="190" t="s">
        <v>1</v>
      </c>
      <c r="CE44" s="189" t="s">
        <v>1</v>
      </c>
      <c r="CF44" s="188" t="s">
        <v>1</v>
      </c>
      <c r="CG44" s="189" t="s">
        <v>1</v>
      </c>
      <c r="CH44" s="108" t="s">
        <v>1</v>
      </c>
    </row>
    <row r="45" ht="25" customHeight="1" spans="1:86">
      <c r="A45" s="107">
        <v>45148</v>
      </c>
      <c r="B45" s="202" t="s">
        <v>100</v>
      </c>
      <c r="C45" s="92" t="s">
        <v>125</v>
      </c>
      <c r="D45" s="30" t="s">
        <v>1</v>
      </c>
      <c r="E45" s="30" t="s">
        <v>1</v>
      </c>
      <c r="F45" s="109" t="e">
        <f>E45-1.35</f>
        <v>#VALUE!</v>
      </c>
      <c r="G45" s="30">
        <v>6.5286</v>
      </c>
      <c r="H45" s="141" t="str">
        <f t="shared" si="0"/>
        <v/>
      </c>
      <c r="I45" s="109">
        <v>8</v>
      </c>
      <c r="J45" s="141" t="str">
        <f t="shared" si="1"/>
        <v/>
      </c>
      <c r="K45" s="141" t="str">
        <f>IFERROR(E45/#REF!,"")</f>
        <v/>
      </c>
      <c r="L45" s="30">
        <v>45133</v>
      </c>
      <c r="M45" s="204">
        <v>21676</v>
      </c>
      <c r="N45" s="141">
        <f t="shared" si="2"/>
        <v>1.08216460601587</v>
      </c>
      <c r="O45" s="109" t="s">
        <v>1</v>
      </c>
      <c r="P45" s="109">
        <v>4.6</v>
      </c>
      <c r="Q45" s="109" t="s">
        <v>1</v>
      </c>
      <c r="R45" s="109" t="s">
        <v>1</v>
      </c>
      <c r="S45" s="109" t="s">
        <v>1</v>
      </c>
      <c r="T45" s="109" t="s">
        <v>1</v>
      </c>
      <c r="U45" s="109" t="s">
        <v>1</v>
      </c>
      <c r="V45" s="109" t="s">
        <v>1</v>
      </c>
      <c r="W45" s="109" t="s">
        <v>1</v>
      </c>
      <c r="X45" s="92" t="s">
        <v>1</v>
      </c>
      <c r="Y45" s="92">
        <v>8169</v>
      </c>
      <c r="Z45" s="92" t="s">
        <v>1</v>
      </c>
      <c r="AA45" s="92">
        <v>2557</v>
      </c>
      <c r="AB45" s="92" t="s">
        <v>1</v>
      </c>
      <c r="AC45" s="92">
        <v>3</v>
      </c>
      <c r="AD45" s="92" t="s">
        <v>1</v>
      </c>
      <c r="AE45" s="92">
        <v>92</v>
      </c>
      <c r="AF45" s="92" t="s">
        <v>1</v>
      </c>
      <c r="AG45" s="92">
        <v>5</v>
      </c>
      <c r="AH45" s="92" t="s">
        <v>1</v>
      </c>
      <c r="AI45" s="92">
        <v>120</v>
      </c>
      <c r="AJ45" s="92">
        <v>3439</v>
      </c>
      <c r="AK45" s="92">
        <v>2148</v>
      </c>
      <c r="AL45" s="92">
        <v>713</v>
      </c>
      <c r="AM45" s="92">
        <v>560</v>
      </c>
      <c r="AN45" s="92">
        <v>98</v>
      </c>
      <c r="AO45" s="92">
        <v>80</v>
      </c>
      <c r="AP45" s="92">
        <v>7553</v>
      </c>
      <c r="AQ45" s="92">
        <v>109</v>
      </c>
      <c r="AR45" s="92">
        <v>1163</v>
      </c>
      <c r="AS45" s="92">
        <v>1076</v>
      </c>
      <c r="AT45" s="92">
        <v>166</v>
      </c>
      <c r="AU45" s="92">
        <v>195</v>
      </c>
      <c r="AV45" s="200" t="s">
        <v>1</v>
      </c>
      <c r="AW45" s="109" t="s">
        <v>1</v>
      </c>
      <c r="AX45" s="198">
        <v>177</v>
      </c>
      <c r="AY45" s="198">
        <v>139</v>
      </c>
      <c r="AZ45" s="141">
        <v>0.017866155243767</v>
      </c>
      <c r="BA45" s="200">
        <v>0.0543605788032851</v>
      </c>
      <c r="BB45" s="198">
        <v>13</v>
      </c>
      <c r="BC45" s="198">
        <v>12</v>
      </c>
      <c r="BD45" s="141">
        <v>0.0734463276836158</v>
      </c>
      <c r="BE45" s="200">
        <v>0.0863309352517986</v>
      </c>
      <c r="BF45" s="200" t="s">
        <v>1</v>
      </c>
      <c r="BG45" s="109" t="s">
        <v>1</v>
      </c>
      <c r="BH45" s="109" t="s">
        <v>1</v>
      </c>
      <c r="BI45" s="200" t="s">
        <v>1</v>
      </c>
      <c r="BJ45" s="200">
        <v>1</v>
      </c>
      <c r="BK45" s="92" t="s">
        <v>74</v>
      </c>
      <c r="BL45" s="92">
        <v>113</v>
      </c>
      <c r="BM45" s="92">
        <v>554</v>
      </c>
      <c r="BN45" s="92">
        <v>1089</v>
      </c>
      <c r="BO45" s="92" t="s">
        <v>74</v>
      </c>
      <c r="BP45" s="92">
        <v>688</v>
      </c>
      <c r="BQ45" s="92">
        <v>145</v>
      </c>
      <c r="BR45" s="92">
        <v>223</v>
      </c>
      <c r="BS45" s="108" t="s">
        <v>1</v>
      </c>
      <c r="BT45" s="108" t="s">
        <v>1</v>
      </c>
      <c r="BU45" s="108" t="s">
        <v>1</v>
      </c>
      <c r="BV45" s="108" t="s">
        <v>1</v>
      </c>
      <c r="BW45" s="108" t="s">
        <v>1</v>
      </c>
      <c r="BX45" s="189" t="s">
        <v>1</v>
      </c>
      <c r="BY45" s="189" t="s">
        <v>1</v>
      </c>
      <c r="BZ45" s="190" t="s">
        <v>1</v>
      </c>
      <c r="CA45" s="105" t="s">
        <v>1</v>
      </c>
      <c r="CB45" s="189" t="s">
        <v>1</v>
      </c>
      <c r="CC45" s="191" t="s">
        <v>1</v>
      </c>
      <c r="CD45" s="190" t="s">
        <v>1</v>
      </c>
      <c r="CE45" s="189" t="s">
        <v>1</v>
      </c>
      <c r="CF45" s="188" t="s">
        <v>1</v>
      </c>
      <c r="CG45" s="189" t="s">
        <v>1</v>
      </c>
      <c r="CH45" s="108" t="s">
        <v>1</v>
      </c>
    </row>
    <row r="46" ht="25" customHeight="1" spans="1:86">
      <c r="A46" s="107">
        <v>45149</v>
      </c>
      <c r="B46" s="203" t="s">
        <v>89</v>
      </c>
      <c r="C46" s="92" t="s">
        <v>75</v>
      </c>
      <c r="D46" s="30" t="s">
        <v>1</v>
      </c>
      <c r="E46" s="30" t="s">
        <v>1</v>
      </c>
      <c r="F46" s="109" t="s">
        <v>1</v>
      </c>
      <c r="G46" s="30">
        <v>0</v>
      </c>
      <c r="H46" s="141" t="str">
        <f t="shared" si="0"/>
        <v/>
      </c>
      <c r="I46" s="109">
        <v>0</v>
      </c>
      <c r="J46" s="141" t="str">
        <f t="shared" si="1"/>
        <v/>
      </c>
      <c r="K46" s="141" t="str">
        <f>IFERROR(E46/#REF!,"")</f>
        <v/>
      </c>
      <c r="L46" s="181">
        <v>106272</v>
      </c>
      <c r="M46" s="30">
        <v>7547</v>
      </c>
      <c r="N46" s="141">
        <f t="shared" si="2"/>
        <v>13.0813568305287</v>
      </c>
      <c r="O46" s="109" t="s">
        <v>1</v>
      </c>
      <c r="P46" s="109">
        <v>2.2</v>
      </c>
      <c r="Q46" s="109" t="s">
        <v>1</v>
      </c>
      <c r="R46" s="109" t="s">
        <v>1</v>
      </c>
      <c r="S46" s="109" t="s">
        <v>1</v>
      </c>
      <c r="T46" s="109" t="s">
        <v>1</v>
      </c>
      <c r="U46" s="109" t="s">
        <v>1</v>
      </c>
      <c r="V46" s="109" t="s">
        <v>1</v>
      </c>
      <c r="W46" s="109" t="s">
        <v>1</v>
      </c>
      <c r="X46" s="92" t="s">
        <v>1</v>
      </c>
      <c r="Y46" s="92">
        <v>7007</v>
      </c>
      <c r="Z46" s="92" t="s">
        <v>1</v>
      </c>
      <c r="AA46" s="92">
        <v>2259</v>
      </c>
      <c r="AB46" s="92" t="s">
        <v>1</v>
      </c>
      <c r="AC46" s="92">
        <v>3</v>
      </c>
      <c r="AD46" s="92" t="s">
        <v>1</v>
      </c>
      <c r="AE46" s="92">
        <v>94</v>
      </c>
      <c r="AF46" s="92" t="s">
        <v>1</v>
      </c>
      <c r="AG46" s="92" t="s">
        <v>1</v>
      </c>
      <c r="AH46" s="92" t="s">
        <v>1</v>
      </c>
      <c r="AI46" s="92">
        <v>102</v>
      </c>
      <c r="AJ46" s="92">
        <v>2913</v>
      </c>
      <c r="AK46" s="92">
        <v>1863</v>
      </c>
      <c r="AL46" s="92">
        <v>837</v>
      </c>
      <c r="AM46" s="92">
        <v>557</v>
      </c>
      <c r="AN46" s="92">
        <v>113</v>
      </c>
      <c r="AO46" s="92">
        <v>111</v>
      </c>
      <c r="AP46" s="92">
        <v>2686</v>
      </c>
      <c r="AQ46" s="92">
        <v>82</v>
      </c>
      <c r="AR46" s="92">
        <v>915</v>
      </c>
      <c r="AS46" s="92">
        <v>885</v>
      </c>
      <c r="AT46" s="92">
        <v>179</v>
      </c>
      <c r="AU46" s="92">
        <v>174</v>
      </c>
      <c r="AV46" s="200" t="s">
        <v>1</v>
      </c>
      <c r="AW46" s="109" t="s">
        <v>1</v>
      </c>
      <c r="AX46" s="198">
        <v>142</v>
      </c>
      <c r="AY46" s="198" t="s">
        <v>1</v>
      </c>
      <c r="AZ46" s="141">
        <v>0.0271406727828746</v>
      </c>
      <c r="BA46" s="200">
        <v>0</v>
      </c>
      <c r="BB46" s="198">
        <v>11</v>
      </c>
      <c r="BC46" s="198" t="s">
        <v>1</v>
      </c>
      <c r="BD46" s="141">
        <v>0.0774647887323944</v>
      </c>
      <c r="BE46" s="200" t="s">
        <v>103</v>
      </c>
      <c r="BF46" s="200" t="s">
        <v>1</v>
      </c>
      <c r="BG46" s="109" t="s">
        <v>1</v>
      </c>
      <c r="BH46" s="109" t="s">
        <v>1</v>
      </c>
      <c r="BI46" s="200" t="s">
        <v>1</v>
      </c>
      <c r="BJ46" s="200">
        <v>1</v>
      </c>
      <c r="BK46" s="92" t="s">
        <v>74</v>
      </c>
      <c r="BL46" s="92">
        <v>155</v>
      </c>
      <c r="BM46" s="92">
        <v>358</v>
      </c>
      <c r="BN46" s="92">
        <v>630</v>
      </c>
      <c r="BO46" s="92" t="s">
        <v>74</v>
      </c>
      <c r="BP46" s="92">
        <v>944</v>
      </c>
      <c r="BQ46" s="92">
        <v>102</v>
      </c>
      <c r="BR46" s="92">
        <v>117</v>
      </c>
      <c r="BS46" s="108" t="s">
        <v>1</v>
      </c>
      <c r="BT46" s="108" t="s">
        <v>1</v>
      </c>
      <c r="BU46" s="108" t="s">
        <v>1</v>
      </c>
      <c r="BV46" s="108" t="s">
        <v>1</v>
      </c>
      <c r="BW46" s="108" t="s">
        <v>1</v>
      </c>
      <c r="BX46" s="189" t="s">
        <v>1</v>
      </c>
      <c r="BY46" s="189" t="s">
        <v>1</v>
      </c>
      <c r="BZ46" s="190" t="s">
        <v>1</v>
      </c>
      <c r="CA46" s="105" t="s">
        <v>1</v>
      </c>
      <c r="CB46" s="189" t="s">
        <v>1</v>
      </c>
      <c r="CC46" s="191" t="s">
        <v>1</v>
      </c>
      <c r="CD46" s="190" t="s">
        <v>1</v>
      </c>
      <c r="CE46" s="189" t="s">
        <v>1</v>
      </c>
      <c r="CF46" s="188" t="s">
        <v>1</v>
      </c>
      <c r="CG46" s="189" t="s">
        <v>1</v>
      </c>
      <c r="CH46" s="108" t="s">
        <v>1</v>
      </c>
    </row>
    <row r="47" ht="25" customHeight="1" spans="1:86">
      <c r="A47" s="107">
        <v>45150</v>
      </c>
      <c r="B47" s="203" t="s">
        <v>89</v>
      </c>
      <c r="C47" s="92" t="s">
        <v>75</v>
      </c>
      <c r="D47" s="30" t="s">
        <v>1</v>
      </c>
      <c r="E47" s="30" t="s">
        <v>1</v>
      </c>
      <c r="F47" s="109" t="str">
        <f>E47</f>
        <v/>
      </c>
      <c r="G47" s="30">
        <v>0</v>
      </c>
      <c r="H47" s="141" t="str">
        <f t="shared" si="0"/>
        <v/>
      </c>
      <c r="I47" s="109">
        <v>0</v>
      </c>
      <c r="J47" s="141" t="str">
        <f t="shared" si="1"/>
        <v/>
      </c>
      <c r="K47" s="141" t="str">
        <f>IFERROR(E47/#REF!,"")</f>
        <v/>
      </c>
      <c r="L47" s="30">
        <v>27301</v>
      </c>
      <c r="M47" s="204">
        <v>0</v>
      </c>
      <c r="N47" s="141" t="e">
        <f t="shared" si="2"/>
        <v>#DIV/0!</v>
      </c>
      <c r="O47" s="109" t="s">
        <v>1</v>
      </c>
      <c r="P47" s="109">
        <v>5.1</v>
      </c>
      <c r="Q47" s="109" t="s">
        <v>1</v>
      </c>
      <c r="R47" s="109" t="s">
        <v>1</v>
      </c>
      <c r="S47" s="109" t="s">
        <v>1</v>
      </c>
      <c r="T47" s="109" t="s">
        <v>1</v>
      </c>
      <c r="U47" s="109" t="s">
        <v>1</v>
      </c>
      <c r="V47" s="109" t="s">
        <v>1</v>
      </c>
      <c r="W47" s="109" t="s">
        <v>1</v>
      </c>
      <c r="X47" s="92" t="s">
        <v>1</v>
      </c>
      <c r="Y47" s="92">
        <v>5487</v>
      </c>
      <c r="Z47" s="92" t="s">
        <v>1</v>
      </c>
      <c r="AA47" s="92">
        <v>1966</v>
      </c>
      <c r="AB47" s="92" t="s">
        <v>1</v>
      </c>
      <c r="AC47" s="92">
        <v>3</v>
      </c>
      <c r="AD47" s="92" t="s">
        <v>1</v>
      </c>
      <c r="AE47" s="92">
        <v>85</v>
      </c>
      <c r="AF47" s="92" t="s">
        <v>1</v>
      </c>
      <c r="AG47" s="92" t="s">
        <v>1</v>
      </c>
      <c r="AH47" s="92" t="s">
        <v>1</v>
      </c>
      <c r="AI47" s="92">
        <v>75</v>
      </c>
      <c r="AJ47" s="92">
        <v>3385</v>
      </c>
      <c r="AK47" s="92">
        <v>1549</v>
      </c>
      <c r="AL47" s="92">
        <v>916</v>
      </c>
      <c r="AM47" s="92">
        <v>524</v>
      </c>
      <c r="AN47" s="92">
        <v>111</v>
      </c>
      <c r="AO47" s="92">
        <v>94</v>
      </c>
      <c r="AP47" s="92">
        <v>6643</v>
      </c>
      <c r="AQ47" s="92">
        <v>82</v>
      </c>
      <c r="AR47" s="92">
        <v>1038</v>
      </c>
      <c r="AS47" s="92">
        <v>689</v>
      </c>
      <c r="AT47" s="92">
        <v>205</v>
      </c>
      <c r="AU47" s="92">
        <v>145</v>
      </c>
      <c r="AV47" s="200" t="s">
        <v>1</v>
      </c>
      <c r="AW47" s="109" t="s">
        <v>1</v>
      </c>
      <c r="AX47" s="198">
        <v>153</v>
      </c>
      <c r="AY47" s="198" t="s">
        <v>1</v>
      </c>
      <c r="AZ47" s="141">
        <v>0.0166757493188011</v>
      </c>
      <c r="BA47" s="200">
        <v>0</v>
      </c>
      <c r="BB47" s="198">
        <v>17</v>
      </c>
      <c r="BC47" s="198" t="s">
        <v>1</v>
      </c>
      <c r="BD47" s="141">
        <v>0.111111111111111</v>
      </c>
      <c r="BE47" s="200" t="s">
        <v>103</v>
      </c>
      <c r="BF47" s="200" t="s">
        <v>1</v>
      </c>
      <c r="BG47" s="109" t="s">
        <v>1</v>
      </c>
      <c r="BH47" s="109" t="s">
        <v>1</v>
      </c>
      <c r="BI47" s="200" t="s">
        <v>1</v>
      </c>
      <c r="BJ47" s="200">
        <v>1</v>
      </c>
      <c r="BK47" s="92" t="s">
        <v>74</v>
      </c>
      <c r="BL47" s="92">
        <v>124</v>
      </c>
      <c r="BM47" s="92">
        <v>515</v>
      </c>
      <c r="BN47" s="92">
        <v>435</v>
      </c>
      <c r="BO47" s="92" t="s">
        <v>74</v>
      </c>
      <c r="BP47" s="92">
        <v>806</v>
      </c>
      <c r="BQ47" s="92">
        <v>140</v>
      </c>
      <c r="BR47" s="92">
        <v>77</v>
      </c>
      <c r="BS47" s="108" t="s">
        <v>1</v>
      </c>
      <c r="BT47" s="108" t="s">
        <v>1</v>
      </c>
      <c r="BU47" s="108" t="s">
        <v>1</v>
      </c>
      <c r="BV47" s="108" t="s">
        <v>1</v>
      </c>
      <c r="BW47" s="108" t="s">
        <v>1</v>
      </c>
      <c r="BX47" s="189" t="s">
        <v>1</v>
      </c>
      <c r="BY47" s="189" t="s">
        <v>1</v>
      </c>
      <c r="BZ47" s="190" t="s">
        <v>1</v>
      </c>
      <c r="CA47" s="105" t="s">
        <v>1</v>
      </c>
      <c r="CB47" s="189" t="s">
        <v>1</v>
      </c>
      <c r="CC47" s="191" t="s">
        <v>1</v>
      </c>
      <c r="CD47" s="190" t="s">
        <v>1</v>
      </c>
      <c r="CE47" s="189" t="s">
        <v>1</v>
      </c>
      <c r="CF47" s="188" t="s">
        <v>1</v>
      </c>
      <c r="CG47" s="189" t="s">
        <v>1</v>
      </c>
      <c r="CH47" s="108" t="s">
        <v>1</v>
      </c>
    </row>
    <row r="48" ht="25" customHeight="1" spans="1:86">
      <c r="A48" s="107">
        <v>45151</v>
      </c>
      <c r="B48" s="203" t="s">
        <v>89</v>
      </c>
      <c r="C48" s="92" t="s">
        <v>75</v>
      </c>
      <c r="D48" s="30" t="s">
        <v>1</v>
      </c>
      <c r="E48" s="30" t="s">
        <v>1</v>
      </c>
      <c r="F48" s="109" t="str">
        <f>E48</f>
        <v/>
      </c>
      <c r="G48" s="30">
        <v>0</v>
      </c>
      <c r="H48" s="141" t="str">
        <f t="shared" si="0"/>
        <v/>
      </c>
      <c r="I48" s="109">
        <v>0</v>
      </c>
      <c r="J48" s="141" t="str">
        <f t="shared" si="1"/>
        <v/>
      </c>
      <c r="K48" s="141" t="str">
        <f>IFERROR(E48/#REF!,"")</f>
        <v/>
      </c>
      <c r="L48" s="205">
        <v>0</v>
      </c>
      <c r="M48" s="30">
        <v>4880</v>
      </c>
      <c r="N48" s="141">
        <f t="shared" si="2"/>
        <v>-1</v>
      </c>
      <c r="O48" s="109" t="s">
        <v>1</v>
      </c>
      <c r="P48" s="109">
        <v>5.5</v>
      </c>
      <c r="Q48" s="109" t="s">
        <v>1</v>
      </c>
      <c r="R48" s="109" t="s">
        <v>1</v>
      </c>
      <c r="S48" s="109" t="s">
        <v>1</v>
      </c>
      <c r="T48" s="109" t="s">
        <v>1</v>
      </c>
      <c r="U48" s="109" t="s">
        <v>1</v>
      </c>
      <c r="V48" s="109" t="s">
        <v>1</v>
      </c>
      <c r="W48" s="109" t="s">
        <v>1</v>
      </c>
      <c r="X48" s="92" t="s">
        <v>1</v>
      </c>
      <c r="Y48" s="92">
        <v>6928</v>
      </c>
      <c r="Z48" s="92" t="s">
        <v>1</v>
      </c>
      <c r="AA48" s="92">
        <v>2236</v>
      </c>
      <c r="AB48" s="92" t="s">
        <v>1</v>
      </c>
      <c r="AC48" s="92">
        <v>3</v>
      </c>
      <c r="AD48" s="92" t="s">
        <v>1</v>
      </c>
      <c r="AE48" s="92">
        <v>91</v>
      </c>
      <c r="AF48" s="92" t="s">
        <v>1</v>
      </c>
      <c r="AG48" s="92" t="s">
        <v>1</v>
      </c>
      <c r="AH48" s="92" t="s">
        <v>1</v>
      </c>
      <c r="AI48" s="92">
        <v>89</v>
      </c>
      <c r="AJ48" s="92">
        <v>3976</v>
      </c>
      <c r="AK48" s="92">
        <v>1753</v>
      </c>
      <c r="AL48" s="92">
        <v>1048</v>
      </c>
      <c r="AM48" s="92">
        <v>693</v>
      </c>
      <c r="AN48" s="92">
        <v>122</v>
      </c>
      <c r="AO48" s="92">
        <v>72</v>
      </c>
      <c r="AP48" s="92">
        <v>7100</v>
      </c>
      <c r="AQ48" s="92">
        <v>51</v>
      </c>
      <c r="AR48" s="92">
        <v>1260</v>
      </c>
      <c r="AS48" s="92">
        <v>802</v>
      </c>
      <c r="AT48" s="92">
        <v>276</v>
      </c>
      <c r="AU48" s="92">
        <v>170</v>
      </c>
      <c r="AV48" s="200" t="s">
        <v>1</v>
      </c>
      <c r="AW48" s="109" t="s">
        <v>1</v>
      </c>
      <c r="AX48" s="198">
        <v>182</v>
      </c>
      <c r="AY48" s="198" t="s">
        <v>1</v>
      </c>
      <c r="AZ48" s="141">
        <v>0.0180681028492008</v>
      </c>
      <c r="BA48" s="200">
        <v>0</v>
      </c>
      <c r="BB48" s="198">
        <v>22</v>
      </c>
      <c r="BC48" s="198" t="s">
        <v>1</v>
      </c>
      <c r="BD48" s="141">
        <v>0.120879120879121</v>
      </c>
      <c r="BE48" s="200" t="s">
        <v>103</v>
      </c>
      <c r="BF48" s="200" t="s">
        <v>1</v>
      </c>
      <c r="BG48" s="109" t="s">
        <v>1</v>
      </c>
      <c r="BH48" s="109" t="s">
        <v>1</v>
      </c>
      <c r="BI48" s="200" t="s">
        <v>1</v>
      </c>
      <c r="BJ48" s="200">
        <v>0.96</v>
      </c>
      <c r="BK48" s="92" t="s">
        <v>74</v>
      </c>
      <c r="BL48" s="92">
        <v>135</v>
      </c>
      <c r="BM48" s="92">
        <v>470</v>
      </c>
      <c r="BN48" s="92">
        <v>574</v>
      </c>
      <c r="BO48" s="92" t="s">
        <v>74</v>
      </c>
      <c r="BP48" s="92">
        <v>711</v>
      </c>
      <c r="BQ48" s="92">
        <v>159</v>
      </c>
      <c r="BR48" s="92">
        <v>117</v>
      </c>
      <c r="BS48" s="108" t="s">
        <v>1</v>
      </c>
      <c r="BT48" s="108" t="s">
        <v>1</v>
      </c>
      <c r="BU48" s="108" t="s">
        <v>1</v>
      </c>
      <c r="BV48" s="108" t="s">
        <v>1</v>
      </c>
      <c r="BW48" s="108" t="s">
        <v>1</v>
      </c>
      <c r="BX48" s="189" t="s">
        <v>1</v>
      </c>
      <c r="BY48" s="189" t="s">
        <v>1</v>
      </c>
      <c r="BZ48" s="190" t="s">
        <v>1</v>
      </c>
      <c r="CA48" s="105" t="s">
        <v>1</v>
      </c>
      <c r="CB48" s="189" t="s">
        <v>1</v>
      </c>
      <c r="CC48" s="191" t="s">
        <v>1</v>
      </c>
      <c r="CD48" s="190" t="s">
        <v>1</v>
      </c>
      <c r="CE48" s="189" t="s">
        <v>1</v>
      </c>
      <c r="CF48" s="188" t="s">
        <v>1</v>
      </c>
      <c r="CG48" s="189" t="s">
        <v>1</v>
      </c>
      <c r="CH48" s="108" t="s">
        <v>1</v>
      </c>
    </row>
    <row r="49" ht="25" customHeight="1" spans="1:86">
      <c r="A49" s="107">
        <v>45152</v>
      </c>
      <c r="B49" s="197" t="s">
        <v>104</v>
      </c>
      <c r="C49" s="92" t="s">
        <v>220</v>
      </c>
      <c r="D49" s="30" t="s">
        <v>1</v>
      </c>
      <c r="E49" s="30" t="s">
        <v>1</v>
      </c>
      <c r="F49" s="109" t="str">
        <f>E49</f>
        <v/>
      </c>
      <c r="G49" s="30">
        <v>43.2687</v>
      </c>
      <c r="H49" s="141" t="str">
        <f t="shared" si="0"/>
        <v/>
      </c>
      <c r="I49" s="109">
        <v>40</v>
      </c>
      <c r="J49" s="141" t="str">
        <f t="shared" si="1"/>
        <v/>
      </c>
      <c r="K49" s="141" t="str">
        <f>IFERROR(E49/#REF!,"")</f>
        <v/>
      </c>
      <c r="L49" s="172">
        <v>158017</v>
      </c>
      <c r="M49" s="204">
        <v>287946</v>
      </c>
      <c r="N49" s="141">
        <f t="shared" si="2"/>
        <v>-0.451226966167267</v>
      </c>
      <c r="O49" s="109" t="s">
        <v>1</v>
      </c>
      <c r="P49" s="109">
        <v>10.9</v>
      </c>
      <c r="Q49" s="109" t="s">
        <v>1</v>
      </c>
      <c r="R49" s="109" t="s">
        <v>1</v>
      </c>
      <c r="S49" s="109" t="s">
        <v>1</v>
      </c>
      <c r="T49" s="109" t="s">
        <v>1</v>
      </c>
      <c r="U49" s="109" t="s">
        <v>1</v>
      </c>
      <c r="V49" s="109" t="s">
        <v>1</v>
      </c>
      <c r="W49" s="109" t="s">
        <v>1</v>
      </c>
      <c r="X49" s="92" t="s">
        <v>1</v>
      </c>
      <c r="Y49" s="92">
        <v>12162</v>
      </c>
      <c r="Z49" s="92" t="s">
        <v>1</v>
      </c>
      <c r="AA49" s="92">
        <v>3259</v>
      </c>
      <c r="AB49" s="92" t="s">
        <v>1</v>
      </c>
      <c r="AC49" s="92">
        <v>4</v>
      </c>
      <c r="AD49" s="92" t="s">
        <v>1</v>
      </c>
      <c r="AE49" s="92">
        <v>109</v>
      </c>
      <c r="AF49" s="92" t="s">
        <v>1</v>
      </c>
      <c r="AG49" s="92" t="s">
        <v>1</v>
      </c>
      <c r="AH49" s="92" t="s">
        <v>1</v>
      </c>
      <c r="AI49" s="92">
        <v>146</v>
      </c>
      <c r="AJ49" s="92">
        <v>4278</v>
      </c>
      <c r="AK49" s="92">
        <v>2687</v>
      </c>
      <c r="AL49" s="92">
        <v>1167</v>
      </c>
      <c r="AM49" s="92">
        <v>791</v>
      </c>
      <c r="AN49" s="92">
        <v>150</v>
      </c>
      <c r="AO49" s="92">
        <v>144</v>
      </c>
      <c r="AP49" s="92">
        <v>3462</v>
      </c>
      <c r="AQ49" s="92">
        <v>123</v>
      </c>
      <c r="AR49" s="92">
        <v>1254</v>
      </c>
      <c r="AS49" s="92">
        <v>1147</v>
      </c>
      <c r="AT49" s="92">
        <v>257</v>
      </c>
      <c r="AU49" s="92">
        <v>267</v>
      </c>
      <c r="AV49" s="200" t="s">
        <v>1</v>
      </c>
      <c r="AW49" s="109" t="s">
        <v>1</v>
      </c>
      <c r="AX49" s="198">
        <v>251</v>
      </c>
      <c r="AY49" s="198" t="s">
        <v>1</v>
      </c>
      <c r="AZ49" s="141">
        <v>0.0368089162633817</v>
      </c>
      <c r="BA49" s="200">
        <v>0</v>
      </c>
      <c r="BB49" s="198">
        <v>40</v>
      </c>
      <c r="BC49" s="198" t="s">
        <v>1</v>
      </c>
      <c r="BD49" s="141">
        <v>0.159362549800797</v>
      </c>
      <c r="BE49" s="200" t="s">
        <v>103</v>
      </c>
      <c r="BF49" s="200" t="s">
        <v>1</v>
      </c>
      <c r="BG49" s="109" t="s">
        <v>1</v>
      </c>
      <c r="BH49" s="109" t="s">
        <v>1</v>
      </c>
      <c r="BI49" s="200" t="s">
        <v>1</v>
      </c>
      <c r="BJ49" s="200">
        <v>0.96</v>
      </c>
      <c r="BK49" s="92" t="s">
        <v>74</v>
      </c>
      <c r="BL49" s="92">
        <v>152</v>
      </c>
      <c r="BM49" s="92">
        <v>463</v>
      </c>
      <c r="BN49" s="92">
        <v>1043</v>
      </c>
      <c r="BO49" s="92" t="s">
        <v>74</v>
      </c>
      <c r="BP49" s="92">
        <v>689</v>
      </c>
      <c r="BQ49" s="92">
        <v>170</v>
      </c>
      <c r="BR49" s="92">
        <v>219</v>
      </c>
      <c r="BS49" s="108" t="s">
        <v>1</v>
      </c>
      <c r="BT49" s="108" t="s">
        <v>1</v>
      </c>
      <c r="BU49" s="108" t="s">
        <v>1</v>
      </c>
      <c r="BV49" s="108" t="s">
        <v>1</v>
      </c>
      <c r="BW49" s="108" t="s">
        <v>1</v>
      </c>
      <c r="BX49" s="189" t="s">
        <v>1</v>
      </c>
      <c r="BY49" s="189" t="s">
        <v>1</v>
      </c>
      <c r="BZ49" s="190" t="s">
        <v>1</v>
      </c>
      <c r="CA49" s="105" t="s">
        <v>1</v>
      </c>
      <c r="CB49" s="189" t="s">
        <v>1</v>
      </c>
      <c r="CC49" s="191" t="s">
        <v>1</v>
      </c>
      <c r="CD49" s="190" t="s">
        <v>1</v>
      </c>
      <c r="CE49" s="189" t="s">
        <v>1</v>
      </c>
      <c r="CF49" s="188" t="s">
        <v>1</v>
      </c>
      <c r="CG49" s="189" t="s">
        <v>1</v>
      </c>
      <c r="CH49" s="108" t="s">
        <v>1</v>
      </c>
    </row>
    <row r="50" ht="25" customHeight="1" spans="1:86">
      <c r="A50" s="107">
        <v>45153</v>
      </c>
      <c r="B50" s="197" t="s">
        <v>99</v>
      </c>
      <c r="C50" s="206" t="s">
        <v>227</v>
      </c>
      <c r="D50" s="30" t="s">
        <v>1</v>
      </c>
      <c r="E50" s="30" t="s">
        <v>1</v>
      </c>
      <c r="F50" s="109" t="e">
        <f>E50-5</f>
        <v>#VALUE!</v>
      </c>
      <c r="G50" s="30">
        <v>15.3414</v>
      </c>
      <c r="H50" s="141" t="str">
        <f t="shared" si="0"/>
        <v/>
      </c>
      <c r="I50" s="109">
        <v>18</v>
      </c>
      <c r="J50" s="141" t="str">
        <f t="shared" si="1"/>
        <v/>
      </c>
      <c r="K50" s="141" t="str">
        <f>IFERROR(E50/#REF!,"")</f>
        <v/>
      </c>
      <c r="L50" s="172">
        <v>103717</v>
      </c>
      <c r="M50" s="204">
        <v>138435</v>
      </c>
      <c r="N50" s="141">
        <f t="shared" si="2"/>
        <v>-0.250789179037093</v>
      </c>
      <c r="O50" s="109" t="s">
        <v>1</v>
      </c>
      <c r="P50" s="109">
        <v>5.8</v>
      </c>
      <c r="Q50" s="109" t="s">
        <v>1</v>
      </c>
      <c r="R50" s="109" t="s">
        <v>1</v>
      </c>
      <c r="S50" s="109" t="s">
        <v>1</v>
      </c>
      <c r="T50" s="109" t="s">
        <v>1</v>
      </c>
      <c r="U50" s="109" t="s">
        <v>1</v>
      </c>
      <c r="V50" s="109" t="s">
        <v>1</v>
      </c>
      <c r="W50" s="109" t="s">
        <v>1</v>
      </c>
      <c r="X50" s="92" t="s">
        <v>1</v>
      </c>
      <c r="Y50" s="92">
        <v>10617</v>
      </c>
      <c r="Z50" s="92" t="s">
        <v>1</v>
      </c>
      <c r="AA50" s="92">
        <v>3642</v>
      </c>
      <c r="AB50" s="92" t="s">
        <v>1</v>
      </c>
      <c r="AC50" s="92">
        <v>3</v>
      </c>
      <c r="AD50" s="92" t="s">
        <v>1</v>
      </c>
      <c r="AE50" s="92">
        <v>81</v>
      </c>
      <c r="AF50" s="92" t="s">
        <v>1</v>
      </c>
      <c r="AG50" s="92" t="s">
        <v>1</v>
      </c>
      <c r="AH50" s="92" t="s">
        <v>1</v>
      </c>
      <c r="AI50" s="92">
        <v>158</v>
      </c>
      <c r="AJ50" s="92">
        <v>3618</v>
      </c>
      <c r="AK50" s="92">
        <v>3260</v>
      </c>
      <c r="AL50" s="92">
        <v>961</v>
      </c>
      <c r="AM50" s="92">
        <v>479</v>
      </c>
      <c r="AN50" s="92">
        <v>122</v>
      </c>
      <c r="AO50" s="92">
        <v>142</v>
      </c>
      <c r="AP50" s="92">
        <v>3883</v>
      </c>
      <c r="AQ50" s="92">
        <v>126</v>
      </c>
      <c r="AR50" s="92">
        <v>1223</v>
      </c>
      <c r="AS50" s="92">
        <v>1267</v>
      </c>
      <c r="AT50" s="92">
        <v>192</v>
      </c>
      <c r="AU50" s="92">
        <v>233</v>
      </c>
      <c r="AV50" s="200" t="s">
        <v>1</v>
      </c>
      <c r="AW50" s="109" t="s">
        <v>1</v>
      </c>
      <c r="AX50" s="198">
        <v>156</v>
      </c>
      <c r="AY50" s="198" t="s">
        <v>1</v>
      </c>
      <c r="AZ50" s="141">
        <v>0.0226744186046512</v>
      </c>
      <c r="BA50" s="200">
        <v>0</v>
      </c>
      <c r="BB50" s="198">
        <v>19</v>
      </c>
      <c r="BC50" s="198" t="s">
        <v>1</v>
      </c>
      <c r="BD50" s="141">
        <v>0.121794871794872</v>
      </c>
      <c r="BE50" s="200" t="s">
        <v>103</v>
      </c>
      <c r="BF50" s="200" t="s">
        <v>1</v>
      </c>
      <c r="BG50" s="109" t="s">
        <v>1</v>
      </c>
      <c r="BH50" s="109" t="s">
        <v>1</v>
      </c>
      <c r="BI50" s="200" t="s">
        <v>1</v>
      </c>
      <c r="BJ50" s="200">
        <v>0.96</v>
      </c>
      <c r="BK50" s="92" t="s">
        <v>74</v>
      </c>
      <c r="BL50" s="92">
        <v>124</v>
      </c>
      <c r="BM50" s="92">
        <v>497</v>
      </c>
      <c r="BN50" s="92">
        <v>1436</v>
      </c>
      <c r="BO50" s="92" t="s">
        <v>74</v>
      </c>
      <c r="BP50" s="92">
        <v>760</v>
      </c>
      <c r="BQ50" s="92">
        <v>151</v>
      </c>
      <c r="BR50" s="92">
        <v>288</v>
      </c>
      <c r="BS50" s="108" t="s">
        <v>1</v>
      </c>
      <c r="BT50" s="108" t="s">
        <v>1</v>
      </c>
      <c r="BU50" s="108" t="s">
        <v>1</v>
      </c>
      <c r="BV50" s="108" t="s">
        <v>1</v>
      </c>
      <c r="BW50" s="108" t="s">
        <v>1</v>
      </c>
      <c r="BX50" s="189" t="s">
        <v>93</v>
      </c>
      <c r="BY50" s="189" t="s">
        <v>78</v>
      </c>
      <c r="BZ50" s="190" t="s">
        <v>92</v>
      </c>
      <c r="CA50" s="188" t="s">
        <v>181</v>
      </c>
      <c r="CB50" s="189" t="s">
        <v>83</v>
      </c>
      <c r="CC50" s="189" t="s">
        <v>105</v>
      </c>
      <c r="CD50" s="105" t="s">
        <v>226</v>
      </c>
      <c r="CE50" s="190" t="s">
        <v>145</v>
      </c>
      <c r="CF50" s="189" t="s">
        <v>81</v>
      </c>
      <c r="CG50" s="189" t="s">
        <v>169</v>
      </c>
      <c r="CH50" s="108" t="s">
        <v>1</v>
      </c>
    </row>
    <row r="51" ht="25" customHeight="1" spans="1:86">
      <c r="A51" s="107">
        <v>45154</v>
      </c>
      <c r="B51" s="202" t="s">
        <v>100</v>
      </c>
      <c r="C51" s="92" t="s">
        <v>75</v>
      </c>
      <c r="D51" s="30" t="s">
        <v>1</v>
      </c>
      <c r="E51" s="30" t="s">
        <v>1</v>
      </c>
      <c r="F51" s="109" t="e">
        <f>E51-2.2</f>
        <v>#VALUE!</v>
      </c>
      <c r="G51" s="30">
        <v>8.2581</v>
      </c>
      <c r="H51" s="141" t="str">
        <f t="shared" si="0"/>
        <v/>
      </c>
      <c r="I51" s="109">
        <v>0</v>
      </c>
      <c r="J51" s="141" t="str">
        <f t="shared" si="1"/>
        <v/>
      </c>
      <c r="K51" s="141" t="str">
        <f>IFERROR(E51/#REF!,"")</f>
        <v/>
      </c>
      <c r="L51" s="172">
        <v>73994</v>
      </c>
      <c r="M51" s="204">
        <v>50079</v>
      </c>
      <c r="N51" s="141">
        <f t="shared" si="2"/>
        <v>0.477545478144532</v>
      </c>
      <c r="O51" s="109" t="s">
        <v>1</v>
      </c>
      <c r="P51" s="109">
        <v>5.2</v>
      </c>
      <c r="Q51" s="109" t="s">
        <v>1</v>
      </c>
      <c r="R51" s="109" t="s">
        <v>1</v>
      </c>
      <c r="S51" s="109" t="s">
        <v>1</v>
      </c>
      <c r="T51" s="109" t="s">
        <v>1</v>
      </c>
      <c r="U51" s="109" t="s">
        <v>1</v>
      </c>
      <c r="V51" s="109" t="s">
        <v>1</v>
      </c>
      <c r="W51" s="109" t="s">
        <v>1</v>
      </c>
      <c r="X51" s="92" t="s">
        <v>1</v>
      </c>
      <c r="Y51" s="92">
        <v>8736</v>
      </c>
      <c r="Z51" s="92" t="s">
        <v>1</v>
      </c>
      <c r="AA51" s="92">
        <v>2751</v>
      </c>
      <c r="AB51" s="92" t="s">
        <v>1</v>
      </c>
      <c r="AC51" s="92">
        <v>3</v>
      </c>
      <c r="AD51" s="92" t="s">
        <v>1</v>
      </c>
      <c r="AE51" s="92">
        <v>97</v>
      </c>
      <c r="AF51" s="92" t="s">
        <v>1</v>
      </c>
      <c r="AG51" s="92" t="s">
        <v>1</v>
      </c>
      <c r="AH51" s="92" t="s">
        <v>1</v>
      </c>
      <c r="AI51" s="92">
        <v>144</v>
      </c>
      <c r="AJ51" s="92">
        <v>3211</v>
      </c>
      <c r="AK51" s="92">
        <v>2379</v>
      </c>
      <c r="AL51" s="92">
        <v>959</v>
      </c>
      <c r="AM51" s="92">
        <v>407</v>
      </c>
      <c r="AN51" s="92">
        <v>121</v>
      </c>
      <c r="AO51" s="92">
        <v>180</v>
      </c>
      <c r="AP51" s="92">
        <v>4043</v>
      </c>
      <c r="AQ51" s="92">
        <v>94</v>
      </c>
      <c r="AR51" s="92">
        <v>1095</v>
      </c>
      <c r="AS51" s="92">
        <v>1068</v>
      </c>
      <c r="AT51" s="92">
        <v>179</v>
      </c>
      <c r="AU51" s="92">
        <v>216</v>
      </c>
      <c r="AV51" s="200" t="s">
        <v>1</v>
      </c>
      <c r="AW51" s="109" t="s">
        <v>1</v>
      </c>
      <c r="AX51" s="198">
        <v>173</v>
      </c>
      <c r="AY51" s="198" t="s">
        <v>1</v>
      </c>
      <c r="AZ51" s="141">
        <v>0.0257172588077895</v>
      </c>
      <c r="BA51" s="200">
        <v>0</v>
      </c>
      <c r="BB51" s="198">
        <v>17</v>
      </c>
      <c r="BC51" s="198" t="s">
        <v>1</v>
      </c>
      <c r="BD51" s="141">
        <v>0.0982658959537572</v>
      </c>
      <c r="BE51" s="200" t="s">
        <v>103</v>
      </c>
      <c r="BF51" s="200" t="s">
        <v>1</v>
      </c>
      <c r="BG51" s="109" t="s">
        <v>1</v>
      </c>
      <c r="BH51" s="109" t="s">
        <v>1</v>
      </c>
      <c r="BI51" s="200" t="s">
        <v>1</v>
      </c>
      <c r="BJ51" s="200">
        <v>1</v>
      </c>
      <c r="BK51" s="92" t="s">
        <v>74</v>
      </c>
      <c r="BL51" s="92">
        <v>133</v>
      </c>
      <c r="BM51" s="92">
        <v>464</v>
      </c>
      <c r="BN51" s="92">
        <v>1017</v>
      </c>
      <c r="BO51" s="92" t="s">
        <v>74</v>
      </c>
      <c r="BP51" s="92">
        <v>802</v>
      </c>
      <c r="BQ51" s="92">
        <v>143</v>
      </c>
      <c r="BR51" s="92">
        <v>211</v>
      </c>
      <c r="BS51" s="108" t="s">
        <v>1</v>
      </c>
      <c r="BT51" s="108" t="s">
        <v>1</v>
      </c>
      <c r="BU51" s="108" t="s">
        <v>1</v>
      </c>
      <c r="BV51" s="108" t="s">
        <v>1</v>
      </c>
      <c r="BW51" s="108" t="s">
        <v>1</v>
      </c>
      <c r="BX51" s="189" t="s">
        <v>1</v>
      </c>
      <c r="BY51" s="189" t="s">
        <v>1</v>
      </c>
      <c r="BZ51" s="190" t="s">
        <v>1</v>
      </c>
      <c r="CA51" s="188" t="s">
        <v>1</v>
      </c>
      <c r="CB51" s="189" t="s">
        <v>1</v>
      </c>
      <c r="CC51" s="189" t="s">
        <v>1</v>
      </c>
      <c r="CD51" s="105" t="s">
        <v>1</v>
      </c>
      <c r="CE51" s="190" t="s">
        <v>1</v>
      </c>
      <c r="CF51" s="189" t="s">
        <v>1</v>
      </c>
      <c r="CG51" s="189" t="s">
        <v>1</v>
      </c>
      <c r="CH51" s="108" t="s">
        <v>1</v>
      </c>
    </row>
    <row r="52" ht="25" customHeight="1" spans="1:86">
      <c r="A52" s="107">
        <v>45155</v>
      </c>
      <c r="B52" s="197" t="s">
        <v>104</v>
      </c>
      <c r="C52" s="92" t="s">
        <v>220</v>
      </c>
      <c r="D52" s="30" t="s">
        <v>1</v>
      </c>
      <c r="E52" s="30" t="s">
        <v>1</v>
      </c>
      <c r="F52" s="109" t="e">
        <f>E52-0.45</f>
        <v>#VALUE!</v>
      </c>
      <c r="G52" s="30">
        <v>18.1262</v>
      </c>
      <c r="H52" s="141" t="str">
        <f t="shared" si="0"/>
        <v/>
      </c>
      <c r="I52" s="109">
        <v>23</v>
      </c>
      <c r="J52" s="141" t="str">
        <f t="shared" si="1"/>
        <v/>
      </c>
      <c r="K52" s="141" t="str">
        <f>IFERROR(E52/#REF!,"")</f>
        <v/>
      </c>
      <c r="L52" s="172">
        <v>28203</v>
      </c>
      <c r="M52" s="204">
        <v>71680</v>
      </c>
      <c r="N52" s="141">
        <f t="shared" si="2"/>
        <v>-0.60654296875</v>
      </c>
      <c r="O52" s="109" t="s">
        <v>1</v>
      </c>
      <c r="P52" s="109">
        <v>4.5</v>
      </c>
      <c r="Q52" s="109" t="s">
        <v>1</v>
      </c>
      <c r="R52" s="109" t="s">
        <v>1</v>
      </c>
      <c r="S52" s="109" t="s">
        <v>1</v>
      </c>
      <c r="T52" s="109" t="s">
        <v>1</v>
      </c>
      <c r="U52" s="109" t="s">
        <v>1</v>
      </c>
      <c r="V52" s="109" t="s">
        <v>1</v>
      </c>
      <c r="W52" s="109" t="s">
        <v>1</v>
      </c>
      <c r="X52" s="92" t="s">
        <v>1</v>
      </c>
      <c r="Y52" s="92">
        <v>9398</v>
      </c>
      <c r="Z52" s="92" t="s">
        <v>1</v>
      </c>
      <c r="AA52" s="92">
        <v>2592</v>
      </c>
      <c r="AB52" s="92" t="s">
        <v>1</v>
      </c>
      <c r="AC52" s="92">
        <v>4</v>
      </c>
      <c r="AD52" s="92" t="s">
        <v>1</v>
      </c>
      <c r="AE52" s="92">
        <v>107</v>
      </c>
      <c r="AF52" s="92" t="s">
        <v>1</v>
      </c>
      <c r="AG52" s="92" t="s">
        <v>1</v>
      </c>
      <c r="AH52" s="92" t="s">
        <v>1</v>
      </c>
      <c r="AI52" s="92">
        <v>151</v>
      </c>
      <c r="AJ52" s="92">
        <v>3327</v>
      </c>
      <c r="AK52" s="92">
        <v>2176</v>
      </c>
      <c r="AL52" s="92">
        <v>941</v>
      </c>
      <c r="AM52" s="92">
        <v>547</v>
      </c>
      <c r="AN52" s="92">
        <v>91</v>
      </c>
      <c r="AO52" s="92">
        <v>141</v>
      </c>
      <c r="AP52" s="92">
        <v>2735</v>
      </c>
      <c r="AQ52" s="92">
        <v>114</v>
      </c>
      <c r="AR52" s="92">
        <v>1075</v>
      </c>
      <c r="AS52" s="92">
        <v>976</v>
      </c>
      <c r="AT52" s="92">
        <v>175</v>
      </c>
      <c r="AU52" s="92">
        <v>244</v>
      </c>
      <c r="AV52" s="200" t="s">
        <v>1</v>
      </c>
      <c r="AW52" s="109" t="s">
        <v>1</v>
      </c>
      <c r="AX52" s="198">
        <v>156</v>
      </c>
      <c r="AY52" s="198" t="s">
        <v>1</v>
      </c>
      <c r="AZ52" s="141">
        <v>0.0281233098972418</v>
      </c>
      <c r="BA52" s="200">
        <v>0</v>
      </c>
      <c r="BB52" s="198">
        <v>16</v>
      </c>
      <c r="BC52" s="198" t="s">
        <v>1</v>
      </c>
      <c r="BD52" s="141">
        <v>0.102564102564103</v>
      </c>
      <c r="BE52" s="200" t="s">
        <v>103</v>
      </c>
      <c r="BF52" s="200" t="s">
        <v>1</v>
      </c>
      <c r="BG52" s="109" t="s">
        <v>1</v>
      </c>
      <c r="BH52" s="109" t="s">
        <v>1</v>
      </c>
      <c r="BI52" s="200" t="s">
        <v>1</v>
      </c>
      <c r="BJ52" s="200">
        <v>1</v>
      </c>
      <c r="BK52" s="92" t="s">
        <v>74</v>
      </c>
      <c r="BL52" s="92">
        <v>131</v>
      </c>
      <c r="BM52" s="92">
        <v>448</v>
      </c>
      <c r="BN52" s="92">
        <v>1016</v>
      </c>
      <c r="BO52" s="92" t="s">
        <v>74</v>
      </c>
      <c r="BP52" s="92">
        <v>851</v>
      </c>
      <c r="BQ52" s="92">
        <v>127</v>
      </c>
      <c r="BR52" s="92">
        <v>202</v>
      </c>
      <c r="BS52" s="108" t="s">
        <v>1</v>
      </c>
      <c r="BT52" s="108" t="s">
        <v>1</v>
      </c>
      <c r="BU52" s="108" t="s">
        <v>1</v>
      </c>
      <c r="BV52" s="108" t="s">
        <v>1</v>
      </c>
      <c r="BW52" s="108" t="s">
        <v>1</v>
      </c>
      <c r="BX52" s="189" t="s">
        <v>1</v>
      </c>
      <c r="BY52" s="189" t="s">
        <v>1</v>
      </c>
      <c r="BZ52" s="190" t="s">
        <v>1</v>
      </c>
      <c r="CA52" s="188" t="s">
        <v>1</v>
      </c>
      <c r="CB52" s="189" t="s">
        <v>1</v>
      </c>
      <c r="CC52" s="189" t="s">
        <v>1</v>
      </c>
      <c r="CD52" s="105" t="s">
        <v>1</v>
      </c>
      <c r="CE52" s="190" t="s">
        <v>1</v>
      </c>
      <c r="CF52" s="189" t="s">
        <v>1</v>
      </c>
      <c r="CG52" s="189" t="s">
        <v>1</v>
      </c>
      <c r="CH52" s="108" t="s">
        <v>1</v>
      </c>
    </row>
    <row r="53" ht="25" customHeight="1" spans="1:86">
      <c r="A53" s="107">
        <v>45156</v>
      </c>
      <c r="B53" s="197" t="s">
        <v>99</v>
      </c>
      <c r="C53" s="206" t="s">
        <v>227</v>
      </c>
      <c r="D53" s="30" t="s">
        <v>1</v>
      </c>
      <c r="E53" s="30" t="s">
        <v>1</v>
      </c>
      <c r="F53" s="109" t="e">
        <f>E53-1.3</f>
        <v>#VALUE!</v>
      </c>
      <c r="G53" s="30">
        <v>18.1274</v>
      </c>
      <c r="H53" s="141" t="str">
        <f t="shared" si="0"/>
        <v/>
      </c>
      <c r="I53" s="109">
        <v>16</v>
      </c>
      <c r="J53" s="141" t="str">
        <f t="shared" si="1"/>
        <v/>
      </c>
      <c r="K53" s="141" t="str">
        <f>IFERROR(E53/#REF!,"")</f>
        <v/>
      </c>
      <c r="L53" s="172">
        <v>83294</v>
      </c>
      <c r="M53" s="204">
        <v>130525</v>
      </c>
      <c r="N53" s="141">
        <f t="shared" si="2"/>
        <v>-0.361854050948094</v>
      </c>
      <c r="O53" s="109" t="s">
        <v>1</v>
      </c>
      <c r="P53" s="109">
        <v>5.3</v>
      </c>
      <c r="Q53" s="109" t="s">
        <v>1</v>
      </c>
      <c r="R53" s="109" t="s">
        <v>1</v>
      </c>
      <c r="S53" s="109" t="s">
        <v>1</v>
      </c>
      <c r="T53" s="109" t="s">
        <v>1</v>
      </c>
      <c r="U53" s="109" t="s">
        <v>1</v>
      </c>
      <c r="V53" s="109" t="s">
        <v>1</v>
      </c>
      <c r="W53" s="109" t="s">
        <v>1</v>
      </c>
      <c r="X53" s="92" t="s">
        <v>1</v>
      </c>
      <c r="Y53" s="92">
        <v>11157</v>
      </c>
      <c r="Z53" s="92" t="s">
        <v>1</v>
      </c>
      <c r="AA53" s="92">
        <v>3575</v>
      </c>
      <c r="AB53" s="92" t="s">
        <v>1</v>
      </c>
      <c r="AC53" s="92">
        <v>3</v>
      </c>
      <c r="AD53" s="92" t="s">
        <v>1</v>
      </c>
      <c r="AE53" s="92">
        <v>87</v>
      </c>
      <c r="AF53" s="92" t="s">
        <v>1</v>
      </c>
      <c r="AG53" s="92" t="s">
        <v>1</v>
      </c>
      <c r="AH53" s="92" t="s">
        <v>1</v>
      </c>
      <c r="AI53" s="92">
        <v>162</v>
      </c>
      <c r="AJ53" s="92">
        <v>3302</v>
      </c>
      <c r="AK53" s="92">
        <v>3154</v>
      </c>
      <c r="AL53" s="92">
        <v>857</v>
      </c>
      <c r="AM53" s="92">
        <v>530</v>
      </c>
      <c r="AN53" s="92">
        <v>134</v>
      </c>
      <c r="AO53" s="92">
        <v>138</v>
      </c>
      <c r="AP53" s="92">
        <v>2813</v>
      </c>
      <c r="AQ53" s="92">
        <v>123</v>
      </c>
      <c r="AR53" s="92">
        <v>1096</v>
      </c>
      <c r="AS53" s="92">
        <v>1160</v>
      </c>
      <c r="AT53" s="92">
        <v>178</v>
      </c>
      <c r="AU53" s="92">
        <v>232</v>
      </c>
      <c r="AV53" s="200" t="s">
        <v>1</v>
      </c>
      <c r="AW53" s="109" t="s">
        <v>1</v>
      </c>
      <c r="AX53" s="198">
        <v>164</v>
      </c>
      <c r="AY53" s="198" t="s">
        <v>1</v>
      </c>
      <c r="AZ53" s="141">
        <v>0.0297478686740432</v>
      </c>
      <c r="BA53" s="200">
        <v>0</v>
      </c>
      <c r="BB53" s="198">
        <v>16</v>
      </c>
      <c r="BC53" s="198" t="s">
        <v>1</v>
      </c>
      <c r="BD53" s="141">
        <v>0.0975609756097561</v>
      </c>
      <c r="BE53" s="200" t="s">
        <v>103</v>
      </c>
      <c r="BF53" s="200" t="s">
        <v>1</v>
      </c>
      <c r="BG53" s="109" t="s">
        <v>1</v>
      </c>
      <c r="BH53" s="109" t="s">
        <v>1</v>
      </c>
      <c r="BI53" s="200" t="s">
        <v>1</v>
      </c>
      <c r="BJ53" s="200">
        <v>1</v>
      </c>
      <c r="BK53" s="92" t="s">
        <v>74</v>
      </c>
      <c r="BL53" s="92">
        <v>109</v>
      </c>
      <c r="BM53" s="92">
        <v>575</v>
      </c>
      <c r="BN53" s="92">
        <v>1041</v>
      </c>
      <c r="BO53" s="92" t="s">
        <v>74</v>
      </c>
      <c r="BP53" s="92">
        <v>764</v>
      </c>
      <c r="BQ53" s="92">
        <v>137</v>
      </c>
      <c r="BR53" s="92">
        <v>229</v>
      </c>
      <c r="BS53" s="108" t="s">
        <v>1</v>
      </c>
      <c r="BT53" s="108" t="s">
        <v>1</v>
      </c>
      <c r="BU53" s="108" t="s">
        <v>1</v>
      </c>
      <c r="BV53" s="108" t="s">
        <v>1</v>
      </c>
      <c r="BW53" s="108" t="s">
        <v>1</v>
      </c>
      <c r="BX53" s="189" t="s">
        <v>1</v>
      </c>
      <c r="BY53" s="189" t="s">
        <v>1</v>
      </c>
      <c r="BZ53" s="190" t="s">
        <v>1</v>
      </c>
      <c r="CA53" s="188" t="s">
        <v>1</v>
      </c>
      <c r="CB53" s="189" t="s">
        <v>1</v>
      </c>
      <c r="CC53" s="189" t="s">
        <v>1</v>
      </c>
      <c r="CD53" s="105" t="s">
        <v>1</v>
      </c>
      <c r="CE53" s="190" t="s">
        <v>1</v>
      </c>
      <c r="CF53" s="189" t="s">
        <v>1</v>
      </c>
      <c r="CG53" s="189" t="s">
        <v>1</v>
      </c>
      <c r="CH53" s="108" t="s">
        <v>1</v>
      </c>
    </row>
    <row r="54" ht="25" customHeight="1" spans="1:86">
      <c r="A54" s="107">
        <v>45157</v>
      </c>
      <c r="B54" s="202" t="s">
        <v>100</v>
      </c>
      <c r="C54" s="92" t="s">
        <v>125</v>
      </c>
      <c r="D54" s="30" t="s">
        <v>1</v>
      </c>
      <c r="E54" s="30" t="s">
        <v>1</v>
      </c>
      <c r="F54" s="109" t="str">
        <f>E54</f>
        <v/>
      </c>
      <c r="G54" s="30">
        <v>13.0075</v>
      </c>
      <c r="H54" s="141" t="str">
        <f t="shared" si="0"/>
        <v/>
      </c>
      <c r="I54" s="109">
        <v>7</v>
      </c>
      <c r="J54" s="141" t="str">
        <f t="shared" si="1"/>
        <v/>
      </c>
      <c r="K54" s="141" t="str">
        <f>IFERROR(E54/#REF!,"")</f>
        <v/>
      </c>
      <c r="L54" s="172">
        <v>21195</v>
      </c>
      <c r="M54" s="204">
        <v>25285</v>
      </c>
      <c r="N54" s="141">
        <f t="shared" si="2"/>
        <v>-0.161755981807396</v>
      </c>
      <c r="O54" s="109" t="s">
        <v>1</v>
      </c>
      <c r="P54" s="109">
        <v>2.5</v>
      </c>
      <c r="Q54" s="109" t="s">
        <v>1</v>
      </c>
      <c r="R54" s="109" t="s">
        <v>1</v>
      </c>
      <c r="S54" s="109" t="s">
        <v>1</v>
      </c>
      <c r="T54" s="109" t="s">
        <v>1</v>
      </c>
      <c r="U54" s="109" t="s">
        <v>1</v>
      </c>
      <c r="V54" s="109" t="s">
        <v>1</v>
      </c>
      <c r="W54" s="109" t="s">
        <v>1</v>
      </c>
      <c r="X54" s="92" t="s">
        <v>1</v>
      </c>
      <c r="Y54" s="92">
        <v>7131</v>
      </c>
      <c r="Z54" s="92" t="s">
        <v>1</v>
      </c>
      <c r="AA54" s="92">
        <v>2618</v>
      </c>
      <c r="AB54" s="92" t="s">
        <v>1</v>
      </c>
      <c r="AC54" s="92">
        <v>3</v>
      </c>
      <c r="AD54" s="92" t="s">
        <v>1</v>
      </c>
      <c r="AE54" s="92">
        <v>82</v>
      </c>
      <c r="AF54" s="92" t="s">
        <v>1</v>
      </c>
      <c r="AG54" s="92" t="s">
        <v>1</v>
      </c>
      <c r="AH54" s="92" t="s">
        <v>1</v>
      </c>
      <c r="AI54" s="92">
        <v>135</v>
      </c>
      <c r="AJ54" s="92">
        <v>3116</v>
      </c>
      <c r="AK54" s="92">
        <v>2231</v>
      </c>
      <c r="AL54" s="92">
        <v>670</v>
      </c>
      <c r="AM54" s="92">
        <v>481</v>
      </c>
      <c r="AN54" s="92">
        <v>110</v>
      </c>
      <c r="AO54" s="92">
        <v>139</v>
      </c>
      <c r="AP54" s="92">
        <v>5144</v>
      </c>
      <c r="AQ54" s="92">
        <v>81</v>
      </c>
      <c r="AR54" s="92">
        <v>1089</v>
      </c>
      <c r="AS54" s="92">
        <v>951</v>
      </c>
      <c r="AT54" s="92">
        <v>180</v>
      </c>
      <c r="AU54" s="92">
        <v>149</v>
      </c>
      <c r="AV54" s="200" t="s">
        <v>1</v>
      </c>
      <c r="AW54" s="109" t="s">
        <v>1</v>
      </c>
      <c r="AX54" s="198">
        <v>138</v>
      </c>
      <c r="AY54" s="198" t="s">
        <v>1</v>
      </c>
      <c r="AZ54" s="141">
        <v>0.0182467274890916</v>
      </c>
      <c r="BA54" s="200">
        <v>0</v>
      </c>
      <c r="BB54" s="198">
        <v>6</v>
      </c>
      <c r="BC54" s="198" t="s">
        <v>1</v>
      </c>
      <c r="BD54" s="141">
        <v>0.0434782608695652</v>
      </c>
      <c r="BE54" s="200" t="s">
        <v>103</v>
      </c>
      <c r="BF54" s="200" t="s">
        <v>1</v>
      </c>
      <c r="BG54" s="109" t="s">
        <v>1</v>
      </c>
      <c r="BH54" s="109" t="s">
        <v>1</v>
      </c>
      <c r="BI54" s="200" t="s">
        <v>1</v>
      </c>
      <c r="BJ54" s="200">
        <v>1</v>
      </c>
      <c r="BK54" s="92" t="s">
        <v>74</v>
      </c>
      <c r="BL54" s="92">
        <v>111</v>
      </c>
      <c r="BM54" s="92">
        <v>528</v>
      </c>
      <c r="BN54" s="92">
        <v>734</v>
      </c>
      <c r="BO54" s="92" t="s">
        <v>74</v>
      </c>
      <c r="BP54" s="92">
        <v>752</v>
      </c>
      <c r="BQ54" s="92">
        <v>158</v>
      </c>
      <c r="BR54" s="92">
        <v>121</v>
      </c>
      <c r="BS54" s="108" t="s">
        <v>1</v>
      </c>
      <c r="BT54" s="108" t="s">
        <v>1</v>
      </c>
      <c r="BU54" s="108" t="s">
        <v>1</v>
      </c>
      <c r="BV54" s="108" t="s">
        <v>1</v>
      </c>
      <c r="BW54" s="108" t="s">
        <v>1</v>
      </c>
      <c r="BX54" s="189" t="s">
        <v>1</v>
      </c>
      <c r="BY54" s="189" t="s">
        <v>1</v>
      </c>
      <c r="BZ54" s="190" t="s">
        <v>1</v>
      </c>
      <c r="CA54" s="188" t="s">
        <v>1</v>
      </c>
      <c r="CB54" s="189" t="s">
        <v>1</v>
      </c>
      <c r="CC54" s="189" t="s">
        <v>1</v>
      </c>
      <c r="CD54" s="105" t="s">
        <v>1</v>
      </c>
      <c r="CE54" s="190" t="s">
        <v>1</v>
      </c>
      <c r="CF54" s="189" t="s">
        <v>1</v>
      </c>
      <c r="CG54" s="189" t="s">
        <v>1</v>
      </c>
      <c r="CH54" s="108" t="s">
        <v>1</v>
      </c>
    </row>
    <row r="55" ht="25" customHeight="1" spans="1:86">
      <c r="A55" s="107">
        <v>45158</v>
      </c>
      <c r="B55" s="202" t="s">
        <v>100</v>
      </c>
      <c r="C55" s="92" t="s">
        <v>125</v>
      </c>
      <c r="D55" s="30" t="s">
        <v>1</v>
      </c>
      <c r="E55" s="30" t="s">
        <v>1</v>
      </c>
      <c r="F55" s="109" t="str">
        <f>E55</f>
        <v/>
      </c>
      <c r="G55" s="30">
        <v>8.0084</v>
      </c>
      <c r="H55" s="141" t="str">
        <f t="shared" si="0"/>
        <v/>
      </c>
      <c r="I55" s="109">
        <v>8</v>
      </c>
      <c r="J55" s="141" t="str">
        <f t="shared" si="1"/>
        <v/>
      </c>
      <c r="K55" s="141" t="str">
        <f>IFERROR(E55/#REF!,"")</f>
        <v/>
      </c>
      <c r="L55" s="172">
        <v>22095</v>
      </c>
      <c r="M55" s="204">
        <v>26475</v>
      </c>
      <c r="N55" s="141">
        <f t="shared" si="2"/>
        <v>-0.165439093484419</v>
      </c>
      <c r="O55" s="109" t="s">
        <v>1</v>
      </c>
      <c r="P55" s="109">
        <v>2</v>
      </c>
      <c r="Q55" s="109" t="s">
        <v>1</v>
      </c>
      <c r="R55" s="109" t="s">
        <v>1</v>
      </c>
      <c r="S55" s="109" t="s">
        <v>1</v>
      </c>
      <c r="T55" s="109" t="s">
        <v>1</v>
      </c>
      <c r="U55" s="109" t="s">
        <v>1</v>
      </c>
      <c r="V55" s="109" t="s">
        <v>1</v>
      </c>
      <c r="W55" s="109" t="s">
        <v>1</v>
      </c>
      <c r="X55" s="92" t="s">
        <v>1</v>
      </c>
      <c r="Y55" s="92">
        <v>7781</v>
      </c>
      <c r="Z55" s="92" t="s">
        <v>1</v>
      </c>
      <c r="AA55" s="92">
        <v>2680</v>
      </c>
      <c r="AB55" s="92" t="s">
        <v>1</v>
      </c>
      <c r="AC55" s="92">
        <v>3</v>
      </c>
      <c r="AD55" s="92" t="s">
        <v>1</v>
      </c>
      <c r="AE55" s="92">
        <v>84</v>
      </c>
      <c r="AF55" s="92" t="s">
        <v>1</v>
      </c>
      <c r="AG55" s="92" t="s">
        <v>1</v>
      </c>
      <c r="AH55" s="92" t="s">
        <v>1</v>
      </c>
      <c r="AI55" s="92">
        <v>131</v>
      </c>
      <c r="AJ55" s="92">
        <v>3130</v>
      </c>
      <c r="AK55" s="92">
        <v>2305</v>
      </c>
      <c r="AL55" s="92">
        <v>717</v>
      </c>
      <c r="AM55" s="92">
        <v>448</v>
      </c>
      <c r="AN55" s="92">
        <v>105</v>
      </c>
      <c r="AO55" s="92">
        <v>123</v>
      </c>
      <c r="AP55" s="92">
        <v>5129</v>
      </c>
      <c r="AQ55" s="92">
        <v>113</v>
      </c>
      <c r="AR55" s="92">
        <v>1022</v>
      </c>
      <c r="AS55" s="92">
        <v>1068</v>
      </c>
      <c r="AT55" s="92">
        <v>174</v>
      </c>
      <c r="AU55" s="92">
        <v>182</v>
      </c>
      <c r="AV55" s="200" t="s">
        <v>1</v>
      </c>
      <c r="AW55" s="109" t="s">
        <v>1</v>
      </c>
      <c r="AX55" s="198">
        <v>147</v>
      </c>
      <c r="AY55" s="198" t="s">
        <v>1</v>
      </c>
      <c r="AZ55" s="141">
        <v>0.0193370165745856</v>
      </c>
      <c r="BA55" s="200">
        <v>0</v>
      </c>
      <c r="BB55" s="198">
        <v>10</v>
      </c>
      <c r="BC55" s="198" t="s">
        <v>1</v>
      </c>
      <c r="BD55" s="141">
        <v>0.0680272108843537</v>
      </c>
      <c r="BE55" s="200" t="s">
        <v>103</v>
      </c>
      <c r="BF55" s="200" t="s">
        <v>1</v>
      </c>
      <c r="BG55" s="109" t="s">
        <v>1</v>
      </c>
      <c r="BH55" s="109" t="s">
        <v>1</v>
      </c>
      <c r="BI55" s="200" t="s">
        <v>1</v>
      </c>
      <c r="BJ55" s="200">
        <v>1</v>
      </c>
      <c r="BK55" s="92" t="s">
        <v>74</v>
      </c>
      <c r="BL55" s="92">
        <v>129</v>
      </c>
      <c r="BM55" s="92">
        <v>519</v>
      </c>
      <c r="BN55" s="92">
        <v>1016</v>
      </c>
      <c r="BO55" s="92" t="s">
        <v>74</v>
      </c>
      <c r="BP55" s="92">
        <v>782</v>
      </c>
      <c r="BQ55" s="92">
        <v>153</v>
      </c>
      <c r="BR55" s="92">
        <v>197</v>
      </c>
      <c r="BS55" s="108" t="s">
        <v>1</v>
      </c>
      <c r="BT55" s="108" t="s">
        <v>1</v>
      </c>
      <c r="BU55" s="108" t="s">
        <v>1</v>
      </c>
      <c r="BV55" s="108" t="s">
        <v>1</v>
      </c>
      <c r="BW55" s="108" t="s">
        <v>1</v>
      </c>
      <c r="BX55" s="189" t="s">
        <v>1</v>
      </c>
      <c r="BY55" s="189" t="s">
        <v>1</v>
      </c>
      <c r="BZ55" s="190" t="s">
        <v>1</v>
      </c>
      <c r="CA55" s="188" t="s">
        <v>1</v>
      </c>
      <c r="CB55" s="189" t="s">
        <v>1</v>
      </c>
      <c r="CC55" s="189" t="s">
        <v>1</v>
      </c>
      <c r="CD55" s="105" t="s">
        <v>1</v>
      </c>
      <c r="CE55" s="190" t="s">
        <v>1</v>
      </c>
      <c r="CF55" s="189" t="s">
        <v>1</v>
      </c>
      <c r="CG55" s="189" t="s">
        <v>1</v>
      </c>
      <c r="CH55" s="108" t="s">
        <v>1</v>
      </c>
    </row>
    <row r="56" ht="25" customHeight="1" spans="1:86">
      <c r="A56" s="107">
        <v>45159</v>
      </c>
      <c r="B56" s="202" t="s">
        <v>100</v>
      </c>
      <c r="C56" s="92" t="s">
        <v>125</v>
      </c>
      <c r="D56" s="30" t="s">
        <v>1</v>
      </c>
      <c r="E56" s="30" t="s">
        <v>1</v>
      </c>
      <c r="F56" s="109" t="e">
        <f>E56-0.9</f>
        <v>#VALUE!</v>
      </c>
      <c r="G56" s="30">
        <v>4.3991</v>
      </c>
      <c r="H56" s="141" t="str">
        <f t="shared" si="0"/>
        <v/>
      </c>
      <c r="I56" s="109">
        <v>9</v>
      </c>
      <c r="J56" s="141" t="str">
        <f t="shared" si="1"/>
        <v/>
      </c>
      <c r="K56" s="141" t="str">
        <f>IFERROR(E56/#REF!,"")</f>
        <v/>
      </c>
      <c r="L56" s="30">
        <v>44872</v>
      </c>
      <c r="M56" s="204">
        <v>13997</v>
      </c>
      <c r="N56" s="141">
        <f t="shared" si="2"/>
        <v>2.20582982067586</v>
      </c>
      <c r="O56" s="109" t="s">
        <v>1</v>
      </c>
      <c r="P56" s="109">
        <v>4</v>
      </c>
      <c r="Q56" s="109" t="s">
        <v>1</v>
      </c>
      <c r="R56" s="109" t="s">
        <v>1</v>
      </c>
      <c r="S56" s="109" t="s">
        <v>1</v>
      </c>
      <c r="T56" s="109" t="s">
        <v>1</v>
      </c>
      <c r="U56" s="109" t="s">
        <v>1</v>
      </c>
      <c r="V56" s="109" t="s">
        <v>1</v>
      </c>
      <c r="W56" s="109" t="s">
        <v>1</v>
      </c>
      <c r="X56" s="92" t="s">
        <v>1</v>
      </c>
      <c r="Y56" s="92">
        <v>7792</v>
      </c>
      <c r="Z56" s="92" t="s">
        <v>1</v>
      </c>
      <c r="AA56" s="92">
        <v>2774</v>
      </c>
      <c r="AB56" s="92" t="s">
        <v>1</v>
      </c>
      <c r="AC56" s="92">
        <v>3</v>
      </c>
      <c r="AD56" s="92" t="s">
        <v>1</v>
      </c>
      <c r="AE56" s="92">
        <v>76</v>
      </c>
      <c r="AF56" s="92" t="s">
        <v>1</v>
      </c>
      <c r="AG56" s="92" t="s">
        <v>1</v>
      </c>
      <c r="AH56" s="92" t="s">
        <v>1</v>
      </c>
      <c r="AI56" s="92">
        <v>112</v>
      </c>
      <c r="AJ56" s="92">
        <v>3394</v>
      </c>
      <c r="AK56" s="92">
        <v>2400</v>
      </c>
      <c r="AL56" s="92">
        <v>639</v>
      </c>
      <c r="AM56" s="92">
        <v>448</v>
      </c>
      <c r="AN56" s="92">
        <v>108</v>
      </c>
      <c r="AO56" s="92">
        <v>113</v>
      </c>
      <c r="AP56" s="92">
        <v>5952</v>
      </c>
      <c r="AQ56" s="92">
        <v>106</v>
      </c>
      <c r="AR56" s="92">
        <v>1256</v>
      </c>
      <c r="AS56" s="92">
        <v>1083</v>
      </c>
      <c r="AT56" s="92">
        <v>167</v>
      </c>
      <c r="AU56" s="92">
        <v>172</v>
      </c>
      <c r="AV56" s="200" t="s">
        <v>1</v>
      </c>
      <c r="AW56" s="109" t="s">
        <v>1</v>
      </c>
      <c r="AX56" s="207">
        <v>181</v>
      </c>
      <c r="AY56" s="198" t="s">
        <v>1</v>
      </c>
      <c r="AZ56" s="141">
        <v>0.0213242224316682</v>
      </c>
      <c r="BA56" s="200">
        <v>0</v>
      </c>
      <c r="BB56" s="207">
        <v>12</v>
      </c>
      <c r="BC56" s="198" t="s">
        <v>1</v>
      </c>
      <c r="BD56" s="141">
        <v>0.0662983425414365</v>
      </c>
      <c r="BE56" s="200" t="s">
        <v>103</v>
      </c>
      <c r="BF56" s="200" t="s">
        <v>1</v>
      </c>
      <c r="BG56" s="109" t="s">
        <v>1</v>
      </c>
      <c r="BH56" s="109" t="s">
        <v>1</v>
      </c>
      <c r="BI56" s="200" t="s">
        <v>1</v>
      </c>
      <c r="BJ56" s="200">
        <v>1</v>
      </c>
      <c r="BK56" s="92" t="s">
        <v>74</v>
      </c>
      <c r="BL56" s="92">
        <v>104</v>
      </c>
      <c r="BM56" s="92">
        <v>585</v>
      </c>
      <c r="BN56" s="92">
        <v>1046</v>
      </c>
      <c r="BO56" s="92" t="s">
        <v>74</v>
      </c>
      <c r="BP56" s="92">
        <v>651</v>
      </c>
      <c r="BQ56" s="92">
        <v>180</v>
      </c>
      <c r="BR56" s="92">
        <v>201</v>
      </c>
      <c r="BS56" s="108" t="s">
        <v>1</v>
      </c>
      <c r="BT56" s="108" t="s">
        <v>1</v>
      </c>
      <c r="BU56" s="108" t="s">
        <v>1</v>
      </c>
      <c r="BV56" s="108" t="s">
        <v>1</v>
      </c>
      <c r="BW56" s="108" t="s">
        <v>1</v>
      </c>
      <c r="BX56" s="189" t="s">
        <v>1</v>
      </c>
      <c r="BY56" s="189" t="s">
        <v>1</v>
      </c>
      <c r="BZ56" s="190" t="s">
        <v>1</v>
      </c>
      <c r="CA56" s="188" t="s">
        <v>1</v>
      </c>
      <c r="CB56" s="189" t="s">
        <v>1</v>
      </c>
      <c r="CC56" s="189" t="s">
        <v>1</v>
      </c>
      <c r="CD56" s="105" t="s">
        <v>1</v>
      </c>
      <c r="CE56" s="190" t="s">
        <v>1</v>
      </c>
      <c r="CF56" s="189" t="s">
        <v>1</v>
      </c>
      <c r="CG56" s="189" t="s">
        <v>1</v>
      </c>
      <c r="CH56" s="108" t="s">
        <v>1</v>
      </c>
    </row>
    <row r="57" ht="25" customHeight="1" spans="1:86">
      <c r="A57" s="107">
        <v>45160</v>
      </c>
      <c r="B57" s="202" t="s">
        <v>100</v>
      </c>
      <c r="C57" s="92" t="s">
        <v>75</v>
      </c>
      <c r="D57" s="30" t="s">
        <v>1</v>
      </c>
      <c r="E57" s="30" t="s">
        <v>1</v>
      </c>
      <c r="F57" s="109" t="e">
        <f>E57-2</f>
        <v>#VALUE!</v>
      </c>
      <c r="G57" s="30">
        <v>0.3909</v>
      </c>
      <c r="H57" s="141" t="str">
        <f t="shared" si="0"/>
        <v/>
      </c>
      <c r="I57" s="109">
        <v>0</v>
      </c>
      <c r="J57" s="141" t="str">
        <f t="shared" si="1"/>
        <v/>
      </c>
      <c r="K57" s="141" t="str">
        <f>IFERROR(E57/#REF!,"")</f>
        <v/>
      </c>
      <c r="L57" s="172">
        <v>54249</v>
      </c>
      <c r="M57" s="30">
        <v>14688</v>
      </c>
      <c r="N57" s="141">
        <f t="shared" si="2"/>
        <v>2.69342320261438</v>
      </c>
      <c r="O57" s="109" t="s">
        <v>1</v>
      </c>
      <c r="P57" s="109">
        <v>2.2</v>
      </c>
      <c r="Q57" s="109" t="s">
        <v>1</v>
      </c>
      <c r="R57" s="109" t="s">
        <v>1</v>
      </c>
      <c r="S57" s="109" t="s">
        <v>1</v>
      </c>
      <c r="T57" s="109" t="s">
        <v>1</v>
      </c>
      <c r="U57" s="109" t="s">
        <v>1</v>
      </c>
      <c r="V57" s="109" t="s">
        <v>1</v>
      </c>
      <c r="W57" s="109" t="s">
        <v>1</v>
      </c>
      <c r="X57" s="92" t="s">
        <v>1</v>
      </c>
      <c r="Y57" s="92">
        <v>7192</v>
      </c>
      <c r="Z57" s="92" t="s">
        <v>1</v>
      </c>
      <c r="AA57" s="92">
        <v>2711</v>
      </c>
      <c r="AB57" s="92" t="s">
        <v>1</v>
      </c>
      <c r="AC57" s="92">
        <v>3</v>
      </c>
      <c r="AD57" s="92" t="s">
        <v>1</v>
      </c>
      <c r="AE57" s="92">
        <v>75</v>
      </c>
      <c r="AF57" s="92" t="s">
        <v>1</v>
      </c>
      <c r="AG57" s="92" t="s">
        <v>1</v>
      </c>
      <c r="AH57" s="92" t="s">
        <v>1</v>
      </c>
      <c r="AI57" s="92">
        <v>90</v>
      </c>
      <c r="AJ57" s="92">
        <v>3025</v>
      </c>
      <c r="AK57" s="92">
        <v>2243</v>
      </c>
      <c r="AL57" s="92">
        <v>745</v>
      </c>
      <c r="AM57" s="92">
        <v>504</v>
      </c>
      <c r="AN57" s="92">
        <v>117</v>
      </c>
      <c r="AO57" s="92">
        <v>206</v>
      </c>
      <c r="AP57" s="92">
        <v>4756</v>
      </c>
      <c r="AQ57" s="92">
        <v>107</v>
      </c>
      <c r="AR57" s="92">
        <v>1004</v>
      </c>
      <c r="AS57" s="92">
        <v>784</v>
      </c>
      <c r="AT57" s="92">
        <v>161</v>
      </c>
      <c r="AU57" s="92">
        <v>170</v>
      </c>
      <c r="AV57" s="200" t="s">
        <v>1</v>
      </c>
      <c r="AW57" s="109" t="s">
        <v>1</v>
      </c>
      <c r="AX57" s="207">
        <v>151</v>
      </c>
      <c r="AY57" s="109" t="s">
        <v>1</v>
      </c>
      <c r="AZ57" s="141">
        <v>0.0210452961672474</v>
      </c>
      <c r="BA57" s="200" t="s">
        <v>1</v>
      </c>
      <c r="BB57" s="207">
        <v>6</v>
      </c>
      <c r="BC57" s="109" t="s">
        <v>1</v>
      </c>
      <c r="BD57" s="141">
        <v>0.0397350993377483</v>
      </c>
      <c r="BE57" s="200" t="s">
        <v>1</v>
      </c>
      <c r="BF57" s="200" t="s">
        <v>1</v>
      </c>
      <c r="BG57" s="109" t="s">
        <v>1</v>
      </c>
      <c r="BH57" s="109" t="s">
        <v>1</v>
      </c>
      <c r="BI57" s="200" t="s">
        <v>1</v>
      </c>
      <c r="BJ57" s="200">
        <v>1</v>
      </c>
      <c r="BK57" s="92" t="s">
        <v>74</v>
      </c>
      <c r="BL57" s="92">
        <v>130</v>
      </c>
      <c r="BM57" s="92">
        <v>435</v>
      </c>
      <c r="BN57" s="92">
        <v>610</v>
      </c>
      <c r="BO57" s="92" t="s">
        <v>74</v>
      </c>
      <c r="BP57" s="92">
        <v>793</v>
      </c>
      <c r="BQ57" s="92">
        <v>134</v>
      </c>
      <c r="BR57" s="92">
        <v>116</v>
      </c>
      <c r="BS57" s="108" t="s">
        <v>1</v>
      </c>
      <c r="BT57" s="108" t="s">
        <v>1</v>
      </c>
      <c r="BU57" s="108" t="s">
        <v>1</v>
      </c>
      <c r="BV57" s="108" t="s">
        <v>1</v>
      </c>
      <c r="BW57" s="108" t="s">
        <v>1</v>
      </c>
      <c r="BX57" s="189" t="s">
        <v>93</v>
      </c>
      <c r="BY57" s="189" t="s">
        <v>78</v>
      </c>
      <c r="BZ57" s="189" t="s">
        <v>81</v>
      </c>
      <c r="CA57" s="190" t="s">
        <v>145</v>
      </c>
      <c r="CB57" s="189" t="s">
        <v>169</v>
      </c>
      <c r="CC57" s="189" t="s">
        <v>83</v>
      </c>
      <c r="CD57" s="188" t="s">
        <v>181</v>
      </c>
      <c r="CE57" s="190" t="s">
        <v>92</v>
      </c>
      <c r="CF57" s="105" t="s">
        <v>226</v>
      </c>
      <c r="CG57" s="191" t="s">
        <v>150</v>
      </c>
      <c r="CH57" s="108" t="s">
        <v>1</v>
      </c>
    </row>
    <row r="58" ht="25" customHeight="1" spans="1:86">
      <c r="A58" s="107">
        <v>45161</v>
      </c>
      <c r="B58" s="202" t="s">
        <v>100</v>
      </c>
      <c r="C58" s="92" t="s">
        <v>75</v>
      </c>
      <c r="D58" s="30" t="s">
        <v>1</v>
      </c>
      <c r="E58" s="30" t="s">
        <v>1</v>
      </c>
      <c r="F58" s="109" t="e">
        <f>E58-3</f>
        <v>#VALUE!</v>
      </c>
      <c r="G58" s="30">
        <v>0</v>
      </c>
      <c r="H58" s="141" t="str">
        <f t="shared" si="0"/>
        <v/>
      </c>
      <c r="I58" s="109">
        <v>0</v>
      </c>
      <c r="J58" s="141" t="str">
        <f t="shared" si="1"/>
        <v/>
      </c>
      <c r="K58" s="141" t="str">
        <f>IFERROR(E58/#REF!,"")</f>
        <v/>
      </c>
      <c r="L58" s="172">
        <v>50652</v>
      </c>
      <c r="M58" s="204">
        <v>23120</v>
      </c>
      <c r="N58" s="141">
        <f t="shared" si="2"/>
        <v>1.19083044982699</v>
      </c>
      <c r="O58" s="109" t="s">
        <v>1</v>
      </c>
      <c r="P58" s="109">
        <v>1.38</v>
      </c>
      <c r="Q58" s="109" t="s">
        <v>1</v>
      </c>
      <c r="R58" s="109" t="s">
        <v>1</v>
      </c>
      <c r="S58" s="109" t="s">
        <v>1</v>
      </c>
      <c r="T58" s="109" t="s">
        <v>1</v>
      </c>
      <c r="U58" s="109" t="s">
        <v>1</v>
      </c>
      <c r="V58" s="109" t="s">
        <v>1</v>
      </c>
      <c r="W58" s="109" t="s">
        <v>1</v>
      </c>
      <c r="X58" s="92" t="s">
        <v>1</v>
      </c>
      <c r="Y58" s="92">
        <v>7406</v>
      </c>
      <c r="Z58" s="92" t="s">
        <v>1</v>
      </c>
      <c r="AA58" s="92">
        <v>2863</v>
      </c>
      <c r="AB58" s="92" t="s">
        <v>1</v>
      </c>
      <c r="AC58" s="92">
        <v>3</v>
      </c>
      <c r="AD58" s="92" t="s">
        <v>1</v>
      </c>
      <c r="AE58" s="92">
        <v>75</v>
      </c>
      <c r="AF58" s="92" t="s">
        <v>1</v>
      </c>
      <c r="AG58" s="92" t="s">
        <v>1</v>
      </c>
      <c r="AH58" s="92" t="s">
        <v>1</v>
      </c>
      <c r="AI58" s="92">
        <v>88</v>
      </c>
      <c r="AJ58" s="92">
        <v>2561</v>
      </c>
      <c r="AK58" s="92">
        <v>2426</v>
      </c>
      <c r="AL58" s="92">
        <v>808</v>
      </c>
      <c r="AM58" s="92">
        <v>574</v>
      </c>
      <c r="AN58" s="92">
        <v>109</v>
      </c>
      <c r="AO58" s="92">
        <v>123</v>
      </c>
      <c r="AP58" s="92">
        <v>7925</v>
      </c>
      <c r="AQ58" s="92">
        <v>85</v>
      </c>
      <c r="AR58" s="92">
        <v>970</v>
      </c>
      <c r="AS58" s="92">
        <v>823</v>
      </c>
      <c r="AT58" s="92">
        <v>201</v>
      </c>
      <c r="AU58" s="92">
        <v>136</v>
      </c>
      <c r="AV58" s="200" t="s">
        <v>1</v>
      </c>
      <c r="AW58" s="109" t="s">
        <v>1</v>
      </c>
      <c r="AX58" s="207" t="s">
        <v>228</v>
      </c>
      <c r="AY58" s="109" t="s">
        <v>1</v>
      </c>
      <c r="AZ58" s="141">
        <v>0.0121560497549943</v>
      </c>
      <c r="BA58" s="200" t="s">
        <v>1</v>
      </c>
      <c r="BB58" s="207" t="s">
        <v>229</v>
      </c>
      <c r="BC58" s="109" t="s">
        <v>1</v>
      </c>
      <c r="BD58" s="141">
        <v>0.0697674418604651</v>
      </c>
      <c r="BE58" s="200" t="s">
        <v>1</v>
      </c>
      <c r="BF58" s="200" t="s">
        <v>1</v>
      </c>
      <c r="BG58" s="109" t="s">
        <v>1</v>
      </c>
      <c r="BH58" s="109" t="s">
        <v>1</v>
      </c>
      <c r="BI58" s="200" t="s">
        <v>1</v>
      </c>
      <c r="BJ58" s="200" t="s">
        <v>1</v>
      </c>
      <c r="BK58" s="92" t="s">
        <v>74</v>
      </c>
      <c r="BL58" s="92">
        <v>169</v>
      </c>
      <c r="BM58" s="92">
        <v>370</v>
      </c>
      <c r="BN58" s="92">
        <v>646</v>
      </c>
      <c r="BO58" s="92" t="s">
        <v>74</v>
      </c>
      <c r="BP58" s="92">
        <v>858</v>
      </c>
      <c r="BQ58" s="92">
        <v>132</v>
      </c>
      <c r="BR58" s="92">
        <v>106</v>
      </c>
      <c r="BS58" s="108" t="s">
        <v>1</v>
      </c>
      <c r="BT58" s="108" t="s">
        <v>1</v>
      </c>
      <c r="BU58" s="108" t="s">
        <v>1</v>
      </c>
      <c r="BV58" s="108" t="s">
        <v>1</v>
      </c>
      <c r="BW58" s="108" t="s">
        <v>1</v>
      </c>
      <c r="BX58" s="189" t="s">
        <v>1</v>
      </c>
      <c r="BY58" s="189" t="s">
        <v>1</v>
      </c>
      <c r="BZ58" s="189" t="s">
        <v>1</v>
      </c>
      <c r="CA58" s="190" t="s">
        <v>1</v>
      </c>
      <c r="CB58" s="189" t="s">
        <v>1</v>
      </c>
      <c r="CC58" s="189" t="s">
        <v>1</v>
      </c>
      <c r="CD58" s="188" t="s">
        <v>1</v>
      </c>
      <c r="CE58" s="190" t="s">
        <v>1</v>
      </c>
      <c r="CF58" s="105" t="s">
        <v>1</v>
      </c>
      <c r="CG58" s="191" t="s">
        <v>1</v>
      </c>
      <c r="CH58" s="108" t="s">
        <v>1</v>
      </c>
    </row>
    <row r="59" ht="25" customHeight="1" spans="1:86">
      <c r="A59" s="107">
        <v>45162</v>
      </c>
      <c r="B59" s="202" t="s">
        <v>100</v>
      </c>
      <c r="C59" s="92" t="s">
        <v>75</v>
      </c>
      <c r="D59" s="30" t="s">
        <v>1</v>
      </c>
      <c r="E59" s="30" t="s">
        <v>1</v>
      </c>
      <c r="F59" s="109" t="e">
        <f>E59-1.8</f>
        <v>#VALUE!</v>
      </c>
      <c r="G59" s="30">
        <v>1.5395</v>
      </c>
      <c r="H59" s="141" t="str">
        <f t="shared" si="0"/>
        <v/>
      </c>
      <c r="I59" s="109">
        <v>24</v>
      </c>
      <c r="J59" s="141" t="str">
        <f t="shared" si="1"/>
        <v/>
      </c>
      <c r="K59" s="141" t="str">
        <f>IFERROR(E59/#REF!,"")</f>
        <v/>
      </c>
      <c r="L59" s="172">
        <v>55252</v>
      </c>
      <c r="M59" s="204">
        <v>12052.56</v>
      </c>
      <c r="N59" s="141">
        <f t="shared" si="2"/>
        <v>3.58425429950152</v>
      </c>
      <c r="O59" s="109" t="s">
        <v>1</v>
      </c>
      <c r="P59" s="109">
        <v>4.91</v>
      </c>
      <c r="Q59" s="109" t="s">
        <v>1</v>
      </c>
      <c r="R59" s="109" t="s">
        <v>1</v>
      </c>
      <c r="S59" s="109" t="s">
        <v>1</v>
      </c>
      <c r="T59" s="109" t="s">
        <v>1</v>
      </c>
      <c r="U59" s="109" t="s">
        <v>1</v>
      </c>
      <c r="V59" s="109" t="s">
        <v>1</v>
      </c>
      <c r="W59" s="109" t="s">
        <v>1</v>
      </c>
      <c r="X59" s="92" t="s">
        <v>1</v>
      </c>
      <c r="Y59" s="92">
        <v>7146</v>
      </c>
      <c r="Z59" s="92" t="s">
        <v>1</v>
      </c>
      <c r="AA59" s="92">
        <v>2641</v>
      </c>
      <c r="AB59" s="92" t="s">
        <v>1</v>
      </c>
      <c r="AC59" s="92">
        <v>3</v>
      </c>
      <c r="AD59" s="92" t="s">
        <v>1</v>
      </c>
      <c r="AE59" s="92">
        <v>78</v>
      </c>
      <c r="AF59" s="92" t="s">
        <v>1</v>
      </c>
      <c r="AG59" s="92" t="s">
        <v>1</v>
      </c>
      <c r="AH59" s="92" t="s">
        <v>1</v>
      </c>
      <c r="AI59" s="92">
        <v>76</v>
      </c>
      <c r="AJ59" s="92">
        <v>2644</v>
      </c>
      <c r="AK59" s="92">
        <v>2230</v>
      </c>
      <c r="AL59" s="92">
        <v>889</v>
      </c>
      <c r="AM59" s="92">
        <v>519</v>
      </c>
      <c r="AN59" s="92">
        <v>102</v>
      </c>
      <c r="AO59" s="92">
        <v>113</v>
      </c>
      <c r="AP59" s="92">
        <v>2569</v>
      </c>
      <c r="AQ59" s="92">
        <v>79</v>
      </c>
      <c r="AR59" s="92">
        <v>819</v>
      </c>
      <c r="AS59" s="92">
        <v>741</v>
      </c>
      <c r="AT59" s="92">
        <v>175</v>
      </c>
      <c r="AU59" s="92">
        <v>173</v>
      </c>
      <c r="AV59" s="200" t="s">
        <v>1</v>
      </c>
      <c r="AW59" s="109" t="s">
        <v>1</v>
      </c>
      <c r="AX59" s="207" t="s">
        <v>192</v>
      </c>
      <c r="AY59" s="109" t="s">
        <v>1</v>
      </c>
      <c r="AZ59" s="141">
        <v>0.0335005015045135</v>
      </c>
      <c r="BA59" s="200" t="s">
        <v>1</v>
      </c>
      <c r="BB59" s="207" t="s">
        <v>117</v>
      </c>
      <c r="BC59" s="109" t="s">
        <v>1</v>
      </c>
      <c r="BD59" s="141">
        <v>0.101796407185629</v>
      </c>
      <c r="BE59" s="200" t="s">
        <v>1</v>
      </c>
      <c r="BF59" s="200" t="s">
        <v>1</v>
      </c>
      <c r="BG59" s="109" t="s">
        <v>1</v>
      </c>
      <c r="BH59" s="109" t="s">
        <v>1</v>
      </c>
      <c r="BI59" s="200" t="s">
        <v>1</v>
      </c>
      <c r="BJ59" s="200" t="s">
        <v>1</v>
      </c>
      <c r="BK59" s="92" t="s">
        <v>74</v>
      </c>
      <c r="BL59" s="92">
        <v>136</v>
      </c>
      <c r="BM59" s="92">
        <v>472</v>
      </c>
      <c r="BN59" s="92">
        <v>491</v>
      </c>
      <c r="BO59" s="92" t="s">
        <v>74</v>
      </c>
      <c r="BP59" s="92">
        <v>995</v>
      </c>
      <c r="BQ59" s="92">
        <v>100</v>
      </c>
      <c r="BR59" s="92">
        <v>137</v>
      </c>
      <c r="BS59" s="108" t="s">
        <v>1</v>
      </c>
      <c r="BT59" s="108" t="s">
        <v>1</v>
      </c>
      <c r="BU59" s="108" t="s">
        <v>1</v>
      </c>
      <c r="BV59" s="108" t="s">
        <v>1</v>
      </c>
      <c r="BW59" s="108" t="s">
        <v>1</v>
      </c>
      <c r="BX59" s="189" t="s">
        <v>1</v>
      </c>
      <c r="BY59" s="189" t="s">
        <v>1</v>
      </c>
      <c r="BZ59" s="189" t="s">
        <v>1</v>
      </c>
      <c r="CA59" s="190" t="s">
        <v>1</v>
      </c>
      <c r="CB59" s="189" t="s">
        <v>1</v>
      </c>
      <c r="CC59" s="189" t="s">
        <v>1</v>
      </c>
      <c r="CD59" s="188" t="s">
        <v>1</v>
      </c>
      <c r="CE59" s="190" t="s">
        <v>1</v>
      </c>
      <c r="CF59" s="105" t="s">
        <v>1</v>
      </c>
      <c r="CG59" s="191" t="s">
        <v>1</v>
      </c>
      <c r="CH59" s="108" t="s">
        <v>1</v>
      </c>
    </row>
    <row r="60" ht="25" customHeight="1" spans="1:86">
      <c r="A60" s="107">
        <v>45163</v>
      </c>
      <c r="B60" s="202" t="s">
        <v>100</v>
      </c>
      <c r="C60" s="92" t="s">
        <v>220</v>
      </c>
      <c r="D60" s="30" t="s">
        <v>1</v>
      </c>
      <c r="E60" s="30" t="s">
        <v>1</v>
      </c>
      <c r="F60" s="109" t="e">
        <f>E60-1.3</f>
        <v>#VALUE!</v>
      </c>
      <c r="G60" s="30">
        <v>32.8776</v>
      </c>
      <c r="H60" s="141" t="str">
        <f t="shared" si="0"/>
        <v/>
      </c>
      <c r="I60" s="109">
        <v>15</v>
      </c>
      <c r="J60" s="141" t="str">
        <f t="shared" si="1"/>
        <v/>
      </c>
      <c r="K60" s="141" t="str">
        <f>IFERROR(E60/#REF!,"")</f>
        <v/>
      </c>
      <c r="L60" s="172">
        <v>75573</v>
      </c>
      <c r="M60" s="204">
        <v>187037</v>
      </c>
      <c r="N60" s="141">
        <f t="shared" si="2"/>
        <v>-0.595946256623021</v>
      </c>
      <c r="O60" s="109" t="s">
        <v>1</v>
      </c>
      <c r="P60" s="109">
        <v>2.69</v>
      </c>
      <c r="Q60" s="109" t="s">
        <v>1</v>
      </c>
      <c r="R60" s="109" t="s">
        <v>1</v>
      </c>
      <c r="S60" s="109" t="s">
        <v>1</v>
      </c>
      <c r="T60" s="109" t="s">
        <v>1</v>
      </c>
      <c r="U60" s="109" t="s">
        <v>1</v>
      </c>
      <c r="V60" s="109" t="s">
        <v>1</v>
      </c>
      <c r="W60" s="109" t="s">
        <v>1</v>
      </c>
      <c r="X60" s="92" t="s">
        <v>1</v>
      </c>
      <c r="Y60" s="92">
        <v>9632</v>
      </c>
      <c r="Z60" s="92" t="s">
        <v>1</v>
      </c>
      <c r="AA60" s="92">
        <v>2902</v>
      </c>
      <c r="AB60" s="92" t="s">
        <v>1</v>
      </c>
      <c r="AC60" s="92">
        <v>3</v>
      </c>
      <c r="AD60" s="92" t="s">
        <v>1</v>
      </c>
      <c r="AE60" s="92">
        <v>91</v>
      </c>
      <c r="AF60" s="92" t="s">
        <v>1</v>
      </c>
      <c r="AG60" s="92" t="s">
        <v>1</v>
      </c>
      <c r="AH60" s="92" t="s">
        <v>1</v>
      </c>
      <c r="AI60" s="92">
        <v>120</v>
      </c>
      <c r="AJ60" s="92">
        <v>2502</v>
      </c>
      <c r="AK60" s="92">
        <v>2509</v>
      </c>
      <c r="AL60" s="92">
        <v>840</v>
      </c>
      <c r="AM60" s="92">
        <v>488</v>
      </c>
      <c r="AN60" s="92">
        <v>131</v>
      </c>
      <c r="AO60" s="92">
        <v>136</v>
      </c>
      <c r="AP60" s="92">
        <v>2725</v>
      </c>
      <c r="AQ60" s="92">
        <v>103</v>
      </c>
      <c r="AR60" s="92">
        <v>827</v>
      </c>
      <c r="AS60" s="92">
        <v>848</v>
      </c>
      <c r="AT60" s="92">
        <v>156</v>
      </c>
      <c r="AU60" s="92">
        <v>223</v>
      </c>
      <c r="AV60" s="200" t="s">
        <v>1</v>
      </c>
      <c r="AW60" s="109" t="s">
        <v>1</v>
      </c>
      <c r="AX60" s="207" t="s">
        <v>230</v>
      </c>
      <c r="AY60" s="109" t="s">
        <v>1</v>
      </c>
      <c r="AZ60" s="141">
        <v>0.0245019920318725</v>
      </c>
      <c r="BA60" s="200" t="s">
        <v>1</v>
      </c>
      <c r="BB60" s="207" t="s">
        <v>229</v>
      </c>
      <c r="BC60" s="109" t="s">
        <v>1</v>
      </c>
      <c r="BD60" s="141">
        <v>0.0731707317073171</v>
      </c>
      <c r="BE60" s="200" t="s">
        <v>1</v>
      </c>
      <c r="BF60" s="200" t="s">
        <v>1</v>
      </c>
      <c r="BG60" s="109" t="s">
        <v>1</v>
      </c>
      <c r="BH60" s="109" t="s">
        <v>1</v>
      </c>
      <c r="BI60" s="200" t="s">
        <v>1</v>
      </c>
      <c r="BJ60" s="200" t="s">
        <v>1</v>
      </c>
      <c r="BK60" s="92" t="s">
        <v>74</v>
      </c>
      <c r="BL60" s="92">
        <v>146</v>
      </c>
      <c r="BM60" s="92">
        <v>459</v>
      </c>
      <c r="BN60" s="92">
        <v>887</v>
      </c>
      <c r="BO60" s="92" t="s">
        <v>74</v>
      </c>
      <c r="BP60" s="92">
        <v>989</v>
      </c>
      <c r="BQ60" s="92">
        <v>105</v>
      </c>
      <c r="BR60" s="92">
        <v>171</v>
      </c>
      <c r="BS60" s="108" t="s">
        <v>1</v>
      </c>
      <c r="BT60" s="108" t="s">
        <v>1</v>
      </c>
      <c r="BU60" s="108" t="s">
        <v>1</v>
      </c>
      <c r="BV60" s="108" t="s">
        <v>1</v>
      </c>
      <c r="BW60" s="108" t="s">
        <v>1</v>
      </c>
      <c r="BX60" s="189" t="s">
        <v>1</v>
      </c>
      <c r="BY60" s="189" t="s">
        <v>1</v>
      </c>
      <c r="BZ60" s="189" t="s">
        <v>1</v>
      </c>
      <c r="CA60" s="190" t="s">
        <v>1</v>
      </c>
      <c r="CB60" s="189" t="s">
        <v>1</v>
      </c>
      <c r="CC60" s="189" t="s">
        <v>1</v>
      </c>
      <c r="CD60" s="188" t="s">
        <v>1</v>
      </c>
      <c r="CE60" s="190" t="s">
        <v>1</v>
      </c>
      <c r="CF60" s="105" t="s">
        <v>1</v>
      </c>
      <c r="CG60" s="191" t="s">
        <v>1</v>
      </c>
      <c r="CH60" s="108" t="s">
        <v>1</v>
      </c>
    </row>
    <row r="61" ht="25" customHeight="1" spans="1:86">
      <c r="A61" s="107">
        <v>45164</v>
      </c>
      <c r="B61" s="202" t="s">
        <v>100</v>
      </c>
      <c r="C61" s="92" t="s">
        <v>125</v>
      </c>
      <c r="D61" s="30" t="s">
        <v>1</v>
      </c>
      <c r="E61" s="30" t="s">
        <v>1</v>
      </c>
      <c r="F61" s="109" t="str">
        <f t="shared" ref="F61:F124" si="3">E61</f>
        <v/>
      </c>
      <c r="G61" s="30">
        <v>12.5413</v>
      </c>
      <c r="H61" s="141" t="str">
        <f t="shared" si="0"/>
        <v/>
      </c>
      <c r="I61" s="109">
        <v>7</v>
      </c>
      <c r="J61" s="141" t="str">
        <f t="shared" si="1"/>
        <v/>
      </c>
      <c r="K61" s="141" t="str">
        <f>IFERROR(E61/#REF!,"")</f>
        <v/>
      </c>
      <c r="L61" s="172">
        <v>32492</v>
      </c>
      <c r="M61" s="204">
        <v>117508</v>
      </c>
      <c r="N61" s="141">
        <f t="shared" si="2"/>
        <v>-0.723491166558873</v>
      </c>
      <c r="O61" s="109" t="s">
        <v>1</v>
      </c>
      <c r="P61" s="109">
        <v>3.4</v>
      </c>
      <c r="Q61" s="109" t="s">
        <v>1</v>
      </c>
      <c r="R61" s="109" t="s">
        <v>1</v>
      </c>
      <c r="S61" s="109" t="s">
        <v>1</v>
      </c>
      <c r="T61" s="109" t="s">
        <v>1</v>
      </c>
      <c r="U61" s="109" t="s">
        <v>1</v>
      </c>
      <c r="V61" s="109" t="s">
        <v>1</v>
      </c>
      <c r="W61" s="109" t="s">
        <v>1</v>
      </c>
      <c r="X61" s="92" t="s">
        <v>1</v>
      </c>
      <c r="Y61" s="92">
        <v>8739</v>
      </c>
      <c r="Z61" s="92" t="s">
        <v>1</v>
      </c>
      <c r="AA61" s="92">
        <v>3453</v>
      </c>
      <c r="AB61" s="92" t="s">
        <v>1</v>
      </c>
      <c r="AC61" s="92">
        <v>3</v>
      </c>
      <c r="AD61" s="92" t="s">
        <v>1</v>
      </c>
      <c r="AE61" s="92">
        <v>71</v>
      </c>
      <c r="AF61" s="92" t="s">
        <v>1</v>
      </c>
      <c r="AG61" s="92" t="s">
        <v>1</v>
      </c>
      <c r="AH61" s="92" t="s">
        <v>1</v>
      </c>
      <c r="AI61" s="92">
        <v>127</v>
      </c>
      <c r="AJ61" s="92">
        <v>2514</v>
      </c>
      <c r="AK61" s="92">
        <v>3089</v>
      </c>
      <c r="AL61" s="92">
        <v>659</v>
      </c>
      <c r="AM61" s="92">
        <v>479</v>
      </c>
      <c r="AN61" s="92">
        <v>107</v>
      </c>
      <c r="AO61" s="92">
        <v>128</v>
      </c>
      <c r="AP61" s="92">
        <v>3995</v>
      </c>
      <c r="AQ61" s="92">
        <v>81</v>
      </c>
      <c r="AR61" s="92">
        <v>829</v>
      </c>
      <c r="AS61" s="92">
        <v>1071</v>
      </c>
      <c r="AT61" s="92">
        <v>158</v>
      </c>
      <c r="AU61" s="92">
        <v>173</v>
      </c>
      <c r="AV61" s="200" t="s">
        <v>1</v>
      </c>
      <c r="AW61" s="109" t="s">
        <v>1</v>
      </c>
      <c r="AX61" s="207" t="s">
        <v>198</v>
      </c>
      <c r="AY61" s="109" t="s">
        <v>1</v>
      </c>
      <c r="AZ61" s="141">
        <v>0.0205546492659054</v>
      </c>
      <c r="BA61" s="200" t="s">
        <v>1</v>
      </c>
      <c r="BB61" s="207" t="s">
        <v>132</v>
      </c>
      <c r="BC61" s="109" t="s">
        <v>1</v>
      </c>
      <c r="BD61" s="141">
        <v>0.0793650793650794</v>
      </c>
      <c r="BE61" s="200" t="s">
        <v>1</v>
      </c>
      <c r="BF61" s="200" t="s">
        <v>1</v>
      </c>
      <c r="BG61" s="109" t="s">
        <v>1</v>
      </c>
      <c r="BH61" s="109" t="s">
        <v>1</v>
      </c>
      <c r="BI61" s="200" t="s">
        <v>1</v>
      </c>
      <c r="BJ61" s="200" t="s">
        <v>1</v>
      </c>
      <c r="BK61" s="92" t="s">
        <v>74</v>
      </c>
      <c r="BL61" s="92">
        <v>167</v>
      </c>
      <c r="BM61" s="92">
        <v>415</v>
      </c>
      <c r="BN61" s="92">
        <v>1001</v>
      </c>
      <c r="BO61" s="92" t="s">
        <v>74</v>
      </c>
      <c r="BP61" s="125">
        <v>1055</v>
      </c>
      <c r="BQ61" s="92">
        <v>112</v>
      </c>
      <c r="BR61" s="92">
        <v>234</v>
      </c>
      <c r="BS61" s="108" t="s">
        <v>1</v>
      </c>
      <c r="BT61" s="108" t="s">
        <v>1</v>
      </c>
      <c r="BU61" s="108" t="s">
        <v>1</v>
      </c>
      <c r="BV61" s="108" t="s">
        <v>1</v>
      </c>
      <c r="BW61" s="108" t="s">
        <v>1</v>
      </c>
      <c r="BX61" s="189" t="s">
        <v>1</v>
      </c>
      <c r="BY61" s="189" t="s">
        <v>1</v>
      </c>
      <c r="BZ61" s="189" t="s">
        <v>1</v>
      </c>
      <c r="CA61" s="190" t="s">
        <v>1</v>
      </c>
      <c r="CB61" s="189" t="s">
        <v>1</v>
      </c>
      <c r="CC61" s="189" t="s">
        <v>1</v>
      </c>
      <c r="CD61" s="188" t="s">
        <v>1</v>
      </c>
      <c r="CE61" s="190" t="s">
        <v>1</v>
      </c>
      <c r="CF61" s="105" t="s">
        <v>1</v>
      </c>
      <c r="CG61" s="191" t="s">
        <v>1</v>
      </c>
      <c r="CH61" s="108" t="s">
        <v>1</v>
      </c>
    </row>
    <row r="62" ht="25" customHeight="1" spans="1:86">
      <c r="A62" s="107">
        <v>45165</v>
      </c>
      <c r="B62" s="202" t="s">
        <v>100</v>
      </c>
      <c r="C62" s="92" t="s">
        <v>125</v>
      </c>
      <c r="D62" s="30" t="s">
        <v>1</v>
      </c>
      <c r="E62" s="30" t="s">
        <v>1</v>
      </c>
      <c r="F62" s="109" t="str">
        <f t="shared" si="3"/>
        <v/>
      </c>
      <c r="G62" s="30">
        <v>5.0589</v>
      </c>
      <c r="H62" s="141" t="str">
        <f t="shared" si="0"/>
        <v/>
      </c>
      <c r="I62" s="109">
        <v>8</v>
      </c>
      <c r="J62" s="141" t="str">
        <f t="shared" si="1"/>
        <v/>
      </c>
      <c r="K62" s="141" t="str">
        <f>IFERROR(E62/#REF!,"")</f>
        <v/>
      </c>
      <c r="L62" s="172">
        <v>35670</v>
      </c>
      <c r="M62" s="204">
        <v>22704</v>
      </c>
      <c r="N62" s="141">
        <f t="shared" si="2"/>
        <v>0.571088794926004</v>
      </c>
      <c r="O62" s="109" t="s">
        <v>1</v>
      </c>
      <c r="P62" s="109">
        <v>3.57</v>
      </c>
      <c r="Q62" s="109" t="s">
        <v>1</v>
      </c>
      <c r="R62" s="109" t="s">
        <v>1</v>
      </c>
      <c r="S62" s="109" t="s">
        <v>1</v>
      </c>
      <c r="T62" s="109" t="s">
        <v>1</v>
      </c>
      <c r="U62" s="109" t="s">
        <v>1</v>
      </c>
      <c r="V62" s="109" t="s">
        <v>1</v>
      </c>
      <c r="W62" s="109" t="s">
        <v>1</v>
      </c>
      <c r="X62" s="92" t="s">
        <v>1</v>
      </c>
      <c r="Y62" s="92">
        <v>7103</v>
      </c>
      <c r="Z62" s="92" t="s">
        <v>1</v>
      </c>
      <c r="AA62" s="92">
        <v>2436</v>
      </c>
      <c r="AB62" s="92" t="s">
        <v>1</v>
      </c>
      <c r="AC62" s="92">
        <v>3</v>
      </c>
      <c r="AD62" s="92" t="s">
        <v>1</v>
      </c>
      <c r="AE62" s="92">
        <v>86</v>
      </c>
      <c r="AF62" s="92" t="s">
        <v>1</v>
      </c>
      <c r="AG62" s="92" t="s">
        <v>1</v>
      </c>
      <c r="AH62" s="92" t="s">
        <v>1</v>
      </c>
      <c r="AI62" s="92">
        <v>100</v>
      </c>
      <c r="AJ62" s="92">
        <v>2647</v>
      </c>
      <c r="AK62" s="92">
        <v>1943</v>
      </c>
      <c r="AL62" s="92">
        <v>594</v>
      </c>
      <c r="AM62" s="92">
        <v>646</v>
      </c>
      <c r="AN62" s="92">
        <v>94</v>
      </c>
      <c r="AO62" s="92">
        <v>101</v>
      </c>
      <c r="AP62" s="92">
        <v>3284</v>
      </c>
      <c r="AQ62" s="92">
        <v>65</v>
      </c>
      <c r="AR62" s="92">
        <v>847</v>
      </c>
      <c r="AS62" s="92">
        <v>1024</v>
      </c>
      <c r="AT62" s="92">
        <v>165</v>
      </c>
      <c r="AU62" s="92">
        <v>160</v>
      </c>
      <c r="AV62" s="200" t="s">
        <v>1</v>
      </c>
      <c r="AW62" s="109" t="s">
        <v>1</v>
      </c>
      <c r="AX62" s="207" t="s">
        <v>231</v>
      </c>
      <c r="AY62" s="109" t="s">
        <v>1</v>
      </c>
      <c r="AZ62" s="141">
        <v>0.0172601744186047</v>
      </c>
      <c r="BA62" s="200" t="s">
        <v>1</v>
      </c>
      <c r="BB62" s="207" t="s">
        <v>189</v>
      </c>
      <c r="BC62" s="109" t="s">
        <v>1</v>
      </c>
      <c r="BD62" s="141">
        <v>0.115789473684211</v>
      </c>
      <c r="BE62" s="200" t="s">
        <v>1</v>
      </c>
      <c r="BF62" s="200" t="s">
        <v>1</v>
      </c>
      <c r="BG62" s="109" t="s">
        <v>1</v>
      </c>
      <c r="BH62" s="109" t="s">
        <v>1</v>
      </c>
      <c r="BI62" s="200" t="s">
        <v>1</v>
      </c>
      <c r="BJ62" s="200" t="s">
        <v>1</v>
      </c>
      <c r="BK62" s="92" t="s">
        <v>74</v>
      </c>
      <c r="BL62" s="92">
        <v>136</v>
      </c>
      <c r="BM62" s="92">
        <v>565</v>
      </c>
      <c r="BN62" s="92">
        <v>744</v>
      </c>
      <c r="BO62" s="92" t="s">
        <v>74</v>
      </c>
      <c r="BP62" s="92">
        <v>835</v>
      </c>
      <c r="BQ62" s="92">
        <v>160</v>
      </c>
      <c r="BR62" s="92">
        <v>192</v>
      </c>
      <c r="BS62" s="108" t="s">
        <v>1</v>
      </c>
      <c r="BT62" s="108" t="s">
        <v>1</v>
      </c>
      <c r="BU62" s="108" t="s">
        <v>1</v>
      </c>
      <c r="BV62" s="108" t="s">
        <v>1</v>
      </c>
      <c r="BW62" s="108" t="s">
        <v>1</v>
      </c>
      <c r="BX62" s="189" t="s">
        <v>1</v>
      </c>
      <c r="BY62" s="189" t="s">
        <v>1</v>
      </c>
      <c r="BZ62" s="189" t="s">
        <v>1</v>
      </c>
      <c r="CA62" s="190" t="s">
        <v>1</v>
      </c>
      <c r="CB62" s="189" t="s">
        <v>1</v>
      </c>
      <c r="CC62" s="189" t="s">
        <v>1</v>
      </c>
      <c r="CD62" s="188" t="s">
        <v>1</v>
      </c>
      <c r="CE62" s="190" t="s">
        <v>1</v>
      </c>
      <c r="CF62" s="105" t="s">
        <v>1</v>
      </c>
      <c r="CG62" s="191" t="s">
        <v>1</v>
      </c>
      <c r="CH62" s="108" t="s">
        <v>1</v>
      </c>
    </row>
    <row r="63" ht="25" customHeight="1" spans="1:86">
      <c r="A63" s="107">
        <v>45166</v>
      </c>
      <c r="B63" s="202" t="s">
        <v>100</v>
      </c>
      <c r="C63" s="92" t="s">
        <v>125</v>
      </c>
      <c r="D63" s="30" t="s">
        <v>1</v>
      </c>
      <c r="E63" s="30" t="s">
        <v>1</v>
      </c>
      <c r="F63" s="109" t="str">
        <f t="shared" si="3"/>
        <v/>
      </c>
      <c r="G63" s="30">
        <v>4.632</v>
      </c>
      <c r="H63" s="141" t="str">
        <f t="shared" si="0"/>
        <v/>
      </c>
      <c r="I63" s="109">
        <v>9</v>
      </c>
      <c r="J63" s="141" t="str">
        <f t="shared" si="1"/>
        <v/>
      </c>
      <c r="K63" s="141" t="str">
        <f>IFERROR(E63/#REF!,"")</f>
        <v/>
      </c>
      <c r="L63" s="172">
        <v>29892</v>
      </c>
      <c r="M63" s="204">
        <v>29044</v>
      </c>
      <c r="N63" s="141">
        <f t="shared" si="2"/>
        <v>0.0291970802919708</v>
      </c>
      <c r="O63" s="109" t="s">
        <v>1</v>
      </c>
      <c r="P63" s="109">
        <v>0.93</v>
      </c>
      <c r="Q63" s="109" t="s">
        <v>1</v>
      </c>
      <c r="R63" s="109" t="s">
        <v>1</v>
      </c>
      <c r="S63" s="109" t="s">
        <v>1</v>
      </c>
      <c r="T63" s="109" t="s">
        <v>1</v>
      </c>
      <c r="U63" s="109" t="s">
        <v>1</v>
      </c>
      <c r="V63" s="109" t="s">
        <v>1</v>
      </c>
      <c r="W63" s="109" t="s">
        <v>1</v>
      </c>
      <c r="X63" s="92" t="s">
        <v>1</v>
      </c>
      <c r="Y63" s="92">
        <v>7679</v>
      </c>
      <c r="Z63" s="92" t="s">
        <v>1</v>
      </c>
      <c r="AA63" s="92">
        <v>2554</v>
      </c>
      <c r="AB63" s="92" t="s">
        <v>1</v>
      </c>
      <c r="AC63" s="92">
        <v>3</v>
      </c>
      <c r="AD63" s="92" t="s">
        <v>1</v>
      </c>
      <c r="AE63" s="92">
        <v>92</v>
      </c>
      <c r="AF63" s="92" t="s">
        <v>1</v>
      </c>
      <c r="AG63" s="92" t="s">
        <v>1</v>
      </c>
      <c r="AH63" s="92" t="s">
        <v>1</v>
      </c>
      <c r="AI63" s="92">
        <v>141</v>
      </c>
      <c r="AJ63" s="92">
        <v>2840</v>
      </c>
      <c r="AK63" s="92">
        <v>2155</v>
      </c>
      <c r="AL63" s="92">
        <v>463</v>
      </c>
      <c r="AM63" s="92">
        <v>511</v>
      </c>
      <c r="AN63" s="92">
        <v>110</v>
      </c>
      <c r="AO63" s="92">
        <v>98</v>
      </c>
      <c r="AP63" s="92">
        <v>4214</v>
      </c>
      <c r="AQ63" s="92">
        <v>74</v>
      </c>
      <c r="AR63" s="92">
        <v>812</v>
      </c>
      <c r="AS63" s="92">
        <v>1157</v>
      </c>
      <c r="AT63" s="92">
        <v>185</v>
      </c>
      <c r="AU63" s="92">
        <v>219</v>
      </c>
      <c r="AV63" s="200" t="s">
        <v>1</v>
      </c>
      <c r="AW63" s="109" t="s">
        <v>1</v>
      </c>
      <c r="AX63" s="207" t="s">
        <v>196</v>
      </c>
      <c r="AY63" s="109" t="s">
        <v>1</v>
      </c>
      <c r="AZ63" s="141">
        <v>0.0202998126171143</v>
      </c>
      <c r="BA63" s="200" t="s">
        <v>1</v>
      </c>
      <c r="BB63" s="207" t="s">
        <v>232</v>
      </c>
      <c r="BC63" s="109" t="s">
        <v>1</v>
      </c>
      <c r="BD63" s="141">
        <v>0.0153846153846154</v>
      </c>
      <c r="BE63" s="200" t="s">
        <v>1</v>
      </c>
      <c r="BF63" s="200" t="s">
        <v>1</v>
      </c>
      <c r="BG63" s="109" t="s">
        <v>1</v>
      </c>
      <c r="BH63" s="109" t="s">
        <v>1</v>
      </c>
      <c r="BI63" s="200" t="s">
        <v>1</v>
      </c>
      <c r="BJ63" s="200" t="s">
        <v>1</v>
      </c>
      <c r="BK63" s="92" t="s">
        <v>74</v>
      </c>
      <c r="BL63" s="92">
        <v>169</v>
      </c>
      <c r="BM63" s="92">
        <v>451</v>
      </c>
      <c r="BN63" s="92">
        <v>1154</v>
      </c>
      <c r="BO63" s="92" t="s">
        <v>74</v>
      </c>
      <c r="BP63" s="92">
        <v>1085</v>
      </c>
      <c r="BQ63" s="92">
        <v>113</v>
      </c>
      <c r="BR63" s="92">
        <v>222</v>
      </c>
      <c r="BS63" s="108" t="s">
        <v>1</v>
      </c>
      <c r="BT63" s="108" t="s">
        <v>1</v>
      </c>
      <c r="BU63" s="108" t="s">
        <v>1</v>
      </c>
      <c r="BV63" s="108" t="s">
        <v>1</v>
      </c>
      <c r="BW63" s="108" t="s">
        <v>1</v>
      </c>
      <c r="BX63" s="189" t="s">
        <v>1</v>
      </c>
      <c r="BY63" s="189" t="s">
        <v>1</v>
      </c>
      <c r="BZ63" s="189" t="s">
        <v>1</v>
      </c>
      <c r="CA63" s="190" t="s">
        <v>1</v>
      </c>
      <c r="CB63" s="189" t="s">
        <v>1</v>
      </c>
      <c r="CC63" s="189" t="s">
        <v>1</v>
      </c>
      <c r="CD63" s="188" t="s">
        <v>1</v>
      </c>
      <c r="CE63" s="190" t="s">
        <v>1</v>
      </c>
      <c r="CF63" s="105" t="s">
        <v>1</v>
      </c>
      <c r="CG63" s="191" t="s">
        <v>1</v>
      </c>
      <c r="CH63" s="108" t="s">
        <v>1</v>
      </c>
    </row>
    <row r="64" ht="25" customHeight="1" spans="1:86">
      <c r="A64" s="107">
        <v>45167</v>
      </c>
      <c r="B64" s="203" t="s">
        <v>89</v>
      </c>
      <c r="C64" s="92" t="s">
        <v>75</v>
      </c>
      <c r="D64" s="30" t="s">
        <v>1</v>
      </c>
      <c r="E64" s="30" t="s">
        <v>1</v>
      </c>
      <c r="F64" s="109" t="str">
        <f t="shared" si="3"/>
        <v/>
      </c>
      <c r="G64" s="30">
        <v>0</v>
      </c>
      <c r="H64" s="141" t="str">
        <f t="shared" si="0"/>
        <v/>
      </c>
      <c r="I64" s="109">
        <v>0</v>
      </c>
      <c r="J64" s="141" t="str">
        <f t="shared" si="1"/>
        <v/>
      </c>
      <c r="K64" s="141" t="str">
        <f>IFERROR(E64/#REF!,"")</f>
        <v/>
      </c>
      <c r="L64" s="172">
        <v>6597</v>
      </c>
      <c r="M64" s="204">
        <v>37786</v>
      </c>
      <c r="N64" s="141">
        <f t="shared" si="2"/>
        <v>-0.825411528079183</v>
      </c>
      <c r="O64" s="109" t="s">
        <v>1</v>
      </c>
      <c r="P64" s="109">
        <v>3.12</v>
      </c>
      <c r="Q64" s="109" t="s">
        <v>1</v>
      </c>
      <c r="R64" s="109" t="s">
        <v>1</v>
      </c>
      <c r="S64" s="109" t="s">
        <v>1</v>
      </c>
      <c r="T64" s="109" t="s">
        <v>1</v>
      </c>
      <c r="U64" s="109" t="s">
        <v>1</v>
      </c>
      <c r="V64" s="109" t="s">
        <v>1</v>
      </c>
      <c r="W64" s="109" t="s">
        <v>1</v>
      </c>
      <c r="X64" s="92" t="s">
        <v>1</v>
      </c>
      <c r="Y64" s="92">
        <v>8051</v>
      </c>
      <c r="Z64" s="92" t="s">
        <v>1</v>
      </c>
      <c r="AA64" s="92">
        <v>2642</v>
      </c>
      <c r="AB64" s="92" t="s">
        <v>1</v>
      </c>
      <c r="AC64" s="92">
        <v>3</v>
      </c>
      <c r="AD64" s="92" t="s">
        <v>1</v>
      </c>
      <c r="AE64" s="92">
        <v>93</v>
      </c>
      <c r="AF64" s="92" t="s">
        <v>1</v>
      </c>
      <c r="AG64" s="92" t="s">
        <v>1</v>
      </c>
      <c r="AH64" s="92" t="s">
        <v>1</v>
      </c>
      <c r="AI64" s="92">
        <v>128</v>
      </c>
      <c r="AJ64" s="92">
        <v>2189</v>
      </c>
      <c r="AK64" s="92">
        <v>2091</v>
      </c>
      <c r="AL64" s="92">
        <v>4242</v>
      </c>
      <c r="AM64" s="92">
        <v>710</v>
      </c>
      <c r="AN64" s="92">
        <v>148</v>
      </c>
      <c r="AO64" s="92">
        <v>117</v>
      </c>
      <c r="AP64" s="92">
        <v>612</v>
      </c>
      <c r="AQ64" s="92">
        <v>98</v>
      </c>
      <c r="AR64" s="92">
        <v>773</v>
      </c>
      <c r="AS64" s="92">
        <v>987</v>
      </c>
      <c r="AT64" s="92">
        <v>245</v>
      </c>
      <c r="AU64" s="92">
        <v>198</v>
      </c>
      <c r="AV64" s="200" t="s">
        <v>1</v>
      </c>
      <c r="AW64" s="109" t="s">
        <v>1</v>
      </c>
      <c r="AX64" s="207">
        <v>141</v>
      </c>
      <c r="AY64" s="109" t="s">
        <v>1</v>
      </c>
      <c r="AZ64" s="141">
        <v>0.0210825358851675</v>
      </c>
      <c r="BA64" s="200" t="s">
        <v>1</v>
      </c>
      <c r="BB64" s="207">
        <v>10</v>
      </c>
      <c r="BC64" s="109" t="s">
        <v>1</v>
      </c>
      <c r="BD64" s="141">
        <v>0.0709219858156028</v>
      </c>
      <c r="BE64" s="200" t="s">
        <v>1</v>
      </c>
      <c r="BF64" s="200" t="s">
        <v>1</v>
      </c>
      <c r="BG64" s="109" t="s">
        <v>1</v>
      </c>
      <c r="BH64" s="109" t="s">
        <v>1</v>
      </c>
      <c r="BI64" s="200" t="s">
        <v>1</v>
      </c>
      <c r="BJ64" s="200" t="s">
        <v>1</v>
      </c>
      <c r="BK64" s="92" t="s">
        <v>74</v>
      </c>
      <c r="BL64" s="92">
        <v>179</v>
      </c>
      <c r="BM64" s="92">
        <v>386</v>
      </c>
      <c r="BN64" s="92">
        <v>895</v>
      </c>
      <c r="BO64" s="92" t="s">
        <v>74</v>
      </c>
      <c r="BP64" s="92">
        <v>1193</v>
      </c>
      <c r="BQ64" s="92">
        <v>101</v>
      </c>
      <c r="BR64" s="92">
        <v>149</v>
      </c>
      <c r="BS64" s="108" t="s">
        <v>1</v>
      </c>
      <c r="BT64" s="108" t="s">
        <v>1</v>
      </c>
      <c r="BU64" s="108" t="s">
        <v>1</v>
      </c>
      <c r="BV64" s="108" t="s">
        <v>1</v>
      </c>
      <c r="BW64" s="108" t="s">
        <v>1</v>
      </c>
      <c r="BX64" s="189" t="s">
        <v>93</v>
      </c>
      <c r="BY64" s="189" t="s">
        <v>78</v>
      </c>
      <c r="BZ64" s="191" t="s">
        <v>233</v>
      </c>
      <c r="CA64" s="189" t="s">
        <v>81</v>
      </c>
      <c r="CB64" s="190" t="s">
        <v>145</v>
      </c>
      <c r="CC64" s="189" t="s">
        <v>105</v>
      </c>
      <c r="CD64" s="188" t="s">
        <v>181</v>
      </c>
      <c r="CE64" s="191" t="s">
        <v>150</v>
      </c>
      <c r="CF64" s="189" t="s">
        <v>83</v>
      </c>
      <c r="CG64" s="189" t="s">
        <v>169</v>
      </c>
      <c r="CH64" s="108" t="s">
        <v>1</v>
      </c>
    </row>
    <row r="65" ht="25" customHeight="1" spans="1:86">
      <c r="A65" s="107">
        <v>45168</v>
      </c>
      <c r="B65" s="203" t="s">
        <v>89</v>
      </c>
      <c r="C65" s="92" t="s">
        <v>75</v>
      </c>
      <c r="D65" s="30" t="s">
        <v>1</v>
      </c>
      <c r="E65" s="30" t="s">
        <v>1</v>
      </c>
      <c r="F65" s="109" t="str">
        <f t="shared" si="3"/>
        <v/>
      </c>
      <c r="G65" s="30">
        <v>0</v>
      </c>
      <c r="H65" s="141" t="str">
        <f t="shared" si="0"/>
        <v/>
      </c>
      <c r="I65" s="109">
        <v>0</v>
      </c>
      <c r="J65" s="141" t="str">
        <f t="shared" si="1"/>
        <v/>
      </c>
      <c r="K65" s="141" t="str">
        <f>IFERROR(E65/#REF!,"")</f>
        <v/>
      </c>
      <c r="L65" s="172">
        <v>2920</v>
      </c>
      <c r="M65" s="204">
        <v>50673</v>
      </c>
      <c r="N65" s="141">
        <f t="shared" si="2"/>
        <v>-0.942375624099619</v>
      </c>
      <c r="O65" s="109" t="s">
        <v>1</v>
      </c>
      <c r="P65" s="109">
        <v>4.22</v>
      </c>
      <c r="Q65" s="109" t="s">
        <v>1</v>
      </c>
      <c r="R65" s="109" t="s">
        <v>1</v>
      </c>
      <c r="S65" s="109" t="s">
        <v>1</v>
      </c>
      <c r="T65" s="109" t="s">
        <v>1</v>
      </c>
      <c r="U65" s="109" t="s">
        <v>1</v>
      </c>
      <c r="V65" s="109" t="s">
        <v>1</v>
      </c>
      <c r="W65" s="109" t="s">
        <v>1</v>
      </c>
      <c r="X65" s="92" t="s">
        <v>1</v>
      </c>
      <c r="Y65" s="92">
        <v>7230</v>
      </c>
      <c r="Z65" s="92" t="s">
        <v>1</v>
      </c>
      <c r="AA65" s="92">
        <v>2437</v>
      </c>
      <c r="AB65" s="92" t="s">
        <v>1</v>
      </c>
      <c r="AC65" s="92">
        <v>3</v>
      </c>
      <c r="AD65" s="92" t="s">
        <v>1</v>
      </c>
      <c r="AE65" s="92">
        <v>96</v>
      </c>
      <c r="AF65" s="92" t="s">
        <v>1</v>
      </c>
      <c r="AG65" s="92" t="s">
        <v>1</v>
      </c>
      <c r="AH65" s="92" t="s">
        <v>1</v>
      </c>
      <c r="AI65" s="92">
        <v>111</v>
      </c>
      <c r="AJ65" s="92">
        <v>2009</v>
      </c>
      <c r="AK65" s="92">
        <v>1937</v>
      </c>
      <c r="AL65" s="92">
        <v>594</v>
      </c>
      <c r="AM65" s="92">
        <v>545</v>
      </c>
      <c r="AN65" s="92">
        <v>117</v>
      </c>
      <c r="AO65" s="92">
        <v>166</v>
      </c>
      <c r="AP65" s="92">
        <v>3905</v>
      </c>
      <c r="AQ65" s="92">
        <v>118</v>
      </c>
      <c r="AR65" s="92">
        <v>724</v>
      </c>
      <c r="AS65" s="92">
        <v>905</v>
      </c>
      <c r="AT65" s="92">
        <v>199</v>
      </c>
      <c r="AU65" s="92">
        <v>162</v>
      </c>
      <c r="AV65" s="200" t="s">
        <v>1</v>
      </c>
      <c r="AW65" s="109" t="s">
        <v>1</v>
      </c>
      <c r="AX65" s="207">
        <v>133</v>
      </c>
      <c r="AY65" s="109" t="s">
        <v>1</v>
      </c>
      <c r="AZ65" s="141">
        <v>0.0216506592869933</v>
      </c>
      <c r="BA65" s="200" t="s">
        <v>1</v>
      </c>
      <c r="BB65" s="207">
        <v>14</v>
      </c>
      <c r="BC65" s="109" t="s">
        <v>1</v>
      </c>
      <c r="BD65" s="141">
        <v>0.105263157894737</v>
      </c>
      <c r="BE65" s="200" t="s">
        <v>1</v>
      </c>
      <c r="BF65" s="200" t="s">
        <v>1</v>
      </c>
      <c r="BG65" s="109" t="s">
        <v>1</v>
      </c>
      <c r="BH65" s="109" t="s">
        <v>1</v>
      </c>
      <c r="BI65" s="200" t="s">
        <v>1</v>
      </c>
      <c r="BJ65" s="200" t="s">
        <v>1</v>
      </c>
      <c r="BK65" s="92" t="s">
        <v>74</v>
      </c>
      <c r="BL65" s="92">
        <v>161</v>
      </c>
      <c r="BM65" s="92">
        <v>395</v>
      </c>
      <c r="BN65" s="92">
        <v>782</v>
      </c>
      <c r="BO65" s="92" t="s">
        <v>74</v>
      </c>
      <c r="BP65" s="92">
        <v>1098</v>
      </c>
      <c r="BQ65" s="92">
        <v>114</v>
      </c>
      <c r="BR65" s="92">
        <v>152</v>
      </c>
      <c r="BS65" s="108" t="s">
        <v>1</v>
      </c>
      <c r="BT65" s="108" t="s">
        <v>1</v>
      </c>
      <c r="BU65" s="108" t="s">
        <v>1</v>
      </c>
      <c r="BV65" s="108" t="s">
        <v>1</v>
      </c>
      <c r="BW65" s="108" t="s">
        <v>1</v>
      </c>
      <c r="BX65" s="189" t="s">
        <v>1</v>
      </c>
      <c r="BY65" s="189" t="s">
        <v>1</v>
      </c>
      <c r="BZ65" s="191" t="s">
        <v>1</v>
      </c>
      <c r="CA65" s="189" t="s">
        <v>1</v>
      </c>
      <c r="CB65" s="190" t="s">
        <v>1</v>
      </c>
      <c r="CC65" s="189" t="s">
        <v>1</v>
      </c>
      <c r="CD65" s="188" t="s">
        <v>1</v>
      </c>
      <c r="CE65" s="191" t="s">
        <v>1</v>
      </c>
      <c r="CF65" s="189" t="s">
        <v>1</v>
      </c>
      <c r="CG65" s="189" t="s">
        <v>1</v>
      </c>
      <c r="CH65" s="108" t="s">
        <v>1</v>
      </c>
    </row>
    <row r="66" ht="25" customHeight="1" spans="1:86">
      <c r="A66" s="107">
        <v>45169</v>
      </c>
      <c r="B66" s="118" t="s">
        <v>123</v>
      </c>
      <c r="C66" s="92" t="s">
        <v>220</v>
      </c>
      <c r="D66" s="30" t="s">
        <v>1</v>
      </c>
      <c r="E66" s="30" t="s">
        <v>1</v>
      </c>
      <c r="F66" s="109" t="str">
        <f t="shared" si="3"/>
        <v/>
      </c>
      <c r="G66" s="30">
        <v>33.3633</v>
      </c>
      <c r="H66" s="141" t="str">
        <f t="shared" si="0"/>
        <v/>
      </c>
      <c r="I66" s="109">
        <v>30</v>
      </c>
      <c r="J66" s="141" t="str">
        <f t="shared" si="1"/>
        <v/>
      </c>
      <c r="K66" s="141" t="str">
        <f>IFERROR(E66/#REF!,"")</f>
        <v/>
      </c>
      <c r="L66" s="172">
        <v>68807</v>
      </c>
      <c r="M66" s="204">
        <v>199577</v>
      </c>
      <c r="N66" s="141">
        <f t="shared" si="2"/>
        <v>-0.655235823767268</v>
      </c>
      <c r="O66" s="109" t="s">
        <v>1</v>
      </c>
      <c r="P66" s="109">
        <v>6.64</v>
      </c>
      <c r="Q66" s="109" t="s">
        <v>1</v>
      </c>
      <c r="R66" s="109" t="s">
        <v>1</v>
      </c>
      <c r="S66" s="109" t="s">
        <v>1</v>
      </c>
      <c r="T66" s="109" t="s">
        <v>1</v>
      </c>
      <c r="U66" s="109" t="s">
        <v>1</v>
      </c>
      <c r="V66" s="109" t="s">
        <v>1</v>
      </c>
      <c r="W66" s="109" t="s">
        <v>1</v>
      </c>
      <c r="X66" s="73" t="s">
        <v>1</v>
      </c>
      <c r="Y66" s="73">
        <v>8912</v>
      </c>
      <c r="Z66" s="73" t="s">
        <v>1</v>
      </c>
      <c r="AA66" s="73">
        <v>2379</v>
      </c>
      <c r="AB66" s="73" t="s">
        <v>1</v>
      </c>
      <c r="AC66" s="73">
        <v>4</v>
      </c>
      <c r="AD66" s="73" t="s">
        <v>1</v>
      </c>
      <c r="AE66" s="73">
        <v>102</v>
      </c>
      <c r="AF66" s="73" t="s">
        <v>1</v>
      </c>
      <c r="AG66" s="73" t="s">
        <v>1</v>
      </c>
      <c r="AH66" s="73" t="s">
        <v>1</v>
      </c>
      <c r="AI66" s="73">
        <v>116</v>
      </c>
      <c r="AJ66" s="92">
        <v>2158</v>
      </c>
      <c r="AK66" s="92">
        <v>1987</v>
      </c>
      <c r="AL66" s="92">
        <v>793</v>
      </c>
      <c r="AM66" s="92">
        <v>452</v>
      </c>
      <c r="AN66" s="92">
        <v>101</v>
      </c>
      <c r="AO66" s="92">
        <v>125</v>
      </c>
      <c r="AP66" s="92">
        <v>2811</v>
      </c>
      <c r="AQ66" s="92">
        <v>111</v>
      </c>
      <c r="AR66" s="92">
        <v>836</v>
      </c>
      <c r="AS66" s="92">
        <v>846</v>
      </c>
      <c r="AT66" s="92">
        <v>218</v>
      </c>
      <c r="AU66" s="92">
        <v>203</v>
      </c>
      <c r="AV66" s="200" t="s">
        <v>1</v>
      </c>
      <c r="AW66" s="109" t="s">
        <v>1</v>
      </c>
      <c r="AX66" s="198">
        <v>144</v>
      </c>
      <c r="AY66" s="109" t="s">
        <v>1</v>
      </c>
      <c r="AZ66" s="141">
        <v>0.0269309893398167</v>
      </c>
      <c r="BA66" s="200" t="s">
        <v>1</v>
      </c>
      <c r="BB66" s="207">
        <v>20</v>
      </c>
      <c r="BC66" s="109" t="s">
        <v>1</v>
      </c>
      <c r="BD66" s="141">
        <v>0.138888888888889</v>
      </c>
      <c r="BE66" s="200" t="s">
        <v>1</v>
      </c>
      <c r="BF66" s="200" t="s">
        <v>1</v>
      </c>
      <c r="BG66" s="109" t="s">
        <v>1</v>
      </c>
      <c r="BH66" s="109" t="s">
        <v>1</v>
      </c>
      <c r="BI66" s="200" t="s">
        <v>1</v>
      </c>
      <c r="BJ66" s="200" t="s">
        <v>1</v>
      </c>
      <c r="BK66" s="92" t="s">
        <v>74</v>
      </c>
      <c r="BL66" s="92">
        <v>189</v>
      </c>
      <c r="BM66" s="92">
        <v>349</v>
      </c>
      <c r="BN66" s="92">
        <v>868</v>
      </c>
      <c r="BO66" s="92" t="s">
        <v>74</v>
      </c>
      <c r="BP66" s="92">
        <v>1181</v>
      </c>
      <c r="BQ66" s="92">
        <v>101</v>
      </c>
      <c r="BR66" s="92">
        <v>210</v>
      </c>
      <c r="BS66" s="108" t="s">
        <v>1</v>
      </c>
      <c r="BT66" s="108" t="s">
        <v>1</v>
      </c>
      <c r="BU66" s="108" t="s">
        <v>1</v>
      </c>
      <c r="BV66" s="108" t="s">
        <v>1</v>
      </c>
      <c r="BW66" s="108" t="s">
        <v>1</v>
      </c>
      <c r="BX66" s="189" t="s">
        <v>1</v>
      </c>
      <c r="BY66" s="189" t="s">
        <v>1</v>
      </c>
      <c r="BZ66" s="191" t="s">
        <v>1</v>
      </c>
      <c r="CA66" s="189" t="s">
        <v>1</v>
      </c>
      <c r="CB66" s="190" t="s">
        <v>1</v>
      </c>
      <c r="CC66" s="189" t="s">
        <v>1</v>
      </c>
      <c r="CD66" s="188" t="s">
        <v>1</v>
      </c>
      <c r="CE66" s="191" t="s">
        <v>1</v>
      </c>
      <c r="CF66" s="189" t="s">
        <v>1</v>
      </c>
      <c r="CG66" s="189" t="s">
        <v>1</v>
      </c>
      <c r="CH66" s="108" t="s">
        <v>1</v>
      </c>
    </row>
    <row r="67" ht="25" customHeight="1" spans="1:86">
      <c r="A67" s="107">
        <v>45170</v>
      </c>
      <c r="B67" s="118" t="s">
        <v>1</v>
      </c>
      <c r="C67" s="208" t="s">
        <v>234</v>
      </c>
      <c r="D67" s="30" t="s">
        <v>1</v>
      </c>
      <c r="E67" s="30" t="s">
        <v>1</v>
      </c>
      <c r="F67" s="109" t="str">
        <f t="shared" si="3"/>
        <v/>
      </c>
      <c r="G67" s="30">
        <v>15.2387</v>
      </c>
      <c r="H67" s="141" t="str">
        <f t="shared" si="0"/>
        <v/>
      </c>
      <c r="I67" s="109" t="s">
        <v>1</v>
      </c>
      <c r="J67" s="141" t="str">
        <f t="shared" si="1"/>
        <v/>
      </c>
      <c r="K67" s="141" t="str">
        <f>IFERROR(E67/#REF!,"")</f>
        <v/>
      </c>
      <c r="L67" s="30">
        <v>33392</v>
      </c>
      <c r="M67" s="204">
        <v>214175</v>
      </c>
      <c r="N67" s="141">
        <f t="shared" si="2"/>
        <v>-0.844090113225166</v>
      </c>
      <c r="O67" s="109" t="s">
        <v>1</v>
      </c>
      <c r="P67" s="109">
        <v>1.16</v>
      </c>
      <c r="Q67" s="109" t="s">
        <v>1</v>
      </c>
      <c r="R67" s="109" t="s">
        <v>1</v>
      </c>
      <c r="S67" s="109" t="s">
        <v>1</v>
      </c>
      <c r="T67" s="109" t="s">
        <v>1</v>
      </c>
      <c r="U67" s="109" t="s">
        <v>1</v>
      </c>
      <c r="V67" s="109" t="s">
        <v>1</v>
      </c>
      <c r="W67" s="109" t="s">
        <v>1</v>
      </c>
      <c r="X67" s="73" t="s">
        <v>1</v>
      </c>
      <c r="Y67" s="73">
        <v>8441</v>
      </c>
      <c r="Z67" s="73" t="s">
        <v>1</v>
      </c>
      <c r="AA67" s="73">
        <v>3319</v>
      </c>
      <c r="AB67" s="73" t="s">
        <v>1</v>
      </c>
      <c r="AC67" s="73">
        <v>2.54</v>
      </c>
      <c r="AD67" s="73" t="s">
        <v>1</v>
      </c>
      <c r="AE67" s="73">
        <v>69.87</v>
      </c>
      <c r="AF67" s="73" t="s">
        <v>1</v>
      </c>
      <c r="AG67" s="73" t="s">
        <v>1</v>
      </c>
      <c r="AH67" s="73" t="s">
        <v>1</v>
      </c>
      <c r="AI67" s="73">
        <v>123</v>
      </c>
      <c r="AJ67" s="75">
        <v>2418</v>
      </c>
      <c r="AK67" s="92">
        <v>3696</v>
      </c>
      <c r="AL67" s="92">
        <v>597</v>
      </c>
      <c r="AM67" s="92">
        <v>454</v>
      </c>
      <c r="AN67" s="92">
        <v>138</v>
      </c>
      <c r="AO67" s="92">
        <v>145</v>
      </c>
      <c r="AP67" s="92">
        <v>2442</v>
      </c>
      <c r="AQ67" s="92">
        <v>100</v>
      </c>
      <c r="AR67" s="92">
        <v>791</v>
      </c>
      <c r="AS67" s="92">
        <v>989</v>
      </c>
      <c r="AT67" s="92">
        <v>157</v>
      </c>
      <c r="AU67" s="92">
        <v>205</v>
      </c>
      <c r="AV67" s="200" t="s">
        <v>1</v>
      </c>
      <c r="AW67" s="109" t="s">
        <v>1</v>
      </c>
      <c r="AX67" s="198">
        <v>116</v>
      </c>
      <c r="AY67" s="109" t="s">
        <v>1</v>
      </c>
      <c r="AZ67" s="141">
        <v>0.0255113261491093</v>
      </c>
      <c r="BA67" s="200" t="s">
        <v>1</v>
      </c>
      <c r="BB67" s="207">
        <v>5</v>
      </c>
      <c r="BC67" s="109" t="s">
        <v>1</v>
      </c>
      <c r="BD67" s="141">
        <v>0.0431034482758621</v>
      </c>
      <c r="BE67" s="200" t="s">
        <v>1</v>
      </c>
      <c r="BF67" s="200" t="s">
        <v>1</v>
      </c>
      <c r="BG67" s="109" t="s">
        <v>1</v>
      </c>
      <c r="BH67" s="109" t="s">
        <v>1</v>
      </c>
      <c r="BI67" s="200" t="s">
        <v>1</v>
      </c>
      <c r="BJ67" s="200" t="s">
        <v>1</v>
      </c>
      <c r="BK67" s="92" t="s">
        <v>74</v>
      </c>
      <c r="BL67" s="92">
        <v>161</v>
      </c>
      <c r="BM67" s="92">
        <v>379</v>
      </c>
      <c r="BN67" s="125">
        <v>1081</v>
      </c>
      <c r="BO67" s="92" t="s">
        <v>74</v>
      </c>
      <c r="BP67" s="125">
        <v>1196</v>
      </c>
      <c r="BQ67" s="92">
        <v>94</v>
      </c>
      <c r="BR67" s="92">
        <v>199</v>
      </c>
      <c r="BS67" s="108" t="s">
        <v>1</v>
      </c>
      <c r="BT67" s="108" t="s">
        <v>1</v>
      </c>
      <c r="BU67" s="108" t="s">
        <v>1</v>
      </c>
      <c r="BV67" s="108" t="s">
        <v>1</v>
      </c>
      <c r="BW67" s="108" t="s">
        <v>1</v>
      </c>
      <c r="BX67" s="189" t="s">
        <v>1</v>
      </c>
      <c r="BY67" s="189" t="s">
        <v>1</v>
      </c>
      <c r="BZ67" s="191" t="s">
        <v>1</v>
      </c>
      <c r="CA67" s="189" t="s">
        <v>1</v>
      </c>
      <c r="CB67" s="190" t="s">
        <v>1</v>
      </c>
      <c r="CC67" s="189" t="s">
        <v>1</v>
      </c>
      <c r="CD67" s="188" t="s">
        <v>1</v>
      </c>
      <c r="CE67" s="191" t="s">
        <v>1</v>
      </c>
      <c r="CF67" s="189" t="s">
        <v>1</v>
      </c>
      <c r="CG67" s="189" t="s">
        <v>1</v>
      </c>
      <c r="CH67" s="108" t="s">
        <v>1</v>
      </c>
    </row>
    <row r="68" ht="25" customHeight="1" spans="1:86">
      <c r="A68" s="107">
        <v>45171</v>
      </c>
      <c r="B68" s="7" t="s">
        <v>125</v>
      </c>
      <c r="C68" s="18" t="s">
        <v>125</v>
      </c>
      <c r="D68" s="30" t="s">
        <v>1</v>
      </c>
      <c r="E68" s="30" t="s">
        <v>1</v>
      </c>
      <c r="F68" s="109" t="str">
        <f t="shared" si="3"/>
        <v/>
      </c>
      <c r="G68" s="30">
        <v>13.497</v>
      </c>
      <c r="H68" s="141" t="str">
        <f t="shared" si="0"/>
        <v/>
      </c>
      <c r="I68" s="109" t="s">
        <v>1</v>
      </c>
      <c r="J68" s="141" t="str">
        <f t="shared" si="1"/>
        <v/>
      </c>
      <c r="K68" s="141" t="str">
        <f>IFERROR(E68/#REF!,"")</f>
        <v/>
      </c>
      <c r="L68" s="30">
        <v>32854</v>
      </c>
      <c r="M68" s="204">
        <v>6998</v>
      </c>
      <c r="N68" s="141">
        <f t="shared" si="2"/>
        <v>3.69476993426693</v>
      </c>
      <c r="O68" s="109" t="s">
        <v>1</v>
      </c>
      <c r="P68" s="109">
        <v>3.05</v>
      </c>
      <c r="Q68" s="109" t="s">
        <v>1</v>
      </c>
      <c r="R68" s="109" t="s">
        <v>1</v>
      </c>
      <c r="S68" s="109" t="s">
        <v>1</v>
      </c>
      <c r="T68" s="109" t="s">
        <v>1</v>
      </c>
      <c r="U68" s="109" t="s">
        <v>1</v>
      </c>
      <c r="V68" s="109" t="s">
        <v>1</v>
      </c>
      <c r="W68" s="109" t="s">
        <v>1</v>
      </c>
      <c r="X68" s="73" t="s">
        <v>1</v>
      </c>
      <c r="Y68" s="73">
        <v>7774</v>
      </c>
      <c r="Z68" s="73" t="s">
        <v>1</v>
      </c>
      <c r="AA68" s="73">
        <v>2463</v>
      </c>
      <c r="AB68" s="73" t="s">
        <v>1</v>
      </c>
      <c r="AC68" s="73">
        <v>3.16</v>
      </c>
      <c r="AD68" s="73" t="s">
        <v>1</v>
      </c>
      <c r="AE68" s="73">
        <v>91.49</v>
      </c>
      <c r="AF68" s="73" t="s">
        <v>1</v>
      </c>
      <c r="AG68" s="73" t="s">
        <v>1</v>
      </c>
      <c r="AH68" s="73" t="s">
        <v>1</v>
      </c>
      <c r="AI68" s="73">
        <v>132</v>
      </c>
      <c r="AJ68" s="75">
        <v>2513</v>
      </c>
      <c r="AK68" s="92">
        <v>2775</v>
      </c>
      <c r="AL68" s="92">
        <v>713</v>
      </c>
      <c r="AM68" s="92">
        <v>423</v>
      </c>
      <c r="AN68" s="92">
        <v>121</v>
      </c>
      <c r="AO68" s="92">
        <v>120</v>
      </c>
      <c r="AP68" s="92">
        <v>3371</v>
      </c>
      <c r="AQ68" s="92">
        <v>107</v>
      </c>
      <c r="AR68" s="92">
        <v>829</v>
      </c>
      <c r="AS68" s="92">
        <v>930</v>
      </c>
      <c r="AT68" s="92">
        <v>166</v>
      </c>
      <c r="AU68" s="92">
        <v>179</v>
      </c>
      <c r="AV68" s="200" t="s">
        <v>1</v>
      </c>
      <c r="AW68" s="109" t="s">
        <v>1</v>
      </c>
      <c r="AX68" s="198">
        <v>150</v>
      </c>
      <c r="AY68" s="109" t="s">
        <v>1</v>
      </c>
      <c r="AZ68" s="141">
        <v>0.0268961807423346</v>
      </c>
      <c r="BA68" s="200" t="s">
        <v>1</v>
      </c>
      <c r="BB68" s="207">
        <v>9</v>
      </c>
      <c r="BC68" s="109" t="s">
        <v>1</v>
      </c>
      <c r="BD68" s="141">
        <v>0.06</v>
      </c>
      <c r="BE68" s="200" t="s">
        <v>1</v>
      </c>
      <c r="BF68" s="200" t="s">
        <v>1</v>
      </c>
      <c r="BG68" s="109" t="s">
        <v>1</v>
      </c>
      <c r="BH68" s="109" t="s">
        <v>1</v>
      </c>
      <c r="BI68" s="200" t="s">
        <v>1</v>
      </c>
      <c r="BJ68" s="200" t="s">
        <v>1</v>
      </c>
      <c r="BK68" s="92" t="s">
        <v>74</v>
      </c>
      <c r="BL68" s="92">
        <v>167</v>
      </c>
      <c r="BM68" s="92">
        <v>389</v>
      </c>
      <c r="BN68" s="92">
        <v>805</v>
      </c>
      <c r="BO68" s="92" t="s">
        <v>74</v>
      </c>
      <c r="BP68" s="125">
        <v>1168</v>
      </c>
      <c r="BQ68" s="92">
        <v>117</v>
      </c>
      <c r="BR68" s="92">
        <v>167</v>
      </c>
      <c r="BS68" s="108" t="s">
        <v>1</v>
      </c>
      <c r="BT68" s="108" t="s">
        <v>1</v>
      </c>
      <c r="BU68" s="108" t="s">
        <v>1</v>
      </c>
      <c r="BV68" s="108" t="s">
        <v>1</v>
      </c>
      <c r="BW68" s="108" t="s">
        <v>1</v>
      </c>
      <c r="BX68" s="189" t="s">
        <v>1</v>
      </c>
      <c r="BY68" s="189" t="s">
        <v>1</v>
      </c>
      <c r="BZ68" s="191" t="s">
        <v>1</v>
      </c>
      <c r="CA68" s="189" t="s">
        <v>1</v>
      </c>
      <c r="CB68" s="190" t="s">
        <v>1</v>
      </c>
      <c r="CC68" s="189" t="s">
        <v>1</v>
      </c>
      <c r="CD68" s="188" t="s">
        <v>1</v>
      </c>
      <c r="CE68" s="191" t="s">
        <v>1</v>
      </c>
      <c r="CF68" s="189" t="s">
        <v>1</v>
      </c>
      <c r="CG68" s="189" t="s">
        <v>1</v>
      </c>
      <c r="CH68" s="108" t="s">
        <v>1</v>
      </c>
    </row>
    <row r="69" ht="25" customHeight="1" spans="1:86">
      <c r="A69" s="107">
        <v>45172</v>
      </c>
      <c r="B69" s="7" t="s">
        <v>89</v>
      </c>
      <c r="C69" s="18" t="s">
        <v>75</v>
      </c>
      <c r="D69" s="30" t="s">
        <v>1</v>
      </c>
      <c r="E69" s="30" t="s">
        <v>1</v>
      </c>
      <c r="F69" s="109" t="str">
        <f t="shared" si="3"/>
        <v/>
      </c>
      <c r="G69" s="30">
        <v>0</v>
      </c>
      <c r="H69" s="141" t="str">
        <f t="shared" ref="H69:H127" si="4">IFERROR(E69/G69-1,"")</f>
        <v/>
      </c>
      <c r="I69" s="109" t="s">
        <v>1</v>
      </c>
      <c r="J69" s="141" t="str">
        <f t="shared" ref="J69:J96" si="5">IFERROR(E69/I69,"")</f>
        <v/>
      </c>
      <c r="K69" s="141" t="str">
        <f>IFERROR(E69/#REF!,"")</f>
        <v/>
      </c>
      <c r="L69" s="172">
        <v>8598</v>
      </c>
      <c r="M69" s="204">
        <v>11580</v>
      </c>
      <c r="N69" s="141">
        <f t="shared" ref="N69:N127" si="6">L69/M69-1</f>
        <v>-0.257512953367876</v>
      </c>
      <c r="O69" s="109" t="s">
        <v>1</v>
      </c>
      <c r="P69" s="109">
        <v>1.49</v>
      </c>
      <c r="Q69" s="109" t="s">
        <v>1</v>
      </c>
      <c r="R69" s="109" t="s">
        <v>1</v>
      </c>
      <c r="S69" s="109" t="s">
        <v>1</v>
      </c>
      <c r="T69" s="109" t="s">
        <v>1</v>
      </c>
      <c r="U69" s="109" t="s">
        <v>1</v>
      </c>
      <c r="V69" s="109" t="s">
        <v>1</v>
      </c>
      <c r="W69" s="109" t="s">
        <v>1</v>
      </c>
      <c r="X69" s="73" t="s">
        <v>1</v>
      </c>
      <c r="Y69" s="73">
        <v>7006</v>
      </c>
      <c r="Z69" s="73" t="s">
        <v>1</v>
      </c>
      <c r="AA69" s="73">
        <v>2144</v>
      </c>
      <c r="AB69" s="73" t="s">
        <v>1</v>
      </c>
      <c r="AC69" s="73">
        <v>3.27</v>
      </c>
      <c r="AD69" s="73" t="s">
        <v>1</v>
      </c>
      <c r="AE69" s="73">
        <v>96.32</v>
      </c>
      <c r="AF69" s="73" t="s">
        <v>1</v>
      </c>
      <c r="AG69" s="73" t="s">
        <v>1</v>
      </c>
      <c r="AH69" s="73" t="s">
        <v>1</v>
      </c>
      <c r="AI69" s="73">
        <v>116</v>
      </c>
      <c r="AJ69" s="209">
        <v>2477</v>
      </c>
      <c r="AK69" s="73">
        <v>2350</v>
      </c>
      <c r="AL69" s="73">
        <v>614</v>
      </c>
      <c r="AM69" s="73">
        <v>476</v>
      </c>
      <c r="AN69" s="73">
        <v>93</v>
      </c>
      <c r="AO69" s="73">
        <v>106</v>
      </c>
      <c r="AP69" s="73">
        <v>2868</v>
      </c>
      <c r="AQ69" s="73">
        <v>73</v>
      </c>
      <c r="AR69" s="73">
        <v>641</v>
      </c>
      <c r="AS69" s="73">
        <v>826</v>
      </c>
      <c r="AT69" s="73">
        <v>237</v>
      </c>
      <c r="AU69" s="73">
        <v>172</v>
      </c>
      <c r="AV69" s="200" t="s">
        <v>1</v>
      </c>
      <c r="AW69" s="109" t="s">
        <v>1</v>
      </c>
      <c r="AX69" s="198">
        <v>125</v>
      </c>
      <c r="AY69" s="109" t="s">
        <v>1</v>
      </c>
      <c r="AZ69" s="141">
        <v>0.0248311481922924</v>
      </c>
      <c r="BA69" s="200" t="s">
        <v>1</v>
      </c>
      <c r="BB69" s="207">
        <v>7</v>
      </c>
      <c r="BC69" s="109" t="s">
        <v>1</v>
      </c>
      <c r="BD69" s="141">
        <v>0.056</v>
      </c>
      <c r="BE69" s="200" t="s">
        <v>1</v>
      </c>
      <c r="BF69" s="200" t="s">
        <v>1</v>
      </c>
      <c r="BG69" s="109" t="s">
        <v>1</v>
      </c>
      <c r="BH69" s="109" t="s">
        <v>1</v>
      </c>
      <c r="BI69" s="200" t="s">
        <v>1</v>
      </c>
      <c r="BJ69" s="200" t="s">
        <v>1</v>
      </c>
      <c r="BK69" s="92" t="s">
        <v>74</v>
      </c>
      <c r="BL69" s="92">
        <v>302</v>
      </c>
      <c r="BM69" s="92">
        <v>244</v>
      </c>
      <c r="BN69" s="92">
        <v>494</v>
      </c>
      <c r="BO69" s="92" t="s">
        <v>74</v>
      </c>
      <c r="BP69" s="125">
        <v>1459</v>
      </c>
      <c r="BQ69" s="92">
        <v>84</v>
      </c>
      <c r="BR69" s="92">
        <v>111</v>
      </c>
      <c r="BS69" s="108" t="s">
        <v>1</v>
      </c>
      <c r="BT69" s="108" t="s">
        <v>1</v>
      </c>
      <c r="BU69" s="108" t="s">
        <v>1</v>
      </c>
      <c r="BV69" s="108" t="s">
        <v>1</v>
      </c>
      <c r="BW69" s="108" t="s">
        <v>1</v>
      </c>
      <c r="BX69" s="189" t="s">
        <v>1</v>
      </c>
      <c r="BY69" s="189" t="s">
        <v>1</v>
      </c>
      <c r="BZ69" s="191" t="s">
        <v>1</v>
      </c>
      <c r="CA69" s="189" t="s">
        <v>1</v>
      </c>
      <c r="CB69" s="190" t="s">
        <v>1</v>
      </c>
      <c r="CC69" s="189" t="s">
        <v>1</v>
      </c>
      <c r="CD69" s="188" t="s">
        <v>1</v>
      </c>
      <c r="CE69" s="191" t="s">
        <v>1</v>
      </c>
      <c r="CF69" s="189" t="s">
        <v>1</v>
      </c>
      <c r="CG69" s="189" t="s">
        <v>1</v>
      </c>
      <c r="CH69" s="108" t="s">
        <v>1</v>
      </c>
    </row>
    <row r="70" ht="25" customHeight="1" spans="1:86">
      <c r="A70" s="107">
        <v>45173</v>
      </c>
      <c r="B70" s="7" t="s">
        <v>126</v>
      </c>
      <c r="C70" s="18" t="s">
        <v>126</v>
      </c>
      <c r="D70" s="30" t="s">
        <v>1</v>
      </c>
      <c r="E70" s="30" t="s">
        <v>1</v>
      </c>
      <c r="F70" s="109" t="str">
        <f t="shared" si="3"/>
        <v/>
      </c>
      <c r="G70" s="30">
        <v>24.9446</v>
      </c>
      <c r="H70" s="141" t="str">
        <f t="shared" si="4"/>
        <v/>
      </c>
      <c r="I70" s="109" t="s">
        <v>1</v>
      </c>
      <c r="J70" s="141" t="str">
        <f t="shared" si="5"/>
        <v/>
      </c>
      <c r="K70" s="141" t="str">
        <f>IFERROR(E70/#REF!,"")</f>
        <v/>
      </c>
      <c r="L70" s="172">
        <v>54086</v>
      </c>
      <c r="M70" s="204">
        <v>100863.21</v>
      </c>
      <c r="N70" s="141">
        <f t="shared" si="6"/>
        <v>-0.463768801330039</v>
      </c>
      <c r="O70" s="109" t="s">
        <v>1</v>
      </c>
      <c r="P70" s="109">
        <v>4.58</v>
      </c>
      <c r="Q70" s="109" t="s">
        <v>1</v>
      </c>
      <c r="R70" s="109" t="s">
        <v>1</v>
      </c>
      <c r="S70" s="109" t="s">
        <v>1</v>
      </c>
      <c r="T70" s="109" t="s">
        <v>1</v>
      </c>
      <c r="U70" s="109" t="s">
        <v>1</v>
      </c>
      <c r="V70" s="109" t="s">
        <v>1</v>
      </c>
      <c r="W70" s="109" t="s">
        <v>1</v>
      </c>
      <c r="X70" s="18" t="s">
        <v>1</v>
      </c>
      <c r="Y70" s="18">
        <v>9029</v>
      </c>
      <c r="Z70" s="18" t="s">
        <v>1</v>
      </c>
      <c r="AA70" s="18">
        <v>2459</v>
      </c>
      <c r="AB70" s="18" t="s">
        <v>1</v>
      </c>
      <c r="AC70" s="18">
        <v>3.67</v>
      </c>
      <c r="AD70" s="18" t="s">
        <v>1</v>
      </c>
      <c r="AE70" s="18">
        <v>109.88</v>
      </c>
      <c r="AF70" s="18" t="s">
        <v>1</v>
      </c>
      <c r="AG70" s="18" t="s">
        <v>1</v>
      </c>
      <c r="AH70" s="18" t="s">
        <v>1</v>
      </c>
      <c r="AI70" s="18">
        <v>151</v>
      </c>
      <c r="AJ70" s="18">
        <v>2580</v>
      </c>
      <c r="AK70" s="18">
        <v>2937</v>
      </c>
      <c r="AL70" s="18">
        <v>834</v>
      </c>
      <c r="AM70" s="18">
        <v>452</v>
      </c>
      <c r="AN70" s="18">
        <v>123</v>
      </c>
      <c r="AO70" s="18">
        <v>125</v>
      </c>
      <c r="AP70" s="18">
        <v>2248</v>
      </c>
      <c r="AQ70" s="18">
        <v>90</v>
      </c>
      <c r="AR70" s="18">
        <v>658</v>
      </c>
      <c r="AS70" s="18">
        <v>925</v>
      </c>
      <c r="AT70" s="18">
        <v>220</v>
      </c>
      <c r="AU70" s="18">
        <v>230</v>
      </c>
      <c r="AV70" s="210" t="s">
        <v>1</v>
      </c>
      <c r="AW70" s="109" t="s">
        <v>1</v>
      </c>
      <c r="AX70" s="198">
        <v>147</v>
      </c>
      <c r="AY70" s="109" t="s">
        <v>1</v>
      </c>
      <c r="AZ70" s="141">
        <v>0.0325005527304886</v>
      </c>
      <c r="BA70" s="200" t="s">
        <v>1</v>
      </c>
      <c r="BB70" s="207">
        <v>15</v>
      </c>
      <c r="BC70" s="109" t="s">
        <v>1</v>
      </c>
      <c r="BD70" s="141">
        <v>0.102040816326531</v>
      </c>
      <c r="BE70" s="200" t="s">
        <v>1</v>
      </c>
      <c r="BF70" s="200" t="s">
        <v>1</v>
      </c>
      <c r="BG70" s="109" t="s">
        <v>1</v>
      </c>
      <c r="BH70" s="109" t="s">
        <v>1</v>
      </c>
      <c r="BI70" s="200" t="s">
        <v>1</v>
      </c>
      <c r="BJ70" s="200" t="s">
        <v>1</v>
      </c>
      <c r="BK70" s="92" t="s">
        <v>74</v>
      </c>
      <c r="BL70" s="92">
        <v>252</v>
      </c>
      <c r="BM70" s="92">
        <v>263</v>
      </c>
      <c r="BN70" s="92">
        <v>731</v>
      </c>
      <c r="BO70" s="92" t="s">
        <v>74</v>
      </c>
      <c r="BP70" s="92">
        <v>81</v>
      </c>
      <c r="BQ70" s="125">
        <v>1336</v>
      </c>
      <c r="BR70" s="92">
        <v>148</v>
      </c>
      <c r="BS70" s="108" t="s">
        <v>1</v>
      </c>
      <c r="BT70" s="108" t="s">
        <v>1</v>
      </c>
      <c r="BU70" s="108" t="s">
        <v>1</v>
      </c>
      <c r="BV70" s="108" t="s">
        <v>1</v>
      </c>
      <c r="BW70" s="108" t="s">
        <v>1</v>
      </c>
      <c r="BX70" s="189" t="s">
        <v>1</v>
      </c>
      <c r="BY70" s="189" t="s">
        <v>1</v>
      </c>
      <c r="BZ70" s="191" t="s">
        <v>1</v>
      </c>
      <c r="CA70" s="189" t="s">
        <v>1</v>
      </c>
      <c r="CB70" s="190" t="s">
        <v>1</v>
      </c>
      <c r="CC70" s="189" t="s">
        <v>1</v>
      </c>
      <c r="CD70" s="188" t="s">
        <v>1</v>
      </c>
      <c r="CE70" s="191" t="s">
        <v>1</v>
      </c>
      <c r="CF70" s="189" t="s">
        <v>1</v>
      </c>
      <c r="CG70" s="189" t="s">
        <v>1</v>
      </c>
      <c r="CH70" s="108" t="s">
        <v>1</v>
      </c>
    </row>
    <row r="71" ht="25" customHeight="1" spans="1:86">
      <c r="A71" s="107">
        <v>45174</v>
      </c>
      <c r="B71" s="7" t="s">
        <v>89</v>
      </c>
      <c r="C71" s="208" t="s">
        <v>235</v>
      </c>
      <c r="D71" s="30" t="s">
        <v>1</v>
      </c>
      <c r="E71" s="30" t="s">
        <v>1</v>
      </c>
      <c r="F71" s="109" t="str">
        <f t="shared" si="3"/>
        <v/>
      </c>
      <c r="G71" s="30">
        <v>12.7275</v>
      </c>
      <c r="H71" s="141" t="str">
        <f t="shared" si="4"/>
        <v/>
      </c>
      <c r="I71" s="109" t="s">
        <v>1</v>
      </c>
      <c r="J71" s="141" t="str">
        <f t="shared" si="5"/>
        <v/>
      </c>
      <c r="K71" s="211" t="str">
        <f>IFERROR(E71/#REF!,"")</f>
        <v/>
      </c>
      <c r="L71" s="172">
        <v>10080</v>
      </c>
      <c r="M71" s="204">
        <v>82597</v>
      </c>
      <c r="N71" s="141">
        <f t="shared" si="6"/>
        <v>-0.877961669310023</v>
      </c>
      <c r="O71" s="109" t="s">
        <v>1</v>
      </c>
      <c r="P71" s="109">
        <v>4.16</v>
      </c>
      <c r="Q71" s="109" t="s">
        <v>1</v>
      </c>
      <c r="R71" s="109" t="s">
        <v>1</v>
      </c>
      <c r="S71" s="109" t="s">
        <v>1</v>
      </c>
      <c r="T71" s="109" t="s">
        <v>1</v>
      </c>
      <c r="U71" s="109" t="s">
        <v>1</v>
      </c>
      <c r="V71" s="109" t="s">
        <v>1</v>
      </c>
      <c r="W71" s="109" t="s">
        <v>1</v>
      </c>
      <c r="X71" s="18" t="s">
        <v>1</v>
      </c>
      <c r="Y71" s="18">
        <v>10682</v>
      </c>
      <c r="Z71" s="18" t="s">
        <v>1</v>
      </c>
      <c r="AA71" s="18">
        <v>3564</v>
      </c>
      <c r="AB71" s="18" t="s">
        <v>1</v>
      </c>
      <c r="AC71" s="18">
        <v>3</v>
      </c>
      <c r="AD71" s="18" t="s">
        <v>1</v>
      </c>
      <c r="AE71" s="18">
        <v>87.71</v>
      </c>
      <c r="AF71" s="18" t="s">
        <v>1</v>
      </c>
      <c r="AG71" s="18" t="s">
        <v>1</v>
      </c>
      <c r="AH71" s="18" t="s">
        <v>1</v>
      </c>
      <c r="AI71" s="18">
        <v>146</v>
      </c>
      <c r="AJ71" s="18">
        <v>2048</v>
      </c>
      <c r="AK71" s="18">
        <v>4011</v>
      </c>
      <c r="AL71" s="18">
        <v>883</v>
      </c>
      <c r="AM71" s="18">
        <v>547</v>
      </c>
      <c r="AN71" s="18">
        <v>116</v>
      </c>
      <c r="AO71" s="18">
        <v>118</v>
      </c>
      <c r="AP71" s="212">
        <v>2147</v>
      </c>
      <c r="AQ71" s="18">
        <v>121</v>
      </c>
      <c r="AR71" s="18">
        <v>832</v>
      </c>
      <c r="AS71" s="18">
        <v>1154</v>
      </c>
      <c r="AT71" s="18">
        <v>216</v>
      </c>
      <c r="AU71" s="18">
        <v>234</v>
      </c>
      <c r="AV71" s="210" t="s">
        <v>1</v>
      </c>
      <c r="AW71" s="109" t="s">
        <v>1</v>
      </c>
      <c r="AX71" s="198">
        <v>140</v>
      </c>
      <c r="AY71" s="109" t="s">
        <v>1</v>
      </c>
      <c r="AZ71" s="141">
        <v>0.0295234078447912</v>
      </c>
      <c r="BA71" s="200" t="s">
        <v>1</v>
      </c>
      <c r="BB71" s="207">
        <v>9</v>
      </c>
      <c r="BC71" s="109" t="s">
        <v>1</v>
      </c>
      <c r="BD71" s="141">
        <v>0.0642857142857143</v>
      </c>
      <c r="BE71" s="200" t="s">
        <v>1</v>
      </c>
      <c r="BF71" s="200" t="s">
        <v>1</v>
      </c>
      <c r="BG71" s="109" t="s">
        <v>1</v>
      </c>
      <c r="BH71" s="109" t="s">
        <v>1</v>
      </c>
      <c r="BI71" s="200" t="s">
        <v>1</v>
      </c>
      <c r="BJ71" s="200" t="s">
        <v>1</v>
      </c>
      <c r="BK71" s="92" t="s">
        <v>74</v>
      </c>
      <c r="BL71" s="92">
        <v>162</v>
      </c>
      <c r="BM71" s="92">
        <v>380</v>
      </c>
      <c r="BN71" s="125">
        <v>1142</v>
      </c>
      <c r="BO71" s="92" t="s">
        <v>74</v>
      </c>
      <c r="BP71" s="92">
        <v>985</v>
      </c>
      <c r="BQ71" s="92">
        <v>114</v>
      </c>
      <c r="BR71" s="92">
        <v>281</v>
      </c>
      <c r="BS71" s="108" t="s">
        <v>1</v>
      </c>
      <c r="BT71" s="108" t="s">
        <v>1</v>
      </c>
      <c r="BU71" s="108" t="s">
        <v>1</v>
      </c>
      <c r="BV71" s="108" t="s">
        <v>1</v>
      </c>
      <c r="BW71" s="108" t="s">
        <v>1</v>
      </c>
      <c r="BX71" s="189" t="s">
        <v>93</v>
      </c>
      <c r="BY71" s="189" t="s">
        <v>169</v>
      </c>
      <c r="BZ71" s="189" t="s">
        <v>78</v>
      </c>
      <c r="CA71" s="188" t="s">
        <v>181</v>
      </c>
      <c r="CB71" s="190" t="s">
        <v>236</v>
      </c>
      <c r="CC71" s="189" t="s">
        <v>86</v>
      </c>
      <c r="CD71" s="190" t="s">
        <v>92</v>
      </c>
      <c r="CE71" s="190" t="s">
        <v>237</v>
      </c>
      <c r="CF71" s="191" t="s">
        <v>185</v>
      </c>
      <c r="CG71" s="191" t="s">
        <v>238</v>
      </c>
      <c r="CH71" s="108" t="s">
        <v>1</v>
      </c>
    </row>
    <row r="72" ht="25" customHeight="1" spans="1:86">
      <c r="A72" s="107">
        <v>45175</v>
      </c>
      <c r="B72" s="7" t="s">
        <v>89</v>
      </c>
      <c r="C72" s="18" t="s">
        <v>75</v>
      </c>
      <c r="D72" s="30" t="s">
        <v>1</v>
      </c>
      <c r="E72" s="30" t="s">
        <v>1</v>
      </c>
      <c r="F72" s="109" t="str">
        <f t="shared" si="3"/>
        <v/>
      </c>
      <c r="G72" s="30">
        <v>8.5481</v>
      </c>
      <c r="H72" s="141" t="str">
        <f t="shared" si="4"/>
        <v/>
      </c>
      <c r="I72" s="109" t="s">
        <v>1</v>
      </c>
      <c r="J72" s="141" t="str">
        <f t="shared" si="5"/>
        <v/>
      </c>
      <c r="K72" s="211" t="str">
        <f>IFERROR(E72/#REF!,"")</f>
        <v/>
      </c>
      <c r="L72" s="172">
        <v>7798</v>
      </c>
      <c r="M72" s="204">
        <v>28892</v>
      </c>
      <c r="N72" s="141">
        <f t="shared" si="6"/>
        <v>-0.730098297106465</v>
      </c>
      <c r="O72" s="109" t="s">
        <v>1</v>
      </c>
      <c r="P72" s="109">
        <v>3.71</v>
      </c>
      <c r="Q72" s="109" t="s">
        <v>1</v>
      </c>
      <c r="R72" s="109" t="s">
        <v>1</v>
      </c>
      <c r="S72" s="109" t="s">
        <v>1</v>
      </c>
      <c r="T72" s="109" t="s">
        <v>1</v>
      </c>
      <c r="U72" s="109" t="s">
        <v>1</v>
      </c>
      <c r="V72" s="109" t="s">
        <v>1</v>
      </c>
      <c r="W72" s="109" t="s">
        <v>1</v>
      </c>
      <c r="X72" s="18" t="s">
        <v>1</v>
      </c>
      <c r="Y72" s="18">
        <v>8820</v>
      </c>
      <c r="Z72" s="18" t="s">
        <v>1</v>
      </c>
      <c r="AA72" s="18">
        <v>2978</v>
      </c>
      <c r="AB72" s="18" t="s">
        <v>1</v>
      </c>
      <c r="AC72" s="18">
        <v>2.96</v>
      </c>
      <c r="AD72" s="18" t="s">
        <v>1</v>
      </c>
      <c r="AE72" s="18">
        <v>88.28</v>
      </c>
      <c r="AF72" s="18" t="s">
        <v>1</v>
      </c>
      <c r="AG72" s="18" t="s">
        <v>1</v>
      </c>
      <c r="AH72" s="18" t="s">
        <v>1</v>
      </c>
      <c r="AI72" s="18">
        <v>150</v>
      </c>
      <c r="AJ72" s="212">
        <v>2080</v>
      </c>
      <c r="AK72" s="18">
        <v>3314</v>
      </c>
      <c r="AL72" s="18">
        <v>952</v>
      </c>
      <c r="AM72" s="18">
        <v>547</v>
      </c>
      <c r="AN72" s="18">
        <v>125</v>
      </c>
      <c r="AO72" s="18">
        <v>162</v>
      </c>
      <c r="AP72" s="18">
        <v>2458</v>
      </c>
      <c r="AQ72" s="18">
        <v>127</v>
      </c>
      <c r="AR72" s="18">
        <v>783</v>
      </c>
      <c r="AS72" s="18">
        <v>1077</v>
      </c>
      <c r="AT72" s="18">
        <v>216</v>
      </c>
      <c r="AU72" s="18">
        <v>280</v>
      </c>
      <c r="AV72" s="210" t="s">
        <v>1</v>
      </c>
      <c r="AW72" s="109" t="s">
        <v>1</v>
      </c>
      <c r="AX72" s="198">
        <v>161</v>
      </c>
      <c r="AY72" s="109" t="s">
        <v>1</v>
      </c>
      <c r="AZ72" s="141">
        <v>0.031612016493226</v>
      </c>
      <c r="BA72" s="200" t="s">
        <v>1</v>
      </c>
      <c r="BB72" s="207" t="s">
        <v>131</v>
      </c>
      <c r="BC72" s="109" t="s">
        <v>1</v>
      </c>
      <c r="BD72" s="141">
        <v>0.093167701863354</v>
      </c>
      <c r="BE72" s="200" t="s">
        <v>1</v>
      </c>
      <c r="BF72" s="200" t="s">
        <v>1</v>
      </c>
      <c r="BG72" s="109" t="s">
        <v>1</v>
      </c>
      <c r="BH72" s="109" t="s">
        <v>1</v>
      </c>
      <c r="BI72" s="200" t="s">
        <v>1</v>
      </c>
      <c r="BJ72" s="200" t="s">
        <v>1</v>
      </c>
      <c r="BK72" s="92" t="s">
        <v>74</v>
      </c>
      <c r="BL72" s="92">
        <v>163</v>
      </c>
      <c r="BM72" s="92">
        <v>394</v>
      </c>
      <c r="BN72" s="92">
        <v>780</v>
      </c>
      <c r="BO72" s="92" t="s">
        <v>74</v>
      </c>
      <c r="BP72" s="125">
        <v>1041</v>
      </c>
      <c r="BQ72" s="92">
        <v>98</v>
      </c>
      <c r="BR72" s="92">
        <v>166</v>
      </c>
      <c r="BS72" s="108" t="s">
        <v>1</v>
      </c>
      <c r="BT72" s="108" t="s">
        <v>1</v>
      </c>
      <c r="BU72" s="108" t="s">
        <v>1</v>
      </c>
      <c r="BV72" s="108" t="s">
        <v>1</v>
      </c>
      <c r="BW72" s="108" t="s">
        <v>1</v>
      </c>
      <c r="BX72" s="189" t="s">
        <v>1</v>
      </c>
      <c r="BY72" s="189" t="s">
        <v>1</v>
      </c>
      <c r="BZ72" s="189" t="s">
        <v>1</v>
      </c>
      <c r="CA72" s="188" t="s">
        <v>1</v>
      </c>
      <c r="CB72" s="190" t="s">
        <v>1</v>
      </c>
      <c r="CC72" s="189" t="s">
        <v>1</v>
      </c>
      <c r="CD72" s="190" t="s">
        <v>1</v>
      </c>
      <c r="CE72" s="190" t="s">
        <v>1</v>
      </c>
      <c r="CF72" s="191" t="s">
        <v>1</v>
      </c>
      <c r="CG72" s="191" t="s">
        <v>1</v>
      </c>
      <c r="CH72" s="108" t="s">
        <v>1</v>
      </c>
    </row>
    <row r="73" ht="25" customHeight="1" spans="1:86">
      <c r="A73" s="107">
        <v>45176</v>
      </c>
      <c r="B73" s="7" t="s">
        <v>129</v>
      </c>
      <c r="C73" s="18" t="s">
        <v>75</v>
      </c>
      <c r="D73" s="30" t="s">
        <v>1</v>
      </c>
      <c r="E73" s="30" t="s">
        <v>1</v>
      </c>
      <c r="F73" s="109" t="str">
        <f t="shared" si="3"/>
        <v/>
      </c>
      <c r="G73" s="30">
        <v>0</v>
      </c>
      <c r="H73" s="141" t="str">
        <f t="shared" si="4"/>
        <v/>
      </c>
      <c r="I73" s="109" t="s">
        <v>1</v>
      </c>
      <c r="J73" s="141" t="str">
        <f t="shared" si="5"/>
        <v/>
      </c>
      <c r="K73" s="211" t="str">
        <f>IFERROR(E73/#REF!,"")</f>
        <v/>
      </c>
      <c r="L73" s="172">
        <v>58367</v>
      </c>
      <c r="M73" s="204">
        <v>18634</v>
      </c>
      <c r="N73" s="141">
        <f t="shared" si="6"/>
        <v>2.1322850703016</v>
      </c>
      <c r="O73" s="109" t="s">
        <v>1</v>
      </c>
      <c r="P73" s="109">
        <v>5.17</v>
      </c>
      <c r="Q73" s="109" t="s">
        <v>1</v>
      </c>
      <c r="R73" s="109" t="s">
        <v>1</v>
      </c>
      <c r="S73" s="109" t="s">
        <v>1</v>
      </c>
      <c r="T73" s="109" t="s">
        <v>1</v>
      </c>
      <c r="U73" s="109" t="s">
        <v>1</v>
      </c>
      <c r="V73" s="109" t="s">
        <v>1</v>
      </c>
      <c r="W73" s="109" t="s">
        <v>1</v>
      </c>
      <c r="X73" s="18" t="s">
        <v>1</v>
      </c>
      <c r="Y73" s="18">
        <v>6727</v>
      </c>
      <c r="Z73" s="18" t="s">
        <v>1</v>
      </c>
      <c r="AA73" s="18">
        <v>2309</v>
      </c>
      <c r="AB73" s="18" t="s">
        <v>1</v>
      </c>
      <c r="AC73" s="18">
        <v>2.91</v>
      </c>
      <c r="AD73" s="18" t="s">
        <v>1</v>
      </c>
      <c r="AE73" s="18">
        <v>87.58</v>
      </c>
      <c r="AF73" s="18" t="s">
        <v>1</v>
      </c>
      <c r="AG73" s="18" t="s">
        <v>1</v>
      </c>
      <c r="AH73" s="18" t="s">
        <v>1</v>
      </c>
      <c r="AI73" s="18">
        <v>101</v>
      </c>
      <c r="AJ73" s="212">
        <v>2210</v>
      </c>
      <c r="AK73" s="18">
        <v>2353</v>
      </c>
      <c r="AL73" s="212">
        <v>865</v>
      </c>
      <c r="AM73" s="18">
        <v>581</v>
      </c>
      <c r="AN73" s="18">
        <v>120</v>
      </c>
      <c r="AO73" s="18">
        <v>147</v>
      </c>
      <c r="AP73" s="212">
        <v>2493</v>
      </c>
      <c r="AQ73" s="18">
        <v>87</v>
      </c>
      <c r="AR73" s="18">
        <v>852</v>
      </c>
      <c r="AS73" s="18">
        <v>755</v>
      </c>
      <c r="AT73" s="18">
        <v>215</v>
      </c>
      <c r="AU73" s="18">
        <v>182</v>
      </c>
      <c r="AV73" s="210" t="s">
        <v>1</v>
      </c>
      <c r="AW73" s="109" t="s">
        <v>1</v>
      </c>
      <c r="AX73" s="198">
        <v>136</v>
      </c>
      <c r="AY73" s="109" t="s">
        <v>1</v>
      </c>
      <c r="AZ73" s="141">
        <v>0.0264642926639424</v>
      </c>
      <c r="BA73" s="200" t="s">
        <v>1</v>
      </c>
      <c r="BB73" s="207" t="s">
        <v>188</v>
      </c>
      <c r="BC73" s="109" t="s">
        <v>1</v>
      </c>
      <c r="BD73" s="141">
        <v>0.117647058823529</v>
      </c>
      <c r="BE73" s="200" t="s">
        <v>1</v>
      </c>
      <c r="BF73" s="200" t="s">
        <v>1</v>
      </c>
      <c r="BG73" s="109" t="s">
        <v>1</v>
      </c>
      <c r="BH73" s="109" t="s">
        <v>1</v>
      </c>
      <c r="BI73" s="200" t="s">
        <v>1</v>
      </c>
      <c r="BJ73" s="200" t="s">
        <v>1</v>
      </c>
      <c r="BK73" s="92" t="s">
        <v>74</v>
      </c>
      <c r="BL73" s="92">
        <v>178</v>
      </c>
      <c r="BM73" s="92">
        <v>381</v>
      </c>
      <c r="BN73" s="92">
        <v>441</v>
      </c>
      <c r="BO73" s="92" t="s">
        <v>74</v>
      </c>
      <c r="BP73" s="92">
        <v>932</v>
      </c>
      <c r="BQ73" s="92">
        <v>114</v>
      </c>
      <c r="BR73" s="92">
        <v>75</v>
      </c>
      <c r="BS73" s="108" t="s">
        <v>1</v>
      </c>
      <c r="BT73" s="108" t="s">
        <v>1</v>
      </c>
      <c r="BU73" s="108" t="s">
        <v>1</v>
      </c>
      <c r="BV73" s="108" t="s">
        <v>1</v>
      </c>
      <c r="BW73" s="108" t="s">
        <v>1</v>
      </c>
      <c r="BX73" s="189" t="s">
        <v>1</v>
      </c>
      <c r="BY73" s="189" t="s">
        <v>1</v>
      </c>
      <c r="BZ73" s="189" t="s">
        <v>1</v>
      </c>
      <c r="CA73" s="188" t="s">
        <v>1</v>
      </c>
      <c r="CB73" s="190" t="s">
        <v>1</v>
      </c>
      <c r="CC73" s="189" t="s">
        <v>1</v>
      </c>
      <c r="CD73" s="190" t="s">
        <v>1</v>
      </c>
      <c r="CE73" s="190" t="s">
        <v>1</v>
      </c>
      <c r="CF73" s="191" t="s">
        <v>1</v>
      </c>
      <c r="CG73" s="191" t="s">
        <v>1</v>
      </c>
      <c r="CH73" s="108" t="s">
        <v>1</v>
      </c>
    </row>
    <row r="74" ht="25" customHeight="1" spans="1:86">
      <c r="A74" s="107">
        <v>45177</v>
      </c>
      <c r="B74" s="7" t="s">
        <v>1</v>
      </c>
      <c r="C74" s="18" t="s">
        <v>126</v>
      </c>
      <c r="D74" s="30" t="s">
        <v>1</v>
      </c>
      <c r="E74" s="30" t="s">
        <v>1</v>
      </c>
      <c r="F74" s="109" t="str">
        <f t="shared" si="3"/>
        <v/>
      </c>
      <c r="G74" s="30">
        <v>19.2395</v>
      </c>
      <c r="H74" s="141" t="str">
        <f t="shared" si="4"/>
        <v/>
      </c>
      <c r="I74" s="109" t="s">
        <v>1</v>
      </c>
      <c r="J74" s="141" t="str">
        <f t="shared" si="5"/>
        <v/>
      </c>
      <c r="K74" s="211" t="str">
        <f>IFERROR(E74/#REF!,"")</f>
        <v/>
      </c>
      <c r="L74" s="30">
        <v>43471</v>
      </c>
      <c r="M74" s="204">
        <v>198209</v>
      </c>
      <c r="N74" s="141">
        <f t="shared" si="6"/>
        <v>-0.780680998340136</v>
      </c>
      <c r="O74" s="109" t="s">
        <v>1</v>
      </c>
      <c r="P74" s="109">
        <v>2.09</v>
      </c>
      <c r="Q74" s="109" t="s">
        <v>1</v>
      </c>
      <c r="R74" s="109" t="s">
        <v>1</v>
      </c>
      <c r="S74" s="109" t="s">
        <v>1</v>
      </c>
      <c r="T74" s="109" t="s">
        <v>1</v>
      </c>
      <c r="U74" s="109" t="s">
        <v>1</v>
      </c>
      <c r="V74" s="109" t="s">
        <v>1</v>
      </c>
      <c r="W74" s="109" t="s">
        <v>1</v>
      </c>
      <c r="X74" s="18" t="s">
        <v>1</v>
      </c>
      <c r="Y74" s="18">
        <v>7852</v>
      </c>
      <c r="Z74" s="18" t="s">
        <v>1</v>
      </c>
      <c r="AA74" s="18">
        <v>2441</v>
      </c>
      <c r="AB74" s="18" t="s">
        <v>1</v>
      </c>
      <c r="AC74" s="18">
        <v>3.22</v>
      </c>
      <c r="AD74" s="18" t="s">
        <v>1</v>
      </c>
      <c r="AE74" s="18">
        <v>95.77</v>
      </c>
      <c r="AF74" s="18" t="s">
        <v>1</v>
      </c>
      <c r="AG74" s="18" t="s">
        <v>1</v>
      </c>
      <c r="AH74" s="18" t="s">
        <v>1</v>
      </c>
      <c r="AI74" s="18">
        <v>117</v>
      </c>
      <c r="AJ74" s="212">
        <v>2618</v>
      </c>
      <c r="AK74" s="212">
        <v>2656</v>
      </c>
      <c r="AL74" s="212">
        <v>849</v>
      </c>
      <c r="AM74" s="212">
        <v>615</v>
      </c>
      <c r="AN74" s="212">
        <v>92</v>
      </c>
      <c r="AO74" s="212">
        <v>128</v>
      </c>
      <c r="AP74" s="212">
        <v>2667</v>
      </c>
      <c r="AQ74" s="212">
        <v>148</v>
      </c>
      <c r="AR74" s="212">
        <v>923</v>
      </c>
      <c r="AS74" s="212">
        <v>799</v>
      </c>
      <c r="AT74" s="212">
        <v>162</v>
      </c>
      <c r="AU74" s="18">
        <v>232</v>
      </c>
      <c r="AV74" s="210" t="s">
        <v>1</v>
      </c>
      <c r="AW74" s="109" t="s">
        <v>1</v>
      </c>
      <c r="AX74" s="198">
        <v>121</v>
      </c>
      <c r="AY74" s="109" t="s">
        <v>1</v>
      </c>
      <c r="AZ74" s="141">
        <v>0.0236929704327394</v>
      </c>
      <c r="BA74" s="200" t="s">
        <v>1</v>
      </c>
      <c r="BB74" s="207" t="s">
        <v>191</v>
      </c>
      <c r="BC74" s="109" t="s">
        <v>1</v>
      </c>
      <c r="BD74" s="141">
        <v>0.0495867768595041</v>
      </c>
      <c r="BE74" s="200" t="s">
        <v>1</v>
      </c>
      <c r="BF74" s="200" t="s">
        <v>1</v>
      </c>
      <c r="BG74" s="109" t="s">
        <v>1</v>
      </c>
      <c r="BH74" s="109" t="s">
        <v>1</v>
      </c>
      <c r="BI74" s="200" t="s">
        <v>1</v>
      </c>
      <c r="BJ74" s="200" t="s">
        <v>1</v>
      </c>
      <c r="BK74" s="92" t="s">
        <v>74</v>
      </c>
      <c r="BL74" s="92">
        <v>156</v>
      </c>
      <c r="BM74" s="92">
        <v>445</v>
      </c>
      <c r="BN74" s="92">
        <v>452</v>
      </c>
      <c r="BO74" s="92" t="s">
        <v>74</v>
      </c>
      <c r="BP74" s="92">
        <v>798</v>
      </c>
      <c r="BQ74" s="92">
        <v>139</v>
      </c>
      <c r="BR74" s="92">
        <v>99</v>
      </c>
      <c r="BS74" s="108" t="s">
        <v>1</v>
      </c>
      <c r="BT74" s="108" t="s">
        <v>1</v>
      </c>
      <c r="BU74" s="108" t="s">
        <v>1</v>
      </c>
      <c r="BV74" s="108" t="s">
        <v>1</v>
      </c>
      <c r="BW74" s="108" t="s">
        <v>1</v>
      </c>
      <c r="BX74" s="189" t="s">
        <v>1</v>
      </c>
      <c r="BY74" s="189" t="s">
        <v>1</v>
      </c>
      <c r="BZ74" s="189" t="s">
        <v>1</v>
      </c>
      <c r="CA74" s="188" t="s">
        <v>1</v>
      </c>
      <c r="CB74" s="190" t="s">
        <v>1</v>
      </c>
      <c r="CC74" s="189" t="s">
        <v>1</v>
      </c>
      <c r="CD74" s="190" t="s">
        <v>1</v>
      </c>
      <c r="CE74" s="190" t="s">
        <v>1</v>
      </c>
      <c r="CF74" s="191" t="s">
        <v>1</v>
      </c>
      <c r="CG74" s="191" t="s">
        <v>1</v>
      </c>
      <c r="CH74" s="108" t="s">
        <v>1</v>
      </c>
    </row>
    <row r="75" ht="25" customHeight="1" spans="1:86">
      <c r="A75" s="107">
        <v>45178</v>
      </c>
      <c r="B75" s="7" t="s">
        <v>1</v>
      </c>
      <c r="C75" s="18" t="s">
        <v>125</v>
      </c>
      <c r="D75" s="30" t="s">
        <v>1</v>
      </c>
      <c r="E75" s="30" t="s">
        <v>1</v>
      </c>
      <c r="F75" s="109" t="str">
        <f t="shared" si="3"/>
        <v/>
      </c>
      <c r="G75" s="30">
        <v>12.2778</v>
      </c>
      <c r="H75" s="141" t="str">
        <f t="shared" si="4"/>
        <v/>
      </c>
      <c r="I75" s="109" t="s">
        <v>1</v>
      </c>
      <c r="J75" s="141" t="str">
        <f t="shared" si="5"/>
        <v/>
      </c>
      <c r="K75" s="211" t="str">
        <f>IFERROR(E75/#REF!,"")</f>
        <v/>
      </c>
      <c r="L75" s="30">
        <v>43455</v>
      </c>
      <c r="M75" s="204">
        <v>135546</v>
      </c>
      <c r="N75" s="141">
        <f t="shared" si="6"/>
        <v>-0.679407728741534</v>
      </c>
      <c r="O75" s="109" t="s">
        <v>1</v>
      </c>
      <c r="P75" s="109">
        <v>2.05</v>
      </c>
      <c r="Q75" s="109" t="s">
        <v>1</v>
      </c>
      <c r="R75" s="109" t="s">
        <v>1</v>
      </c>
      <c r="S75" s="109" t="s">
        <v>1</v>
      </c>
      <c r="T75" s="109" t="s">
        <v>1</v>
      </c>
      <c r="U75" s="109" t="s">
        <v>1</v>
      </c>
      <c r="V75" s="109" t="s">
        <v>1</v>
      </c>
      <c r="W75" s="109" t="s">
        <v>1</v>
      </c>
      <c r="X75" s="18" t="s">
        <v>1</v>
      </c>
      <c r="Y75" s="18">
        <v>6964</v>
      </c>
      <c r="Z75" s="18" t="s">
        <v>1</v>
      </c>
      <c r="AA75" s="18">
        <v>2353</v>
      </c>
      <c r="AB75" s="18" t="s">
        <v>1</v>
      </c>
      <c r="AC75" s="18">
        <v>2.96</v>
      </c>
      <c r="AD75" s="18" t="s">
        <v>1</v>
      </c>
      <c r="AE75" s="18">
        <v>86.8</v>
      </c>
      <c r="AF75" s="18" t="s">
        <v>1</v>
      </c>
      <c r="AG75" s="18" t="s">
        <v>1</v>
      </c>
      <c r="AH75" s="18" t="s">
        <v>1</v>
      </c>
      <c r="AI75" s="18">
        <v>124</v>
      </c>
      <c r="AJ75" s="212">
        <v>3022</v>
      </c>
      <c r="AK75" s="212">
        <v>2639</v>
      </c>
      <c r="AL75" s="212">
        <v>895</v>
      </c>
      <c r="AM75" s="212">
        <v>489</v>
      </c>
      <c r="AN75" s="212">
        <v>86</v>
      </c>
      <c r="AO75" s="212">
        <v>81</v>
      </c>
      <c r="AP75" s="212">
        <v>2863</v>
      </c>
      <c r="AQ75" s="212">
        <v>107</v>
      </c>
      <c r="AR75" s="212">
        <v>1019</v>
      </c>
      <c r="AS75" s="212">
        <v>866</v>
      </c>
      <c r="AT75" s="212">
        <v>231</v>
      </c>
      <c r="AU75" s="18">
        <v>227</v>
      </c>
      <c r="AV75" s="210" t="s">
        <v>1</v>
      </c>
      <c r="AW75" s="109" t="s">
        <v>1</v>
      </c>
      <c r="AX75" s="198">
        <v>136</v>
      </c>
      <c r="AY75" s="109" t="s">
        <v>1</v>
      </c>
      <c r="AZ75" s="141">
        <v>0.0245487364620939</v>
      </c>
      <c r="BA75" s="200" t="s">
        <v>1</v>
      </c>
      <c r="BB75" s="207" t="s">
        <v>229</v>
      </c>
      <c r="BC75" s="109" t="s">
        <v>1</v>
      </c>
      <c r="BD75" s="141">
        <v>0.0661764705882353</v>
      </c>
      <c r="BE75" s="200" t="s">
        <v>1</v>
      </c>
      <c r="BF75" s="200" t="s">
        <v>1</v>
      </c>
      <c r="BG75" s="109" t="s">
        <v>1</v>
      </c>
      <c r="BH75" s="109" t="s">
        <v>1</v>
      </c>
      <c r="BI75" s="200" t="s">
        <v>1</v>
      </c>
      <c r="BJ75" s="200" t="s">
        <v>1</v>
      </c>
      <c r="BK75" s="92" t="s">
        <v>74</v>
      </c>
      <c r="BL75" s="92">
        <v>160</v>
      </c>
      <c r="BM75" s="92">
        <v>465</v>
      </c>
      <c r="BN75" s="92">
        <v>774</v>
      </c>
      <c r="BO75" s="92" t="s">
        <v>74</v>
      </c>
      <c r="BP75" s="125">
        <v>1109</v>
      </c>
      <c r="BQ75" s="92">
        <v>93</v>
      </c>
      <c r="BR75" s="92">
        <v>200</v>
      </c>
      <c r="BS75" s="108" t="s">
        <v>1</v>
      </c>
      <c r="BT75" s="108" t="s">
        <v>1</v>
      </c>
      <c r="BU75" s="108" t="s">
        <v>1</v>
      </c>
      <c r="BV75" s="108" t="s">
        <v>1</v>
      </c>
      <c r="BW75" s="108" t="s">
        <v>1</v>
      </c>
      <c r="BX75" s="189" t="s">
        <v>1</v>
      </c>
      <c r="BY75" s="189" t="s">
        <v>1</v>
      </c>
      <c r="BZ75" s="189" t="s">
        <v>1</v>
      </c>
      <c r="CA75" s="188" t="s">
        <v>1</v>
      </c>
      <c r="CB75" s="190" t="s">
        <v>1</v>
      </c>
      <c r="CC75" s="189" t="s">
        <v>1</v>
      </c>
      <c r="CD75" s="190" t="s">
        <v>1</v>
      </c>
      <c r="CE75" s="190" t="s">
        <v>1</v>
      </c>
      <c r="CF75" s="191" t="s">
        <v>1</v>
      </c>
      <c r="CG75" s="191" t="s">
        <v>1</v>
      </c>
      <c r="CH75" s="108" t="s">
        <v>1</v>
      </c>
    </row>
    <row r="76" ht="25" customHeight="1" spans="1:86">
      <c r="A76" s="107">
        <v>45179</v>
      </c>
      <c r="B76" s="7" t="s">
        <v>89</v>
      </c>
      <c r="C76" s="18" t="s">
        <v>125</v>
      </c>
      <c r="D76" s="30" t="s">
        <v>1</v>
      </c>
      <c r="E76" s="30" t="s">
        <v>1</v>
      </c>
      <c r="F76" s="109" t="str">
        <f t="shared" si="3"/>
        <v/>
      </c>
      <c r="G76" s="30">
        <v>5.9645</v>
      </c>
      <c r="H76" s="141" t="str">
        <f t="shared" si="4"/>
        <v/>
      </c>
      <c r="I76" s="109" t="s">
        <v>1</v>
      </c>
      <c r="J76" s="141" t="str">
        <f t="shared" si="5"/>
        <v/>
      </c>
      <c r="K76" s="211" t="str">
        <f>IFERROR(E76/#REF!,"")</f>
        <v/>
      </c>
      <c r="L76" s="172">
        <v>12957</v>
      </c>
      <c r="M76" s="204">
        <v>66814</v>
      </c>
      <c r="N76" s="141">
        <f t="shared" si="6"/>
        <v>-0.806073577393959</v>
      </c>
      <c r="O76" s="109" t="s">
        <v>1</v>
      </c>
      <c r="P76" s="109">
        <v>1.21</v>
      </c>
      <c r="Q76" s="109" t="s">
        <v>1</v>
      </c>
      <c r="R76" s="109" t="s">
        <v>1</v>
      </c>
      <c r="S76" s="109" t="s">
        <v>1</v>
      </c>
      <c r="T76" s="109" t="s">
        <v>1</v>
      </c>
      <c r="U76" s="109" t="s">
        <v>1</v>
      </c>
      <c r="V76" s="109" t="s">
        <v>1</v>
      </c>
      <c r="W76" s="109" t="s">
        <v>1</v>
      </c>
      <c r="X76" s="18" t="s">
        <v>1</v>
      </c>
      <c r="Y76" s="18">
        <v>6085</v>
      </c>
      <c r="Z76" s="18" t="s">
        <v>1</v>
      </c>
      <c r="AA76" s="18">
        <v>1976</v>
      </c>
      <c r="AB76" s="18" t="s">
        <v>1</v>
      </c>
      <c r="AC76" s="18">
        <v>3.08</v>
      </c>
      <c r="AD76" s="18" t="s">
        <v>1</v>
      </c>
      <c r="AE76" s="18">
        <v>84.04</v>
      </c>
      <c r="AF76" s="18" t="s">
        <v>1</v>
      </c>
      <c r="AG76" s="18" t="s">
        <v>1</v>
      </c>
      <c r="AH76" s="18" t="s">
        <v>1</v>
      </c>
      <c r="AI76" s="18">
        <v>120</v>
      </c>
      <c r="AJ76" s="212">
        <v>2976</v>
      </c>
      <c r="AK76" s="212">
        <v>2173</v>
      </c>
      <c r="AL76" s="212">
        <v>885</v>
      </c>
      <c r="AM76" s="212">
        <v>444</v>
      </c>
      <c r="AN76" s="212">
        <v>108</v>
      </c>
      <c r="AO76" s="212">
        <v>64</v>
      </c>
      <c r="AP76" s="212">
        <v>2983</v>
      </c>
      <c r="AQ76" s="212">
        <v>83</v>
      </c>
      <c r="AR76" s="212">
        <v>1074</v>
      </c>
      <c r="AS76" s="212">
        <v>838</v>
      </c>
      <c r="AT76" s="212">
        <v>172</v>
      </c>
      <c r="AU76" s="18">
        <v>165</v>
      </c>
      <c r="AV76" s="210" t="s">
        <v>1</v>
      </c>
      <c r="AW76" s="109" t="s">
        <v>1</v>
      </c>
      <c r="AX76" s="198">
        <v>177</v>
      </c>
      <c r="AY76" s="109" t="s">
        <v>1</v>
      </c>
      <c r="AZ76" s="141">
        <v>0.0311072056239016</v>
      </c>
      <c r="BA76" s="200" t="s">
        <v>1</v>
      </c>
      <c r="BB76" s="207" t="s">
        <v>239</v>
      </c>
      <c r="BC76" s="109" t="s">
        <v>1</v>
      </c>
      <c r="BD76" s="141">
        <v>0.0225988700564972</v>
      </c>
      <c r="BE76" s="200" t="s">
        <v>1</v>
      </c>
      <c r="BF76" s="200" t="s">
        <v>1</v>
      </c>
      <c r="BG76" s="109" t="s">
        <v>1</v>
      </c>
      <c r="BH76" s="109" t="s">
        <v>1</v>
      </c>
      <c r="BI76" s="200" t="s">
        <v>1</v>
      </c>
      <c r="BJ76" s="200" t="s">
        <v>1</v>
      </c>
      <c r="BK76" s="92" t="s">
        <v>74</v>
      </c>
      <c r="BL76" s="92">
        <v>175</v>
      </c>
      <c r="BM76" s="92">
        <v>432</v>
      </c>
      <c r="BN76" s="92">
        <v>673</v>
      </c>
      <c r="BO76" s="92" t="s">
        <v>74</v>
      </c>
      <c r="BP76" s="92">
        <v>917</v>
      </c>
      <c r="BQ76" s="92">
        <v>125</v>
      </c>
      <c r="BR76" s="92">
        <v>186</v>
      </c>
      <c r="BS76" s="108" t="s">
        <v>1</v>
      </c>
      <c r="BT76" s="108" t="s">
        <v>1</v>
      </c>
      <c r="BU76" s="108" t="s">
        <v>1</v>
      </c>
      <c r="BV76" s="108" t="s">
        <v>1</v>
      </c>
      <c r="BW76" s="108" t="s">
        <v>1</v>
      </c>
      <c r="BX76" s="189" t="s">
        <v>1</v>
      </c>
      <c r="BY76" s="189" t="s">
        <v>1</v>
      </c>
      <c r="BZ76" s="189" t="s">
        <v>1</v>
      </c>
      <c r="CA76" s="188" t="s">
        <v>1</v>
      </c>
      <c r="CB76" s="190" t="s">
        <v>1</v>
      </c>
      <c r="CC76" s="189" t="s">
        <v>1</v>
      </c>
      <c r="CD76" s="190" t="s">
        <v>1</v>
      </c>
      <c r="CE76" s="190" t="s">
        <v>1</v>
      </c>
      <c r="CF76" s="191" t="s">
        <v>1</v>
      </c>
      <c r="CG76" s="191" t="s">
        <v>1</v>
      </c>
      <c r="CH76" s="108" t="s">
        <v>1</v>
      </c>
    </row>
    <row r="77" ht="25" customHeight="1" spans="1:86">
      <c r="A77" s="107">
        <v>45180</v>
      </c>
      <c r="B77" s="7" t="s">
        <v>89</v>
      </c>
      <c r="C77" s="18" t="s">
        <v>125</v>
      </c>
      <c r="D77" s="30" t="s">
        <v>1</v>
      </c>
      <c r="E77" s="30" t="s">
        <v>1</v>
      </c>
      <c r="F77" s="109" t="str">
        <f t="shared" si="3"/>
        <v/>
      </c>
      <c r="G77" s="30">
        <v>3.9991</v>
      </c>
      <c r="H77" s="141" t="str">
        <f t="shared" si="4"/>
        <v/>
      </c>
      <c r="I77" s="109" t="s">
        <v>1</v>
      </c>
      <c r="J77" s="141" t="str">
        <f t="shared" si="5"/>
        <v/>
      </c>
      <c r="K77" s="211" t="str">
        <f>IFERROR(E77/#REF!,"")</f>
        <v/>
      </c>
      <c r="L77" s="172">
        <v>42854</v>
      </c>
      <c r="M77" s="204">
        <v>106234</v>
      </c>
      <c r="N77" s="141">
        <f t="shared" si="6"/>
        <v>-0.596607489127775</v>
      </c>
      <c r="O77" s="109" t="s">
        <v>1</v>
      </c>
      <c r="P77" s="109">
        <v>5.94</v>
      </c>
      <c r="Q77" s="109" t="s">
        <v>1</v>
      </c>
      <c r="R77" s="109" t="s">
        <v>1</v>
      </c>
      <c r="S77" s="109" t="s">
        <v>1</v>
      </c>
      <c r="T77" s="109" t="s">
        <v>1</v>
      </c>
      <c r="U77" s="109" t="s">
        <v>1</v>
      </c>
      <c r="V77" s="109" t="s">
        <v>1</v>
      </c>
      <c r="W77" s="109" t="s">
        <v>1</v>
      </c>
      <c r="X77" s="18" t="s">
        <v>1</v>
      </c>
      <c r="Y77" s="18">
        <v>8072</v>
      </c>
      <c r="Z77" s="18" t="s">
        <v>1</v>
      </c>
      <c r="AA77" s="18">
        <v>2405</v>
      </c>
      <c r="AB77" s="18" t="s">
        <v>1</v>
      </c>
      <c r="AC77" s="18">
        <v>3.36</v>
      </c>
      <c r="AD77" s="18" t="s">
        <v>1</v>
      </c>
      <c r="AE77" s="18">
        <v>95.49</v>
      </c>
      <c r="AF77" s="18" t="s">
        <v>1</v>
      </c>
      <c r="AG77" s="18" t="s">
        <v>1</v>
      </c>
      <c r="AH77" s="18" t="s">
        <v>1</v>
      </c>
      <c r="AI77" s="18">
        <v>105</v>
      </c>
      <c r="AJ77" s="212">
        <v>2300</v>
      </c>
      <c r="AK77" s="18">
        <v>2646</v>
      </c>
      <c r="AL77" s="18">
        <v>813</v>
      </c>
      <c r="AM77" s="18">
        <v>481</v>
      </c>
      <c r="AN77" s="18">
        <v>108</v>
      </c>
      <c r="AO77" s="18">
        <v>149</v>
      </c>
      <c r="AP77" s="212">
        <v>2241</v>
      </c>
      <c r="AQ77" s="18">
        <v>106</v>
      </c>
      <c r="AR77" s="212">
        <v>1053</v>
      </c>
      <c r="AS77" s="18">
        <v>931</v>
      </c>
      <c r="AT77" s="18">
        <v>188</v>
      </c>
      <c r="AU77" s="18">
        <v>219</v>
      </c>
      <c r="AV77" s="210" t="s">
        <v>1</v>
      </c>
      <c r="AW77" s="109" t="s">
        <v>1</v>
      </c>
      <c r="AX77" s="198">
        <v>137</v>
      </c>
      <c r="AY77" s="109" t="s">
        <v>1</v>
      </c>
      <c r="AZ77" s="141">
        <v>0.02742193755004</v>
      </c>
      <c r="BA77" s="200" t="s">
        <v>1</v>
      </c>
      <c r="BB77" s="207" t="s">
        <v>112</v>
      </c>
      <c r="BC77" s="109" t="s">
        <v>1</v>
      </c>
      <c r="BD77" s="141">
        <v>0.102189781021898</v>
      </c>
      <c r="BE77" s="200" t="s">
        <v>1</v>
      </c>
      <c r="BF77" s="200" t="s">
        <v>1</v>
      </c>
      <c r="BG77" s="109" t="s">
        <v>1</v>
      </c>
      <c r="BH77" s="109" t="s">
        <v>1</v>
      </c>
      <c r="BI77" s="200" t="s">
        <v>1</v>
      </c>
      <c r="BJ77" s="200" t="s">
        <v>1</v>
      </c>
      <c r="BK77" s="92" t="s">
        <v>74</v>
      </c>
      <c r="BL77" s="92">
        <v>131</v>
      </c>
      <c r="BM77" s="92">
        <v>557</v>
      </c>
      <c r="BN77" s="92">
        <v>749</v>
      </c>
      <c r="BO77" s="92" t="s">
        <v>74</v>
      </c>
      <c r="BP77" s="92">
        <v>908</v>
      </c>
      <c r="BQ77" s="92">
        <v>122</v>
      </c>
      <c r="BR77" s="92">
        <v>184</v>
      </c>
      <c r="BS77" s="108" t="s">
        <v>1</v>
      </c>
      <c r="BT77" s="108" t="s">
        <v>1</v>
      </c>
      <c r="BU77" s="108" t="s">
        <v>1</v>
      </c>
      <c r="BV77" s="108" t="s">
        <v>1</v>
      </c>
      <c r="BW77" s="108" t="s">
        <v>1</v>
      </c>
      <c r="BX77" s="189" t="s">
        <v>1</v>
      </c>
      <c r="BY77" s="189" t="s">
        <v>1</v>
      </c>
      <c r="BZ77" s="189" t="s">
        <v>1</v>
      </c>
      <c r="CA77" s="188" t="s">
        <v>1</v>
      </c>
      <c r="CB77" s="190" t="s">
        <v>1</v>
      </c>
      <c r="CC77" s="189" t="s">
        <v>1</v>
      </c>
      <c r="CD77" s="190" t="s">
        <v>1</v>
      </c>
      <c r="CE77" s="190" t="s">
        <v>1</v>
      </c>
      <c r="CF77" s="191" t="s">
        <v>1</v>
      </c>
      <c r="CG77" s="191" t="s">
        <v>1</v>
      </c>
      <c r="CH77" s="108" t="s">
        <v>1</v>
      </c>
    </row>
    <row r="78" ht="25" customHeight="1" spans="1:86">
      <c r="A78" s="107">
        <v>45181</v>
      </c>
      <c r="B78" s="7" t="s">
        <v>89</v>
      </c>
      <c r="C78" s="18" t="s">
        <v>75</v>
      </c>
      <c r="D78" s="30" t="s">
        <v>1</v>
      </c>
      <c r="E78" s="30" t="s">
        <v>1</v>
      </c>
      <c r="F78" s="109" t="str">
        <f t="shared" si="3"/>
        <v/>
      </c>
      <c r="G78" s="30">
        <v>0</v>
      </c>
      <c r="H78" s="141" t="str">
        <f t="shared" si="4"/>
        <v/>
      </c>
      <c r="I78" s="109" t="s">
        <v>1</v>
      </c>
      <c r="J78" s="141" t="str">
        <f t="shared" si="5"/>
        <v/>
      </c>
      <c r="K78" s="211" t="str">
        <f>IFERROR(E78/#REF!,"")</f>
        <v/>
      </c>
      <c r="L78" s="172">
        <v>14197</v>
      </c>
      <c r="M78" s="204">
        <v>62145</v>
      </c>
      <c r="N78" s="141">
        <f t="shared" si="6"/>
        <v>-0.771550406307828</v>
      </c>
      <c r="O78" s="109" t="s">
        <v>1</v>
      </c>
      <c r="P78" s="109">
        <v>3.95</v>
      </c>
      <c r="Q78" s="109" t="s">
        <v>1</v>
      </c>
      <c r="R78" s="109" t="s">
        <v>1</v>
      </c>
      <c r="S78" s="109" t="s">
        <v>1</v>
      </c>
      <c r="T78" s="109" t="s">
        <v>1</v>
      </c>
      <c r="U78" s="109" t="s">
        <v>1</v>
      </c>
      <c r="V78" s="109" t="s">
        <v>1</v>
      </c>
      <c r="W78" s="109" t="s">
        <v>1</v>
      </c>
      <c r="X78" s="18" t="s">
        <v>1</v>
      </c>
      <c r="Y78" s="18">
        <v>7068</v>
      </c>
      <c r="Z78" s="18" t="s">
        <v>1</v>
      </c>
      <c r="AA78" s="18">
        <v>2328</v>
      </c>
      <c r="AB78" s="18" t="s">
        <v>1</v>
      </c>
      <c r="AC78" s="18">
        <v>3.04</v>
      </c>
      <c r="AD78" s="18" t="s">
        <v>1</v>
      </c>
      <c r="AE78" s="18">
        <v>93.93</v>
      </c>
      <c r="AF78" s="18" t="s">
        <v>1</v>
      </c>
      <c r="AG78" s="18" t="s">
        <v>1</v>
      </c>
      <c r="AH78" s="18" t="s">
        <v>1</v>
      </c>
      <c r="AI78" s="18">
        <v>109</v>
      </c>
      <c r="AJ78" s="212">
        <v>2418</v>
      </c>
      <c r="AK78" s="18">
        <v>2505</v>
      </c>
      <c r="AL78" s="212">
        <v>1211</v>
      </c>
      <c r="AM78" s="18">
        <v>467</v>
      </c>
      <c r="AN78" s="18">
        <v>164</v>
      </c>
      <c r="AO78" s="18">
        <v>122</v>
      </c>
      <c r="AP78" s="212">
        <v>3153</v>
      </c>
      <c r="AQ78" s="18">
        <v>95</v>
      </c>
      <c r="AR78" s="212">
        <v>1064</v>
      </c>
      <c r="AS78" s="18">
        <v>851</v>
      </c>
      <c r="AT78" s="18">
        <v>207</v>
      </c>
      <c r="AU78" s="18">
        <v>201</v>
      </c>
      <c r="AV78" s="210" t="s">
        <v>1</v>
      </c>
      <c r="AW78" s="109" t="s">
        <v>1</v>
      </c>
      <c r="AX78" s="198">
        <v>181</v>
      </c>
      <c r="AY78" s="109" t="s">
        <v>1</v>
      </c>
      <c r="AZ78" s="141">
        <v>0.0290064102564103</v>
      </c>
      <c r="BA78" s="200" t="s">
        <v>1</v>
      </c>
      <c r="BB78" s="108">
        <v>15</v>
      </c>
      <c r="BC78" s="109" t="s">
        <v>1</v>
      </c>
      <c r="BD78" s="141">
        <v>0.0828729281767956</v>
      </c>
      <c r="BE78" s="200" t="s">
        <v>1</v>
      </c>
      <c r="BF78" s="200" t="s">
        <v>1</v>
      </c>
      <c r="BG78" s="109" t="s">
        <v>1</v>
      </c>
      <c r="BH78" s="109" t="s">
        <v>1</v>
      </c>
      <c r="BI78" s="200" t="s">
        <v>1</v>
      </c>
      <c r="BJ78" s="200" t="s">
        <v>1</v>
      </c>
      <c r="BK78" s="92" t="s">
        <v>74</v>
      </c>
      <c r="BL78" s="92">
        <v>158</v>
      </c>
      <c r="BM78" s="92">
        <v>446</v>
      </c>
      <c r="BN78" s="92">
        <v>529</v>
      </c>
      <c r="BO78" s="92" t="s">
        <v>74</v>
      </c>
      <c r="BP78" s="92">
        <v>981</v>
      </c>
      <c r="BQ78" s="92">
        <v>97</v>
      </c>
      <c r="BR78" s="92">
        <v>149</v>
      </c>
      <c r="BS78" s="108" t="s">
        <v>1</v>
      </c>
      <c r="BT78" s="108" t="s">
        <v>1</v>
      </c>
      <c r="BU78" s="108" t="s">
        <v>1</v>
      </c>
      <c r="BV78" s="108" t="s">
        <v>1</v>
      </c>
      <c r="BW78" s="108" t="s">
        <v>1</v>
      </c>
      <c r="BX78" s="189" t="s">
        <v>93</v>
      </c>
      <c r="BY78" s="189" t="s">
        <v>105</v>
      </c>
      <c r="BZ78" s="189" t="s">
        <v>78</v>
      </c>
      <c r="CA78" s="189" t="s">
        <v>169</v>
      </c>
      <c r="CB78" s="189" t="s">
        <v>128</v>
      </c>
      <c r="CC78" s="189" t="s">
        <v>87</v>
      </c>
      <c r="CD78" s="190" t="s">
        <v>92</v>
      </c>
      <c r="CE78" s="188" t="s">
        <v>181</v>
      </c>
      <c r="CF78" s="189" t="s">
        <v>107</v>
      </c>
      <c r="CG78" s="189" t="s">
        <v>87</v>
      </c>
      <c r="CH78" s="108" t="s">
        <v>1</v>
      </c>
    </row>
    <row r="79" ht="25" customHeight="1" spans="1:86">
      <c r="A79" s="107">
        <v>45182</v>
      </c>
      <c r="B79" s="7" t="s">
        <v>89</v>
      </c>
      <c r="C79" s="18" t="s">
        <v>75</v>
      </c>
      <c r="D79" s="30" t="s">
        <v>1</v>
      </c>
      <c r="E79" s="30" t="s">
        <v>1</v>
      </c>
      <c r="F79" s="109" t="str">
        <f t="shared" si="3"/>
        <v/>
      </c>
      <c r="G79" s="30">
        <v>0</v>
      </c>
      <c r="H79" s="141" t="str">
        <f t="shared" si="4"/>
        <v/>
      </c>
      <c r="I79" s="109" t="s">
        <v>1</v>
      </c>
      <c r="J79" s="141" t="str">
        <f t="shared" si="5"/>
        <v/>
      </c>
      <c r="K79" s="211" t="str">
        <f>IFERROR(E79/#REF!,"")</f>
        <v/>
      </c>
      <c r="L79" s="172">
        <v>19777</v>
      </c>
      <c r="M79" s="204">
        <v>6789</v>
      </c>
      <c r="N79" s="141">
        <f t="shared" si="6"/>
        <v>1.91309471203417</v>
      </c>
      <c r="O79" s="109" t="s">
        <v>1</v>
      </c>
      <c r="P79" s="109">
        <v>8.79</v>
      </c>
      <c r="Q79" s="109" t="s">
        <v>1</v>
      </c>
      <c r="R79" s="109" t="s">
        <v>1</v>
      </c>
      <c r="S79" s="109" t="s">
        <v>1</v>
      </c>
      <c r="T79" s="109" t="s">
        <v>1</v>
      </c>
      <c r="U79" s="109" t="s">
        <v>1</v>
      </c>
      <c r="V79" s="109" t="s">
        <v>1</v>
      </c>
      <c r="W79" s="109" t="s">
        <v>1</v>
      </c>
      <c r="X79" s="18" t="s">
        <v>1</v>
      </c>
      <c r="Y79" s="18">
        <v>7393</v>
      </c>
      <c r="Z79" s="18" t="s">
        <v>1</v>
      </c>
      <c r="AA79" s="18">
        <v>2417</v>
      </c>
      <c r="AB79" s="18" t="s">
        <v>1</v>
      </c>
      <c r="AC79" s="18">
        <v>3.06</v>
      </c>
      <c r="AD79" s="18" t="s">
        <v>1</v>
      </c>
      <c r="AE79" s="18">
        <v>96.47</v>
      </c>
      <c r="AF79" s="18" t="s">
        <v>1</v>
      </c>
      <c r="AG79" s="18" t="s">
        <v>1</v>
      </c>
      <c r="AH79" s="18" t="s">
        <v>1</v>
      </c>
      <c r="AI79" s="18">
        <v>115</v>
      </c>
      <c r="AJ79" s="212">
        <v>2208</v>
      </c>
      <c r="AK79" s="18">
        <v>2575</v>
      </c>
      <c r="AL79" s="212">
        <v>1167</v>
      </c>
      <c r="AM79" s="18">
        <v>587</v>
      </c>
      <c r="AN79" s="18">
        <v>122</v>
      </c>
      <c r="AO79" s="18">
        <v>124</v>
      </c>
      <c r="AP79" s="212">
        <v>3757</v>
      </c>
      <c r="AQ79" s="18">
        <v>123</v>
      </c>
      <c r="AR79" s="18">
        <v>955</v>
      </c>
      <c r="AS79" s="18">
        <v>849</v>
      </c>
      <c r="AT79" s="18">
        <v>205</v>
      </c>
      <c r="AU79" s="18">
        <v>240</v>
      </c>
      <c r="AV79" s="210" t="s">
        <v>1</v>
      </c>
      <c r="AW79" s="109" t="s">
        <v>1</v>
      </c>
      <c r="AX79" s="198">
        <v>207</v>
      </c>
      <c r="AY79" s="109" t="s">
        <v>1</v>
      </c>
      <c r="AZ79" s="141">
        <v>0.0310950878774223</v>
      </c>
      <c r="BA79" s="200" t="s">
        <v>1</v>
      </c>
      <c r="BB79" s="108">
        <v>15</v>
      </c>
      <c r="BC79" s="109" t="s">
        <v>1</v>
      </c>
      <c r="BD79" s="141">
        <v>0.072463768115942</v>
      </c>
      <c r="BE79" s="200" t="s">
        <v>1</v>
      </c>
      <c r="BF79" s="200" t="s">
        <v>1</v>
      </c>
      <c r="BG79" s="109" t="s">
        <v>1</v>
      </c>
      <c r="BH79" s="109" t="s">
        <v>1</v>
      </c>
      <c r="BI79" s="200" t="s">
        <v>1</v>
      </c>
      <c r="BJ79" s="200" t="s">
        <v>1</v>
      </c>
      <c r="BK79" s="92" t="s">
        <v>74</v>
      </c>
      <c r="BL79" s="92">
        <v>153</v>
      </c>
      <c r="BM79" s="92">
        <v>470</v>
      </c>
      <c r="BN79" s="92">
        <v>341</v>
      </c>
      <c r="BO79" s="92" t="s">
        <v>74</v>
      </c>
      <c r="BP79" s="92">
        <v>858</v>
      </c>
      <c r="BQ79" s="92">
        <v>120</v>
      </c>
      <c r="BR79" s="92">
        <v>98</v>
      </c>
      <c r="BS79" s="108" t="s">
        <v>1</v>
      </c>
      <c r="BT79" s="108" t="s">
        <v>1</v>
      </c>
      <c r="BU79" s="108" t="s">
        <v>1</v>
      </c>
      <c r="BV79" s="108" t="s">
        <v>1</v>
      </c>
      <c r="BW79" s="108" t="s">
        <v>1</v>
      </c>
      <c r="BX79" s="189" t="s">
        <v>1</v>
      </c>
      <c r="BY79" s="189" t="s">
        <v>1</v>
      </c>
      <c r="BZ79" s="189" t="s">
        <v>1</v>
      </c>
      <c r="CA79" s="189" t="s">
        <v>1</v>
      </c>
      <c r="CB79" s="189" t="s">
        <v>1</v>
      </c>
      <c r="CC79" s="189" t="s">
        <v>1</v>
      </c>
      <c r="CD79" s="190" t="s">
        <v>1</v>
      </c>
      <c r="CE79" s="188" t="s">
        <v>1</v>
      </c>
      <c r="CF79" s="189" t="s">
        <v>1</v>
      </c>
      <c r="CG79" s="189" t="s">
        <v>1</v>
      </c>
      <c r="CH79" s="108" t="s">
        <v>1</v>
      </c>
    </row>
    <row r="80" ht="25" customHeight="1" spans="1:86">
      <c r="A80" s="107">
        <v>45183</v>
      </c>
      <c r="B80" s="118" t="s">
        <v>126</v>
      </c>
      <c r="C80" s="18" t="s">
        <v>126</v>
      </c>
      <c r="D80" s="30" t="s">
        <v>1</v>
      </c>
      <c r="E80" s="30" t="s">
        <v>1</v>
      </c>
      <c r="F80" s="109" t="str">
        <f t="shared" si="3"/>
        <v/>
      </c>
      <c r="G80" s="30">
        <v>31.1751</v>
      </c>
      <c r="H80" s="141" t="str">
        <f t="shared" si="4"/>
        <v/>
      </c>
      <c r="I80" s="109" t="s">
        <v>1</v>
      </c>
      <c r="J80" s="141" t="str">
        <f t="shared" si="5"/>
        <v/>
      </c>
      <c r="K80" s="211" t="str">
        <f>IFERROR(E80/#REF!,"")</f>
        <v/>
      </c>
      <c r="L80" s="172">
        <v>55569</v>
      </c>
      <c r="M80" s="204">
        <v>63770</v>
      </c>
      <c r="N80" s="141">
        <f t="shared" si="6"/>
        <v>-0.128602791281167</v>
      </c>
      <c r="O80" s="109" t="s">
        <v>1</v>
      </c>
      <c r="P80" s="32" t="s">
        <v>1</v>
      </c>
      <c r="Q80" s="109" t="s">
        <v>1</v>
      </c>
      <c r="R80" s="109" t="s">
        <v>1</v>
      </c>
      <c r="S80" s="109" t="s">
        <v>1</v>
      </c>
      <c r="T80" s="109" t="s">
        <v>1</v>
      </c>
      <c r="U80" s="109" t="s">
        <v>1</v>
      </c>
      <c r="V80" s="109" t="s">
        <v>1</v>
      </c>
      <c r="W80" s="109" t="s">
        <v>1</v>
      </c>
      <c r="X80" s="18" t="s">
        <v>1</v>
      </c>
      <c r="Y80" s="18">
        <v>10508</v>
      </c>
      <c r="Z80" s="18" t="s">
        <v>1</v>
      </c>
      <c r="AA80" s="18">
        <v>2834</v>
      </c>
      <c r="AB80" s="18" t="s">
        <v>1</v>
      </c>
      <c r="AC80" s="18">
        <v>3.71</v>
      </c>
      <c r="AD80" s="18" t="s">
        <v>1</v>
      </c>
      <c r="AE80" s="18">
        <v>109.41</v>
      </c>
      <c r="AF80" s="18" t="s">
        <v>1</v>
      </c>
      <c r="AG80" s="18" t="s">
        <v>1</v>
      </c>
      <c r="AH80" s="18" t="s">
        <v>1</v>
      </c>
      <c r="AI80" s="18">
        <v>157</v>
      </c>
      <c r="AJ80" s="212">
        <v>2480</v>
      </c>
      <c r="AK80" s="18">
        <v>3293</v>
      </c>
      <c r="AL80" s="18">
        <v>812</v>
      </c>
      <c r="AM80" s="18">
        <v>596</v>
      </c>
      <c r="AN80" s="18">
        <v>144</v>
      </c>
      <c r="AO80" s="18">
        <v>189</v>
      </c>
      <c r="AP80" s="212">
        <v>2855</v>
      </c>
      <c r="AQ80" s="18">
        <v>138</v>
      </c>
      <c r="AR80" s="212">
        <v>1161</v>
      </c>
      <c r="AS80" s="18">
        <v>1032</v>
      </c>
      <c r="AT80" s="18">
        <v>185</v>
      </c>
      <c r="AU80" s="18">
        <v>321</v>
      </c>
      <c r="AV80" s="210" t="s">
        <v>1</v>
      </c>
      <c r="AW80" s="109" t="s">
        <v>1</v>
      </c>
      <c r="AX80" s="198">
        <v>235</v>
      </c>
      <c r="AY80" s="109" t="s">
        <v>1</v>
      </c>
      <c r="AZ80" s="141">
        <v>0.0406222990492653</v>
      </c>
      <c r="BA80" s="200" t="s">
        <v>1</v>
      </c>
      <c r="BB80" s="108">
        <v>13</v>
      </c>
      <c r="BC80" s="109" t="s">
        <v>1</v>
      </c>
      <c r="BD80" s="141">
        <v>0.0553191489361702</v>
      </c>
      <c r="BE80" s="200" t="s">
        <v>1</v>
      </c>
      <c r="BF80" s="200" t="s">
        <v>1</v>
      </c>
      <c r="BG80" s="109" t="s">
        <v>1</v>
      </c>
      <c r="BH80" s="109" t="s">
        <v>1</v>
      </c>
      <c r="BI80" s="200" t="s">
        <v>1</v>
      </c>
      <c r="BJ80" s="200" t="s">
        <v>1</v>
      </c>
      <c r="BK80" s="92" t="s">
        <v>74</v>
      </c>
      <c r="BL80" s="92">
        <v>114</v>
      </c>
      <c r="BM80" s="92">
        <v>638</v>
      </c>
      <c r="BN80" s="92">
        <v>538</v>
      </c>
      <c r="BO80" s="92" t="s">
        <v>74</v>
      </c>
      <c r="BP80" s="92">
        <v>710</v>
      </c>
      <c r="BQ80" s="92">
        <v>166</v>
      </c>
      <c r="BR80" s="92">
        <v>178</v>
      </c>
      <c r="BS80" s="108" t="s">
        <v>1</v>
      </c>
      <c r="BT80" s="108" t="s">
        <v>1</v>
      </c>
      <c r="BU80" s="108" t="s">
        <v>1</v>
      </c>
      <c r="BV80" s="108" t="s">
        <v>1</v>
      </c>
      <c r="BW80" s="108" t="s">
        <v>1</v>
      </c>
      <c r="BX80" s="189" t="s">
        <v>1</v>
      </c>
      <c r="BY80" s="189" t="s">
        <v>1</v>
      </c>
      <c r="BZ80" s="189" t="s">
        <v>1</v>
      </c>
      <c r="CA80" s="189" t="s">
        <v>1</v>
      </c>
      <c r="CB80" s="189" t="s">
        <v>1</v>
      </c>
      <c r="CC80" s="189" t="s">
        <v>1</v>
      </c>
      <c r="CD80" s="190" t="s">
        <v>1</v>
      </c>
      <c r="CE80" s="188" t="s">
        <v>1</v>
      </c>
      <c r="CF80" s="189" t="s">
        <v>1</v>
      </c>
      <c r="CG80" s="189" t="s">
        <v>1</v>
      </c>
      <c r="CH80" s="108" t="s">
        <v>1</v>
      </c>
    </row>
    <row r="81" ht="25" customHeight="1" spans="1:86">
      <c r="A81" s="107">
        <v>45184</v>
      </c>
      <c r="B81" s="118" t="s">
        <v>1</v>
      </c>
      <c r="C81" s="208" t="s">
        <v>235</v>
      </c>
      <c r="D81" s="30" t="s">
        <v>1</v>
      </c>
      <c r="E81" s="30" t="s">
        <v>1</v>
      </c>
      <c r="F81" s="109" t="str">
        <f t="shared" si="3"/>
        <v/>
      </c>
      <c r="G81" s="30">
        <v>14.6568</v>
      </c>
      <c r="H81" s="141" t="str">
        <f t="shared" si="4"/>
        <v/>
      </c>
      <c r="I81" s="109" t="s">
        <v>1</v>
      </c>
      <c r="J81" s="141" t="str">
        <f t="shared" si="5"/>
        <v/>
      </c>
      <c r="K81" s="211" t="str">
        <f>IFERROR(E81/#REF!,"")</f>
        <v/>
      </c>
      <c r="L81" s="30">
        <v>61392</v>
      </c>
      <c r="M81" s="204">
        <v>70963</v>
      </c>
      <c r="N81" s="141">
        <f t="shared" si="6"/>
        <v>-0.134873102884602</v>
      </c>
      <c r="O81" s="109" t="s">
        <v>1</v>
      </c>
      <c r="P81" s="32" t="s">
        <v>1</v>
      </c>
      <c r="Q81" s="109" t="s">
        <v>1</v>
      </c>
      <c r="R81" s="109" t="s">
        <v>1</v>
      </c>
      <c r="S81" s="109" t="s">
        <v>1</v>
      </c>
      <c r="T81" s="109" t="s">
        <v>1</v>
      </c>
      <c r="U81" s="109" t="s">
        <v>1</v>
      </c>
      <c r="V81" s="109" t="s">
        <v>1</v>
      </c>
      <c r="W81" s="109" t="s">
        <v>1</v>
      </c>
      <c r="X81" s="18" t="s">
        <v>1</v>
      </c>
      <c r="Y81" s="18">
        <v>9904</v>
      </c>
      <c r="Z81" s="18" t="s">
        <v>1</v>
      </c>
      <c r="AA81" s="18">
        <v>3571</v>
      </c>
      <c r="AB81" s="18" t="s">
        <v>1</v>
      </c>
      <c r="AC81" s="18">
        <v>2.77</v>
      </c>
      <c r="AD81" s="18" t="s">
        <v>1</v>
      </c>
      <c r="AE81" s="18">
        <v>81.34</v>
      </c>
      <c r="AF81" s="18" t="s">
        <v>1</v>
      </c>
      <c r="AG81" s="18" t="s">
        <v>1</v>
      </c>
      <c r="AH81" s="18" t="s">
        <v>1</v>
      </c>
      <c r="AI81" s="18">
        <v>149</v>
      </c>
      <c r="AJ81" s="212">
        <v>2247</v>
      </c>
      <c r="AK81" s="212">
        <v>3790</v>
      </c>
      <c r="AL81" s="212">
        <v>634</v>
      </c>
      <c r="AM81" s="212">
        <v>601</v>
      </c>
      <c r="AN81" s="212">
        <v>128</v>
      </c>
      <c r="AO81" s="212">
        <v>143</v>
      </c>
      <c r="AP81" s="212">
        <v>3095</v>
      </c>
      <c r="AQ81" s="212">
        <v>233</v>
      </c>
      <c r="AR81" s="212">
        <v>1139</v>
      </c>
      <c r="AS81" s="212">
        <v>1196</v>
      </c>
      <c r="AT81" s="212">
        <v>137</v>
      </c>
      <c r="AU81" s="18">
        <v>255</v>
      </c>
      <c r="AV81" s="210" t="s">
        <v>1</v>
      </c>
      <c r="AW81" s="109" t="s">
        <v>1</v>
      </c>
      <c r="AX81" s="198">
        <v>184</v>
      </c>
      <c r="AY81" s="109" t="s">
        <v>1</v>
      </c>
      <c r="AZ81" s="141">
        <v>0.0323544927026552</v>
      </c>
      <c r="BA81" s="200" t="s">
        <v>1</v>
      </c>
      <c r="BB81" s="108">
        <v>11</v>
      </c>
      <c r="BC81" s="109" t="s">
        <v>1</v>
      </c>
      <c r="BD81" s="141">
        <v>0.0597826086956522</v>
      </c>
      <c r="BE81" s="200" t="s">
        <v>1</v>
      </c>
      <c r="BF81" s="200" t="s">
        <v>1</v>
      </c>
      <c r="BG81" s="109" t="s">
        <v>1</v>
      </c>
      <c r="BH81" s="109" t="s">
        <v>1</v>
      </c>
      <c r="BI81" s="200" t="s">
        <v>1</v>
      </c>
      <c r="BJ81" s="200" t="s">
        <v>1</v>
      </c>
      <c r="BK81" s="92" t="s">
        <v>74</v>
      </c>
      <c r="BL81" s="92">
        <v>123</v>
      </c>
      <c r="BM81" s="92">
        <v>552</v>
      </c>
      <c r="BN81" s="92">
        <v>888</v>
      </c>
      <c r="BO81" s="92" t="s">
        <v>74</v>
      </c>
      <c r="BP81" s="92">
        <v>741</v>
      </c>
      <c r="BQ81" s="92">
        <v>152</v>
      </c>
      <c r="BR81" s="92">
        <v>212</v>
      </c>
      <c r="BS81" s="108" t="s">
        <v>1</v>
      </c>
      <c r="BT81" s="108" t="s">
        <v>1</v>
      </c>
      <c r="BU81" s="108" t="s">
        <v>1</v>
      </c>
      <c r="BV81" s="108" t="s">
        <v>1</v>
      </c>
      <c r="BW81" s="108" t="s">
        <v>1</v>
      </c>
      <c r="BX81" s="189" t="s">
        <v>1</v>
      </c>
      <c r="BY81" s="189" t="s">
        <v>1</v>
      </c>
      <c r="BZ81" s="189" t="s">
        <v>1</v>
      </c>
      <c r="CA81" s="189" t="s">
        <v>1</v>
      </c>
      <c r="CB81" s="189" t="s">
        <v>1</v>
      </c>
      <c r="CC81" s="189" t="s">
        <v>1</v>
      </c>
      <c r="CD81" s="190" t="s">
        <v>1</v>
      </c>
      <c r="CE81" s="188" t="s">
        <v>1</v>
      </c>
      <c r="CF81" s="189" t="s">
        <v>1</v>
      </c>
      <c r="CG81" s="189" t="s">
        <v>1</v>
      </c>
      <c r="CH81" s="108" t="s">
        <v>1</v>
      </c>
    </row>
    <row r="82" ht="25" customHeight="1" spans="1:86">
      <c r="A82" s="107">
        <v>45185</v>
      </c>
      <c r="B82" s="7" t="s">
        <v>89</v>
      </c>
      <c r="C82" s="18" t="s">
        <v>125</v>
      </c>
      <c r="D82" s="30" t="s">
        <v>1</v>
      </c>
      <c r="E82" s="30" t="s">
        <v>1</v>
      </c>
      <c r="F82" s="109" t="str">
        <f t="shared" si="3"/>
        <v/>
      </c>
      <c r="G82" s="30">
        <v>8.0982</v>
      </c>
      <c r="H82" s="141" t="str">
        <f t="shared" si="4"/>
        <v/>
      </c>
      <c r="I82" s="109" t="s">
        <v>1</v>
      </c>
      <c r="J82" s="141" t="str">
        <f t="shared" si="5"/>
        <v/>
      </c>
      <c r="K82" s="211" t="str">
        <f>IFERROR(E82/#REF!,"")</f>
        <v/>
      </c>
      <c r="L82" s="30">
        <v>48813</v>
      </c>
      <c r="M82" s="204">
        <v>36393</v>
      </c>
      <c r="N82" s="141">
        <f t="shared" si="6"/>
        <v>0.341274420905119</v>
      </c>
      <c r="O82" s="109" t="s">
        <v>1</v>
      </c>
      <c r="P82" s="32" t="s">
        <v>1</v>
      </c>
      <c r="Q82" s="109" t="s">
        <v>1</v>
      </c>
      <c r="R82" s="109" t="s">
        <v>1</v>
      </c>
      <c r="S82" s="109" t="s">
        <v>1</v>
      </c>
      <c r="T82" s="109" t="s">
        <v>1</v>
      </c>
      <c r="U82" s="109" t="s">
        <v>1</v>
      </c>
      <c r="V82" s="109" t="s">
        <v>1</v>
      </c>
      <c r="W82" s="109" t="s">
        <v>1</v>
      </c>
      <c r="X82" s="18" t="s">
        <v>1</v>
      </c>
      <c r="Y82" s="18">
        <v>8028</v>
      </c>
      <c r="Z82" s="18" t="s">
        <v>1</v>
      </c>
      <c r="AA82" s="18">
        <v>2604</v>
      </c>
      <c r="AB82" s="18" t="s">
        <v>1</v>
      </c>
      <c r="AC82" s="18">
        <v>3.08</v>
      </c>
      <c r="AD82" s="18" t="s">
        <v>1</v>
      </c>
      <c r="AE82" s="18">
        <v>95.7</v>
      </c>
      <c r="AF82" s="18" t="s">
        <v>1</v>
      </c>
      <c r="AG82" s="18" t="s">
        <v>1</v>
      </c>
      <c r="AH82" s="18" t="s">
        <v>1</v>
      </c>
      <c r="AI82" s="18">
        <v>146</v>
      </c>
      <c r="AJ82" s="212">
        <v>2223</v>
      </c>
      <c r="AK82" s="212">
        <v>3051</v>
      </c>
      <c r="AL82" s="212">
        <v>668</v>
      </c>
      <c r="AM82" s="212">
        <v>324</v>
      </c>
      <c r="AN82" s="212">
        <v>111</v>
      </c>
      <c r="AO82" s="212">
        <v>112</v>
      </c>
      <c r="AP82" s="212">
        <v>3526</v>
      </c>
      <c r="AQ82" s="212">
        <v>100</v>
      </c>
      <c r="AR82" s="212">
        <v>982</v>
      </c>
      <c r="AS82" s="212">
        <v>1163</v>
      </c>
      <c r="AT82" s="212">
        <v>197</v>
      </c>
      <c r="AU82" s="18">
        <v>210</v>
      </c>
      <c r="AV82" s="210" t="s">
        <v>1</v>
      </c>
      <c r="AW82" s="109" t="s">
        <v>1</v>
      </c>
      <c r="AX82" s="198">
        <v>168</v>
      </c>
      <c r="AY82" s="109" t="s">
        <v>1</v>
      </c>
      <c r="AZ82" s="141">
        <v>0.0276771004942339</v>
      </c>
      <c r="BA82" s="200" t="s">
        <v>1</v>
      </c>
      <c r="BB82" s="108">
        <v>7</v>
      </c>
      <c r="BC82" s="109" t="s">
        <v>1</v>
      </c>
      <c r="BD82" s="141">
        <v>0.0416666666666667</v>
      </c>
      <c r="BE82" s="200" t="s">
        <v>1</v>
      </c>
      <c r="BF82" s="200" t="s">
        <v>1</v>
      </c>
      <c r="BG82" s="109" t="s">
        <v>1</v>
      </c>
      <c r="BH82" s="109" t="s">
        <v>1</v>
      </c>
      <c r="BI82" s="200" t="s">
        <v>1</v>
      </c>
      <c r="BJ82" s="200" t="s">
        <v>1</v>
      </c>
      <c r="BK82" s="92" t="s">
        <v>74</v>
      </c>
      <c r="BL82" s="92">
        <v>147</v>
      </c>
      <c r="BM82" s="92">
        <v>490</v>
      </c>
      <c r="BN82" s="92">
        <v>801</v>
      </c>
      <c r="BO82" s="92" t="s">
        <v>74</v>
      </c>
      <c r="BP82" s="92">
        <v>870</v>
      </c>
      <c r="BQ82" s="92">
        <v>121</v>
      </c>
      <c r="BR82" s="92">
        <v>228</v>
      </c>
      <c r="BS82" s="108" t="s">
        <v>1</v>
      </c>
      <c r="BT82" s="108" t="s">
        <v>1</v>
      </c>
      <c r="BU82" s="108" t="s">
        <v>1</v>
      </c>
      <c r="BV82" s="108" t="s">
        <v>1</v>
      </c>
      <c r="BW82" s="108" t="s">
        <v>1</v>
      </c>
      <c r="BX82" s="189" t="s">
        <v>1</v>
      </c>
      <c r="BY82" s="189" t="s">
        <v>1</v>
      </c>
      <c r="BZ82" s="189" t="s">
        <v>1</v>
      </c>
      <c r="CA82" s="189" t="s">
        <v>1</v>
      </c>
      <c r="CB82" s="189" t="s">
        <v>1</v>
      </c>
      <c r="CC82" s="189" t="s">
        <v>1</v>
      </c>
      <c r="CD82" s="190" t="s">
        <v>1</v>
      </c>
      <c r="CE82" s="188" t="s">
        <v>1</v>
      </c>
      <c r="CF82" s="189" t="s">
        <v>1</v>
      </c>
      <c r="CG82" s="189" t="s">
        <v>1</v>
      </c>
      <c r="CH82" s="108" t="s">
        <v>1</v>
      </c>
    </row>
    <row r="83" ht="25" customHeight="1" spans="1:86">
      <c r="A83" s="107">
        <v>45186</v>
      </c>
      <c r="B83" s="7" t="s">
        <v>89</v>
      </c>
      <c r="C83" s="18" t="s">
        <v>125</v>
      </c>
      <c r="D83" s="30" t="s">
        <v>1</v>
      </c>
      <c r="E83" s="30" t="s">
        <v>1</v>
      </c>
      <c r="F83" s="109" t="str">
        <f t="shared" si="3"/>
        <v/>
      </c>
      <c r="G83" s="30">
        <v>5.7187</v>
      </c>
      <c r="H83" s="141" t="str">
        <f t="shared" si="4"/>
        <v/>
      </c>
      <c r="I83" s="109" t="s">
        <v>1</v>
      </c>
      <c r="J83" s="141" t="str">
        <f t="shared" si="5"/>
        <v/>
      </c>
      <c r="K83" s="211" t="str">
        <f>IFERROR(E83/#REF!,"")</f>
        <v/>
      </c>
      <c r="L83" s="172">
        <v>7369</v>
      </c>
      <c r="M83" s="204">
        <v>15491</v>
      </c>
      <c r="N83" s="141">
        <f t="shared" si="6"/>
        <v>-0.524304434833129</v>
      </c>
      <c r="O83" s="109" t="s">
        <v>1</v>
      </c>
      <c r="P83" s="32" t="s">
        <v>1</v>
      </c>
      <c r="Q83" s="109" t="s">
        <v>1</v>
      </c>
      <c r="R83" s="109" t="s">
        <v>1</v>
      </c>
      <c r="S83" s="109" t="s">
        <v>1</v>
      </c>
      <c r="T83" s="109" t="s">
        <v>1</v>
      </c>
      <c r="U83" s="109" t="s">
        <v>1</v>
      </c>
      <c r="V83" s="109" t="s">
        <v>1</v>
      </c>
      <c r="W83" s="109" t="s">
        <v>1</v>
      </c>
      <c r="X83" s="18" t="s">
        <v>1</v>
      </c>
      <c r="Y83" s="18">
        <v>8191</v>
      </c>
      <c r="Z83" s="18" t="s">
        <v>1</v>
      </c>
      <c r="AA83" s="18">
        <v>2638</v>
      </c>
      <c r="AB83" s="18" t="s">
        <v>1</v>
      </c>
      <c r="AC83" s="18">
        <v>3.11</v>
      </c>
      <c r="AD83" s="18" t="s">
        <v>1</v>
      </c>
      <c r="AE83" s="18">
        <v>92.34</v>
      </c>
      <c r="AF83" s="18" t="s">
        <v>1</v>
      </c>
      <c r="AG83" s="18" t="s">
        <v>1</v>
      </c>
      <c r="AH83" s="18" t="s">
        <v>1</v>
      </c>
      <c r="AI83" s="18">
        <v>147</v>
      </c>
      <c r="AJ83" s="212">
        <v>2420</v>
      </c>
      <c r="AK83" s="212">
        <v>3004</v>
      </c>
      <c r="AL83" s="212">
        <v>706</v>
      </c>
      <c r="AM83" s="212">
        <v>496</v>
      </c>
      <c r="AN83" s="212">
        <v>88</v>
      </c>
      <c r="AO83" s="212">
        <v>108</v>
      </c>
      <c r="AP83" s="212">
        <v>2694</v>
      </c>
      <c r="AQ83" s="212">
        <v>120</v>
      </c>
      <c r="AR83" s="212">
        <v>1040</v>
      </c>
      <c r="AS83" s="212">
        <v>1201</v>
      </c>
      <c r="AT83" s="212">
        <v>219</v>
      </c>
      <c r="AU83" s="18">
        <v>239</v>
      </c>
      <c r="AV83" s="210" t="s">
        <v>1</v>
      </c>
      <c r="AW83" s="109" t="s">
        <v>1</v>
      </c>
      <c r="AX83" s="198">
        <v>169</v>
      </c>
      <c r="AY83" s="109" t="s">
        <v>1</v>
      </c>
      <c r="AZ83" s="141">
        <v>0.0308732188527585</v>
      </c>
      <c r="BA83" s="200" t="s">
        <v>1</v>
      </c>
      <c r="BB83" s="108">
        <v>8</v>
      </c>
      <c r="BC83" s="109" t="s">
        <v>1</v>
      </c>
      <c r="BD83" s="141">
        <v>0.0473372781065089</v>
      </c>
      <c r="BE83" s="200" t="s">
        <v>1</v>
      </c>
      <c r="BF83" s="200" t="s">
        <v>1</v>
      </c>
      <c r="BG83" s="109" t="s">
        <v>1</v>
      </c>
      <c r="BH83" s="109" t="s">
        <v>1</v>
      </c>
      <c r="BI83" s="200" t="s">
        <v>1</v>
      </c>
      <c r="BJ83" s="200" t="s">
        <v>1</v>
      </c>
      <c r="BK83" s="92" t="s">
        <v>74</v>
      </c>
      <c r="BL83" s="92">
        <v>137</v>
      </c>
      <c r="BM83" s="92">
        <v>604</v>
      </c>
      <c r="BN83" s="92">
        <v>678</v>
      </c>
      <c r="BO83" s="92" t="s">
        <v>74</v>
      </c>
      <c r="BP83" s="92">
        <v>941</v>
      </c>
      <c r="BQ83" s="92">
        <v>115</v>
      </c>
      <c r="BR83" s="92">
        <v>223</v>
      </c>
      <c r="BS83" s="108" t="s">
        <v>1</v>
      </c>
      <c r="BT83" s="108" t="s">
        <v>1</v>
      </c>
      <c r="BU83" s="108" t="s">
        <v>1</v>
      </c>
      <c r="BV83" s="108" t="s">
        <v>1</v>
      </c>
      <c r="BW83" s="108" t="s">
        <v>1</v>
      </c>
      <c r="BX83" s="189" t="s">
        <v>1</v>
      </c>
      <c r="BY83" s="189" t="s">
        <v>1</v>
      </c>
      <c r="BZ83" s="189" t="s">
        <v>1</v>
      </c>
      <c r="CA83" s="189" t="s">
        <v>1</v>
      </c>
      <c r="CB83" s="189" t="s">
        <v>1</v>
      </c>
      <c r="CC83" s="189" t="s">
        <v>1</v>
      </c>
      <c r="CD83" s="190" t="s">
        <v>1</v>
      </c>
      <c r="CE83" s="188" t="s">
        <v>1</v>
      </c>
      <c r="CF83" s="189" t="s">
        <v>1</v>
      </c>
      <c r="CG83" s="189" t="s">
        <v>1</v>
      </c>
      <c r="CH83" s="108" t="s">
        <v>1</v>
      </c>
    </row>
    <row r="84" ht="25" customHeight="1" spans="1:86">
      <c r="A84" s="107">
        <v>45187</v>
      </c>
      <c r="B84" s="7" t="s">
        <v>89</v>
      </c>
      <c r="C84" s="18" t="s">
        <v>75</v>
      </c>
      <c r="D84" s="30" t="s">
        <v>1</v>
      </c>
      <c r="E84" s="30" t="s">
        <v>1</v>
      </c>
      <c r="F84" s="109" t="str">
        <f t="shared" si="3"/>
        <v/>
      </c>
      <c r="G84" s="30">
        <v>0.3999</v>
      </c>
      <c r="H84" s="141" t="str">
        <f t="shared" si="4"/>
        <v/>
      </c>
      <c r="I84" s="109" t="s">
        <v>1</v>
      </c>
      <c r="J84" s="141" t="str">
        <f t="shared" si="5"/>
        <v/>
      </c>
      <c r="K84" s="211" t="str">
        <f>IFERROR(E84/#REF!,"")</f>
        <v/>
      </c>
      <c r="L84" s="172">
        <v>17599</v>
      </c>
      <c r="M84" s="204">
        <v>21364</v>
      </c>
      <c r="N84" s="141">
        <f t="shared" si="6"/>
        <v>-0.176231042875866</v>
      </c>
      <c r="O84" s="109" t="s">
        <v>1</v>
      </c>
      <c r="P84" s="32" t="s">
        <v>1</v>
      </c>
      <c r="Q84" s="109" t="s">
        <v>1</v>
      </c>
      <c r="R84" s="109" t="s">
        <v>1</v>
      </c>
      <c r="S84" s="109" t="s">
        <v>1</v>
      </c>
      <c r="T84" s="109" t="s">
        <v>1</v>
      </c>
      <c r="U84" s="109" t="s">
        <v>1</v>
      </c>
      <c r="V84" s="109" t="s">
        <v>1</v>
      </c>
      <c r="W84" s="109" t="s">
        <v>1</v>
      </c>
      <c r="X84" s="18" t="s">
        <v>1</v>
      </c>
      <c r="Y84" s="18">
        <v>6882</v>
      </c>
      <c r="Z84" s="18" t="s">
        <v>1</v>
      </c>
      <c r="AA84" s="18">
        <v>2411</v>
      </c>
      <c r="AB84" s="18" t="s">
        <v>1</v>
      </c>
      <c r="AC84" s="18">
        <v>2.85</v>
      </c>
      <c r="AD84" s="18" t="s">
        <v>1</v>
      </c>
      <c r="AE84" s="18">
        <v>88.03</v>
      </c>
      <c r="AF84" s="18" t="s">
        <v>1</v>
      </c>
      <c r="AG84" s="18" t="s">
        <v>1</v>
      </c>
      <c r="AH84" s="18" t="s">
        <v>1</v>
      </c>
      <c r="AI84" s="18">
        <v>124</v>
      </c>
      <c r="AJ84" s="212">
        <v>2346</v>
      </c>
      <c r="AK84" s="212">
        <v>2591</v>
      </c>
      <c r="AL84" s="212">
        <v>607</v>
      </c>
      <c r="AM84" s="212">
        <v>503</v>
      </c>
      <c r="AN84" s="212">
        <v>114</v>
      </c>
      <c r="AO84" s="212">
        <v>132</v>
      </c>
      <c r="AP84" s="212">
        <v>3818</v>
      </c>
      <c r="AQ84" s="212">
        <v>89</v>
      </c>
      <c r="AR84" s="212">
        <v>963</v>
      </c>
      <c r="AS84" s="212">
        <v>912</v>
      </c>
      <c r="AT84" s="212">
        <v>183</v>
      </c>
      <c r="AU84" s="18">
        <v>215</v>
      </c>
      <c r="AV84" s="210" t="s">
        <v>1</v>
      </c>
      <c r="AW84" s="109" t="s">
        <v>1</v>
      </c>
      <c r="AX84" s="198">
        <v>184</v>
      </c>
      <c r="AY84" s="109" t="s">
        <v>1</v>
      </c>
      <c r="AZ84" s="141">
        <v>0.0285625582117355</v>
      </c>
      <c r="BA84" s="200" t="s">
        <v>1</v>
      </c>
      <c r="BB84" s="108">
        <v>17</v>
      </c>
      <c r="BC84" s="109" t="s">
        <v>1</v>
      </c>
      <c r="BD84" s="141">
        <v>0.0923913043478261</v>
      </c>
      <c r="BE84" s="200" t="s">
        <v>1</v>
      </c>
      <c r="BF84" s="200" t="s">
        <v>1</v>
      </c>
      <c r="BG84" s="109" t="s">
        <v>1</v>
      </c>
      <c r="BH84" s="109" t="s">
        <v>1</v>
      </c>
      <c r="BI84" s="200" t="s">
        <v>1</v>
      </c>
      <c r="BJ84" s="200" t="s">
        <v>1</v>
      </c>
      <c r="BK84" s="92" t="s">
        <v>74</v>
      </c>
      <c r="BL84" s="92">
        <v>134</v>
      </c>
      <c r="BM84" s="92">
        <v>521</v>
      </c>
      <c r="BN84" s="92">
        <v>515</v>
      </c>
      <c r="BO84" s="92" t="s">
        <v>74</v>
      </c>
      <c r="BP84" s="92">
        <v>809</v>
      </c>
      <c r="BQ84" s="92">
        <v>138</v>
      </c>
      <c r="BR84" s="92">
        <v>156</v>
      </c>
      <c r="BS84" s="108" t="s">
        <v>1</v>
      </c>
      <c r="BT84" s="108" t="s">
        <v>1</v>
      </c>
      <c r="BU84" s="108" t="s">
        <v>1</v>
      </c>
      <c r="BV84" s="108" t="s">
        <v>1</v>
      </c>
      <c r="BW84" s="108" t="s">
        <v>1</v>
      </c>
      <c r="BX84" s="189" t="s">
        <v>1</v>
      </c>
      <c r="BY84" s="189" t="s">
        <v>1</v>
      </c>
      <c r="BZ84" s="189" t="s">
        <v>1</v>
      </c>
      <c r="CA84" s="189" t="s">
        <v>1</v>
      </c>
      <c r="CB84" s="189" t="s">
        <v>1</v>
      </c>
      <c r="CC84" s="189" t="s">
        <v>1</v>
      </c>
      <c r="CD84" s="190" t="s">
        <v>1</v>
      </c>
      <c r="CE84" s="188" t="s">
        <v>1</v>
      </c>
      <c r="CF84" s="189" t="s">
        <v>1</v>
      </c>
      <c r="CG84" s="189" t="s">
        <v>1</v>
      </c>
      <c r="CH84" s="108" t="s">
        <v>1</v>
      </c>
    </row>
    <row r="85" ht="25" customHeight="1" spans="1:86">
      <c r="A85" s="107">
        <v>45188</v>
      </c>
      <c r="B85" s="7" t="s">
        <v>126</v>
      </c>
      <c r="C85" s="18" t="s">
        <v>75</v>
      </c>
      <c r="D85" s="30" t="s">
        <v>1</v>
      </c>
      <c r="E85" s="30" t="s">
        <v>1</v>
      </c>
      <c r="F85" s="109" t="str">
        <f t="shared" si="3"/>
        <v/>
      </c>
      <c r="G85" s="30">
        <v>0</v>
      </c>
      <c r="H85" s="141" t="str">
        <f t="shared" si="4"/>
        <v/>
      </c>
      <c r="I85" s="109" t="s">
        <v>1</v>
      </c>
      <c r="J85" s="141" t="str">
        <f t="shared" si="5"/>
        <v/>
      </c>
      <c r="K85" s="211" t="str">
        <f>IFERROR(E85/#REF!,"")</f>
        <v/>
      </c>
      <c r="L85" s="172">
        <v>27493</v>
      </c>
      <c r="M85" s="204">
        <v>7429</v>
      </c>
      <c r="N85" s="141">
        <f t="shared" si="6"/>
        <v>2.70076726342711</v>
      </c>
      <c r="O85" s="109" t="s">
        <v>1</v>
      </c>
      <c r="P85" s="32" t="s">
        <v>1</v>
      </c>
      <c r="Q85" s="109" t="s">
        <v>1</v>
      </c>
      <c r="R85" s="109" t="s">
        <v>1</v>
      </c>
      <c r="S85" s="109" t="s">
        <v>1</v>
      </c>
      <c r="T85" s="109" t="s">
        <v>1</v>
      </c>
      <c r="U85" s="109" t="s">
        <v>1</v>
      </c>
      <c r="V85" s="109" t="s">
        <v>1</v>
      </c>
      <c r="W85" s="109" t="s">
        <v>1</v>
      </c>
      <c r="X85" s="18" t="s">
        <v>1</v>
      </c>
      <c r="Y85" s="18">
        <v>7401</v>
      </c>
      <c r="Z85" s="18" t="s">
        <v>1</v>
      </c>
      <c r="AA85" s="18">
        <v>2556</v>
      </c>
      <c r="AB85" s="18" t="s">
        <v>1</v>
      </c>
      <c r="AC85" s="18">
        <v>2.9</v>
      </c>
      <c r="AD85" s="18" t="s">
        <v>1</v>
      </c>
      <c r="AE85" s="18">
        <v>86.56</v>
      </c>
      <c r="AF85" s="18" t="s">
        <v>1</v>
      </c>
      <c r="AG85" s="18" t="s">
        <v>1</v>
      </c>
      <c r="AH85" s="18" t="s">
        <v>1</v>
      </c>
      <c r="AI85" s="18">
        <v>116</v>
      </c>
      <c r="AJ85" s="212">
        <v>2457</v>
      </c>
      <c r="AK85" s="18">
        <v>2682</v>
      </c>
      <c r="AL85" s="18">
        <v>582</v>
      </c>
      <c r="AM85" s="18">
        <v>435</v>
      </c>
      <c r="AN85" s="18">
        <v>99</v>
      </c>
      <c r="AO85" s="18">
        <v>131</v>
      </c>
      <c r="AP85" s="212">
        <v>2722</v>
      </c>
      <c r="AQ85" s="18">
        <v>178</v>
      </c>
      <c r="AR85" s="212">
        <v>1079</v>
      </c>
      <c r="AS85" s="18">
        <v>798</v>
      </c>
      <c r="AT85" s="18">
        <v>221</v>
      </c>
      <c r="AU85" s="18">
        <v>205</v>
      </c>
      <c r="AV85" s="210" t="s">
        <v>1</v>
      </c>
      <c r="AW85" s="109" t="s">
        <v>1</v>
      </c>
      <c r="AX85" s="198">
        <v>170</v>
      </c>
      <c r="AY85" s="109" t="s">
        <v>1</v>
      </c>
      <c r="AZ85" s="141">
        <v>0.0314349112426036</v>
      </c>
      <c r="BA85" s="200" t="s">
        <v>1</v>
      </c>
      <c r="BB85" s="108">
        <v>14</v>
      </c>
      <c r="BC85" s="109" t="s">
        <v>1</v>
      </c>
      <c r="BD85" s="141">
        <v>0.0823529411764706</v>
      </c>
      <c r="BE85" s="200" t="s">
        <v>1</v>
      </c>
      <c r="BF85" s="200" t="s">
        <v>1</v>
      </c>
      <c r="BG85" s="109" t="s">
        <v>1</v>
      </c>
      <c r="BH85" s="109" t="s">
        <v>1</v>
      </c>
      <c r="BI85" s="200" t="s">
        <v>1</v>
      </c>
      <c r="BJ85" s="200" t="s">
        <v>1</v>
      </c>
      <c r="BK85" s="92" t="s">
        <v>73</v>
      </c>
      <c r="BL85" s="92">
        <v>98</v>
      </c>
      <c r="BM85" s="92">
        <v>621</v>
      </c>
      <c r="BN85" s="92">
        <v>498</v>
      </c>
      <c r="BO85" s="92" t="s">
        <v>74</v>
      </c>
      <c r="BP85" s="92">
        <v>771</v>
      </c>
      <c r="BQ85" s="92">
        <v>152</v>
      </c>
      <c r="BR85" s="92">
        <v>136</v>
      </c>
      <c r="BS85" s="108" t="s">
        <v>1</v>
      </c>
      <c r="BT85" s="108" t="s">
        <v>1</v>
      </c>
      <c r="BU85" s="108" t="s">
        <v>1</v>
      </c>
      <c r="BV85" s="108" t="s">
        <v>1</v>
      </c>
      <c r="BW85" s="108" t="s">
        <v>1</v>
      </c>
      <c r="BX85" s="108" t="s">
        <v>1</v>
      </c>
      <c r="BY85" s="108" t="s">
        <v>1</v>
      </c>
      <c r="BZ85" s="108" t="s">
        <v>1</v>
      </c>
      <c r="CA85" s="108" t="s">
        <v>1</v>
      </c>
      <c r="CB85" s="108" t="s">
        <v>1</v>
      </c>
      <c r="CC85" s="108" t="s">
        <v>1</v>
      </c>
      <c r="CD85" s="108" t="s">
        <v>1</v>
      </c>
      <c r="CE85" s="108" t="s">
        <v>1</v>
      </c>
      <c r="CF85" s="108" t="s">
        <v>1</v>
      </c>
      <c r="CG85" s="108" t="s">
        <v>1</v>
      </c>
      <c r="CH85" s="108" t="s">
        <v>1</v>
      </c>
    </row>
    <row r="86" ht="25" customHeight="1" spans="1:86">
      <c r="A86" s="107">
        <v>45189</v>
      </c>
      <c r="B86" s="7" t="s">
        <v>125</v>
      </c>
      <c r="C86" s="208" t="s">
        <v>240</v>
      </c>
      <c r="D86" s="30" t="s">
        <v>1</v>
      </c>
      <c r="E86" s="30" t="s">
        <v>1</v>
      </c>
      <c r="F86" s="109" t="str">
        <f t="shared" si="3"/>
        <v/>
      </c>
      <c r="G86" s="30">
        <v>27.7143</v>
      </c>
      <c r="H86" s="141" t="str">
        <f t="shared" si="4"/>
        <v/>
      </c>
      <c r="I86" s="109" t="s">
        <v>1</v>
      </c>
      <c r="J86" s="141" t="str">
        <f t="shared" si="5"/>
        <v/>
      </c>
      <c r="K86" s="211" t="str">
        <f>IFERROR(E86/#REF!,"")</f>
        <v/>
      </c>
      <c r="L86" s="172">
        <v>29935.6</v>
      </c>
      <c r="M86" s="204">
        <v>172158</v>
      </c>
      <c r="N86" s="141">
        <f t="shared" si="6"/>
        <v>-0.826115545022596</v>
      </c>
      <c r="O86" s="109" t="s">
        <v>1</v>
      </c>
      <c r="P86" s="32" t="s">
        <v>1</v>
      </c>
      <c r="Q86" s="109" t="s">
        <v>1</v>
      </c>
      <c r="R86" s="109" t="s">
        <v>1</v>
      </c>
      <c r="S86" s="109" t="s">
        <v>1</v>
      </c>
      <c r="T86" s="109" t="s">
        <v>1</v>
      </c>
      <c r="U86" s="109" t="s">
        <v>1</v>
      </c>
      <c r="V86" s="109" t="s">
        <v>1</v>
      </c>
      <c r="W86" s="109" t="s">
        <v>1</v>
      </c>
      <c r="X86" s="18" t="s">
        <v>1</v>
      </c>
      <c r="Y86" s="18">
        <v>12275</v>
      </c>
      <c r="Z86" s="18" t="s">
        <v>1</v>
      </c>
      <c r="AA86" s="18">
        <v>4045</v>
      </c>
      <c r="AB86" s="18" t="s">
        <v>1</v>
      </c>
      <c r="AC86" s="18">
        <v>3.03</v>
      </c>
      <c r="AD86" s="18" t="s">
        <v>1</v>
      </c>
      <c r="AE86" s="18">
        <v>89.02</v>
      </c>
      <c r="AF86" s="18" t="s">
        <v>1</v>
      </c>
      <c r="AG86" s="18" t="s">
        <v>1</v>
      </c>
      <c r="AH86" s="18" t="s">
        <v>1</v>
      </c>
      <c r="AI86" s="18">
        <v>203</v>
      </c>
      <c r="AJ86" s="212">
        <v>2136</v>
      </c>
      <c r="AK86" s="212">
        <v>4867</v>
      </c>
      <c r="AL86" s="212">
        <v>628</v>
      </c>
      <c r="AM86" s="212">
        <v>390</v>
      </c>
      <c r="AN86" s="212">
        <v>80</v>
      </c>
      <c r="AO86" s="212">
        <v>143</v>
      </c>
      <c r="AP86" s="212">
        <v>2306</v>
      </c>
      <c r="AQ86" s="212">
        <v>209</v>
      </c>
      <c r="AR86" s="212">
        <v>920</v>
      </c>
      <c r="AS86" s="212">
        <v>1726</v>
      </c>
      <c r="AT86" s="212">
        <v>175</v>
      </c>
      <c r="AU86" s="18">
        <v>458</v>
      </c>
      <c r="AV86" s="210" t="s">
        <v>1</v>
      </c>
      <c r="AW86" s="109" t="s">
        <v>1</v>
      </c>
      <c r="AX86" s="198">
        <v>163</v>
      </c>
      <c r="AY86" s="109" t="s">
        <v>1</v>
      </c>
      <c r="AZ86" s="109" t="s">
        <v>1</v>
      </c>
      <c r="BA86" s="200" t="s">
        <v>1</v>
      </c>
      <c r="BB86" s="108">
        <v>8</v>
      </c>
      <c r="BC86" s="109" t="s">
        <v>1</v>
      </c>
      <c r="BD86" s="109" t="s">
        <v>1</v>
      </c>
      <c r="BE86" s="200" t="s">
        <v>1</v>
      </c>
      <c r="BF86" s="200" t="s">
        <v>1</v>
      </c>
      <c r="BG86" s="109" t="s">
        <v>1</v>
      </c>
      <c r="BH86" s="109" t="s">
        <v>1</v>
      </c>
      <c r="BI86" s="200" t="s">
        <v>1</v>
      </c>
      <c r="BJ86" s="200" t="s">
        <v>1</v>
      </c>
      <c r="BK86" s="92" t="s">
        <v>74</v>
      </c>
      <c r="BL86" s="92">
        <v>142</v>
      </c>
      <c r="BM86" s="92">
        <v>477</v>
      </c>
      <c r="BN86" s="92">
        <v>1435</v>
      </c>
      <c r="BO86" s="92" t="s">
        <v>74</v>
      </c>
      <c r="BP86" s="92">
        <v>904</v>
      </c>
      <c r="BQ86" s="92">
        <v>118</v>
      </c>
      <c r="BR86" s="92">
        <v>433</v>
      </c>
      <c r="BS86" s="108" t="s">
        <v>1</v>
      </c>
      <c r="BT86" s="108" t="s">
        <v>1</v>
      </c>
      <c r="BU86" s="108" t="s">
        <v>1</v>
      </c>
      <c r="BV86" s="108" t="s">
        <v>1</v>
      </c>
      <c r="BW86" s="108" t="s">
        <v>1</v>
      </c>
      <c r="BX86" s="108" t="s">
        <v>1</v>
      </c>
      <c r="BY86" s="108" t="s">
        <v>1</v>
      </c>
      <c r="BZ86" s="108" t="s">
        <v>1</v>
      </c>
      <c r="CA86" s="108" t="s">
        <v>1</v>
      </c>
      <c r="CB86" s="108" t="s">
        <v>1</v>
      </c>
      <c r="CC86" s="108" t="s">
        <v>1</v>
      </c>
      <c r="CD86" s="108" t="s">
        <v>1</v>
      </c>
      <c r="CE86" s="108" t="s">
        <v>1</v>
      </c>
      <c r="CF86" s="108" t="s">
        <v>1</v>
      </c>
      <c r="CG86" s="108" t="s">
        <v>1</v>
      </c>
      <c r="CH86" s="108" t="s">
        <v>1</v>
      </c>
    </row>
    <row r="87" ht="25" customHeight="1" spans="1:86">
      <c r="A87" s="107">
        <v>45190</v>
      </c>
      <c r="B87" s="7" t="s">
        <v>89</v>
      </c>
      <c r="C87" s="18" t="s">
        <v>125</v>
      </c>
      <c r="D87" s="30" t="s">
        <v>1</v>
      </c>
      <c r="E87" s="30" t="s">
        <v>1</v>
      </c>
      <c r="F87" s="109" t="str">
        <f t="shared" si="3"/>
        <v/>
      </c>
      <c r="G87" s="30">
        <v>7.0384</v>
      </c>
      <c r="H87" s="141" t="str">
        <f t="shared" si="4"/>
        <v/>
      </c>
      <c r="I87" s="109" t="s">
        <v>1</v>
      </c>
      <c r="J87" s="141" t="str">
        <f t="shared" si="5"/>
        <v/>
      </c>
      <c r="K87" s="211" t="str">
        <f>IFERROR(E87/#REF!,"")</f>
        <v/>
      </c>
      <c r="L87" s="172">
        <v>27493</v>
      </c>
      <c r="M87" s="204">
        <v>82843</v>
      </c>
      <c r="N87" s="141">
        <f t="shared" si="6"/>
        <v>-0.668131284477868</v>
      </c>
      <c r="O87" s="109" t="s">
        <v>1</v>
      </c>
      <c r="P87" s="32" t="s">
        <v>1</v>
      </c>
      <c r="Q87" s="109" t="s">
        <v>1</v>
      </c>
      <c r="R87" s="109" t="s">
        <v>1</v>
      </c>
      <c r="S87" s="109" t="s">
        <v>1</v>
      </c>
      <c r="T87" s="109" t="s">
        <v>1</v>
      </c>
      <c r="U87" s="109" t="s">
        <v>1</v>
      </c>
      <c r="V87" s="109" t="s">
        <v>1</v>
      </c>
      <c r="W87" s="109" t="s">
        <v>1</v>
      </c>
      <c r="X87" s="18" t="s">
        <v>1</v>
      </c>
      <c r="Y87" s="18">
        <v>8666</v>
      </c>
      <c r="Z87" s="18" t="s">
        <v>1</v>
      </c>
      <c r="AA87" s="18">
        <v>2926</v>
      </c>
      <c r="AB87" s="18" t="s">
        <v>1</v>
      </c>
      <c r="AC87" s="18">
        <v>2.96</v>
      </c>
      <c r="AD87" s="18" t="s">
        <v>1</v>
      </c>
      <c r="AE87" s="18">
        <v>86.48</v>
      </c>
      <c r="AF87" s="18" t="s">
        <v>1</v>
      </c>
      <c r="AG87" s="18" t="s">
        <v>1</v>
      </c>
      <c r="AH87" s="18" t="s">
        <v>1</v>
      </c>
      <c r="AI87" s="18">
        <v>167</v>
      </c>
      <c r="AJ87" s="212">
        <v>2171</v>
      </c>
      <c r="AK87" s="212">
        <v>3167</v>
      </c>
      <c r="AL87" s="212">
        <v>752</v>
      </c>
      <c r="AM87" s="212">
        <v>624</v>
      </c>
      <c r="AN87" s="212">
        <v>99</v>
      </c>
      <c r="AO87" s="212">
        <v>128</v>
      </c>
      <c r="AP87" s="212">
        <v>2848</v>
      </c>
      <c r="AQ87" s="212">
        <v>216</v>
      </c>
      <c r="AR87" s="212">
        <v>896</v>
      </c>
      <c r="AS87" s="212">
        <v>1260</v>
      </c>
      <c r="AT87" s="212">
        <v>234</v>
      </c>
      <c r="AU87" s="18">
        <v>219</v>
      </c>
      <c r="AV87" s="210" t="s">
        <v>1</v>
      </c>
      <c r="AW87" s="109" t="s">
        <v>1</v>
      </c>
      <c r="AX87" s="198">
        <v>148</v>
      </c>
      <c r="AY87" s="109" t="s">
        <v>1</v>
      </c>
      <c r="AZ87" s="109" t="s">
        <v>1</v>
      </c>
      <c r="BA87" s="200" t="s">
        <v>1</v>
      </c>
      <c r="BB87" s="108">
        <v>13</v>
      </c>
      <c r="BC87" s="109" t="s">
        <v>1</v>
      </c>
      <c r="BD87" s="109" t="s">
        <v>1</v>
      </c>
      <c r="BE87" s="200" t="s">
        <v>1</v>
      </c>
      <c r="BF87" s="200" t="s">
        <v>1</v>
      </c>
      <c r="BG87" s="109" t="s">
        <v>1</v>
      </c>
      <c r="BH87" s="109" t="s">
        <v>1</v>
      </c>
      <c r="BI87" s="200" t="s">
        <v>1</v>
      </c>
      <c r="BJ87" s="200" t="s">
        <v>1</v>
      </c>
      <c r="BK87" s="92" t="s">
        <v>74</v>
      </c>
      <c r="BL87" s="92">
        <v>173</v>
      </c>
      <c r="BM87" s="92">
        <v>390</v>
      </c>
      <c r="BN87" s="92">
        <v>1111</v>
      </c>
      <c r="BO87" s="92" t="s">
        <v>74</v>
      </c>
      <c r="BP87" s="92">
        <v>1060</v>
      </c>
      <c r="BQ87" s="92">
        <v>97</v>
      </c>
      <c r="BR87" s="92">
        <v>259</v>
      </c>
      <c r="BS87" s="108" t="s">
        <v>1</v>
      </c>
      <c r="BT87" s="108" t="s">
        <v>1</v>
      </c>
      <c r="BU87" s="108" t="s">
        <v>1</v>
      </c>
      <c r="BV87" s="108" t="s">
        <v>1</v>
      </c>
      <c r="BW87" s="108" t="s">
        <v>1</v>
      </c>
      <c r="BX87" s="108" t="s">
        <v>1</v>
      </c>
      <c r="BY87" s="108" t="s">
        <v>1</v>
      </c>
      <c r="BZ87" s="108" t="s">
        <v>1</v>
      </c>
      <c r="CA87" s="108" t="s">
        <v>1</v>
      </c>
      <c r="CB87" s="108" t="s">
        <v>1</v>
      </c>
      <c r="CC87" s="108" t="s">
        <v>1</v>
      </c>
      <c r="CD87" s="108" t="s">
        <v>1</v>
      </c>
      <c r="CE87" s="108" t="s">
        <v>1</v>
      </c>
      <c r="CF87" s="108" t="s">
        <v>1</v>
      </c>
      <c r="CG87" s="108" t="s">
        <v>1</v>
      </c>
      <c r="CH87" s="108" t="s">
        <v>1</v>
      </c>
    </row>
    <row r="88" ht="25" customHeight="1" spans="1:86">
      <c r="A88" s="107">
        <v>45191</v>
      </c>
      <c r="B88" s="7" t="s">
        <v>89</v>
      </c>
      <c r="C88" s="18" t="s">
        <v>75</v>
      </c>
      <c r="D88" s="30" t="s">
        <v>1</v>
      </c>
      <c r="E88" s="30" t="s">
        <v>1</v>
      </c>
      <c r="F88" s="109" t="str">
        <f t="shared" si="3"/>
        <v/>
      </c>
      <c r="G88" s="30">
        <v>0</v>
      </c>
      <c r="H88" s="141" t="str">
        <f t="shared" si="4"/>
        <v/>
      </c>
      <c r="I88" s="109" t="s">
        <v>1</v>
      </c>
      <c r="J88" s="141" t="str">
        <f t="shared" si="5"/>
        <v/>
      </c>
      <c r="K88" s="211" t="str">
        <f>IFERROR(E88/#REF!,"")</f>
        <v/>
      </c>
      <c r="L88" s="30">
        <v>54110.05</v>
      </c>
      <c r="M88" s="204">
        <v>31119</v>
      </c>
      <c r="N88" s="141">
        <f t="shared" si="6"/>
        <v>0.738810694431055</v>
      </c>
      <c r="O88" s="109" t="s">
        <v>1</v>
      </c>
      <c r="P88" s="32" t="s">
        <v>1</v>
      </c>
      <c r="Q88" s="109" t="s">
        <v>1</v>
      </c>
      <c r="R88" s="109" t="s">
        <v>1</v>
      </c>
      <c r="S88" s="109" t="s">
        <v>1</v>
      </c>
      <c r="T88" s="109" t="s">
        <v>1</v>
      </c>
      <c r="U88" s="109" t="s">
        <v>1</v>
      </c>
      <c r="V88" s="109" t="s">
        <v>1</v>
      </c>
      <c r="W88" s="109" t="s">
        <v>1</v>
      </c>
      <c r="X88" s="18" t="s">
        <v>1</v>
      </c>
      <c r="Y88" s="18">
        <v>6737</v>
      </c>
      <c r="Z88" s="18" t="s">
        <v>1</v>
      </c>
      <c r="AA88" s="18">
        <v>2395</v>
      </c>
      <c r="AB88" s="18" t="s">
        <v>1</v>
      </c>
      <c r="AC88" s="18">
        <v>2.81</v>
      </c>
      <c r="AD88" s="18" t="s">
        <v>1</v>
      </c>
      <c r="AE88" s="18">
        <v>85.91</v>
      </c>
      <c r="AF88" s="18" t="s">
        <v>1</v>
      </c>
      <c r="AG88" s="18" t="s">
        <v>1</v>
      </c>
      <c r="AH88" s="18" t="s">
        <v>1</v>
      </c>
      <c r="AI88" s="18">
        <v>78</v>
      </c>
      <c r="AJ88" s="212">
        <v>1796</v>
      </c>
      <c r="AK88" s="212">
        <v>2354</v>
      </c>
      <c r="AL88" s="212">
        <v>618</v>
      </c>
      <c r="AM88" s="212">
        <v>724</v>
      </c>
      <c r="AN88" s="212">
        <v>96</v>
      </c>
      <c r="AO88" s="212">
        <v>101</v>
      </c>
      <c r="AP88" s="212">
        <v>2911</v>
      </c>
      <c r="AQ88" s="212">
        <v>159</v>
      </c>
      <c r="AR88" s="212">
        <v>712</v>
      </c>
      <c r="AS88" s="212">
        <v>733</v>
      </c>
      <c r="AT88" s="212">
        <v>164</v>
      </c>
      <c r="AU88" s="18">
        <v>218</v>
      </c>
      <c r="AV88" s="210" t="s">
        <v>1</v>
      </c>
      <c r="AW88" s="109" t="s">
        <v>1</v>
      </c>
      <c r="AX88" s="198">
        <v>147</v>
      </c>
      <c r="AY88" s="109" t="s">
        <v>1</v>
      </c>
      <c r="AZ88" s="109" t="s">
        <v>1</v>
      </c>
      <c r="BA88" s="200" t="s">
        <v>1</v>
      </c>
      <c r="BB88" s="108">
        <v>6</v>
      </c>
      <c r="BC88" s="109" t="s">
        <v>1</v>
      </c>
      <c r="BD88" s="109" t="s">
        <v>1</v>
      </c>
      <c r="BE88" s="200" t="s">
        <v>1</v>
      </c>
      <c r="BF88" s="200" t="s">
        <v>1</v>
      </c>
      <c r="BG88" s="109" t="s">
        <v>1</v>
      </c>
      <c r="BH88" s="109" t="s">
        <v>1</v>
      </c>
      <c r="BI88" s="200" t="s">
        <v>1</v>
      </c>
      <c r="BJ88" s="200" t="s">
        <v>1</v>
      </c>
      <c r="BK88" s="92" t="s">
        <v>74</v>
      </c>
      <c r="BL88" s="92">
        <v>181</v>
      </c>
      <c r="BM88" s="92">
        <v>345</v>
      </c>
      <c r="BN88" s="92">
        <v>440</v>
      </c>
      <c r="BO88" s="92" t="s">
        <v>74</v>
      </c>
      <c r="BP88" s="92">
        <v>1098</v>
      </c>
      <c r="BQ88" s="92">
        <v>79</v>
      </c>
      <c r="BR88" s="92">
        <v>60</v>
      </c>
      <c r="BS88" s="108" t="s">
        <v>1</v>
      </c>
      <c r="BT88" s="108" t="s">
        <v>1</v>
      </c>
      <c r="BU88" s="108" t="s">
        <v>1</v>
      </c>
      <c r="BV88" s="108" t="s">
        <v>1</v>
      </c>
      <c r="BW88" s="108" t="s">
        <v>1</v>
      </c>
      <c r="BX88" s="108" t="s">
        <v>1</v>
      </c>
      <c r="BY88" s="108" t="s">
        <v>1</v>
      </c>
      <c r="BZ88" s="108" t="s">
        <v>1</v>
      </c>
      <c r="CA88" s="108" t="s">
        <v>1</v>
      </c>
      <c r="CB88" s="108" t="s">
        <v>1</v>
      </c>
      <c r="CC88" s="108" t="s">
        <v>1</v>
      </c>
      <c r="CD88" s="108" t="s">
        <v>1</v>
      </c>
      <c r="CE88" s="108" t="s">
        <v>1</v>
      </c>
      <c r="CF88" s="108" t="s">
        <v>1</v>
      </c>
      <c r="CG88" s="108" t="s">
        <v>1</v>
      </c>
      <c r="CH88" s="108" t="s">
        <v>1</v>
      </c>
    </row>
    <row r="89" ht="25" customHeight="1" spans="1:86">
      <c r="A89" s="107">
        <v>45192</v>
      </c>
      <c r="B89" s="7" t="s">
        <v>89</v>
      </c>
      <c r="C89" s="18" t="s">
        <v>126</v>
      </c>
      <c r="D89" s="30" t="s">
        <v>1</v>
      </c>
      <c r="E89" s="30" t="s">
        <v>1</v>
      </c>
      <c r="F89" s="109" t="str">
        <f t="shared" si="3"/>
        <v/>
      </c>
      <c r="G89" s="30">
        <v>18.5858</v>
      </c>
      <c r="H89" s="141" t="str">
        <f t="shared" si="4"/>
        <v/>
      </c>
      <c r="I89" s="109" t="s">
        <v>1</v>
      </c>
      <c r="J89" s="141" t="str">
        <f t="shared" si="5"/>
        <v/>
      </c>
      <c r="K89" s="211" t="str">
        <f>IFERROR(E89/#REF!,"")</f>
        <v/>
      </c>
      <c r="L89" s="30">
        <v>48591</v>
      </c>
      <c r="M89" s="204">
        <v>94017</v>
      </c>
      <c r="N89" s="141">
        <f t="shared" si="6"/>
        <v>-0.483167937713392</v>
      </c>
      <c r="O89" s="109" t="s">
        <v>1</v>
      </c>
      <c r="P89" s="32" t="s">
        <v>1</v>
      </c>
      <c r="Q89" s="109" t="s">
        <v>1</v>
      </c>
      <c r="R89" s="109" t="s">
        <v>1</v>
      </c>
      <c r="S89" s="109" t="s">
        <v>1</v>
      </c>
      <c r="T89" s="109" t="s">
        <v>1</v>
      </c>
      <c r="U89" s="109" t="s">
        <v>1</v>
      </c>
      <c r="V89" s="109" t="s">
        <v>1</v>
      </c>
      <c r="W89" s="109" t="s">
        <v>1</v>
      </c>
      <c r="X89" s="18" t="s">
        <v>1</v>
      </c>
      <c r="Y89" s="18">
        <v>7801</v>
      </c>
      <c r="Z89" s="18" t="s">
        <v>1</v>
      </c>
      <c r="AA89" s="18">
        <v>2429</v>
      </c>
      <c r="AB89" s="18" t="s">
        <v>1</v>
      </c>
      <c r="AC89" s="18">
        <v>3.21</v>
      </c>
      <c r="AD89" s="18" t="s">
        <v>1</v>
      </c>
      <c r="AE89" s="18">
        <v>96.79</v>
      </c>
      <c r="AF89" s="18" t="s">
        <v>1</v>
      </c>
      <c r="AG89" s="18" t="s">
        <v>1</v>
      </c>
      <c r="AH89" s="18" t="s">
        <v>1</v>
      </c>
      <c r="AI89" s="18">
        <v>115</v>
      </c>
      <c r="AJ89" s="212">
        <v>2167</v>
      </c>
      <c r="AK89" s="212">
        <v>2548</v>
      </c>
      <c r="AL89" s="212">
        <v>836</v>
      </c>
      <c r="AM89" s="212">
        <v>684</v>
      </c>
      <c r="AN89" s="212">
        <v>123</v>
      </c>
      <c r="AO89" s="212">
        <v>127</v>
      </c>
      <c r="AP89" s="212">
        <v>3068</v>
      </c>
      <c r="AQ89" s="212">
        <v>98</v>
      </c>
      <c r="AR89" s="212">
        <v>917</v>
      </c>
      <c r="AS89" s="212">
        <v>898</v>
      </c>
      <c r="AT89" s="212">
        <v>210</v>
      </c>
      <c r="AU89" s="212">
        <v>226</v>
      </c>
      <c r="AV89" s="210" t="s">
        <v>1</v>
      </c>
      <c r="AW89" s="109" t="s">
        <v>1</v>
      </c>
      <c r="AX89" s="198">
        <v>157</v>
      </c>
      <c r="AY89" s="109" t="s">
        <v>1</v>
      </c>
      <c r="AZ89" s="109" t="s">
        <v>1</v>
      </c>
      <c r="BA89" s="200" t="s">
        <v>1</v>
      </c>
      <c r="BB89" s="108">
        <v>14</v>
      </c>
      <c r="BC89" s="109" t="s">
        <v>1</v>
      </c>
      <c r="BD89" s="109" t="s">
        <v>1</v>
      </c>
      <c r="BE89" s="200" t="s">
        <v>1</v>
      </c>
      <c r="BF89" s="200" t="s">
        <v>1</v>
      </c>
      <c r="BG89" s="109" t="s">
        <v>1</v>
      </c>
      <c r="BH89" s="109" t="s">
        <v>1</v>
      </c>
      <c r="BI89" s="200" t="s">
        <v>1</v>
      </c>
      <c r="BJ89" s="200" t="s">
        <v>1</v>
      </c>
      <c r="BK89" s="92" t="s">
        <v>74</v>
      </c>
      <c r="BL89" s="92">
        <v>166</v>
      </c>
      <c r="BM89" s="92">
        <v>413</v>
      </c>
      <c r="BN89" s="92">
        <v>514</v>
      </c>
      <c r="BO89" s="92" t="s">
        <v>74</v>
      </c>
      <c r="BP89" s="92">
        <v>907</v>
      </c>
      <c r="BQ89" s="92">
        <v>122</v>
      </c>
      <c r="BR89" s="92">
        <v>136</v>
      </c>
      <c r="BS89" s="108" t="s">
        <v>1</v>
      </c>
      <c r="BT89" s="108" t="s">
        <v>1</v>
      </c>
      <c r="BU89" s="108" t="s">
        <v>1</v>
      </c>
      <c r="BV89" s="108" t="s">
        <v>1</v>
      </c>
      <c r="BW89" s="108" t="s">
        <v>1</v>
      </c>
      <c r="BX89" s="108" t="s">
        <v>1</v>
      </c>
      <c r="BY89" s="108" t="s">
        <v>1</v>
      </c>
      <c r="BZ89" s="108" t="s">
        <v>1</v>
      </c>
      <c r="CA89" s="108" t="s">
        <v>1</v>
      </c>
      <c r="CB89" s="108" t="s">
        <v>1</v>
      </c>
      <c r="CC89" s="108" t="s">
        <v>1</v>
      </c>
      <c r="CD89" s="108" t="s">
        <v>1</v>
      </c>
      <c r="CE89" s="108" t="s">
        <v>1</v>
      </c>
      <c r="CF89" s="108" t="s">
        <v>1</v>
      </c>
      <c r="CG89" s="108" t="s">
        <v>1</v>
      </c>
      <c r="CH89" s="108" t="s">
        <v>1</v>
      </c>
    </row>
    <row r="90" ht="25" customHeight="1" spans="1:86">
      <c r="A90" s="107">
        <v>45193</v>
      </c>
      <c r="B90" s="7" t="s">
        <v>126</v>
      </c>
      <c r="C90" s="18" t="s">
        <v>125</v>
      </c>
      <c r="D90" s="30" t="s">
        <v>1</v>
      </c>
      <c r="E90" s="30" t="s">
        <v>1</v>
      </c>
      <c r="F90" s="109" t="str">
        <f t="shared" si="3"/>
        <v/>
      </c>
      <c r="G90" s="30">
        <v>8.7983</v>
      </c>
      <c r="H90" s="141" t="str">
        <f t="shared" si="4"/>
        <v/>
      </c>
      <c r="I90" s="109" t="s">
        <v>1</v>
      </c>
      <c r="J90" s="141" t="str">
        <f t="shared" si="5"/>
        <v/>
      </c>
      <c r="K90" s="211" t="str">
        <f>IFERROR(E90/#REF!,"")</f>
        <v/>
      </c>
      <c r="L90" s="172">
        <v>60412</v>
      </c>
      <c r="M90" s="204">
        <v>56767</v>
      </c>
      <c r="N90" s="141">
        <f t="shared" si="6"/>
        <v>0.0642098402240738</v>
      </c>
      <c r="O90" s="109" t="s">
        <v>1</v>
      </c>
      <c r="P90" s="32" t="s">
        <v>1</v>
      </c>
      <c r="Q90" s="109" t="s">
        <v>1</v>
      </c>
      <c r="R90" s="109" t="s">
        <v>1</v>
      </c>
      <c r="S90" s="109" t="s">
        <v>1</v>
      </c>
      <c r="T90" s="109" t="s">
        <v>1</v>
      </c>
      <c r="U90" s="109" t="s">
        <v>1</v>
      </c>
      <c r="V90" s="109" t="s">
        <v>1</v>
      </c>
      <c r="W90" s="109" t="s">
        <v>1</v>
      </c>
      <c r="X90" s="18" t="s">
        <v>1</v>
      </c>
      <c r="Y90" s="18">
        <v>9224</v>
      </c>
      <c r="Z90" s="18" t="s">
        <v>1</v>
      </c>
      <c r="AA90" s="18">
        <v>3048</v>
      </c>
      <c r="AB90" s="18" t="s">
        <v>1</v>
      </c>
      <c r="AC90" s="18">
        <v>3.03</v>
      </c>
      <c r="AD90" s="18" t="s">
        <v>1</v>
      </c>
      <c r="AE90" s="18">
        <v>87.67</v>
      </c>
      <c r="AF90" s="18" t="s">
        <v>1</v>
      </c>
      <c r="AG90" s="18" t="s">
        <v>1</v>
      </c>
      <c r="AH90" s="18" t="s">
        <v>1</v>
      </c>
      <c r="AI90" s="18">
        <v>182</v>
      </c>
      <c r="AJ90" s="212">
        <v>2893</v>
      </c>
      <c r="AK90" s="212">
        <v>3344</v>
      </c>
      <c r="AL90" s="212">
        <v>913</v>
      </c>
      <c r="AM90" s="212">
        <v>714</v>
      </c>
      <c r="AN90" s="212">
        <v>112</v>
      </c>
      <c r="AO90" s="212">
        <v>111</v>
      </c>
      <c r="AP90" s="212">
        <v>8184</v>
      </c>
      <c r="AQ90" s="212">
        <v>115</v>
      </c>
      <c r="AR90" s="212">
        <v>1064</v>
      </c>
      <c r="AS90" s="212">
        <v>1367</v>
      </c>
      <c r="AT90" s="212">
        <v>253</v>
      </c>
      <c r="AU90" s="212">
        <v>255</v>
      </c>
      <c r="AV90" s="210" t="s">
        <v>1</v>
      </c>
      <c r="AW90" s="109" t="s">
        <v>1</v>
      </c>
      <c r="AX90" s="198">
        <v>193</v>
      </c>
      <c r="AY90" s="109" t="s">
        <v>1</v>
      </c>
      <c r="AZ90" s="109" t="s">
        <v>1</v>
      </c>
      <c r="BA90" s="200" t="s">
        <v>1</v>
      </c>
      <c r="BB90" s="108">
        <v>13</v>
      </c>
      <c r="BC90" s="109" t="s">
        <v>1</v>
      </c>
      <c r="BD90" s="109" t="s">
        <v>1</v>
      </c>
      <c r="BE90" s="200" t="s">
        <v>1</v>
      </c>
      <c r="BF90" s="200" t="s">
        <v>1</v>
      </c>
      <c r="BG90" s="109" t="s">
        <v>1</v>
      </c>
      <c r="BH90" s="109" t="s">
        <v>1</v>
      </c>
      <c r="BI90" s="200" t="s">
        <v>1</v>
      </c>
      <c r="BJ90" s="200" t="s">
        <v>1</v>
      </c>
      <c r="BK90" s="92" t="s">
        <v>74</v>
      </c>
      <c r="BL90" s="92">
        <v>145</v>
      </c>
      <c r="BM90" s="92">
        <v>581</v>
      </c>
      <c r="BN90" s="92">
        <v>968</v>
      </c>
      <c r="BO90" s="92" t="s">
        <v>74</v>
      </c>
      <c r="BP90" s="92">
        <v>789</v>
      </c>
      <c r="BQ90" s="92">
        <v>180</v>
      </c>
      <c r="BR90" s="92">
        <v>295</v>
      </c>
      <c r="BS90" s="108" t="s">
        <v>1</v>
      </c>
      <c r="BT90" s="108" t="s">
        <v>1</v>
      </c>
      <c r="BU90" s="108" t="s">
        <v>1</v>
      </c>
      <c r="BV90" s="108" t="s">
        <v>1</v>
      </c>
      <c r="BW90" s="108" t="s">
        <v>1</v>
      </c>
      <c r="BX90" s="108" t="s">
        <v>1</v>
      </c>
      <c r="BY90" s="108" t="s">
        <v>1</v>
      </c>
      <c r="BZ90" s="108" t="s">
        <v>1</v>
      </c>
      <c r="CA90" s="108" t="s">
        <v>1</v>
      </c>
      <c r="CB90" s="108" t="s">
        <v>1</v>
      </c>
      <c r="CC90" s="108" t="s">
        <v>1</v>
      </c>
      <c r="CD90" s="108" t="s">
        <v>1</v>
      </c>
      <c r="CE90" s="108" t="s">
        <v>1</v>
      </c>
      <c r="CF90" s="108" t="s">
        <v>1</v>
      </c>
      <c r="CG90" s="108" t="s">
        <v>1</v>
      </c>
      <c r="CH90" s="108" t="s">
        <v>1</v>
      </c>
    </row>
    <row r="91" ht="25" customHeight="1" spans="1:86">
      <c r="A91" s="107">
        <v>45194</v>
      </c>
      <c r="B91" s="7" t="s">
        <v>125</v>
      </c>
      <c r="C91" s="18" t="s">
        <v>125</v>
      </c>
      <c r="D91" s="30" t="s">
        <v>1</v>
      </c>
      <c r="E91" s="30" t="s">
        <v>1</v>
      </c>
      <c r="F91" s="109" t="str">
        <f t="shared" si="3"/>
        <v/>
      </c>
      <c r="G91" s="30">
        <v>1.14</v>
      </c>
      <c r="H91" s="141" t="str">
        <f t="shared" si="4"/>
        <v/>
      </c>
      <c r="I91" s="109" t="s">
        <v>1</v>
      </c>
      <c r="J91" s="141" t="str">
        <f t="shared" si="5"/>
        <v/>
      </c>
      <c r="K91" s="211" t="str">
        <f>IFERROR(E91/#REF!,"")</f>
        <v/>
      </c>
      <c r="L91" s="30">
        <v>57621.03</v>
      </c>
      <c r="M91" s="204">
        <v>32553</v>
      </c>
      <c r="N91" s="141">
        <f t="shared" si="6"/>
        <v>0.770068196479587</v>
      </c>
      <c r="O91" s="109" t="s">
        <v>1</v>
      </c>
      <c r="P91" s="32" t="s">
        <v>1</v>
      </c>
      <c r="Q91" s="109" t="s">
        <v>1</v>
      </c>
      <c r="R91" s="109" t="s">
        <v>1</v>
      </c>
      <c r="S91" s="109" t="s">
        <v>1</v>
      </c>
      <c r="T91" s="109" t="s">
        <v>1</v>
      </c>
      <c r="U91" s="109" t="s">
        <v>1</v>
      </c>
      <c r="V91" s="109" t="s">
        <v>1</v>
      </c>
      <c r="W91" s="109" t="s">
        <v>1</v>
      </c>
      <c r="X91" s="18" t="s">
        <v>1</v>
      </c>
      <c r="Y91" s="18">
        <v>9068</v>
      </c>
      <c r="Z91" s="18" t="s">
        <v>1</v>
      </c>
      <c r="AA91" s="18">
        <v>2929</v>
      </c>
      <c r="AB91" s="18" t="s">
        <v>1</v>
      </c>
      <c r="AC91" s="18">
        <v>3.1</v>
      </c>
      <c r="AD91" s="18" t="s">
        <v>1</v>
      </c>
      <c r="AE91" s="18">
        <v>88.09</v>
      </c>
      <c r="AF91" s="18" t="s">
        <v>1</v>
      </c>
      <c r="AG91" s="18" t="s">
        <v>1</v>
      </c>
      <c r="AH91" s="18" t="s">
        <v>1</v>
      </c>
      <c r="AI91" s="18">
        <v>143</v>
      </c>
      <c r="AJ91" s="212">
        <v>2632</v>
      </c>
      <c r="AK91" s="212">
        <v>3222</v>
      </c>
      <c r="AL91" s="212">
        <v>730</v>
      </c>
      <c r="AM91" s="212">
        <v>742</v>
      </c>
      <c r="AN91" s="212">
        <v>101</v>
      </c>
      <c r="AO91" s="212">
        <v>81</v>
      </c>
      <c r="AP91" s="212">
        <v>9334</v>
      </c>
      <c r="AQ91" s="212">
        <v>125</v>
      </c>
      <c r="AR91" s="212">
        <v>959</v>
      </c>
      <c r="AS91" s="212">
        <v>1216</v>
      </c>
      <c r="AT91" s="212">
        <v>181</v>
      </c>
      <c r="AU91" s="212">
        <v>272</v>
      </c>
      <c r="AV91" s="210" t="s">
        <v>1</v>
      </c>
      <c r="AW91" s="109" t="s">
        <v>1</v>
      </c>
      <c r="AX91" s="198">
        <v>171</v>
      </c>
      <c r="AY91" s="109" t="s">
        <v>1</v>
      </c>
      <c r="AZ91" s="109" t="s">
        <v>1</v>
      </c>
      <c r="BA91" s="200" t="s">
        <v>1</v>
      </c>
      <c r="BB91" s="108">
        <v>26</v>
      </c>
      <c r="BC91" s="109" t="s">
        <v>1</v>
      </c>
      <c r="BD91" s="109" t="s">
        <v>1</v>
      </c>
      <c r="BE91" s="200" t="s">
        <v>1</v>
      </c>
      <c r="BF91" s="200" t="s">
        <v>1</v>
      </c>
      <c r="BG91" s="109" t="s">
        <v>1</v>
      </c>
      <c r="BH91" s="109" t="s">
        <v>1</v>
      </c>
      <c r="BI91" s="200" t="s">
        <v>1</v>
      </c>
      <c r="BJ91" s="200" t="s">
        <v>1</v>
      </c>
      <c r="BK91" s="92" t="s">
        <v>74</v>
      </c>
      <c r="BL91" s="92">
        <v>166</v>
      </c>
      <c r="BM91" s="92">
        <v>436</v>
      </c>
      <c r="BN91" s="92">
        <v>886</v>
      </c>
      <c r="BO91" s="92" t="s">
        <v>74</v>
      </c>
      <c r="BP91" s="92">
        <v>1027</v>
      </c>
      <c r="BQ91" s="92">
        <v>114</v>
      </c>
      <c r="BR91" s="92">
        <v>210</v>
      </c>
      <c r="BS91" s="108" t="s">
        <v>1</v>
      </c>
      <c r="BT91" s="108" t="s">
        <v>1</v>
      </c>
      <c r="BU91" s="108" t="s">
        <v>1</v>
      </c>
      <c r="BV91" s="108" t="s">
        <v>1</v>
      </c>
      <c r="BW91" s="108" t="s">
        <v>1</v>
      </c>
      <c r="BX91" s="108" t="s">
        <v>1</v>
      </c>
      <c r="BY91" s="108" t="s">
        <v>1</v>
      </c>
      <c r="BZ91" s="108" t="s">
        <v>1</v>
      </c>
      <c r="CA91" s="108" t="s">
        <v>1</v>
      </c>
      <c r="CB91" s="108" t="s">
        <v>1</v>
      </c>
      <c r="CC91" s="108" t="s">
        <v>1</v>
      </c>
      <c r="CD91" s="108" t="s">
        <v>1</v>
      </c>
      <c r="CE91" s="108" t="s">
        <v>1</v>
      </c>
      <c r="CF91" s="108" t="s">
        <v>1</v>
      </c>
      <c r="CG91" s="108" t="s">
        <v>1</v>
      </c>
      <c r="CH91" s="108" t="s">
        <v>1</v>
      </c>
    </row>
    <row r="92" ht="25" customHeight="1" spans="1:86">
      <c r="A92" s="107">
        <v>45195</v>
      </c>
      <c r="B92" s="7" t="s">
        <v>89</v>
      </c>
      <c r="C92" s="208" t="s">
        <v>235</v>
      </c>
      <c r="D92" s="30" t="s">
        <v>1</v>
      </c>
      <c r="E92" s="30" t="s">
        <v>1</v>
      </c>
      <c r="F92" s="109" t="str">
        <f t="shared" si="3"/>
        <v/>
      </c>
      <c r="G92" s="30">
        <v>9.4779</v>
      </c>
      <c r="H92" s="141" t="str">
        <f t="shared" si="4"/>
        <v/>
      </c>
      <c r="I92" s="109" t="s">
        <v>1</v>
      </c>
      <c r="J92" s="141" t="str">
        <f t="shared" si="5"/>
        <v/>
      </c>
      <c r="K92" s="211" t="str">
        <f>IFERROR(E92/#REF!,"")</f>
        <v/>
      </c>
      <c r="L92" s="172">
        <v>28681</v>
      </c>
      <c r="M92" s="204">
        <v>40691</v>
      </c>
      <c r="N92" s="141">
        <f t="shared" si="6"/>
        <v>-0.295151261949817</v>
      </c>
      <c r="O92" s="109" t="s">
        <v>1</v>
      </c>
      <c r="P92" s="32" t="s">
        <v>1</v>
      </c>
      <c r="Q92" s="109" t="s">
        <v>1</v>
      </c>
      <c r="R92" s="109" t="s">
        <v>1</v>
      </c>
      <c r="S92" s="109" t="s">
        <v>1</v>
      </c>
      <c r="T92" s="109" t="s">
        <v>1</v>
      </c>
      <c r="U92" s="109" t="s">
        <v>1</v>
      </c>
      <c r="V92" s="109" t="s">
        <v>1</v>
      </c>
      <c r="W92" s="109" t="s">
        <v>1</v>
      </c>
      <c r="X92" s="18" t="s">
        <v>1</v>
      </c>
      <c r="Y92" s="18">
        <v>10015</v>
      </c>
      <c r="Z92" s="18" t="s">
        <v>1</v>
      </c>
      <c r="AA92" s="18">
        <v>3580</v>
      </c>
      <c r="AB92" s="18" t="s">
        <v>1</v>
      </c>
      <c r="AC92" s="18">
        <v>2.8</v>
      </c>
      <c r="AD92" s="18" t="s">
        <v>1</v>
      </c>
      <c r="AE92" s="18">
        <v>84.59</v>
      </c>
      <c r="AF92" s="18" t="s">
        <v>1</v>
      </c>
      <c r="AG92" s="18" t="s">
        <v>1</v>
      </c>
      <c r="AH92" s="18" t="s">
        <v>1</v>
      </c>
      <c r="AI92" s="18">
        <v>185</v>
      </c>
      <c r="AJ92" s="212">
        <v>2349</v>
      </c>
      <c r="AK92" s="212">
        <v>3911</v>
      </c>
      <c r="AL92" s="212">
        <v>630</v>
      </c>
      <c r="AM92" s="212">
        <v>753</v>
      </c>
      <c r="AN92" s="212">
        <v>129</v>
      </c>
      <c r="AO92" s="212">
        <v>118</v>
      </c>
      <c r="AP92" s="212">
        <v>7617</v>
      </c>
      <c r="AQ92" s="212">
        <v>160</v>
      </c>
      <c r="AR92" s="212">
        <v>868</v>
      </c>
      <c r="AS92" s="212">
        <v>1331</v>
      </c>
      <c r="AT92" s="212">
        <v>214</v>
      </c>
      <c r="AU92" s="212">
        <v>257</v>
      </c>
      <c r="AV92" s="210" t="s">
        <v>1</v>
      </c>
      <c r="AW92" s="109" t="s">
        <v>1</v>
      </c>
      <c r="AX92" s="198">
        <v>151</v>
      </c>
      <c r="AY92" s="109" t="s">
        <v>1</v>
      </c>
      <c r="AZ92" s="109" t="s">
        <v>1</v>
      </c>
      <c r="BA92" s="200" t="s">
        <v>1</v>
      </c>
      <c r="BB92" s="108">
        <v>0</v>
      </c>
      <c r="BC92" s="109" t="s">
        <v>1</v>
      </c>
      <c r="BD92" s="109" t="s">
        <v>1</v>
      </c>
      <c r="BE92" s="200" t="s">
        <v>1</v>
      </c>
      <c r="BF92" s="200" t="s">
        <v>1</v>
      </c>
      <c r="BG92" s="109" t="s">
        <v>1</v>
      </c>
      <c r="BH92" s="109" t="s">
        <v>1</v>
      </c>
      <c r="BI92" s="200" t="s">
        <v>1</v>
      </c>
      <c r="BJ92" s="200" t="s">
        <v>1</v>
      </c>
      <c r="BK92" s="92" t="s">
        <v>74</v>
      </c>
      <c r="BL92" s="92">
        <v>208</v>
      </c>
      <c r="BM92" s="92">
        <v>315</v>
      </c>
      <c r="BN92" s="92">
        <v>849</v>
      </c>
      <c r="BO92" s="92" t="s">
        <v>74</v>
      </c>
      <c r="BP92" s="92">
        <v>1154</v>
      </c>
      <c r="BQ92" s="92">
        <v>81</v>
      </c>
      <c r="BR92" s="92">
        <v>294</v>
      </c>
      <c r="BS92" s="108" t="s">
        <v>1</v>
      </c>
      <c r="BT92" s="108" t="s">
        <v>1</v>
      </c>
      <c r="BU92" s="108" t="s">
        <v>1</v>
      </c>
      <c r="BV92" s="108" t="s">
        <v>1</v>
      </c>
      <c r="BW92" s="108" t="s">
        <v>1</v>
      </c>
      <c r="BX92" s="108" t="s">
        <v>1</v>
      </c>
      <c r="BY92" s="108" t="s">
        <v>1</v>
      </c>
      <c r="BZ92" s="108" t="s">
        <v>1</v>
      </c>
      <c r="CA92" s="108" t="s">
        <v>1</v>
      </c>
      <c r="CB92" s="108" t="s">
        <v>1</v>
      </c>
      <c r="CC92" s="108" t="s">
        <v>1</v>
      </c>
      <c r="CD92" s="108" t="s">
        <v>1</v>
      </c>
      <c r="CE92" s="108" t="s">
        <v>1</v>
      </c>
      <c r="CF92" s="108" t="s">
        <v>1</v>
      </c>
      <c r="CG92" s="108" t="s">
        <v>1</v>
      </c>
      <c r="CH92" s="108" t="s">
        <v>1</v>
      </c>
    </row>
    <row r="93" ht="25" customHeight="1" spans="1:86">
      <c r="A93" s="107">
        <v>45196</v>
      </c>
      <c r="B93" s="7" t="s">
        <v>89</v>
      </c>
      <c r="C93" s="18" t="s">
        <v>75</v>
      </c>
      <c r="D93" s="30" t="s">
        <v>1</v>
      </c>
      <c r="E93" s="30" t="s">
        <v>1</v>
      </c>
      <c r="F93" s="109" t="str">
        <f t="shared" si="3"/>
        <v/>
      </c>
      <c r="G93" s="30">
        <v>5.3337</v>
      </c>
      <c r="H93" s="141" t="str">
        <f t="shared" si="4"/>
        <v/>
      </c>
      <c r="I93" s="109" t="s">
        <v>1</v>
      </c>
      <c r="J93" s="141" t="str">
        <f t="shared" si="5"/>
        <v/>
      </c>
      <c r="K93" s="211" t="str">
        <f>IFERROR(E93/#REF!,"")</f>
        <v/>
      </c>
      <c r="L93" s="172">
        <v>19227</v>
      </c>
      <c r="M93" s="204">
        <v>32591</v>
      </c>
      <c r="N93" s="141">
        <f t="shared" si="6"/>
        <v>-0.410051854806542</v>
      </c>
      <c r="O93" s="109" t="s">
        <v>1</v>
      </c>
      <c r="P93" s="32" t="s">
        <v>1</v>
      </c>
      <c r="Q93" s="109" t="s">
        <v>1</v>
      </c>
      <c r="R93" s="109" t="s">
        <v>1</v>
      </c>
      <c r="S93" s="109" t="s">
        <v>1</v>
      </c>
      <c r="T93" s="109" t="s">
        <v>1</v>
      </c>
      <c r="U93" s="109" t="s">
        <v>1</v>
      </c>
      <c r="V93" s="109" t="s">
        <v>1</v>
      </c>
      <c r="W93" s="109" t="s">
        <v>1</v>
      </c>
      <c r="X93" s="18" t="s">
        <v>1</v>
      </c>
      <c r="Y93" s="18">
        <v>9470</v>
      </c>
      <c r="Z93" s="18" t="s">
        <v>1</v>
      </c>
      <c r="AA93" s="18">
        <v>3193</v>
      </c>
      <c r="AB93" s="18" t="s">
        <v>1</v>
      </c>
      <c r="AC93" s="18">
        <v>2.97</v>
      </c>
      <c r="AD93" s="18" t="s">
        <v>1</v>
      </c>
      <c r="AE93" s="18">
        <v>93.5</v>
      </c>
      <c r="AF93" s="18" t="s">
        <v>1</v>
      </c>
      <c r="AG93" s="18" t="s">
        <v>1</v>
      </c>
      <c r="AH93" s="18" t="s">
        <v>1</v>
      </c>
      <c r="AI93" s="18">
        <v>145</v>
      </c>
      <c r="AJ93" s="212">
        <v>2243</v>
      </c>
      <c r="AK93" s="212">
        <v>3336</v>
      </c>
      <c r="AL93" s="212">
        <v>695</v>
      </c>
      <c r="AM93" s="212">
        <v>747</v>
      </c>
      <c r="AN93" s="212">
        <v>110</v>
      </c>
      <c r="AO93" s="212">
        <v>159</v>
      </c>
      <c r="AP93" s="212">
        <v>10585</v>
      </c>
      <c r="AQ93" s="212">
        <v>180</v>
      </c>
      <c r="AR93" s="212">
        <v>767</v>
      </c>
      <c r="AS93" s="212">
        <v>1264</v>
      </c>
      <c r="AT93" s="212">
        <v>163</v>
      </c>
      <c r="AU93" s="212">
        <v>276</v>
      </c>
      <c r="AV93" s="210" t="s">
        <v>1</v>
      </c>
      <c r="AW93" s="109" t="s">
        <v>1</v>
      </c>
      <c r="AX93" s="198">
        <v>144</v>
      </c>
      <c r="AY93" s="109" t="s">
        <v>1</v>
      </c>
      <c r="AZ93" s="109" t="s">
        <v>1</v>
      </c>
      <c r="BA93" s="200" t="s">
        <v>1</v>
      </c>
      <c r="BB93" s="108">
        <v>12</v>
      </c>
      <c r="BC93" s="109" t="s">
        <v>1</v>
      </c>
      <c r="BD93" s="109" t="s">
        <v>1</v>
      </c>
      <c r="BE93" s="200" t="s">
        <v>1</v>
      </c>
      <c r="BF93" s="200" t="s">
        <v>1</v>
      </c>
      <c r="BG93" s="109" t="s">
        <v>1</v>
      </c>
      <c r="BH93" s="109" t="s">
        <v>1</v>
      </c>
      <c r="BI93" s="200" t="s">
        <v>1</v>
      </c>
      <c r="BJ93" s="200" t="s">
        <v>1</v>
      </c>
      <c r="BK93" s="92" t="s">
        <v>74</v>
      </c>
      <c r="BL93" s="92">
        <v>202</v>
      </c>
      <c r="BM93" s="92">
        <v>320</v>
      </c>
      <c r="BN93" s="92">
        <v>791</v>
      </c>
      <c r="BO93" s="92" t="s">
        <v>74</v>
      </c>
      <c r="BP93" s="92">
        <v>1087</v>
      </c>
      <c r="BQ93" s="92">
        <v>94</v>
      </c>
      <c r="BR93" s="92">
        <v>248</v>
      </c>
      <c r="BS93" s="108" t="s">
        <v>1</v>
      </c>
      <c r="BT93" s="108" t="s">
        <v>1</v>
      </c>
      <c r="BU93" s="108" t="s">
        <v>1</v>
      </c>
      <c r="BV93" s="108" t="s">
        <v>1</v>
      </c>
      <c r="BW93" s="108" t="s">
        <v>1</v>
      </c>
      <c r="BX93" s="108" t="s">
        <v>1</v>
      </c>
      <c r="BY93" s="108" t="s">
        <v>1</v>
      </c>
      <c r="BZ93" s="108" t="s">
        <v>1</v>
      </c>
      <c r="CA93" s="108" t="s">
        <v>1</v>
      </c>
      <c r="CB93" s="108" t="s">
        <v>1</v>
      </c>
      <c r="CC93" s="108" t="s">
        <v>1</v>
      </c>
      <c r="CD93" s="108" t="s">
        <v>1</v>
      </c>
      <c r="CE93" s="108" t="s">
        <v>1</v>
      </c>
      <c r="CF93" s="108" t="s">
        <v>1</v>
      </c>
      <c r="CG93" s="108" t="s">
        <v>1</v>
      </c>
      <c r="CH93" s="108" t="s">
        <v>1</v>
      </c>
    </row>
    <row r="94" ht="25" customHeight="1" spans="1:86">
      <c r="A94" s="107">
        <v>45197</v>
      </c>
      <c r="B94" s="7" t="s">
        <v>126</v>
      </c>
      <c r="C94" s="18" t="s">
        <v>75</v>
      </c>
      <c r="D94" s="30" t="s">
        <v>1</v>
      </c>
      <c r="E94" s="30" t="s">
        <v>1</v>
      </c>
      <c r="F94" s="109" t="str">
        <f t="shared" si="3"/>
        <v/>
      </c>
      <c r="G94" s="30">
        <v>2.5844</v>
      </c>
      <c r="H94" s="141" t="str">
        <f t="shared" si="4"/>
        <v/>
      </c>
      <c r="I94" s="109" t="s">
        <v>1</v>
      </c>
      <c r="J94" s="141" t="str">
        <f t="shared" si="5"/>
        <v/>
      </c>
      <c r="K94" s="211" t="str">
        <f>IFERROR(E94/#REF!,"")</f>
        <v/>
      </c>
      <c r="L94" s="30">
        <v>38572</v>
      </c>
      <c r="M94" s="204">
        <v>131141</v>
      </c>
      <c r="N94" s="141">
        <f t="shared" si="6"/>
        <v>-0.705873830457294</v>
      </c>
      <c r="O94" s="109" t="s">
        <v>1</v>
      </c>
      <c r="P94" s="32" t="s">
        <v>1</v>
      </c>
      <c r="Q94" s="109" t="s">
        <v>1</v>
      </c>
      <c r="R94" s="109" t="s">
        <v>1</v>
      </c>
      <c r="S94" s="109" t="s">
        <v>1</v>
      </c>
      <c r="T94" s="109" t="s">
        <v>1</v>
      </c>
      <c r="U94" s="109" t="s">
        <v>1</v>
      </c>
      <c r="V94" s="109" t="s">
        <v>1</v>
      </c>
      <c r="W94" s="109" t="s">
        <v>1</v>
      </c>
      <c r="X94" s="18" t="s">
        <v>1</v>
      </c>
      <c r="Y94" s="18">
        <v>7194</v>
      </c>
      <c r="Z94" s="18" t="s">
        <v>1</v>
      </c>
      <c r="AA94" s="18">
        <v>2461</v>
      </c>
      <c r="AB94" s="18" t="s">
        <v>1</v>
      </c>
      <c r="AC94" s="18">
        <v>2.92</v>
      </c>
      <c r="AD94" s="18" t="s">
        <v>1</v>
      </c>
      <c r="AE94" s="18">
        <v>95.98</v>
      </c>
      <c r="AF94" s="18" t="s">
        <v>1</v>
      </c>
      <c r="AG94" s="18" t="s">
        <v>1</v>
      </c>
      <c r="AH94" s="18" t="s">
        <v>1</v>
      </c>
      <c r="AI94" s="18">
        <v>125</v>
      </c>
      <c r="AJ94" s="212">
        <v>2058</v>
      </c>
      <c r="AK94" s="212">
        <v>2520</v>
      </c>
      <c r="AL94" s="212">
        <v>689</v>
      </c>
      <c r="AM94" s="212">
        <v>646</v>
      </c>
      <c r="AN94" s="212">
        <v>70</v>
      </c>
      <c r="AO94" s="212">
        <v>132</v>
      </c>
      <c r="AP94" s="212">
        <v>7311</v>
      </c>
      <c r="AQ94" s="212">
        <v>131</v>
      </c>
      <c r="AR94" s="212">
        <v>665</v>
      </c>
      <c r="AS94" s="212">
        <v>892</v>
      </c>
      <c r="AT94" s="212">
        <v>116</v>
      </c>
      <c r="AU94" s="212">
        <v>239</v>
      </c>
      <c r="AV94" s="210" t="s">
        <v>1</v>
      </c>
      <c r="AW94" s="109" t="s">
        <v>1</v>
      </c>
      <c r="AX94" s="198">
        <v>134</v>
      </c>
      <c r="AY94" s="109" t="s">
        <v>1</v>
      </c>
      <c r="AZ94" s="109" t="s">
        <v>1</v>
      </c>
      <c r="BA94" s="200" t="s">
        <v>1</v>
      </c>
      <c r="BB94" s="108">
        <v>8</v>
      </c>
      <c r="BC94" s="109" t="s">
        <v>1</v>
      </c>
      <c r="BD94" s="109" t="s">
        <v>1</v>
      </c>
      <c r="BE94" s="200" t="s">
        <v>1</v>
      </c>
      <c r="BF94" s="200" t="s">
        <v>1</v>
      </c>
      <c r="BG94" s="109" t="s">
        <v>1</v>
      </c>
      <c r="BH94" s="109" t="s">
        <v>1</v>
      </c>
      <c r="BI94" s="200" t="s">
        <v>1</v>
      </c>
      <c r="BJ94" s="200" t="s">
        <v>1</v>
      </c>
      <c r="BK94" s="92" t="s">
        <v>74</v>
      </c>
      <c r="BL94" s="92">
        <v>244</v>
      </c>
      <c r="BM94" s="92">
        <v>249</v>
      </c>
      <c r="BN94" s="92">
        <v>616</v>
      </c>
      <c r="BO94" s="92" t="s">
        <v>74</v>
      </c>
      <c r="BP94" s="92">
        <v>1115</v>
      </c>
      <c r="BQ94" s="92">
        <v>79</v>
      </c>
      <c r="BR94" s="92">
        <v>150</v>
      </c>
      <c r="BS94" s="108" t="s">
        <v>1</v>
      </c>
      <c r="BT94" s="108" t="s">
        <v>1</v>
      </c>
      <c r="BU94" s="108" t="s">
        <v>1</v>
      </c>
      <c r="BV94" s="108" t="s">
        <v>1</v>
      </c>
      <c r="BW94" s="108" t="s">
        <v>1</v>
      </c>
      <c r="BX94" s="108" t="s">
        <v>1</v>
      </c>
      <c r="BY94" s="108" t="s">
        <v>1</v>
      </c>
      <c r="BZ94" s="108" t="s">
        <v>1</v>
      </c>
      <c r="CA94" s="108" t="s">
        <v>1</v>
      </c>
      <c r="CB94" s="108" t="s">
        <v>1</v>
      </c>
      <c r="CC94" s="108" t="s">
        <v>1</v>
      </c>
      <c r="CD94" s="108" t="s">
        <v>1</v>
      </c>
      <c r="CE94" s="108" t="s">
        <v>1</v>
      </c>
      <c r="CF94" s="108" t="s">
        <v>1</v>
      </c>
      <c r="CG94" s="108" t="s">
        <v>1</v>
      </c>
      <c r="CH94" s="108" t="s">
        <v>1</v>
      </c>
    </row>
    <row r="95" ht="25" customHeight="1" spans="1:86">
      <c r="A95" s="107">
        <v>45198</v>
      </c>
      <c r="B95" s="7" t="s">
        <v>125</v>
      </c>
      <c r="C95" s="18" t="s">
        <v>75</v>
      </c>
      <c r="D95" s="30" t="s">
        <v>1</v>
      </c>
      <c r="E95" s="30" t="s">
        <v>1</v>
      </c>
      <c r="F95" s="109" t="str">
        <f t="shared" si="3"/>
        <v/>
      </c>
      <c r="G95" s="30">
        <v>0</v>
      </c>
      <c r="H95" s="141" t="str">
        <f t="shared" si="4"/>
        <v/>
      </c>
      <c r="I95" s="109" t="s">
        <v>1</v>
      </c>
      <c r="J95" s="141" t="str">
        <f t="shared" si="5"/>
        <v/>
      </c>
      <c r="K95" s="211" t="str">
        <f>IFERROR(E95/#REF!,"")</f>
        <v/>
      </c>
      <c r="L95" s="30">
        <v>33254</v>
      </c>
      <c r="M95" s="204">
        <v>62738</v>
      </c>
      <c r="N95" s="141">
        <f t="shared" si="6"/>
        <v>-0.469954413593038</v>
      </c>
      <c r="O95" s="109" t="s">
        <v>1</v>
      </c>
      <c r="P95" s="32" t="s">
        <v>1</v>
      </c>
      <c r="Q95" s="109" t="s">
        <v>1</v>
      </c>
      <c r="R95" s="109" t="s">
        <v>1</v>
      </c>
      <c r="S95" s="109" t="s">
        <v>1</v>
      </c>
      <c r="T95" s="109" t="s">
        <v>1</v>
      </c>
      <c r="U95" s="109" t="s">
        <v>1</v>
      </c>
      <c r="V95" s="109" t="s">
        <v>1</v>
      </c>
      <c r="W95" s="109" t="s">
        <v>1</v>
      </c>
      <c r="X95" s="18" t="s">
        <v>1</v>
      </c>
      <c r="Y95" s="18">
        <v>8592</v>
      </c>
      <c r="Z95" s="18" t="s">
        <v>1</v>
      </c>
      <c r="AA95" s="18">
        <v>2937</v>
      </c>
      <c r="AB95" s="18" t="s">
        <v>1</v>
      </c>
      <c r="AC95" s="18">
        <v>2.93</v>
      </c>
      <c r="AD95" s="18" t="s">
        <v>1</v>
      </c>
      <c r="AE95" s="18">
        <v>85.79</v>
      </c>
      <c r="AF95" s="18" t="s">
        <v>1</v>
      </c>
      <c r="AG95" s="18" t="s">
        <v>1</v>
      </c>
      <c r="AH95" s="18" t="s">
        <v>1</v>
      </c>
      <c r="AI95" s="18">
        <v>76</v>
      </c>
      <c r="AJ95" s="18">
        <v>1580</v>
      </c>
      <c r="AK95" s="18">
        <v>3041</v>
      </c>
      <c r="AL95" s="18">
        <v>692</v>
      </c>
      <c r="AM95" s="18">
        <v>608</v>
      </c>
      <c r="AN95" s="18">
        <v>40</v>
      </c>
      <c r="AO95" s="18">
        <v>111</v>
      </c>
      <c r="AP95" s="212">
        <v>2929</v>
      </c>
      <c r="AQ95" s="212">
        <v>180</v>
      </c>
      <c r="AR95" s="212">
        <v>587</v>
      </c>
      <c r="AS95" s="212">
        <v>872</v>
      </c>
      <c r="AT95" s="212">
        <v>79</v>
      </c>
      <c r="AU95" s="212">
        <v>228</v>
      </c>
      <c r="AV95" s="18" t="s">
        <v>1</v>
      </c>
      <c r="AW95" s="109" t="s">
        <v>1</v>
      </c>
      <c r="AX95" s="198">
        <v>94</v>
      </c>
      <c r="AY95" s="109" t="s">
        <v>1</v>
      </c>
      <c r="AZ95" s="109" t="s">
        <v>1</v>
      </c>
      <c r="BA95" s="200" t="s">
        <v>1</v>
      </c>
      <c r="BB95" s="108">
        <v>6</v>
      </c>
      <c r="BC95" s="109" t="s">
        <v>1</v>
      </c>
      <c r="BD95" s="109" t="s">
        <v>1</v>
      </c>
      <c r="BE95" s="200" t="s">
        <v>1</v>
      </c>
      <c r="BF95" s="200" t="s">
        <v>1</v>
      </c>
      <c r="BG95" s="109" t="s">
        <v>1</v>
      </c>
      <c r="BH95" s="109" t="s">
        <v>1</v>
      </c>
      <c r="BI95" s="200" t="s">
        <v>1</v>
      </c>
      <c r="BJ95" s="200" t="s">
        <v>1</v>
      </c>
      <c r="BK95" s="92" t="s">
        <v>74</v>
      </c>
      <c r="BL95" s="92">
        <v>249</v>
      </c>
      <c r="BM95" s="92">
        <v>235</v>
      </c>
      <c r="BN95" s="92">
        <v>567</v>
      </c>
      <c r="BO95" s="92" t="s">
        <v>74</v>
      </c>
      <c r="BP95" s="92">
        <v>1377</v>
      </c>
      <c r="BQ95" s="92">
        <v>63</v>
      </c>
      <c r="BR95" s="92">
        <v>186</v>
      </c>
      <c r="BS95" s="108" t="s">
        <v>1</v>
      </c>
      <c r="BT95" s="108" t="s">
        <v>1</v>
      </c>
      <c r="BU95" s="108" t="s">
        <v>1</v>
      </c>
      <c r="BV95" s="108" t="s">
        <v>1</v>
      </c>
      <c r="BW95" s="108" t="s">
        <v>1</v>
      </c>
      <c r="BX95" s="108" t="s">
        <v>1</v>
      </c>
      <c r="BY95" s="108" t="s">
        <v>1</v>
      </c>
      <c r="BZ95" s="108" t="s">
        <v>1</v>
      </c>
      <c r="CA95" s="108" t="s">
        <v>1</v>
      </c>
      <c r="CB95" s="108" t="s">
        <v>1</v>
      </c>
      <c r="CC95" s="108" t="s">
        <v>1</v>
      </c>
      <c r="CD95" s="108" t="s">
        <v>1</v>
      </c>
      <c r="CE95" s="108" t="s">
        <v>1</v>
      </c>
      <c r="CF95" s="108" t="s">
        <v>1</v>
      </c>
      <c r="CG95" s="108" t="s">
        <v>1</v>
      </c>
      <c r="CH95" s="108" t="s">
        <v>1</v>
      </c>
    </row>
    <row r="96" ht="25" customHeight="1" spans="1:86">
      <c r="A96" s="171">
        <v>45199</v>
      </c>
      <c r="B96" s="119" t="s">
        <v>125</v>
      </c>
      <c r="C96" s="177" t="s">
        <v>126</v>
      </c>
      <c r="D96" s="172" t="s">
        <v>1</v>
      </c>
      <c r="E96" s="172" t="s">
        <v>1</v>
      </c>
      <c r="F96" s="158" t="str">
        <f t="shared" si="3"/>
        <v/>
      </c>
      <c r="G96" s="172">
        <v>33.2032</v>
      </c>
      <c r="H96" s="174" t="str">
        <f t="shared" si="4"/>
        <v/>
      </c>
      <c r="I96" s="158" t="s">
        <v>1</v>
      </c>
      <c r="J96" s="174" t="str">
        <f t="shared" si="5"/>
        <v/>
      </c>
      <c r="K96" s="213" t="str">
        <f>IFERROR(E96/#REF!,"")</f>
        <v/>
      </c>
      <c r="L96" s="30">
        <v>41070</v>
      </c>
      <c r="M96" s="205">
        <v>190827</v>
      </c>
      <c r="N96" s="174">
        <f t="shared" si="6"/>
        <v>-0.78477888349133</v>
      </c>
      <c r="O96" s="158" t="s">
        <v>1</v>
      </c>
      <c r="P96" s="175" t="s">
        <v>1</v>
      </c>
      <c r="Q96" s="158" t="s">
        <v>1</v>
      </c>
      <c r="R96" s="158" t="s">
        <v>1</v>
      </c>
      <c r="S96" s="158" t="s">
        <v>1</v>
      </c>
      <c r="T96" s="158" t="s">
        <v>1</v>
      </c>
      <c r="U96" s="158" t="s">
        <v>1</v>
      </c>
      <c r="V96" s="158" t="s">
        <v>1</v>
      </c>
      <c r="W96" s="158" t="s">
        <v>1</v>
      </c>
      <c r="X96" s="177" t="s">
        <v>1</v>
      </c>
      <c r="Y96" s="177">
        <v>9456</v>
      </c>
      <c r="Z96" s="177" t="s">
        <v>1</v>
      </c>
      <c r="AA96" s="177">
        <v>2832</v>
      </c>
      <c r="AB96" s="177" t="s">
        <v>1</v>
      </c>
      <c r="AC96" s="177">
        <v>3.34</v>
      </c>
      <c r="AD96" s="177" t="s">
        <v>1</v>
      </c>
      <c r="AE96" s="177">
        <v>102.8</v>
      </c>
      <c r="AF96" s="177" t="s">
        <v>1</v>
      </c>
      <c r="AG96" s="177" t="s">
        <v>1</v>
      </c>
      <c r="AH96" s="177" t="s">
        <v>1</v>
      </c>
      <c r="AI96" s="177">
        <v>139</v>
      </c>
      <c r="AJ96" s="177">
        <v>1838</v>
      </c>
      <c r="AK96" s="177">
        <v>3230</v>
      </c>
      <c r="AL96" s="177">
        <v>854</v>
      </c>
      <c r="AM96" s="177">
        <v>641</v>
      </c>
      <c r="AN96" s="177">
        <v>67</v>
      </c>
      <c r="AO96" s="177">
        <v>159</v>
      </c>
      <c r="AP96" s="177">
        <v>1951</v>
      </c>
      <c r="AQ96" s="177">
        <v>200</v>
      </c>
      <c r="AR96" s="177">
        <v>713</v>
      </c>
      <c r="AS96" s="177">
        <v>984</v>
      </c>
      <c r="AT96" s="177">
        <v>141</v>
      </c>
      <c r="AU96" s="177">
        <v>280</v>
      </c>
      <c r="AV96" s="177" t="s">
        <v>1</v>
      </c>
      <c r="AW96" s="158" t="s">
        <v>1</v>
      </c>
      <c r="AX96" s="39">
        <v>121</v>
      </c>
      <c r="AY96" s="158" t="s">
        <v>1</v>
      </c>
      <c r="AZ96" s="158" t="s">
        <v>1</v>
      </c>
      <c r="BA96" s="214" t="s">
        <v>1</v>
      </c>
      <c r="BB96" s="38">
        <v>5</v>
      </c>
      <c r="BC96" s="158" t="s">
        <v>1</v>
      </c>
      <c r="BD96" s="158" t="s">
        <v>1</v>
      </c>
      <c r="BE96" s="214" t="s">
        <v>1</v>
      </c>
      <c r="BF96" s="214" t="s">
        <v>1</v>
      </c>
      <c r="BG96" s="158" t="s">
        <v>1</v>
      </c>
      <c r="BH96" s="158" t="s">
        <v>1</v>
      </c>
      <c r="BI96" s="214" t="s">
        <v>1</v>
      </c>
      <c r="BJ96" s="214" t="s">
        <v>1</v>
      </c>
      <c r="BK96" s="73" t="s">
        <v>74</v>
      </c>
      <c r="BL96" s="73">
        <v>276</v>
      </c>
      <c r="BM96" s="73">
        <v>245</v>
      </c>
      <c r="BN96" s="73">
        <v>516</v>
      </c>
      <c r="BO96" s="73" t="s">
        <v>74</v>
      </c>
      <c r="BP96" s="73">
        <v>1341</v>
      </c>
      <c r="BQ96" s="73">
        <v>80</v>
      </c>
      <c r="BR96" s="73">
        <v>183</v>
      </c>
      <c r="BS96" s="38" t="s">
        <v>1</v>
      </c>
      <c r="BT96" s="38" t="s">
        <v>1</v>
      </c>
      <c r="BU96" s="38" t="s">
        <v>1</v>
      </c>
      <c r="BV96" s="38" t="s">
        <v>1</v>
      </c>
      <c r="BW96" s="38" t="s">
        <v>1</v>
      </c>
      <c r="BX96" s="38" t="s">
        <v>1</v>
      </c>
      <c r="BY96" s="38" t="s">
        <v>1</v>
      </c>
      <c r="BZ96" s="38" t="s">
        <v>1</v>
      </c>
      <c r="CA96" s="38" t="s">
        <v>1</v>
      </c>
      <c r="CB96" s="38" t="s">
        <v>1</v>
      </c>
      <c r="CC96" s="38" t="s">
        <v>1</v>
      </c>
      <c r="CD96" s="38" t="s">
        <v>1</v>
      </c>
      <c r="CE96" s="38" t="s">
        <v>1</v>
      </c>
      <c r="CF96" s="38" t="s">
        <v>1</v>
      </c>
      <c r="CG96" s="38" t="s">
        <v>1</v>
      </c>
      <c r="CH96" s="38" t="s">
        <v>1</v>
      </c>
    </row>
    <row r="97" ht="25" customHeight="1" spans="1:86">
      <c r="A97" s="29">
        <v>45200</v>
      </c>
      <c r="B97" s="108" t="s">
        <v>125</v>
      </c>
      <c r="C97" s="7" t="s">
        <v>1</v>
      </c>
      <c r="D97" s="30" t="s">
        <v>1</v>
      </c>
      <c r="E97" s="30" t="s">
        <v>1</v>
      </c>
      <c r="F97" s="32" t="str">
        <f t="shared" si="3"/>
        <v/>
      </c>
      <c r="G97" s="48" t="s">
        <v>1</v>
      </c>
      <c r="H97" s="174" t="str">
        <f t="shared" si="4"/>
        <v/>
      </c>
      <c r="I97" s="48" t="s">
        <v>1</v>
      </c>
      <c r="J97" s="48" t="s">
        <v>1</v>
      </c>
      <c r="K97" s="213" t="str">
        <f>IFERROR(E97/#REF!,"")</f>
        <v/>
      </c>
      <c r="L97" s="215">
        <v>53129</v>
      </c>
      <c r="M97" s="30">
        <v>174043</v>
      </c>
      <c r="N97" s="216">
        <f t="shared" si="6"/>
        <v>-0.694736358256293</v>
      </c>
      <c r="O97" s="48" t="s">
        <v>1</v>
      </c>
      <c r="P97" s="175" t="s">
        <v>1</v>
      </c>
      <c r="Q97" s="48" t="s">
        <v>1</v>
      </c>
      <c r="R97" s="48" t="s">
        <v>1</v>
      </c>
      <c r="S97" s="48" t="s">
        <v>1</v>
      </c>
      <c r="T97" s="48" t="s">
        <v>1</v>
      </c>
      <c r="U97" s="48" t="s">
        <v>1</v>
      </c>
      <c r="V97" s="48" t="s">
        <v>1</v>
      </c>
      <c r="W97" s="48" t="s">
        <v>1</v>
      </c>
      <c r="X97" s="18" t="s">
        <v>1</v>
      </c>
      <c r="Y97" s="18">
        <v>10071</v>
      </c>
      <c r="Z97" s="18" t="s">
        <v>1</v>
      </c>
      <c r="AA97" s="18">
        <v>3129</v>
      </c>
      <c r="AB97" s="18" t="s">
        <v>1</v>
      </c>
      <c r="AC97" s="18">
        <v>3</v>
      </c>
      <c r="AD97" s="18" t="s">
        <v>1</v>
      </c>
      <c r="AE97" s="18">
        <v>93</v>
      </c>
      <c r="AF97" s="18" t="s">
        <v>1</v>
      </c>
      <c r="AG97" s="18" t="s">
        <v>1</v>
      </c>
      <c r="AH97" s="18" t="s">
        <v>1</v>
      </c>
      <c r="AI97" s="18">
        <v>161</v>
      </c>
      <c r="AJ97" s="18">
        <v>1795</v>
      </c>
      <c r="AK97" s="18">
        <v>2639</v>
      </c>
      <c r="AL97" s="18">
        <v>790</v>
      </c>
      <c r="AM97" s="18">
        <v>669</v>
      </c>
      <c r="AN97" s="18">
        <v>92</v>
      </c>
      <c r="AO97" s="18">
        <v>118</v>
      </c>
      <c r="AP97" s="18">
        <v>3565</v>
      </c>
      <c r="AQ97" s="18">
        <v>126</v>
      </c>
      <c r="AR97" s="18">
        <v>702</v>
      </c>
      <c r="AS97" s="18">
        <v>1358</v>
      </c>
      <c r="AT97" s="18">
        <v>127</v>
      </c>
      <c r="AU97" s="18">
        <v>238</v>
      </c>
      <c r="AV97" s="18" t="s">
        <v>1</v>
      </c>
      <c r="AW97" s="117" t="s">
        <v>1</v>
      </c>
      <c r="AX97" s="39">
        <v>0</v>
      </c>
      <c r="AY97" s="117" t="s">
        <v>1</v>
      </c>
      <c r="AZ97" s="117" t="s">
        <v>1</v>
      </c>
      <c r="BA97" s="117" t="s">
        <v>1</v>
      </c>
      <c r="BB97" s="38">
        <v>0</v>
      </c>
      <c r="BC97" s="117" t="s">
        <v>1</v>
      </c>
      <c r="BD97" s="117" t="s">
        <v>1</v>
      </c>
      <c r="BE97" s="117" t="s">
        <v>1</v>
      </c>
      <c r="BF97" s="117" t="s">
        <v>1</v>
      </c>
      <c r="BG97" s="117" t="s">
        <v>1</v>
      </c>
      <c r="BH97" s="117" t="s">
        <v>1</v>
      </c>
      <c r="BI97" s="217" t="s">
        <v>1</v>
      </c>
      <c r="BJ97" s="217" t="s">
        <v>1</v>
      </c>
      <c r="BK97" s="18" t="s">
        <v>74</v>
      </c>
      <c r="BL97" s="18">
        <v>253</v>
      </c>
      <c r="BM97" s="18">
        <v>285</v>
      </c>
      <c r="BN97" s="18">
        <v>920</v>
      </c>
      <c r="BO97" s="18" t="s">
        <v>74</v>
      </c>
      <c r="BP97" s="18">
        <v>1489</v>
      </c>
      <c r="BQ97" s="18">
        <v>68</v>
      </c>
      <c r="BR97" s="18">
        <v>272</v>
      </c>
      <c r="BS97" s="218" t="s">
        <v>1</v>
      </c>
      <c r="BT97" s="218" t="s">
        <v>1</v>
      </c>
      <c r="BU97" s="218" t="s">
        <v>1</v>
      </c>
      <c r="BV97" s="218" t="s">
        <v>1</v>
      </c>
      <c r="BW97" s="218" t="s">
        <v>1</v>
      </c>
      <c r="BX97" s="218" t="s">
        <v>1</v>
      </c>
      <c r="BY97" s="218" t="s">
        <v>1</v>
      </c>
      <c r="BZ97" s="218" t="s">
        <v>1</v>
      </c>
      <c r="CA97" s="218" t="s">
        <v>1</v>
      </c>
      <c r="CB97" s="218" t="s">
        <v>1</v>
      </c>
      <c r="CC97" s="218" t="s">
        <v>1</v>
      </c>
      <c r="CD97" s="218" t="s">
        <v>1</v>
      </c>
      <c r="CE97" s="218" t="s">
        <v>1</v>
      </c>
      <c r="CF97" s="218" t="s">
        <v>1</v>
      </c>
      <c r="CG97" s="218" t="s">
        <v>1</v>
      </c>
      <c r="CH97" s="117" t="s">
        <v>1</v>
      </c>
    </row>
    <row r="98" ht="25" customHeight="1" spans="1:86">
      <c r="A98" s="29">
        <v>45201</v>
      </c>
      <c r="B98" s="108" t="s">
        <v>125</v>
      </c>
      <c r="C98" s="7" t="s">
        <v>1</v>
      </c>
      <c r="D98" s="30" t="s">
        <v>1</v>
      </c>
      <c r="E98" s="30" t="s">
        <v>1</v>
      </c>
      <c r="F98" s="32" t="str">
        <f t="shared" si="3"/>
        <v/>
      </c>
      <c r="G98" s="48" t="s">
        <v>1</v>
      </c>
      <c r="H98" s="174" t="str">
        <f t="shared" si="4"/>
        <v/>
      </c>
      <c r="I98" s="48" t="s">
        <v>1</v>
      </c>
      <c r="J98" s="48" t="s">
        <v>1</v>
      </c>
      <c r="K98" s="213" t="str">
        <f>IFERROR(E98/#REF!,"")</f>
        <v/>
      </c>
      <c r="L98" s="215">
        <v>38690</v>
      </c>
      <c r="M98" s="30">
        <v>103717</v>
      </c>
      <c r="N98" s="216">
        <f t="shared" si="6"/>
        <v>-0.626965685471041</v>
      </c>
      <c r="O98" s="48" t="s">
        <v>1</v>
      </c>
      <c r="P98" s="175" t="s">
        <v>1</v>
      </c>
      <c r="Q98" s="48" t="s">
        <v>1</v>
      </c>
      <c r="R98" s="48" t="s">
        <v>1</v>
      </c>
      <c r="S98" s="48" t="s">
        <v>1</v>
      </c>
      <c r="T98" s="48" t="s">
        <v>1</v>
      </c>
      <c r="U98" s="48" t="s">
        <v>1</v>
      </c>
      <c r="V98" s="48" t="s">
        <v>1</v>
      </c>
      <c r="W98" s="48" t="s">
        <v>1</v>
      </c>
      <c r="X98" s="18" t="s">
        <v>1</v>
      </c>
      <c r="Y98" s="18">
        <v>9926</v>
      </c>
      <c r="Z98" s="18" t="s">
        <v>1</v>
      </c>
      <c r="AA98" s="18">
        <v>3195</v>
      </c>
      <c r="AB98" s="18" t="s">
        <v>1</v>
      </c>
      <c r="AC98" s="18">
        <v>3</v>
      </c>
      <c r="AD98" s="18" t="s">
        <v>1</v>
      </c>
      <c r="AE98" s="18">
        <v>97</v>
      </c>
      <c r="AF98" s="18" t="s">
        <v>1</v>
      </c>
      <c r="AG98" s="18" t="s">
        <v>1</v>
      </c>
      <c r="AH98" s="18" t="s">
        <v>1</v>
      </c>
      <c r="AI98" s="18">
        <v>194</v>
      </c>
      <c r="AJ98" s="18">
        <v>1820</v>
      </c>
      <c r="AK98" s="18">
        <v>2671</v>
      </c>
      <c r="AL98" s="18">
        <v>741</v>
      </c>
      <c r="AM98" s="18">
        <v>673</v>
      </c>
      <c r="AN98" s="18">
        <v>63</v>
      </c>
      <c r="AO98" s="18">
        <v>156</v>
      </c>
      <c r="AP98" s="18">
        <v>3640</v>
      </c>
      <c r="AQ98" s="18">
        <v>119</v>
      </c>
      <c r="AR98" s="18">
        <v>735</v>
      </c>
      <c r="AS98" s="18">
        <v>1454</v>
      </c>
      <c r="AT98" s="18">
        <v>120</v>
      </c>
      <c r="AU98" s="18">
        <v>289</v>
      </c>
      <c r="AV98" s="18" t="s">
        <v>1</v>
      </c>
      <c r="AW98" s="117" t="s">
        <v>1</v>
      </c>
      <c r="AX98" s="39">
        <v>0</v>
      </c>
      <c r="AY98" s="117" t="s">
        <v>1</v>
      </c>
      <c r="AZ98" s="117" t="s">
        <v>1</v>
      </c>
      <c r="BA98" s="117" t="s">
        <v>1</v>
      </c>
      <c r="BB98" s="38">
        <v>0</v>
      </c>
      <c r="BC98" s="117" t="s">
        <v>1</v>
      </c>
      <c r="BD98" s="117" t="s">
        <v>1</v>
      </c>
      <c r="BE98" s="117" t="s">
        <v>1</v>
      </c>
      <c r="BF98" s="117" t="s">
        <v>1</v>
      </c>
      <c r="BG98" s="117" t="s">
        <v>1</v>
      </c>
      <c r="BH98" s="117" t="s">
        <v>1</v>
      </c>
      <c r="BI98" s="217" t="s">
        <v>1</v>
      </c>
      <c r="BJ98" s="217" t="s">
        <v>1</v>
      </c>
      <c r="BK98" s="18" t="s">
        <v>74</v>
      </c>
      <c r="BL98" s="18">
        <v>270</v>
      </c>
      <c r="BM98" s="18">
        <v>261</v>
      </c>
      <c r="BN98" s="18">
        <v>1089</v>
      </c>
      <c r="BO98" s="18" t="s">
        <v>74</v>
      </c>
      <c r="BP98" s="18">
        <v>1226</v>
      </c>
      <c r="BQ98" s="18">
        <v>85</v>
      </c>
      <c r="BR98" s="18">
        <v>218</v>
      </c>
      <c r="BS98" s="218" t="s">
        <v>1</v>
      </c>
      <c r="BT98" s="218" t="s">
        <v>1</v>
      </c>
      <c r="BU98" s="218" t="s">
        <v>1</v>
      </c>
      <c r="BV98" s="218" t="s">
        <v>1</v>
      </c>
      <c r="BW98" s="218" t="s">
        <v>1</v>
      </c>
      <c r="BX98" s="218" t="s">
        <v>1</v>
      </c>
      <c r="BY98" s="218" t="s">
        <v>1</v>
      </c>
      <c r="BZ98" s="218" t="s">
        <v>1</v>
      </c>
      <c r="CA98" s="218" t="s">
        <v>1</v>
      </c>
      <c r="CB98" s="218" t="s">
        <v>1</v>
      </c>
      <c r="CC98" s="218" t="s">
        <v>1</v>
      </c>
      <c r="CD98" s="218" t="s">
        <v>1</v>
      </c>
      <c r="CE98" s="218" t="s">
        <v>1</v>
      </c>
      <c r="CF98" s="218" t="s">
        <v>1</v>
      </c>
      <c r="CG98" s="218" t="s">
        <v>1</v>
      </c>
      <c r="CH98" s="117" t="s">
        <v>1</v>
      </c>
    </row>
    <row r="99" ht="25" customHeight="1" spans="1:86">
      <c r="A99" s="29">
        <v>45202</v>
      </c>
      <c r="B99" s="108" t="s">
        <v>125</v>
      </c>
      <c r="C99" s="7" t="s">
        <v>1</v>
      </c>
      <c r="D99" s="30" t="s">
        <v>1</v>
      </c>
      <c r="E99" s="30" t="s">
        <v>1</v>
      </c>
      <c r="F99" s="32" t="str">
        <f t="shared" si="3"/>
        <v/>
      </c>
      <c r="G99" s="48" t="s">
        <v>1</v>
      </c>
      <c r="H99" s="174" t="str">
        <f t="shared" si="4"/>
        <v/>
      </c>
      <c r="I99" s="48" t="s">
        <v>1</v>
      </c>
      <c r="J99" s="48" t="s">
        <v>1</v>
      </c>
      <c r="K99" s="213" t="str">
        <f>IFERROR(E99/#REF!,"")</f>
        <v/>
      </c>
      <c r="L99" s="215">
        <v>45190</v>
      </c>
      <c r="M99" s="30">
        <v>100997</v>
      </c>
      <c r="N99" s="216">
        <f t="shared" si="6"/>
        <v>-0.55256096715744</v>
      </c>
      <c r="O99" s="48" t="s">
        <v>1</v>
      </c>
      <c r="P99" s="175" t="s">
        <v>1</v>
      </c>
      <c r="Q99" s="48" t="s">
        <v>1</v>
      </c>
      <c r="R99" s="48" t="s">
        <v>1</v>
      </c>
      <c r="S99" s="48" t="s">
        <v>1</v>
      </c>
      <c r="T99" s="48" t="s">
        <v>1</v>
      </c>
      <c r="U99" s="48" t="s">
        <v>1</v>
      </c>
      <c r="V99" s="48" t="s">
        <v>1</v>
      </c>
      <c r="W99" s="48" t="s">
        <v>1</v>
      </c>
      <c r="X99" s="18" t="s">
        <v>1</v>
      </c>
      <c r="Y99" s="18">
        <v>9267</v>
      </c>
      <c r="Z99" s="18" t="s">
        <v>1</v>
      </c>
      <c r="AA99" s="18">
        <v>3081</v>
      </c>
      <c r="AB99" s="18" t="s">
        <v>1</v>
      </c>
      <c r="AC99" s="18">
        <v>3</v>
      </c>
      <c r="AD99" s="18" t="s">
        <v>1</v>
      </c>
      <c r="AE99" s="18">
        <v>93</v>
      </c>
      <c r="AF99" s="18" t="s">
        <v>1</v>
      </c>
      <c r="AG99" s="18" t="s">
        <v>1</v>
      </c>
      <c r="AH99" s="18" t="s">
        <v>1</v>
      </c>
      <c r="AI99" s="18">
        <v>166</v>
      </c>
      <c r="AJ99" s="18">
        <v>2136</v>
      </c>
      <c r="AK99" s="18">
        <v>2629</v>
      </c>
      <c r="AL99" s="18">
        <v>760</v>
      </c>
      <c r="AM99" s="18">
        <v>586</v>
      </c>
      <c r="AN99" s="18">
        <v>80</v>
      </c>
      <c r="AO99" s="18">
        <v>137</v>
      </c>
      <c r="AP99" s="18">
        <v>3226</v>
      </c>
      <c r="AQ99" s="18">
        <v>100</v>
      </c>
      <c r="AR99" s="18">
        <v>914</v>
      </c>
      <c r="AS99" s="18">
        <v>1383</v>
      </c>
      <c r="AT99" s="18">
        <v>138</v>
      </c>
      <c r="AU99" s="18">
        <v>239</v>
      </c>
      <c r="AV99" s="18" t="s">
        <v>1</v>
      </c>
      <c r="AW99" s="117" t="s">
        <v>1</v>
      </c>
      <c r="AX99" s="39">
        <v>0</v>
      </c>
      <c r="AY99" s="117" t="s">
        <v>1</v>
      </c>
      <c r="AZ99" s="117" t="s">
        <v>1</v>
      </c>
      <c r="BA99" s="117" t="s">
        <v>1</v>
      </c>
      <c r="BB99" s="38">
        <v>0</v>
      </c>
      <c r="BC99" s="117" t="s">
        <v>1</v>
      </c>
      <c r="BD99" s="117" t="s">
        <v>1</v>
      </c>
      <c r="BE99" s="117" t="s">
        <v>1</v>
      </c>
      <c r="BF99" s="117" t="s">
        <v>1</v>
      </c>
      <c r="BG99" s="117" t="s">
        <v>1</v>
      </c>
      <c r="BH99" s="117" t="s">
        <v>1</v>
      </c>
      <c r="BI99" s="217" t="s">
        <v>1</v>
      </c>
      <c r="BJ99" s="217" t="s">
        <v>1</v>
      </c>
      <c r="BK99" s="18" t="s">
        <v>74</v>
      </c>
      <c r="BL99" s="18">
        <v>191</v>
      </c>
      <c r="BM99" s="18">
        <v>375</v>
      </c>
      <c r="BN99" s="18">
        <v>1019</v>
      </c>
      <c r="BO99" s="18" t="s">
        <v>74</v>
      </c>
      <c r="BP99" s="18">
        <v>1030</v>
      </c>
      <c r="BQ99" s="18">
        <v>114</v>
      </c>
      <c r="BR99" s="18">
        <v>262</v>
      </c>
      <c r="BS99" s="218" t="s">
        <v>1</v>
      </c>
      <c r="BT99" s="218" t="s">
        <v>1</v>
      </c>
      <c r="BU99" s="218" t="s">
        <v>1</v>
      </c>
      <c r="BV99" s="218" t="s">
        <v>1</v>
      </c>
      <c r="BW99" s="218" t="s">
        <v>1</v>
      </c>
      <c r="BX99" s="218" t="s">
        <v>1</v>
      </c>
      <c r="BY99" s="218" t="s">
        <v>1</v>
      </c>
      <c r="BZ99" s="218" t="s">
        <v>1</v>
      </c>
      <c r="CA99" s="218" t="s">
        <v>1</v>
      </c>
      <c r="CB99" s="218" t="s">
        <v>1</v>
      </c>
      <c r="CC99" s="218" t="s">
        <v>1</v>
      </c>
      <c r="CD99" s="218" t="s">
        <v>1</v>
      </c>
      <c r="CE99" s="218" t="s">
        <v>1</v>
      </c>
      <c r="CF99" s="218" t="s">
        <v>1</v>
      </c>
      <c r="CG99" s="218" t="s">
        <v>1</v>
      </c>
      <c r="CH99" s="117" t="s">
        <v>1</v>
      </c>
    </row>
    <row r="100" ht="25" customHeight="1" spans="1:86">
      <c r="A100" s="29">
        <v>45203</v>
      </c>
      <c r="B100" s="108" t="s">
        <v>125</v>
      </c>
      <c r="C100" s="7" t="s">
        <v>1</v>
      </c>
      <c r="D100" s="30" t="s">
        <v>1</v>
      </c>
      <c r="E100" s="30" t="s">
        <v>1</v>
      </c>
      <c r="F100" s="32" t="str">
        <f t="shared" si="3"/>
        <v/>
      </c>
      <c r="G100" s="48" t="s">
        <v>1</v>
      </c>
      <c r="H100" s="174" t="str">
        <f t="shared" si="4"/>
        <v/>
      </c>
      <c r="I100" s="48" t="s">
        <v>1</v>
      </c>
      <c r="J100" s="48" t="s">
        <v>1</v>
      </c>
      <c r="K100" s="213" t="str">
        <f>IFERROR(E100/#REF!,"")</f>
        <v/>
      </c>
      <c r="L100" s="215">
        <v>25125</v>
      </c>
      <c r="M100" s="30">
        <v>113458</v>
      </c>
      <c r="N100" s="216">
        <f t="shared" si="6"/>
        <v>-0.778552415871953</v>
      </c>
      <c r="O100" s="48" t="s">
        <v>1</v>
      </c>
      <c r="P100" s="175" t="s">
        <v>1</v>
      </c>
      <c r="Q100" s="48" t="s">
        <v>1</v>
      </c>
      <c r="R100" s="48" t="s">
        <v>1</v>
      </c>
      <c r="S100" s="48" t="s">
        <v>1</v>
      </c>
      <c r="T100" s="48" t="s">
        <v>1</v>
      </c>
      <c r="U100" s="48" t="s">
        <v>1</v>
      </c>
      <c r="V100" s="48" t="s">
        <v>1</v>
      </c>
      <c r="W100" s="48" t="s">
        <v>1</v>
      </c>
      <c r="X100" s="18" t="s">
        <v>1</v>
      </c>
      <c r="Y100" s="18">
        <v>9511</v>
      </c>
      <c r="Z100" s="18" t="s">
        <v>1</v>
      </c>
      <c r="AA100" s="18">
        <v>2963</v>
      </c>
      <c r="AB100" s="18" t="s">
        <v>1</v>
      </c>
      <c r="AC100" s="18">
        <v>3</v>
      </c>
      <c r="AD100" s="18" t="s">
        <v>1</v>
      </c>
      <c r="AE100" s="18">
        <v>100</v>
      </c>
      <c r="AF100" s="18" t="s">
        <v>1</v>
      </c>
      <c r="AG100" s="18" t="s">
        <v>1</v>
      </c>
      <c r="AH100" s="18" t="s">
        <v>1</v>
      </c>
      <c r="AI100" s="18">
        <v>137</v>
      </c>
      <c r="AJ100" s="18">
        <v>2017</v>
      </c>
      <c r="AK100" s="18">
        <v>2439</v>
      </c>
      <c r="AL100" s="18">
        <v>580</v>
      </c>
      <c r="AM100" s="18">
        <v>638</v>
      </c>
      <c r="AN100" s="18">
        <v>75</v>
      </c>
      <c r="AO100" s="18">
        <v>128</v>
      </c>
      <c r="AP100" s="18">
        <v>3495</v>
      </c>
      <c r="AQ100" s="18">
        <v>131</v>
      </c>
      <c r="AR100" s="18">
        <v>847</v>
      </c>
      <c r="AS100" s="18">
        <v>1219</v>
      </c>
      <c r="AT100" s="18">
        <v>133</v>
      </c>
      <c r="AU100" s="18">
        <v>270</v>
      </c>
      <c r="AV100" s="18" t="s">
        <v>1</v>
      </c>
      <c r="AW100" s="117" t="s">
        <v>1</v>
      </c>
      <c r="AX100" s="39">
        <v>0</v>
      </c>
      <c r="AY100" s="117" t="s">
        <v>1</v>
      </c>
      <c r="AZ100" s="117" t="s">
        <v>1</v>
      </c>
      <c r="BA100" s="117" t="s">
        <v>1</v>
      </c>
      <c r="BB100" s="38">
        <v>0</v>
      </c>
      <c r="BC100" s="117" t="s">
        <v>1</v>
      </c>
      <c r="BD100" s="117" t="s">
        <v>1</v>
      </c>
      <c r="BE100" s="117" t="s">
        <v>1</v>
      </c>
      <c r="BF100" s="117" t="s">
        <v>1</v>
      </c>
      <c r="BG100" s="117" t="s">
        <v>1</v>
      </c>
      <c r="BH100" s="117" t="s">
        <v>1</v>
      </c>
      <c r="BI100" s="217" t="s">
        <v>1</v>
      </c>
      <c r="BJ100" s="217" t="s">
        <v>1</v>
      </c>
      <c r="BK100" s="18" t="s">
        <v>74</v>
      </c>
      <c r="BL100" s="18">
        <v>176</v>
      </c>
      <c r="BM100" s="18">
        <v>430</v>
      </c>
      <c r="BN100" s="18">
        <v>1000</v>
      </c>
      <c r="BO100" s="18" t="s">
        <v>74</v>
      </c>
      <c r="BP100" s="18">
        <v>1026</v>
      </c>
      <c r="BQ100" s="18">
        <v>117</v>
      </c>
      <c r="BR100" s="18">
        <v>218</v>
      </c>
      <c r="BS100" s="218" t="s">
        <v>1</v>
      </c>
      <c r="BT100" s="218" t="s">
        <v>1</v>
      </c>
      <c r="BU100" s="218" t="s">
        <v>1</v>
      </c>
      <c r="BV100" s="218" t="s">
        <v>1</v>
      </c>
      <c r="BW100" s="218" t="s">
        <v>1</v>
      </c>
      <c r="BX100" s="218" t="s">
        <v>1</v>
      </c>
      <c r="BY100" s="218" t="s">
        <v>1</v>
      </c>
      <c r="BZ100" s="218" t="s">
        <v>1</v>
      </c>
      <c r="CA100" s="218" t="s">
        <v>1</v>
      </c>
      <c r="CB100" s="218" t="s">
        <v>1</v>
      </c>
      <c r="CC100" s="218" t="s">
        <v>1</v>
      </c>
      <c r="CD100" s="218" t="s">
        <v>1</v>
      </c>
      <c r="CE100" s="218" t="s">
        <v>1</v>
      </c>
      <c r="CF100" s="218" t="s">
        <v>1</v>
      </c>
      <c r="CG100" s="218" t="s">
        <v>1</v>
      </c>
      <c r="CH100" s="117" t="s">
        <v>1</v>
      </c>
    </row>
    <row r="101" ht="25" customHeight="1" spans="1:86">
      <c r="A101" s="29">
        <v>45204</v>
      </c>
      <c r="B101" s="108" t="s">
        <v>125</v>
      </c>
      <c r="C101" s="7" t="s">
        <v>1</v>
      </c>
      <c r="D101" s="30" t="s">
        <v>1</v>
      </c>
      <c r="E101" s="30" t="s">
        <v>1</v>
      </c>
      <c r="F101" s="32" t="str">
        <f t="shared" si="3"/>
        <v/>
      </c>
      <c r="G101" s="48" t="s">
        <v>1</v>
      </c>
      <c r="H101" s="174" t="str">
        <f t="shared" si="4"/>
        <v/>
      </c>
      <c r="I101" s="48" t="s">
        <v>1</v>
      </c>
      <c r="J101" s="48" t="s">
        <v>1</v>
      </c>
      <c r="K101" s="213" t="str">
        <f>IFERROR(E101/#REF!,"")</f>
        <v/>
      </c>
      <c r="L101" s="215">
        <v>26976</v>
      </c>
      <c r="M101" s="30">
        <v>84023</v>
      </c>
      <c r="N101" s="216">
        <f t="shared" si="6"/>
        <v>-0.678945050759911</v>
      </c>
      <c r="O101" s="48" t="s">
        <v>1</v>
      </c>
      <c r="P101" s="175" t="s">
        <v>1</v>
      </c>
      <c r="Q101" s="48" t="s">
        <v>1</v>
      </c>
      <c r="R101" s="48" t="s">
        <v>1</v>
      </c>
      <c r="S101" s="48" t="s">
        <v>1</v>
      </c>
      <c r="T101" s="48" t="s">
        <v>1</v>
      </c>
      <c r="U101" s="48" t="s">
        <v>1</v>
      </c>
      <c r="V101" s="48" t="s">
        <v>1</v>
      </c>
      <c r="W101" s="48" t="s">
        <v>1</v>
      </c>
      <c r="X101" s="18" t="s">
        <v>1</v>
      </c>
      <c r="Y101" s="18">
        <v>11982</v>
      </c>
      <c r="Z101" s="18" t="s">
        <v>1</v>
      </c>
      <c r="AA101" s="18">
        <v>3937</v>
      </c>
      <c r="AB101" s="18" t="s">
        <v>1</v>
      </c>
      <c r="AC101" s="18">
        <v>3</v>
      </c>
      <c r="AD101" s="18" t="s">
        <v>1</v>
      </c>
      <c r="AE101" s="18">
        <v>91</v>
      </c>
      <c r="AF101" s="18" t="s">
        <v>1</v>
      </c>
      <c r="AG101" s="18" t="s">
        <v>1</v>
      </c>
      <c r="AH101" s="18" t="s">
        <v>1</v>
      </c>
      <c r="AI101" s="18">
        <v>199</v>
      </c>
      <c r="AJ101" s="18">
        <v>2194</v>
      </c>
      <c r="AK101" s="18">
        <v>3044</v>
      </c>
      <c r="AL101" s="18">
        <v>789</v>
      </c>
      <c r="AM101" s="18">
        <v>737</v>
      </c>
      <c r="AN101" s="18">
        <v>95</v>
      </c>
      <c r="AO101" s="18">
        <v>183</v>
      </c>
      <c r="AP101" s="18">
        <v>3080</v>
      </c>
      <c r="AQ101" s="18">
        <v>507</v>
      </c>
      <c r="AR101" s="18">
        <v>895</v>
      </c>
      <c r="AS101" s="18">
        <v>1622</v>
      </c>
      <c r="AT101" s="18">
        <v>164</v>
      </c>
      <c r="AU101" s="18">
        <v>321</v>
      </c>
      <c r="AV101" s="18" t="s">
        <v>1</v>
      </c>
      <c r="AW101" s="117" t="s">
        <v>1</v>
      </c>
      <c r="AX101" s="39">
        <v>0</v>
      </c>
      <c r="AY101" s="117" t="s">
        <v>1</v>
      </c>
      <c r="AZ101" s="117" t="s">
        <v>1</v>
      </c>
      <c r="BA101" s="117" t="s">
        <v>1</v>
      </c>
      <c r="BB101" s="38">
        <v>0</v>
      </c>
      <c r="BC101" s="117" t="s">
        <v>1</v>
      </c>
      <c r="BD101" s="117" t="s">
        <v>1</v>
      </c>
      <c r="BE101" s="117" t="s">
        <v>1</v>
      </c>
      <c r="BF101" s="117" t="s">
        <v>1</v>
      </c>
      <c r="BG101" s="117" t="s">
        <v>1</v>
      </c>
      <c r="BH101" s="117" t="s">
        <v>1</v>
      </c>
      <c r="BI101" s="217" t="s">
        <v>1</v>
      </c>
      <c r="BJ101" s="217" t="s">
        <v>1</v>
      </c>
      <c r="BK101" s="18" t="s">
        <v>74</v>
      </c>
      <c r="BL101" s="18">
        <v>204</v>
      </c>
      <c r="BM101" s="18">
        <v>401</v>
      </c>
      <c r="BN101" s="18">
        <v>1124</v>
      </c>
      <c r="BO101" s="18" t="s">
        <v>74</v>
      </c>
      <c r="BP101" s="18">
        <v>1356</v>
      </c>
      <c r="BQ101" s="18">
        <v>75</v>
      </c>
      <c r="BR101" s="18">
        <v>357</v>
      </c>
      <c r="BS101" s="218" t="s">
        <v>1</v>
      </c>
      <c r="BT101" s="218" t="s">
        <v>1</v>
      </c>
      <c r="BU101" s="218" t="s">
        <v>1</v>
      </c>
      <c r="BV101" s="218" t="s">
        <v>1</v>
      </c>
      <c r="BW101" s="218" t="s">
        <v>1</v>
      </c>
      <c r="BX101" s="218" t="s">
        <v>1</v>
      </c>
      <c r="BY101" s="218" t="s">
        <v>1</v>
      </c>
      <c r="BZ101" s="218" t="s">
        <v>1</v>
      </c>
      <c r="CA101" s="218" t="s">
        <v>1</v>
      </c>
      <c r="CB101" s="218" t="s">
        <v>1</v>
      </c>
      <c r="CC101" s="218" t="s">
        <v>1</v>
      </c>
      <c r="CD101" s="218" t="s">
        <v>1</v>
      </c>
      <c r="CE101" s="218" t="s">
        <v>1</v>
      </c>
      <c r="CF101" s="218" t="s">
        <v>1</v>
      </c>
      <c r="CG101" s="218" t="s">
        <v>1</v>
      </c>
      <c r="CH101" s="117" t="s">
        <v>1</v>
      </c>
    </row>
    <row r="102" ht="25" customHeight="1" spans="1:86">
      <c r="A102" s="29">
        <v>45205</v>
      </c>
      <c r="B102" s="108" t="s">
        <v>125</v>
      </c>
      <c r="C102" s="7" t="s">
        <v>1</v>
      </c>
      <c r="D102" s="30" t="s">
        <v>1</v>
      </c>
      <c r="E102" s="30" t="s">
        <v>1</v>
      </c>
      <c r="F102" s="32" t="str">
        <f t="shared" si="3"/>
        <v/>
      </c>
      <c r="G102" s="48" t="s">
        <v>1</v>
      </c>
      <c r="H102" s="174" t="str">
        <f t="shared" si="4"/>
        <v/>
      </c>
      <c r="I102" s="48" t="s">
        <v>1</v>
      </c>
      <c r="J102" s="48" t="s">
        <v>1</v>
      </c>
      <c r="K102" s="213" t="str">
        <f>IFERROR(E102/#REF!,"")</f>
        <v/>
      </c>
      <c r="L102" s="219">
        <v>22175</v>
      </c>
      <c r="M102" s="30">
        <v>72820</v>
      </c>
      <c r="N102" s="216">
        <f t="shared" si="6"/>
        <v>-0.695482010436693</v>
      </c>
      <c r="O102" s="48" t="s">
        <v>1</v>
      </c>
      <c r="P102" s="175" t="s">
        <v>1</v>
      </c>
      <c r="Q102" s="48" t="s">
        <v>1</v>
      </c>
      <c r="R102" s="48" t="s">
        <v>1</v>
      </c>
      <c r="S102" s="48" t="s">
        <v>1</v>
      </c>
      <c r="T102" s="48" t="s">
        <v>1</v>
      </c>
      <c r="U102" s="48" t="s">
        <v>1</v>
      </c>
      <c r="V102" s="48" t="s">
        <v>1</v>
      </c>
      <c r="W102" s="48" t="s">
        <v>1</v>
      </c>
      <c r="X102" s="18" t="s">
        <v>1</v>
      </c>
      <c r="Y102" s="18">
        <v>11408</v>
      </c>
      <c r="Z102" s="18" t="s">
        <v>1</v>
      </c>
      <c r="AA102" s="18">
        <v>3687</v>
      </c>
      <c r="AB102" s="18" t="s">
        <v>1</v>
      </c>
      <c r="AC102" s="18">
        <v>3</v>
      </c>
      <c r="AD102" s="18" t="s">
        <v>1</v>
      </c>
      <c r="AE102" s="18">
        <v>93</v>
      </c>
      <c r="AF102" s="18" t="s">
        <v>1</v>
      </c>
      <c r="AG102" s="18" t="s">
        <v>1</v>
      </c>
      <c r="AH102" s="18" t="s">
        <v>1</v>
      </c>
      <c r="AI102" s="18">
        <v>173</v>
      </c>
      <c r="AJ102" s="212">
        <v>2243</v>
      </c>
      <c r="AK102" s="18">
        <v>2684</v>
      </c>
      <c r="AL102" s="18">
        <v>794</v>
      </c>
      <c r="AM102" s="18">
        <v>814</v>
      </c>
      <c r="AN102" s="18">
        <v>107</v>
      </c>
      <c r="AO102" s="18">
        <v>154</v>
      </c>
      <c r="AP102" s="212">
        <v>3403</v>
      </c>
      <c r="AQ102" s="18">
        <v>516</v>
      </c>
      <c r="AR102" s="212">
        <v>975</v>
      </c>
      <c r="AS102" s="18">
        <v>1304</v>
      </c>
      <c r="AT102" s="18">
        <v>135</v>
      </c>
      <c r="AU102" s="18">
        <v>265</v>
      </c>
      <c r="AV102" s="18" t="s">
        <v>1</v>
      </c>
      <c r="AW102" s="117" t="s">
        <v>1</v>
      </c>
      <c r="AX102" s="39">
        <v>0</v>
      </c>
      <c r="AY102" s="117" t="s">
        <v>1</v>
      </c>
      <c r="AZ102" s="117" t="s">
        <v>1</v>
      </c>
      <c r="BA102" s="117" t="s">
        <v>1</v>
      </c>
      <c r="BB102" s="38">
        <v>0</v>
      </c>
      <c r="BC102" s="117" t="s">
        <v>1</v>
      </c>
      <c r="BD102" s="117" t="s">
        <v>1</v>
      </c>
      <c r="BE102" s="117" t="s">
        <v>1</v>
      </c>
      <c r="BF102" s="117" t="s">
        <v>1</v>
      </c>
      <c r="BG102" s="117" t="s">
        <v>1</v>
      </c>
      <c r="BH102" s="117" t="s">
        <v>1</v>
      </c>
      <c r="BI102" s="217" t="s">
        <v>1</v>
      </c>
      <c r="BJ102" s="217" t="s">
        <v>1</v>
      </c>
      <c r="BK102" s="18" t="s">
        <v>74</v>
      </c>
      <c r="BL102" s="18">
        <v>195</v>
      </c>
      <c r="BM102" s="18">
        <v>462</v>
      </c>
      <c r="BN102" s="18">
        <v>833</v>
      </c>
      <c r="BO102" s="18" t="s">
        <v>74</v>
      </c>
      <c r="BP102" s="212">
        <v>1201</v>
      </c>
      <c r="BQ102" s="18">
        <v>104</v>
      </c>
      <c r="BR102" s="18">
        <v>175</v>
      </c>
      <c r="BS102" s="218" t="s">
        <v>1</v>
      </c>
      <c r="BT102" s="218" t="s">
        <v>1</v>
      </c>
      <c r="BU102" s="218" t="s">
        <v>1</v>
      </c>
      <c r="BV102" s="218" t="s">
        <v>1</v>
      </c>
      <c r="BW102" s="218" t="s">
        <v>1</v>
      </c>
      <c r="BX102" s="218" t="s">
        <v>1</v>
      </c>
      <c r="BY102" s="218" t="s">
        <v>1</v>
      </c>
      <c r="BZ102" s="218" t="s">
        <v>1</v>
      </c>
      <c r="CA102" s="218" t="s">
        <v>1</v>
      </c>
      <c r="CB102" s="218" t="s">
        <v>1</v>
      </c>
      <c r="CC102" s="218" t="s">
        <v>1</v>
      </c>
      <c r="CD102" s="218" t="s">
        <v>1</v>
      </c>
      <c r="CE102" s="218" t="s">
        <v>1</v>
      </c>
      <c r="CF102" s="218" t="s">
        <v>1</v>
      </c>
      <c r="CG102" s="218" t="s">
        <v>1</v>
      </c>
      <c r="CH102" s="117" t="s">
        <v>1</v>
      </c>
    </row>
    <row r="103" ht="25" customHeight="1" spans="1:86">
      <c r="A103" s="29">
        <v>45206</v>
      </c>
      <c r="B103" s="108" t="s">
        <v>125</v>
      </c>
      <c r="C103" s="7" t="s">
        <v>1</v>
      </c>
      <c r="D103" s="30" t="s">
        <v>1</v>
      </c>
      <c r="E103" s="30" t="s">
        <v>1</v>
      </c>
      <c r="F103" s="32" t="str">
        <f t="shared" si="3"/>
        <v/>
      </c>
      <c r="G103" s="48" t="s">
        <v>1</v>
      </c>
      <c r="H103" s="174" t="str">
        <f t="shared" si="4"/>
        <v/>
      </c>
      <c r="I103" s="48" t="s">
        <v>1</v>
      </c>
      <c r="J103" s="48" t="s">
        <v>1</v>
      </c>
      <c r="K103" s="213" t="str">
        <f>IFERROR(E103/#REF!,"")</f>
        <v/>
      </c>
      <c r="L103" s="172">
        <v>66363</v>
      </c>
      <c r="M103" s="204">
        <v>98577</v>
      </c>
      <c r="N103" s="216">
        <f t="shared" si="6"/>
        <v>-0.326790224900332</v>
      </c>
      <c r="O103" s="48" t="s">
        <v>1</v>
      </c>
      <c r="P103" s="175" t="s">
        <v>1</v>
      </c>
      <c r="Q103" s="48" t="s">
        <v>1</v>
      </c>
      <c r="R103" s="48" t="s">
        <v>1</v>
      </c>
      <c r="S103" s="48" t="s">
        <v>1</v>
      </c>
      <c r="T103" s="48" t="s">
        <v>1</v>
      </c>
      <c r="U103" s="48" t="s">
        <v>1</v>
      </c>
      <c r="V103" s="48" t="s">
        <v>1</v>
      </c>
      <c r="W103" s="48" t="s">
        <v>1</v>
      </c>
      <c r="X103" s="18" t="s">
        <v>1</v>
      </c>
      <c r="Y103" s="18">
        <v>11380</v>
      </c>
      <c r="Z103" s="18" t="s">
        <v>1</v>
      </c>
      <c r="AA103" s="18">
        <v>4133</v>
      </c>
      <c r="AB103" s="18" t="s">
        <v>1</v>
      </c>
      <c r="AC103" s="18">
        <v>3</v>
      </c>
      <c r="AD103" s="18" t="s">
        <v>1</v>
      </c>
      <c r="AE103" s="18">
        <v>80</v>
      </c>
      <c r="AF103" s="18" t="s">
        <v>1</v>
      </c>
      <c r="AG103" s="18" t="s">
        <v>1</v>
      </c>
      <c r="AH103" s="18" t="s">
        <v>1</v>
      </c>
      <c r="AI103" s="18">
        <v>206</v>
      </c>
      <c r="AJ103" s="212">
        <v>2335</v>
      </c>
      <c r="AK103" s="18">
        <v>3485</v>
      </c>
      <c r="AL103" s="18">
        <v>848</v>
      </c>
      <c r="AM103" s="18">
        <v>725</v>
      </c>
      <c r="AN103" s="18">
        <v>119</v>
      </c>
      <c r="AO103" s="18">
        <v>148</v>
      </c>
      <c r="AP103" s="212">
        <v>3248</v>
      </c>
      <c r="AQ103" s="18">
        <v>157</v>
      </c>
      <c r="AR103" s="212">
        <v>1004</v>
      </c>
      <c r="AS103" s="18">
        <v>1251</v>
      </c>
      <c r="AT103" s="18">
        <v>150</v>
      </c>
      <c r="AU103" s="18">
        <v>293</v>
      </c>
      <c r="AV103" s="18" t="s">
        <v>1</v>
      </c>
      <c r="AW103" s="117" t="s">
        <v>1</v>
      </c>
      <c r="AX103" s="39">
        <v>0</v>
      </c>
      <c r="AY103" s="117" t="s">
        <v>1</v>
      </c>
      <c r="AZ103" s="117" t="s">
        <v>1</v>
      </c>
      <c r="BA103" s="117" t="s">
        <v>1</v>
      </c>
      <c r="BB103" s="38">
        <v>0</v>
      </c>
      <c r="BC103" s="117" t="s">
        <v>1</v>
      </c>
      <c r="BD103" s="117" t="s">
        <v>1</v>
      </c>
      <c r="BE103" s="117" t="s">
        <v>1</v>
      </c>
      <c r="BF103" s="117" t="s">
        <v>1</v>
      </c>
      <c r="BG103" s="117" t="s">
        <v>1</v>
      </c>
      <c r="BH103" s="117" t="s">
        <v>1</v>
      </c>
      <c r="BI103" s="217" t="s">
        <v>1</v>
      </c>
      <c r="BJ103" s="217" t="s">
        <v>1</v>
      </c>
      <c r="BK103" s="18" t="s">
        <v>74</v>
      </c>
      <c r="BL103" s="18">
        <v>203</v>
      </c>
      <c r="BM103" s="18">
        <v>452</v>
      </c>
      <c r="BN103" s="18">
        <v>835</v>
      </c>
      <c r="BO103" s="18" t="s">
        <v>74</v>
      </c>
      <c r="BP103" s="212">
        <v>1123</v>
      </c>
      <c r="BQ103" s="18">
        <v>144</v>
      </c>
      <c r="BR103" s="18">
        <v>199</v>
      </c>
      <c r="BS103" s="218" t="s">
        <v>1</v>
      </c>
      <c r="BT103" s="218" t="s">
        <v>1</v>
      </c>
      <c r="BU103" s="218" t="s">
        <v>1</v>
      </c>
      <c r="BV103" s="218" t="s">
        <v>1</v>
      </c>
      <c r="BW103" s="218" t="s">
        <v>1</v>
      </c>
      <c r="BX103" s="218" t="s">
        <v>1</v>
      </c>
      <c r="BY103" s="218" t="s">
        <v>1</v>
      </c>
      <c r="BZ103" s="218" t="s">
        <v>1</v>
      </c>
      <c r="CA103" s="218" t="s">
        <v>1</v>
      </c>
      <c r="CB103" s="218" t="s">
        <v>1</v>
      </c>
      <c r="CC103" s="218" t="s">
        <v>1</v>
      </c>
      <c r="CD103" s="218" t="s">
        <v>1</v>
      </c>
      <c r="CE103" s="218" t="s">
        <v>1</v>
      </c>
      <c r="CF103" s="218" t="s">
        <v>1</v>
      </c>
      <c r="CG103" s="218" t="s">
        <v>1</v>
      </c>
      <c r="CH103" s="117" t="s">
        <v>1</v>
      </c>
    </row>
    <row r="104" ht="25" customHeight="1" spans="1:86">
      <c r="A104" s="29">
        <v>45207</v>
      </c>
      <c r="B104" s="108" t="s">
        <v>125</v>
      </c>
      <c r="C104" s="7" t="s">
        <v>1</v>
      </c>
      <c r="D104" s="30" t="s">
        <v>1</v>
      </c>
      <c r="E104" s="30" t="s">
        <v>1</v>
      </c>
      <c r="F104" s="32" t="str">
        <f t="shared" si="3"/>
        <v/>
      </c>
      <c r="G104" s="48" t="s">
        <v>1</v>
      </c>
      <c r="H104" s="174" t="str">
        <f t="shared" si="4"/>
        <v/>
      </c>
      <c r="I104" s="48" t="s">
        <v>1</v>
      </c>
      <c r="J104" s="48" t="s">
        <v>1</v>
      </c>
      <c r="K104" s="213" t="str">
        <f>IFERROR(E104/#REF!,"")</f>
        <v/>
      </c>
      <c r="L104" s="172">
        <v>229274</v>
      </c>
      <c r="M104" s="204">
        <v>44870</v>
      </c>
      <c r="N104" s="216">
        <f t="shared" si="6"/>
        <v>4.10973924671273</v>
      </c>
      <c r="O104" s="48" t="s">
        <v>1</v>
      </c>
      <c r="P104" s="175" t="s">
        <v>1</v>
      </c>
      <c r="Q104" s="48" t="s">
        <v>1</v>
      </c>
      <c r="R104" s="48" t="s">
        <v>1</v>
      </c>
      <c r="S104" s="48" t="s">
        <v>1</v>
      </c>
      <c r="T104" s="48" t="s">
        <v>1</v>
      </c>
      <c r="U104" s="48" t="s">
        <v>1</v>
      </c>
      <c r="V104" s="48" t="s">
        <v>1</v>
      </c>
      <c r="W104" s="48" t="s">
        <v>1</v>
      </c>
      <c r="X104" s="18" t="s">
        <v>1</v>
      </c>
      <c r="Y104" s="18">
        <v>10542</v>
      </c>
      <c r="Z104" s="18" t="s">
        <v>1</v>
      </c>
      <c r="AA104" s="18">
        <v>3543</v>
      </c>
      <c r="AB104" s="18" t="s">
        <v>1</v>
      </c>
      <c r="AC104" s="18">
        <v>3</v>
      </c>
      <c r="AD104" s="18" t="s">
        <v>1</v>
      </c>
      <c r="AE104" s="18">
        <v>89</v>
      </c>
      <c r="AF104" s="18" t="s">
        <v>1</v>
      </c>
      <c r="AG104" s="18" t="s">
        <v>1</v>
      </c>
      <c r="AH104" s="18" t="s">
        <v>1</v>
      </c>
      <c r="AI104" s="18">
        <v>192</v>
      </c>
      <c r="AJ104" s="212">
        <v>2422</v>
      </c>
      <c r="AK104" s="18">
        <v>3000</v>
      </c>
      <c r="AL104" s="18">
        <v>842</v>
      </c>
      <c r="AM104" s="18">
        <v>687</v>
      </c>
      <c r="AN104" s="18">
        <v>115</v>
      </c>
      <c r="AO104" s="18">
        <v>159</v>
      </c>
      <c r="AP104" s="212">
        <v>3196</v>
      </c>
      <c r="AQ104" s="18">
        <v>156</v>
      </c>
      <c r="AR104" s="212">
        <v>1065</v>
      </c>
      <c r="AS104" s="18">
        <v>1447</v>
      </c>
      <c r="AT104" s="18">
        <v>193</v>
      </c>
      <c r="AU104" s="18">
        <v>260</v>
      </c>
      <c r="AV104" s="18" t="s">
        <v>1</v>
      </c>
      <c r="AW104" s="117" t="s">
        <v>1</v>
      </c>
      <c r="AX104" s="39">
        <v>0</v>
      </c>
      <c r="AY104" s="117" t="s">
        <v>1</v>
      </c>
      <c r="AZ104" s="117" t="s">
        <v>1</v>
      </c>
      <c r="BA104" s="117" t="s">
        <v>1</v>
      </c>
      <c r="BB104" s="38">
        <v>0</v>
      </c>
      <c r="BC104" s="117" t="s">
        <v>1</v>
      </c>
      <c r="BD104" s="117" t="s">
        <v>1</v>
      </c>
      <c r="BE104" s="117" t="s">
        <v>1</v>
      </c>
      <c r="BF104" s="117" t="s">
        <v>1</v>
      </c>
      <c r="BG104" s="117" t="s">
        <v>1</v>
      </c>
      <c r="BH104" s="117" t="s">
        <v>1</v>
      </c>
      <c r="BI104" s="217" t="s">
        <v>1</v>
      </c>
      <c r="BJ104" s="217" t="s">
        <v>1</v>
      </c>
      <c r="BK104" s="18" t="s">
        <v>74</v>
      </c>
      <c r="BL104" s="18">
        <v>185</v>
      </c>
      <c r="BM104" s="18">
        <v>472</v>
      </c>
      <c r="BN104" s="18">
        <v>1040</v>
      </c>
      <c r="BO104" s="18" t="s">
        <v>74</v>
      </c>
      <c r="BP104" s="212">
        <v>1189</v>
      </c>
      <c r="BQ104" s="18">
        <v>112</v>
      </c>
      <c r="BR104" s="18">
        <v>262</v>
      </c>
      <c r="BS104" s="218" t="s">
        <v>1</v>
      </c>
      <c r="BT104" s="218" t="s">
        <v>1</v>
      </c>
      <c r="BU104" s="218" t="s">
        <v>1</v>
      </c>
      <c r="BV104" s="218" t="s">
        <v>1</v>
      </c>
      <c r="BW104" s="218" t="s">
        <v>1</v>
      </c>
      <c r="BX104" s="218" t="s">
        <v>1</v>
      </c>
      <c r="BY104" s="218" t="s">
        <v>1</v>
      </c>
      <c r="BZ104" s="218" t="s">
        <v>1</v>
      </c>
      <c r="CA104" s="218" t="s">
        <v>1</v>
      </c>
      <c r="CB104" s="218" t="s">
        <v>1</v>
      </c>
      <c r="CC104" s="218" t="s">
        <v>1</v>
      </c>
      <c r="CD104" s="218" t="s">
        <v>1</v>
      </c>
      <c r="CE104" s="218" t="s">
        <v>1</v>
      </c>
      <c r="CF104" s="218" t="s">
        <v>1</v>
      </c>
      <c r="CG104" s="218" t="s">
        <v>1</v>
      </c>
      <c r="CH104" s="117" t="s">
        <v>1</v>
      </c>
    </row>
    <row r="105" ht="25" customHeight="1" spans="1:86">
      <c r="A105" s="29">
        <v>45208</v>
      </c>
      <c r="B105" s="108" t="s">
        <v>125</v>
      </c>
      <c r="C105" s="7" t="s">
        <v>1</v>
      </c>
      <c r="D105" s="30" t="s">
        <v>1</v>
      </c>
      <c r="E105" s="30" t="s">
        <v>1</v>
      </c>
      <c r="F105" s="32" t="str">
        <f t="shared" si="3"/>
        <v/>
      </c>
      <c r="G105" s="48" t="s">
        <v>1</v>
      </c>
      <c r="H105" s="174" t="str">
        <f t="shared" si="4"/>
        <v/>
      </c>
      <c r="I105" s="48" t="s">
        <v>1</v>
      </c>
      <c r="J105" s="48" t="s">
        <v>1</v>
      </c>
      <c r="K105" s="213" t="str">
        <f>IFERROR(E105/#REF!,"")</f>
        <v/>
      </c>
      <c r="L105" s="172">
        <v>26773</v>
      </c>
      <c r="M105" s="204">
        <v>53112.21</v>
      </c>
      <c r="N105" s="216">
        <f t="shared" si="6"/>
        <v>-0.495916287422421</v>
      </c>
      <c r="O105" s="48" t="s">
        <v>1</v>
      </c>
      <c r="P105" s="175" t="s">
        <v>1</v>
      </c>
      <c r="Q105" s="48" t="s">
        <v>1</v>
      </c>
      <c r="R105" s="48" t="s">
        <v>1</v>
      </c>
      <c r="S105" s="48" t="s">
        <v>1</v>
      </c>
      <c r="T105" s="48" t="s">
        <v>1</v>
      </c>
      <c r="U105" s="48" t="s">
        <v>1</v>
      </c>
      <c r="V105" s="48" t="s">
        <v>1</v>
      </c>
      <c r="W105" s="48" t="s">
        <v>1</v>
      </c>
      <c r="X105" s="18" t="s">
        <v>1</v>
      </c>
      <c r="Y105" s="18">
        <v>10005</v>
      </c>
      <c r="Z105" s="18" t="s">
        <v>1</v>
      </c>
      <c r="AA105" s="18">
        <v>3482</v>
      </c>
      <c r="AB105" s="18" t="s">
        <v>1</v>
      </c>
      <c r="AC105" s="18">
        <v>3</v>
      </c>
      <c r="AD105" s="18" t="s">
        <v>1</v>
      </c>
      <c r="AE105" s="18">
        <v>88</v>
      </c>
      <c r="AF105" s="18" t="s">
        <v>1</v>
      </c>
      <c r="AG105" s="18" t="s">
        <v>1</v>
      </c>
      <c r="AH105" s="18" t="s">
        <v>1</v>
      </c>
      <c r="AI105" s="18">
        <v>202</v>
      </c>
      <c r="AJ105" s="18" t="s">
        <v>1</v>
      </c>
      <c r="AK105" s="18">
        <v>2724</v>
      </c>
      <c r="AL105" s="18" t="s">
        <v>1</v>
      </c>
      <c r="AM105" s="18">
        <v>844</v>
      </c>
      <c r="AN105" s="18" t="s">
        <v>1</v>
      </c>
      <c r="AO105" s="18">
        <v>173</v>
      </c>
      <c r="AP105" s="18" t="s">
        <v>1</v>
      </c>
      <c r="AQ105" s="18">
        <v>203</v>
      </c>
      <c r="AR105" s="18" t="s">
        <v>1</v>
      </c>
      <c r="AS105" s="18">
        <v>1436</v>
      </c>
      <c r="AT105" s="18" t="s">
        <v>1</v>
      </c>
      <c r="AU105" s="18">
        <v>213</v>
      </c>
      <c r="AV105" s="18" t="s">
        <v>1</v>
      </c>
      <c r="AW105" s="117" t="s">
        <v>1</v>
      </c>
      <c r="AX105" s="39">
        <v>0</v>
      </c>
      <c r="AY105" s="117" t="s">
        <v>1</v>
      </c>
      <c r="AZ105" s="117" t="s">
        <v>1</v>
      </c>
      <c r="BA105" s="117" t="s">
        <v>1</v>
      </c>
      <c r="BB105" s="38">
        <v>0</v>
      </c>
      <c r="BC105" s="117" t="s">
        <v>1</v>
      </c>
      <c r="BD105" s="117" t="s">
        <v>1</v>
      </c>
      <c r="BE105" s="117" t="s">
        <v>1</v>
      </c>
      <c r="BF105" s="117" t="s">
        <v>1</v>
      </c>
      <c r="BG105" s="117" t="s">
        <v>1</v>
      </c>
      <c r="BH105" s="117" t="s">
        <v>1</v>
      </c>
      <c r="BI105" s="217" t="s">
        <v>1</v>
      </c>
      <c r="BJ105" s="217" t="s">
        <v>1</v>
      </c>
      <c r="BK105" s="18" t="s">
        <v>74</v>
      </c>
      <c r="BL105" s="18">
        <v>249</v>
      </c>
      <c r="BM105" s="18">
        <v>347</v>
      </c>
      <c r="BN105" s="18">
        <v>841</v>
      </c>
      <c r="BO105" s="18" t="s">
        <v>74</v>
      </c>
      <c r="BP105" s="212">
        <v>1231</v>
      </c>
      <c r="BQ105" s="18">
        <v>97</v>
      </c>
      <c r="BR105" s="18">
        <v>199</v>
      </c>
      <c r="BS105" s="218" t="s">
        <v>1</v>
      </c>
      <c r="BT105" s="218" t="s">
        <v>1</v>
      </c>
      <c r="BU105" s="218" t="s">
        <v>1</v>
      </c>
      <c r="BV105" s="218" t="s">
        <v>1</v>
      </c>
      <c r="BW105" s="218" t="s">
        <v>1</v>
      </c>
      <c r="BX105" s="218" t="s">
        <v>1</v>
      </c>
      <c r="BY105" s="218" t="s">
        <v>1</v>
      </c>
      <c r="BZ105" s="218" t="s">
        <v>1</v>
      </c>
      <c r="CA105" s="218" t="s">
        <v>1</v>
      </c>
      <c r="CB105" s="218" t="s">
        <v>1</v>
      </c>
      <c r="CC105" s="218" t="s">
        <v>1</v>
      </c>
      <c r="CD105" s="218" t="s">
        <v>1</v>
      </c>
      <c r="CE105" s="218" t="s">
        <v>1</v>
      </c>
      <c r="CF105" s="218" t="s">
        <v>1</v>
      </c>
      <c r="CG105" s="218" t="s">
        <v>1</v>
      </c>
      <c r="CH105" s="117" t="s">
        <v>1</v>
      </c>
    </row>
    <row r="106" ht="25" customHeight="1" spans="1:86">
      <c r="A106" s="29">
        <v>45209</v>
      </c>
      <c r="B106" s="108" t="s">
        <v>125</v>
      </c>
      <c r="C106" s="7" t="s">
        <v>1</v>
      </c>
      <c r="D106" s="30" t="s">
        <v>1</v>
      </c>
      <c r="E106" s="30" t="s">
        <v>1</v>
      </c>
      <c r="F106" s="32" t="str">
        <f t="shared" si="3"/>
        <v/>
      </c>
      <c r="G106" s="48" t="s">
        <v>1</v>
      </c>
      <c r="H106" s="174" t="str">
        <f t="shared" si="4"/>
        <v/>
      </c>
      <c r="I106" s="48" t="s">
        <v>1</v>
      </c>
      <c r="J106" s="48" t="s">
        <v>1</v>
      </c>
      <c r="K106" s="213" t="str">
        <f>IFERROR(E106/#REF!,"")</f>
        <v/>
      </c>
      <c r="L106" s="30">
        <v>26293</v>
      </c>
      <c r="M106" s="204">
        <v>19077</v>
      </c>
      <c r="N106" s="216">
        <f t="shared" si="6"/>
        <v>0.378256539288148</v>
      </c>
      <c r="O106" s="48" t="s">
        <v>1</v>
      </c>
      <c r="P106" s="175" t="s">
        <v>1</v>
      </c>
      <c r="Q106" s="48" t="s">
        <v>1</v>
      </c>
      <c r="R106" s="48" t="s">
        <v>1</v>
      </c>
      <c r="S106" s="48" t="s">
        <v>1</v>
      </c>
      <c r="T106" s="48" t="s">
        <v>1</v>
      </c>
      <c r="U106" s="48" t="s">
        <v>1</v>
      </c>
      <c r="V106" s="48" t="s">
        <v>1</v>
      </c>
      <c r="W106" s="48" t="s">
        <v>1</v>
      </c>
      <c r="X106" s="18" t="s">
        <v>1</v>
      </c>
      <c r="Y106" s="18">
        <v>11752</v>
      </c>
      <c r="Z106" s="18" t="s">
        <v>1</v>
      </c>
      <c r="AA106" s="18">
        <v>3942</v>
      </c>
      <c r="AB106" s="18" t="s">
        <v>1</v>
      </c>
      <c r="AC106" s="18">
        <v>3</v>
      </c>
      <c r="AD106" s="18" t="s">
        <v>1</v>
      </c>
      <c r="AE106" s="18">
        <v>90</v>
      </c>
      <c r="AF106" s="18" t="s">
        <v>1</v>
      </c>
      <c r="AG106" s="18" t="s">
        <v>1</v>
      </c>
      <c r="AH106" s="18" t="s">
        <v>1</v>
      </c>
      <c r="AI106" s="18">
        <v>176</v>
      </c>
      <c r="AJ106" s="18" t="s">
        <v>1</v>
      </c>
      <c r="AK106" s="18">
        <v>2598</v>
      </c>
      <c r="AL106" s="18" t="s">
        <v>1</v>
      </c>
      <c r="AM106" s="18">
        <v>779</v>
      </c>
      <c r="AN106" s="18" t="s">
        <v>1</v>
      </c>
      <c r="AO106" s="18">
        <v>118</v>
      </c>
      <c r="AP106" s="18" t="s">
        <v>1</v>
      </c>
      <c r="AQ106" s="18">
        <v>927</v>
      </c>
      <c r="AR106" s="18" t="s">
        <v>1</v>
      </c>
      <c r="AS106" s="18">
        <v>1343</v>
      </c>
      <c r="AT106" s="18" t="s">
        <v>1</v>
      </c>
      <c r="AU106" s="18">
        <v>242</v>
      </c>
      <c r="AV106" s="18" t="s">
        <v>1</v>
      </c>
      <c r="AW106" s="117" t="s">
        <v>1</v>
      </c>
      <c r="AX106" s="39">
        <v>0</v>
      </c>
      <c r="AY106" s="117" t="s">
        <v>1</v>
      </c>
      <c r="AZ106" s="117" t="s">
        <v>1</v>
      </c>
      <c r="BA106" s="117" t="s">
        <v>1</v>
      </c>
      <c r="BB106" s="38">
        <v>0</v>
      </c>
      <c r="BC106" s="117" t="s">
        <v>1</v>
      </c>
      <c r="BD106" s="117" t="s">
        <v>1</v>
      </c>
      <c r="BE106" s="117" t="s">
        <v>1</v>
      </c>
      <c r="BF106" s="117" t="s">
        <v>1</v>
      </c>
      <c r="BG106" s="117" t="s">
        <v>1</v>
      </c>
      <c r="BH106" s="117" t="s">
        <v>1</v>
      </c>
      <c r="BI106" s="217" t="s">
        <v>1</v>
      </c>
      <c r="BJ106" s="217" t="s">
        <v>1</v>
      </c>
      <c r="BK106" s="18" t="s">
        <v>74</v>
      </c>
      <c r="BL106" s="18">
        <v>166</v>
      </c>
      <c r="BM106" s="18">
        <v>472</v>
      </c>
      <c r="BN106" s="18">
        <v>727</v>
      </c>
      <c r="BO106" s="18" t="s">
        <v>74</v>
      </c>
      <c r="BP106" s="212">
        <v>878</v>
      </c>
      <c r="BQ106" s="18">
        <v>150</v>
      </c>
      <c r="BR106" s="18">
        <v>176</v>
      </c>
      <c r="BS106" s="218" t="s">
        <v>1</v>
      </c>
      <c r="BT106" s="218" t="s">
        <v>1</v>
      </c>
      <c r="BU106" s="218" t="s">
        <v>1</v>
      </c>
      <c r="BV106" s="218" t="s">
        <v>1</v>
      </c>
      <c r="BW106" s="218" t="s">
        <v>1</v>
      </c>
      <c r="BX106" s="218" t="s">
        <v>1</v>
      </c>
      <c r="BY106" s="218" t="s">
        <v>1</v>
      </c>
      <c r="BZ106" s="218" t="s">
        <v>1</v>
      </c>
      <c r="CA106" s="218" t="s">
        <v>1</v>
      </c>
      <c r="CB106" s="218" t="s">
        <v>1</v>
      </c>
      <c r="CC106" s="218" t="s">
        <v>1</v>
      </c>
      <c r="CD106" s="218" t="s">
        <v>1</v>
      </c>
      <c r="CE106" s="218" t="s">
        <v>1</v>
      </c>
      <c r="CF106" s="218" t="s">
        <v>1</v>
      </c>
      <c r="CG106" s="218" t="s">
        <v>1</v>
      </c>
      <c r="CH106" s="117" t="s">
        <v>1</v>
      </c>
    </row>
    <row r="107" ht="25" customHeight="1" spans="1:86">
      <c r="A107" s="29">
        <v>45210</v>
      </c>
      <c r="B107" s="108" t="s">
        <v>125</v>
      </c>
      <c r="C107" s="7" t="s">
        <v>1</v>
      </c>
      <c r="D107" s="30" t="s">
        <v>1</v>
      </c>
      <c r="E107" s="30" t="s">
        <v>1</v>
      </c>
      <c r="F107" s="32" t="str">
        <f t="shared" si="3"/>
        <v/>
      </c>
      <c r="G107" s="48" t="s">
        <v>1</v>
      </c>
      <c r="H107" s="174" t="str">
        <f t="shared" si="4"/>
        <v/>
      </c>
      <c r="I107" s="48" t="s">
        <v>1</v>
      </c>
      <c r="J107" s="48" t="s">
        <v>1</v>
      </c>
      <c r="K107" s="174" t="str">
        <f>IFERROR(E107/#REF!,"")</f>
        <v/>
      </c>
      <c r="L107" s="220">
        <v>32892</v>
      </c>
      <c r="M107" s="30">
        <v>43989</v>
      </c>
      <c r="N107" s="216">
        <f t="shared" si="6"/>
        <v>-0.252267612357635</v>
      </c>
      <c r="O107" s="48" t="s">
        <v>1</v>
      </c>
      <c r="P107" s="175" t="s">
        <v>1</v>
      </c>
      <c r="Q107" s="48" t="s">
        <v>1</v>
      </c>
      <c r="R107" s="48" t="s">
        <v>1</v>
      </c>
      <c r="S107" s="48" t="s">
        <v>1</v>
      </c>
      <c r="T107" s="48" t="s">
        <v>1</v>
      </c>
      <c r="U107" s="48" t="s">
        <v>1</v>
      </c>
      <c r="V107" s="48" t="s">
        <v>1</v>
      </c>
      <c r="W107" s="48" t="s">
        <v>1</v>
      </c>
      <c r="X107" s="18" t="s">
        <v>1</v>
      </c>
      <c r="Y107" s="18">
        <v>8980</v>
      </c>
      <c r="Z107" s="18" t="s">
        <v>1</v>
      </c>
      <c r="AA107" s="18">
        <v>3117</v>
      </c>
      <c r="AB107" s="18" t="s">
        <v>1</v>
      </c>
      <c r="AC107" s="18">
        <v>3</v>
      </c>
      <c r="AD107" s="18" t="s">
        <v>1</v>
      </c>
      <c r="AE107" s="18">
        <v>88</v>
      </c>
      <c r="AF107" s="18" t="s">
        <v>1</v>
      </c>
      <c r="AG107" s="18" t="s">
        <v>1</v>
      </c>
      <c r="AH107" s="18" t="s">
        <v>1</v>
      </c>
      <c r="AI107" s="18">
        <v>165</v>
      </c>
      <c r="AJ107" s="18" t="s">
        <v>1</v>
      </c>
      <c r="AK107" s="18">
        <v>2495</v>
      </c>
      <c r="AL107" s="18" t="s">
        <v>1</v>
      </c>
      <c r="AM107" s="18">
        <v>762</v>
      </c>
      <c r="AN107" s="18" t="s">
        <v>1</v>
      </c>
      <c r="AO107" s="18">
        <v>135</v>
      </c>
      <c r="AP107" s="18" t="s">
        <v>1</v>
      </c>
      <c r="AQ107" s="18">
        <v>182</v>
      </c>
      <c r="AR107" s="18" t="s">
        <v>1</v>
      </c>
      <c r="AS107" s="18">
        <v>1309</v>
      </c>
      <c r="AT107" s="18" t="s">
        <v>1</v>
      </c>
      <c r="AU107" s="18">
        <v>208</v>
      </c>
      <c r="AV107" s="18" t="s">
        <v>1</v>
      </c>
      <c r="AW107" s="117" t="s">
        <v>1</v>
      </c>
      <c r="AX107" s="39">
        <v>0</v>
      </c>
      <c r="AY107" s="117" t="s">
        <v>1</v>
      </c>
      <c r="AZ107" s="117" t="s">
        <v>1</v>
      </c>
      <c r="BA107" s="117" t="s">
        <v>1</v>
      </c>
      <c r="BB107" s="38">
        <v>0</v>
      </c>
      <c r="BC107" s="117" t="s">
        <v>1</v>
      </c>
      <c r="BD107" s="117" t="s">
        <v>1</v>
      </c>
      <c r="BE107" s="117" t="s">
        <v>1</v>
      </c>
      <c r="BF107" s="117" t="s">
        <v>1</v>
      </c>
      <c r="BG107" s="117" t="s">
        <v>1</v>
      </c>
      <c r="BH107" s="117" t="s">
        <v>1</v>
      </c>
      <c r="BI107" s="217" t="s">
        <v>1</v>
      </c>
      <c r="BJ107" s="217" t="s">
        <v>1</v>
      </c>
      <c r="BK107" s="18" t="s">
        <v>74</v>
      </c>
      <c r="BL107" s="18">
        <v>158</v>
      </c>
      <c r="BM107" s="18">
        <v>486</v>
      </c>
      <c r="BN107" s="18">
        <v>737</v>
      </c>
      <c r="BO107" s="18" t="s">
        <v>74</v>
      </c>
      <c r="BP107" s="212">
        <v>896</v>
      </c>
      <c r="BQ107" s="18">
        <v>145</v>
      </c>
      <c r="BR107" s="18">
        <v>184</v>
      </c>
      <c r="BS107" s="218" t="s">
        <v>1</v>
      </c>
      <c r="BT107" s="218" t="s">
        <v>1</v>
      </c>
      <c r="BU107" s="218" t="s">
        <v>1</v>
      </c>
      <c r="BV107" s="218" t="s">
        <v>1</v>
      </c>
      <c r="BW107" s="218" t="s">
        <v>1</v>
      </c>
      <c r="BX107" s="218" t="s">
        <v>1</v>
      </c>
      <c r="BY107" s="218" t="s">
        <v>1</v>
      </c>
      <c r="BZ107" s="218" t="s">
        <v>1</v>
      </c>
      <c r="CA107" s="218" t="s">
        <v>1</v>
      </c>
      <c r="CB107" s="218" t="s">
        <v>1</v>
      </c>
      <c r="CC107" s="218" t="s">
        <v>1</v>
      </c>
      <c r="CD107" s="218" t="s">
        <v>1</v>
      </c>
      <c r="CE107" s="218" t="s">
        <v>1</v>
      </c>
      <c r="CF107" s="218" t="s">
        <v>1</v>
      </c>
      <c r="CG107" s="218" t="s">
        <v>1</v>
      </c>
      <c r="CH107" s="117" t="s">
        <v>1</v>
      </c>
    </row>
    <row r="108" ht="25" customHeight="1" spans="1:86">
      <c r="A108" s="29">
        <v>45211</v>
      </c>
      <c r="B108" s="108" t="s">
        <v>125</v>
      </c>
      <c r="C108" s="7" t="s">
        <v>1</v>
      </c>
      <c r="D108" s="30" t="s">
        <v>1</v>
      </c>
      <c r="E108" s="30" t="s">
        <v>1</v>
      </c>
      <c r="F108" s="32" t="str">
        <f t="shared" si="3"/>
        <v/>
      </c>
      <c r="G108" s="48" t="s">
        <v>1</v>
      </c>
      <c r="H108" s="174" t="str">
        <f t="shared" si="4"/>
        <v/>
      </c>
      <c r="I108" s="48" t="s">
        <v>1</v>
      </c>
      <c r="J108" s="48" t="s">
        <v>1</v>
      </c>
      <c r="K108" s="213" t="str">
        <f>IFERROR(E108/#REF!,"")</f>
        <v/>
      </c>
      <c r="L108" s="172">
        <v>21375</v>
      </c>
      <c r="M108" s="204">
        <v>14416</v>
      </c>
      <c r="N108" s="216">
        <f t="shared" si="6"/>
        <v>0.482727524972253</v>
      </c>
      <c r="O108" s="48" t="s">
        <v>1</v>
      </c>
      <c r="P108" s="175" t="s">
        <v>1</v>
      </c>
      <c r="Q108" s="48" t="s">
        <v>1</v>
      </c>
      <c r="R108" s="48" t="s">
        <v>1</v>
      </c>
      <c r="S108" s="48" t="s">
        <v>1</v>
      </c>
      <c r="T108" s="48" t="s">
        <v>1</v>
      </c>
      <c r="U108" s="48" t="s">
        <v>1</v>
      </c>
      <c r="V108" s="48" t="s">
        <v>1</v>
      </c>
      <c r="W108" s="48" t="s">
        <v>1</v>
      </c>
      <c r="X108" s="18" t="s">
        <v>1</v>
      </c>
      <c r="Y108" s="18">
        <v>8845</v>
      </c>
      <c r="Z108" s="18" t="s">
        <v>1</v>
      </c>
      <c r="AA108" s="18">
        <v>2946</v>
      </c>
      <c r="AB108" s="18" t="s">
        <v>1</v>
      </c>
      <c r="AC108" s="18">
        <v>3</v>
      </c>
      <c r="AD108" s="18" t="s">
        <v>1</v>
      </c>
      <c r="AE108" s="18">
        <v>89</v>
      </c>
      <c r="AF108" s="18" t="s">
        <v>1</v>
      </c>
      <c r="AG108" s="18" t="s">
        <v>1</v>
      </c>
      <c r="AH108" s="18" t="s">
        <v>1</v>
      </c>
      <c r="AI108" s="18">
        <v>156</v>
      </c>
      <c r="AJ108" s="18" t="s">
        <v>1</v>
      </c>
      <c r="AK108" s="18">
        <v>2334</v>
      </c>
      <c r="AL108" s="18" t="s">
        <v>1</v>
      </c>
      <c r="AM108" s="18">
        <v>796</v>
      </c>
      <c r="AN108" s="18" t="s">
        <v>1</v>
      </c>
      <c r="AO108" s="18">
        <v>139</v>
      </c>
      <c r="AP108" s="18" t="s">
        <v>1</v>
      </c>
      <c r="AQ108" s="18">
        <v>115</v>
      </c>
      <c r="AR108" s="18" t="s">
        <v>1</v>
      </c>
      <c r="AS108" s="18">
        <v>1042</v>
      </c>
      <c r="AT108" s="18" t="s">
        <v>1</v>
      </c>
      <c r="AU108" s="18">
        <v>202</v>
      </c>
      <c r="AV108" s="18" t="s">
        <v>1</v>
      </c>
      <c r="AW108" s="117" t="s">
        <v>1</v>
      </c>
      <c r="AX108" s="39">
        <v>0</v>
      </c>
      <c r="AY108" s="117" t="s">
        <v>1</v>
      </c>
      <c r="AZ108" s="117" t="s">
        <v>1</v>
      </c>
      <c r="BA108" s="117" t="s">
        <v>1</v>
      </c>
      <c r="BB108" s="38">
        <v>0</v>
      </c>
      <c r="BC108" s="117" t="s">
        <v>1</v>
      </c>
      <c r="BD108" s="117" t="s">
        <v>1</v>
      </c>
      <c r="BE108" s="117" t="s">
        <v>1</v>
      </c>
      <c r="BF108" s="117" t="s">
        <v>1</v>
      </c>
      <c r="BG108" s="117" t="s">
        <v>1</v>
      </c>
      <c r="BH108" s="117" t="s">
        <v>1</v>
      </c>
      <c r="BI108" s="217" t="s">
        <v>1</v>
      </c>
      <c r="BJ108" s="217" t="s">
        <v>1</v>
      </c>
      <c r="BK108" s="18" t="s">
        <v>74</v>
      </c>
      <c r="BL108" s="18">
        <v>170</v>
      </c>
      <c r="BM108" s="18">
        <v>413</v>
      </c>
      <c r="BN108" s="18">
        <v>665</v>
      </c>
      <c r="BO108" s="18" t="s">
        <v>74</v>
      </c>
      <c r="BP108" s="212">
        <v>1025</v>
      </c>
      <c r="BQ108" s="18">
        <v>114</v>
      </c>
      <c r="BR108" s="18">
        <v>175</v>
      </c>
      <c r="BS108" s="218" t="s">
        <v>1</v>
      </c>
      <c r="BT108" s="218" t="s">
        <v>1</v>
      </c>
      <c r="BU108" s="218" t="s">
        <v>1</v>
      </c>
      <c r="BV108" s="218" t="s">
        <v>1</v>
      </c>
      <c r="BW108" s="218" t="s">
        <v>1</v>
      </c>
      <c r="BX108" s="218" t="s">
        <v>1</v>
      </c>
      <c r="BY108" s="218" t="s">
        <v>1</v>
      </c>
      <c r="BZ108" s="218" t="s">
        <v>1</v>
      </c>
      <c r="CA108" s="218" t="s">
        <v>1</v>
      </c>
      <c r="CB108" s="218" t="s">
        <v>1</v>
      </c>
      <c r="CC108" s="218" t="s">
        <v>1</v>
      </c>
      <c r="CD108" s="218" t="s">
        <v>1</v>
      </c>
      <c r="CE108" s="218" t="s">
        <v>1</v>
      </c>
      <c r="CF108" s="218" t="s">
        <v>1</v>
      </c>
      <c r="CG108" s="218" t="s">
        <v>1</v>
      </c>
      <c r="CH108" s="117" t="s">
        <v>1</v>
      </c>
    </row>
    <row r="109" ht="25" customHeight="1" spans="1:86">
      <c r="A109" s="29">
        <v>45212</v>
      </c>
      <c r="B109" s="108" t="s">
        <v>125</v>
      </c>
      <c r="C109" s="7" t="s">
        <v>1</v>
      </c>
      <c r="D109" s="30" t="s">
        <v>1</v>
      </c>
      <c r="E109" s="30" t="s">
        <v>1</v>
      </c>
      <c r="F109" s="32" t="str">
        <f t="shared" si="3"/>
        <v/>
      </c>
      <c r="G109" s="48" t="s">
        <v>1</v>
      </c>
      <c r="H109" s="174" t="str">
        <f t="shared" si="4"/>
        <v/>
      </c>
      <c r="I109" s="48" t="s">
        <v>1</v>
      </c>
      <c r="J109" s="48" t="s">
        <v>1</v>
      </c>
      <c r="K109" s="213" t="str">
        <f>IFERROR(E109/#REF!,"")</f>
        <v/>
      </c>
      <c r="L109" s="30">
        <v>27793</v>
      </c>
      <c r="M109" s="204">
        <v>48343</v>
      </c>
      <c r="N109" s="216">
        <f t="shared" si="6"/>
        <v>-0.425087396313841</v>
      </c>
      <c r="O109" s="48" t="s">
        <v>1</v>
      </c>
      <c r="P109" s="175" t="s">
        <v>1</v>
      </c>
      <c r="Q109" s="48" t="s">
        <v>1</v>
      </c>
      <c r="R109" s="48" t="s">
        <v>1</v>
      </c>
      <c r="S109" s="48" t="s">
        <v>1</v>
      </c>
      <c r="T109" s="48" t="s">
        <v>1</v>
      </c>
      <c r="U109" s="48" t="s">
        <v>1</v>
      </c>
      <c r="V109" s="48" t="s">
        <v>1</v>
      </c>
      <c r="W109" s="48" t="s">
        <v>1</v>
      </c>
      <c r="X109" s="18" t="s">
        <v>1</v>
      </c>
      <c r="Y109" s="18">
        <v>8687</v>
      </c>
      <c r="Z109" s="18" t="s">
        <v>1</v>
      </c>
      <c r="AA109" s="18">
        <v>2849</v>
      </c>
      <c r="AB109" s="18" t="s">
        <v>1</v>
      </c>
      <c r="AC109" s="18">
        <v>3</v>
      </c>
      <c r="AD109" s="18" t="s">
        <v>1</v>
      </c>
      <c r="AE109" s="18">
        <v>94</v>
      </c>
      <c r="AF109" s="18" t="s">
        <v>1</v>
      </c>
      <c r="AG109" s="18" t="s">
        <v>1</v>
      </c>
      <c r="AH109" s="18" t="s">
        <v>1</v>
      </c>
      <c r="AI109" s="18">
        <v>156</v>
      </c>
      <c r="AJ109" s="18" t="s">
        <v>1</v>
      </c>
      <c r="AK109" s="18">
        <v>2174</v>
      </c>
      <c r="AL109" s="18" t="s">
        <v>1</v>
      </c>
      <c r="AM109" s="18">
        <v>909</v>
      </c>
      <c r="AN109" s="18" t="s">
        <v>1</v>
      </c>
      <c r="AO109" s="18">
        <v>126</v>
      </c>
      <c r="AP109" s="18" t="s">
        <v>1</v>
      </c>
      <c r="AQ109" s="18">
        <v>106</v>
      </c>
      <c r="AR109" s="18" t="s">
        <v>1</v>
      </c>
      <c r="AS109" s="18">
        <v>972</v>
      </c>
      <c r="AT109" s="18" t="s">
        <v>1</v>
      </c>
      <c r="AU109" s="18">
        <v>201</v>
      </c>
      <c r="AV109" s="18" t="s">
        <v>1</v>
      </c>
      <c r="AW109" s="117" t="s">
        <v>1</v>
      </c>
      <c r="AX109" s="39">
        <v>0</v>
      </c>
      <c r="AY109" s="117" t="s">
        <v>1</v>
      </c>
      <c r="AZ109" s="117" t="s">
        <v>1</v>
      </c>
      <c r="BA109" s="117" t="s">
        <v>1</v>
      </c>
      <c r="BB109" s="38">
        <v>0</v>
      </c>
      <c r="BC109" s="117" t="s">
        <v>1</v>
      </c>
      <c r="BD109" s="117" t="s">
        <v>1</v>
      </c>
      <c r="BE109" s="117" t="s">
        <v>1</v>
      </c>
      <c r="BF109" s="117" t="s">
        <v>1</v>
      </c>
      <c r="BG109" s="117" t="s">
        <v>1</v>
      </c>
      <c r="BH109" s="117" t="s">
        <v>1</v>
      </c>
      <c r="BI109" s="217" t="s">
        <v>1</v>
      </c>
      <c r="BJ109" s="217" t="s">
        <v>1</v>
      </c>
      <c r="BK109" s="18" t="s">
        <v>74</v>
      </c>
      <c r="BL109" s="18">
        <v>162</v>
      </c>
      <c r="BM109" s="18">
        <v>420</v>
      </c>
      <c r="BN109" s="18">
        <v>741</v>
      </c>
      <c r="BO109" s="18" t="s">
        <v>74</v>
      </c>
      <c r="BP109" s="212">
        <v>835</v>
      </c>
      <c r="BQ109" s="18">
        <v>142</v>
      </c>
      <c r="BR109" s="18">
        <v>222</v>
      </c>
      <c r="BS109" s="218" t="s">
        <v>1</v>
      </c>
      <c r="BT109" s="218" t="s">
        <v>1</v>
      </c>
      <c r="BU109" s="218" t="s">
        <v>1</v>
      </c>
      <c r="BV109" s="218" t="s">
        <v>1</v>
      </c>
      <c r="BW109" s="218" t="s">
        <v>1</v>
      </c>
      <c r="BX109" s="218" t="s">
        <v>1</v>
      </c>
      <c r="BY109" s="218" t="s">
        <v>1</v>
      </c>
      <c r="BZ109" s="218" t="s">
        <v>1</v>
      </c>
      <c r="CA109" s="218" t="s">
        <v>1</v>
      </c>
      <c r="CB109" s="218" t="s">
        <v>1</v>
      </c>
      <c r="CC109" s="218" t="s">
        <v>1</v>
      </c>
      <c r="CD109" s="218" t="s">
        <v>1</v>
      </c>
      <c r="CE109" s="218" t="s">
        <v>1</v>
      </c>
      <c r="CF109" s="218" t="s">
        <v>1</v>
      </c>
      <c r="CG109" s="218" t="s">
        <v>1</v>
      </c>
      <c r="CH109" s="117" t="s">
        <v>1</v>
      </c>
    </row>
    <row r="110" ht="25" customHeight="1" spans="1:86">
      <c r="A110" s="29">
        <v>45213</v>
      </c>
      <c r="B110" s="7" t="s">
        <v>125</v>
      </c>
      <c r="C110" s="7" t="s">
        <v>1</v>
      </c>
      <c r="D110" s="30" t="s">
        <v>1</v>
      </c>
      <c r="E110" s="30" t="s">
        <v>1</v>
      </c>
      <c r="F110" s="32" t="str">
        <f t="shared" si="3"/>
        <v/>
      </c>
      <c r="G110" s="48" t="s">
        <v>1</v>
      </c>
      <c r="H110" s="174" t="str">
        <f t="shared" si="4"/>
        <v/>
      </c>
      <c r="I110" s="48" t="s">
        <v>1</v>
      </c>
      <c r="J110" s="48" t="s">
        <v>1</v>
      </c>
      <c r="K110" s="213" t="str">
        <f>IFERROR(E110/#REF!,"")</f>
        <v/>
      </c>
      <c r="L110" s="30">
        <v>13678</v>
      </c>
      <c r="M110" s="204">
        <v>206999</v>
      </c>
      <c r="N110" s="216">
        <f t="shared" si="6"/>
        <v>-0.933922386098484</v>
      </c>
      <c r="O110" s="48" t="s">
        <v>1</v>
      </c>
      <c r="P110" s="175" t="s">
        <v>1</v>
      </c>
      <c r="Q110" s="48" t="s">
        <v>1</v>
      </c>
      <c r="R110" s="48" t="s">
        <v>1</v>
      </c>
      <c r="S110" s="48" t="s">
        <v>1</v>
      </c>
      <c r="T110" s="48" t="s">
        <v>1</v>
      </c>
      <c r="U110" s="48" t="s">
        <v>1</v>
      </c>
      <c r="V110" s="48" t="s">
        <v>1</v>
      </c>
      <c r="W110" s="48" t="s">
        <v>1</v>
      </c>
      <c r="X110" s="18" t="s">
        <v>1</v>
      </c>
      <c r="Y110" s="18">
        <v>12508</v>
      </c>
      <c r="Z110" s="18" t="s">
        <v>1</v>
      </c>
      <c r="AA110" s="18">
        <v>3558</v>
      </c>
      <c r="AB110" s="18" t="s">
        <v>1</v>
      </c>
      <c r="AC110" s="18">
        <v>4</v>
      </c>
      <c r="AD110" s="18" t="s">
        <v>1</v>
      </c>
      <c r="AE110" s="18">
        <v>106</v>
      </c>
      <c r="AF110" s="18" t="s">
        <v>1</v>
      </c>
      <c r="AG110" s="18" t="s">
        <v>1</v>
      </c>
      <c r="AH110" s="18" t="s">
        <v>1</v>
      </c>
      <c r="AI110" s="18">
        <v>190</v>
      </c>
      <c r="AJ110" s="18" t="s">
        <v>1</v>
      </c>
      <c r="AK110" s="18">
        <v>2829</v>
      </c>
      <c r="AL110" s="18" t="s">
        <v>1</v>
      </c>
      <c r="AM110" s="18">
        <v>939</v>
      </c>
      <c r="AN110" s="18" t="s">
        <v>1</v>
      </c>
      <c r="AO110" s="18">
        <v>215</v>
      </c>
      <c r="AP110" s="18" t="s">
        <v>1</v>
      </c>
      <c r="AQ110" s="18">
        <v>148</v>
      </c>
      <c r="AR110" s="18" t="s">
        <v>1</v>
      </c>
      <c r="AS110" s="18">
        <v>1305</v>
      </c>
      <c r="AT110" s="18" t="s">
        <v>1</v>
      </c>
      <c r="AU110" s="18">
        <v>233</v>
      </c>
      <c r="AV110" s="18" t="s">
        <v>1</v>
      </c>
      <c r="AW110" s="117" t="s">
        <v>1</v>
      </c>
      <c r="AX110" s="39">
        <v>0</v>
      </c>
      <c r="AY110" s="117" t="s">
        <v>1</v>
      </c>
      <c r="AZ110" s="117" t="s">
        <v>1</v>
      </c>
      <c r="BA110" s="117" t="s">
        <v>1</v>
      </c>
      <c r="BB110" s="38">
        <v>0</v>
      </c>
      <c r="BC110" s="117" t="s">
        <v>1</v>
      </c>
      <c r="BD110" s="117" t="s">
        <v>1</v>
      </c>
      <c r="BE110" s="117" t="s">
        <v>1</v>
      </c>
      <c r="BF110" s="117" t="s">
        <v>1</v>
      </c>
      <c r="BG110" s="117" t="s">
        <v>1</v>
      </c>
      <c r="BH110" s="117" t="s">
        <v>1</v>
      </c>
      <c r="BI110" s="217" t="s">
        <v>1</v>
      </c>
      <c r="BJ110" s="217" t="s">
        <v>1</v>
      </c>
      <c r="BK110" s="18" t="s">
        <v>74</v>
      </c>
      <c r="BL110" s="18">
        <v>172</v>
      </c>
      <c r="BM110" s="18">
        <v>453</v>
      </c>
      <c r="BN110" s="18">
        <v>1025</v>
      </c>
      <c r="BO110" s="18" t="s">
        <v>74</v>
      </c>
      <c r="BP110" s="212">
        <v>955</v>
      </c>
      <c r="BQ110" s="18">
        <v>127</v>
      </c>
      <c r="BR110" s="18">
        <v>313</v>
      </c>
      <c r="BS110" s="218" t="s">
        <v>1</v>
      </c>
      <c r="BT110" s="218" t="s">
        <v>1</v>
      </c>
      <c r="BU110" s="218" t="s">
        <v>1</v>
      </c>
      <c r="BV110" s="218" t="s">
        <v>1</v>
      </c>
      <c r="BW110" s="218" t="s">
        <v>1</v>
      </c>
      <c r="BX110" s="218" t="s">
        <v>1</v>
      </c>
      <c r="BY110" s="218" t="s">
        <v>1</v>
      </c>
      <c r="BZ110" s="218" t="s">
        <v>1</v>
      </c>
      <c r="CA110" s="218" t="s">
        <v>1</v>
      </c>
      <c r="CB110" s="218" t="s">
        <v>1</v>
      </c>
      <c r="CC110" s="218" t="s">
        <v>1</v>
      </c>
      <c r="CD110" s="218" t="s">
        <v>1</v>
      </c>
      <c r="CE110" s="218" t="s">
        <v>1</v>
      </c>
      <c r="CF110" s="218" t="s">
        <v>1</v>
      </c>
      <c r="CG110" s="218" t="s">
        <v>1</v>
      </c>
      <c r="CH110" s="117" t="s">
        <v>1</v>
      </c>
    </row>
    <row r="111" ht="25" customHeight="1" spans="1:86">
      <c r="A111" s="29">
        <v>45214</v>
      </c>
      <c r="B111" s="7" t="s">
        <v>125</v>
      </c>
      <c r="C111" s="7" t="s">
        <v>1</v>
      </c>
      <c r="D111" s="30" t="s">
        <v>1</v>
      </c>
      <c r="E111" s="30" t="s">
        <v>1</v>
      </c>
      <c r="F111" s="32" t="str">
        <f t="shared" si="3"/>
        <v/>
      </c>
      <c r="G111" s="48" t="s">
        <v>1</v>
      </c>
      <c r="H111" s="174" t="str">
        <f t="shared" si="4"/>
        <v/>
      </c>
      <c r="I111" s="48" t="s">
        <v>1</v>
      </c>
      <c r="J111" s="48" t="s">
        <v>1</v>
      </c>
      <c r="K111" s="213" t="str">
        <f>IFERROR(E111/#REF!,"")</f>
        <v/>
      </c>
      <c r="L111" s="172">
        <v>36590</v>
      </c>
      <c r="M111" s="204">
        <v>89342</v>
      </c>
      <c r="N111" s="216">
        <f t="shared" si="6"/>
        <v>-0.590450180206398</v>
      </c>
      <c r="O111" s="48" t="s">
        <v>1</v>
      </c>
      <c r="P111" s="175" t="s">
        <v>1</v>
      </c>
      <c r="Q111" s="48" t="s">
        <v>1</v>
      </c>
      <c r="R111" s="48" t="s">
        <v>1</v>
      </c>
      <c r="S111" s="48" t="s">
        <v>1</v>
      </c>
      <c r="T111" s="48" t="s">
        <v>1</v>
      </c>
      <c r="U111" s="48" t="s">
        <v>1</v>
      </c>
      <c r="V111" s="48" t="s">
        <v>1</v>
      </c>
      <c r="W111" s="48" t="s">
        <v>1</v>
      </c>
      <c r="X111" s="18" t="s">
        <v>1</v>
      </c>
      <c r="Y111" s="18">
        <v>12114</v>
      </c>
      <c r="Z111" s="18" t="s">
        <v>1</v>
      </c>
      <c r="AA111" s="18">
        <v>3673</v>
      </c>
      <c r="AB111" s="18" t="s">
        <v>1</v>
      </c>
      <c r="AC111" s="18">
        <v>3</v>
      </c>
      <c r="AD111" s="18" t="s">
        <v>1</v>
      </c>
      <c r="AE111" s="18">
        <v>94</v>
      </c>
      <c r="AF111" s="18" t="s">
        <v>1</v>
      </c>
      <c r="AG111" s="18" t="s">
        <v>1</v>
      </c>
      <c r="AH111" s="18" t="s">
        <v>1</v>
      </c>
      <c r="AI111" s="18">
        <v>229</v>
      </c>
      <c r="AJ111" s="18" t="s">
        <v>1</v>
      </c>
      <c r="AK111" s="18">
        <v>2987</v>
      </c>
      <c r="AL111" s="18" t="s">
        <v>1</v>
      </c>
      <c r="AM111" s="18">
        <v>932</v>
      </c>
      <c r="AN111" s="18" t="s">
        <v>1</v>
      </c>
      <c r="AO111" s="18">
        <v>173</v>
      </c>
      <c r="AP111" s="18" t="s">
        <v>1</v>
      </c>
      <c r="AQ111" s="18">
        <v>135</v>
      </c>
      <c r="AR111" s="18" t="s">
        <v>1</v>
      </c>
      <c r="AS111" s="18">
        <v>1563</v>
      </c>
      <c r="AT111" s="18" t="s">
        <v>1</v>
      </c>
      <c r="AU111" s="18">
        <v>261</v>
      </c>
      <c r="AV111" s="18" t="s">
        <v>1</v>
      </c>
      <c r="AW111" s="117" t="s">
        <v>1</v>
      </c>
      <c r="AX111" s="39">
        <v>0</v>
      </c>
      <c r="AY111" s="117" t="s">
        <v>1</v>
      </c>
      <c r="AZ111" s="117" t="s">
        <v>1</v>
      </c>
      <c r="BA111" s="117" t="s">
        <v>1</v>
      </c>
      <c r="BB111" s="38">
        <v>0</v>
      </c>
      <c r="BC111" s="117" t="s">
        <v>1</v>
      </c>
      <c r="BD111" s="117" t="s">
        <v>1</v>
      </c>
      <c r="BE111" s="117" t="s">
        <v>1</v>
      </c>
      <c r="BF111" s="117" t="s">
        <v>1</v>
      </c>
      <c r="BG111" s="117" t="s">
        <v>1</v>
      </c>
      <c r="BH111" s="117" t="s">
        <v>1</v>
      </c>
      <c r="BI111" s="217" t="s">
        <v>1</v>
      </c>
      <c r="BJ111" s="217" t="s">
        <v>1</v>
      </c>
      <c r="BK111" s="18" t="s">
        <v>74</v>
      </c>
      <c r="BL111" s="18">
        <v>154</v>
      </c>
      <c r="BM111" s="18">
        <v>615</v>
      </c>
      <c r="BN111" s="18">
        <v>1237</v>
      </c>
      <c r="BO111" s="18" t="s">
        <v>74</v>
      </c>
      <c r="BP111" s="212">
        <v>797</v>
      </c>
      <c r="BQ111" s="18">
        <v>167</v>
      </c>
      <c r="BR111" s="18">
        <v>376</v>
      </c>
      <c r="BS111" s="218" t="s">
        <v>1</v>
      </c>
      <c r="BT111" s="218" t="s">
        <v>1</v>
      </c>
      <c r="BU111" s="218" t="s">
        <v>1</v>
      </c>
      <c r="BV111" s="218" t="s">
        <v>1</v>
      </c>
      <c r="BW111" s="218" t="s">
        <v>1</v>
      </c>
      <c r="BX111" s="218" t="s">
        <v>1</v>
      </c>
      <c r="BY111" s="218" t="s">
        <v>1</v>
      </c>
      <c r="BZ111" s="218" t="s">
        <v>1</v>
      </c>
      <c r="CA111" s="218" t="s">
        <v>1</v>
      </c>
      <c r="CB111" s="218" t="s">
        <v>1</v>
      </c>
      <c r="CC111" s="218" t="s">
        <v>1</v>
      </c>
      <c r="CD111" s="218" t="s">
        <v>1</v>
      </c>
      <c r="CE111" s="218" t="s">
        <v>1</v>
      </c>
      <c r="CF111" s="218" t="s">
        <v>1</v>
      </c>
      <c r="CG111" s="218" t="s">
        <v>1</v>
      </c>
      <c r="CH111" s="117" t="s">
        <v>1</v>
      </c>
    </row>
    <row r="112" ht="25" customHeight="1" spans="1:86">
      <c r="A112" s="29">
        <v>45215</v>
      </c>
      <c r="B112" s="7" t="s">
        <v>125</v>
      </c>
      <c r="C112" s="7" t="s">
        <v>1</v>
      </c>
      <c r="D112" s="30" t="s">
        <v>1</v>
      </c>
      <c r="E112" s="30" t="s">
        <v>1</v>
      </c>
      <c r="F112" s="32" t="str">
        <f t="shared" si="3"/>
        <v/>
      </c>
      <c r="G112" s="48" t="s">
        <v>1</v>
      </c>
      <c r="H112" s="174" t="str">
        <f t="shared" si="4"/>
        <v/>
      </c>
      <c r="I112" s="48" t="s">
        <v>1</v>
      </c>
      <c r="J112" s="48" t="s">
        <v>1</v>
      </c>
      <c r="K112" s="213" t="str">
        <f>IFERROR(E112/#REF!,"")</f>
        <v/>
      </c>
      <c r="L112" s="30">
        <v>26993</v>
      </c>
      <c r="M112" s="204">
        <v>76282</v>
      </c>
      <c r="N112" s="216">
        <f t="shared" si="6"/>
        <v>-0.646141946986183</v>
      </c>
      <c r="O112" s="48" t="s">
        <v>1</v>
      </c>
      <c r="P112" s="175" t="s">
        <v>1</v>
      </c>
      <c r="Q112" s="48" t="s">
        <v>1</v>
      </c>
      <c r="R112" s="48" t="s">
        <v>1</v>
      </c>
      <c r="S112" s="48" t="s">
        <v>1</v>
      </c>
      <c r="T112" s="48" t="s">
        <v>1</v>
      </c>
      <c r="U112" s="48" t="s">
        <v>1</v>
      </c>
      <c r="V112" s="48" t="s">
        <v>1</v>
      </c>
      <c r="W112" s="48" t="s">
        <v>1</v>
      </c>
      <c r="X112" s="18" t="s">
        <v>1</v>
      </c>
      <c r="Y112" s="18">
        <v>10710</v>
      </c>
      <c r="Z112" s="18" t="s">
        <v>1</v>
      </c>
      <c r="AA112" s="18">
        <v>3531</v>
      </c>
      <c r="AB112" s="18" t="s">
        <v>1</v>
      </c>
      <c r="AC112" s="18">
        <v>3</v>
      </c>
      <c r="AD112" s="18" t="s">
        <v>1</v>
      </c>
      <c r="AE112" s="18">
        <v>92</v>
      </c>
      <c r="AF112" s="18" t="s">
        <v>1</v>
      </c>
      <c r="AG112" s="18" t="s">
        <v>1</v>
      </c>
      <c r="AH112" s="18" t="s">
        <v>1</v>
      </c>
      <c r="AI112" s="18">
        <v>193</v>
      </c>
      <c r="AJ112" s="18" t="s">
        <v>1</v>
      </c>
      <c r="AK112" s="18">
        <v>2704</v>
      </c>
      <c r="AL112" s="18" t="s">
        <v>1</v>
      </c>
      <c r="AM112" s="18">
        <v>1106</v>
      </c>
      <c r="AN112" s="18" t="s">
        <v>1</v>
      </c>
      <c r="AO112" s="18">
        <v>155</v>
      </c>
      <c r="AP112" s="18" t="s">
        <v>1</v>
      </c>
      <c r="AQ112" s="18">
        <v>152</v>
      </c>
      <c r="AR112" s="18" t="s">
        <v>1</v>
      </c>
      <c r="AS112" s="18">
        <v>1123</v>
      </c>
      <c r="AT112" s="18" t="s">
        <v>1</v>
      </c>
      <c r="AU112" s="18">
        <v>298</v>
      </c>
      <c r="AV112" s="18" t="s">
        <v>1</v>
      </c>
      <c r="AW112" s="117" t="s">
        <v>1</v>
      </c>
      <c r="AX112" s="39">
        <v>0</v>
      </c>
      <c r="AY112" s="117" t="s">
        <v>1</v>
      </c>
      <c r="AZ112" s="117" t="s">
        <v>1</v>
      </c>
      <c r="BA112" s="117" t="s">
        <v>1</v>
      </c>
      <c r="BB112" s="38">
        <v>8</v>
      </c>
      <c r="BC112" s="117" t="s">
        <v>1</v>
      </c>
      <c r="BD112" s="117" t="s">
        <v>1</v>
      </c>
      <c r="BE112" s="117" t="s">
        <v>1</v>
      </c>
      <c r="BF112" s="117" t="s">
        <v>1</v>
      </c>
      <c r="BG112" s="117" t="s">
        <v>1</v>
      </c>
      <c r="BH112" s="117" t="s">
        <v>1</v>
      </c>
      <c r="BI112" s="217" t="s">
        <v>1</v>
      </c>
      <c r="BJ112" s="217" t="s">
        <v>1</v>
      </c>
      <c r="BK112" s="18" t="s">
        <v>74</v>
      </c>
      <c r="BL112" s="18">
        <v>177</v>
      </c>
      <c r="BM112" s="18">
        <v>486</v>
      </c>
      <c r="BN112" s="18" t="s">
        <v>1</v>
      </c>
      <c r="BO112" s="18" t="s">
        <v>74</v>
      </c>
      <c r="BP112" s="212">
        <v>845</v>
      </c>
      <c r="BQ112" s="18">
        <v>153</v>
      </c>
      <c r="BR112" s="18" t="s">
        <v>1</v>
      </c>
      <c r="BS112" s="218" t="s">
        <v>1</v>
      </c>
      <c r="BT112" s="218" t="s">
        <v>1</v>
      </c>
      <c r="BU112" s="218" t="s">
        <v>1</v>
      </c>
      <c r="BV112" s="218" t="s">
        <v>1</v>
      </c>
      <c r="BW112" s="218" t="s">
        <v>1</v>
      </c>
      <c r="BX112" s="218" t="s">
        <v>1</v>
      </c>
      <c r="BY112" s="218" t="s">
        <v>1</v>
      </c>
      <c r="BZ112" s="218" t="s">
        <v>1</v>
      </c>
      <c r="CA112" s="218" t="s">
        <v>1</v>
      </c>
      <c r="CB112" s="218" t="s">
        <v>1</v>
      </c>
      <c r="CC112" s="218" t="s">
        <v>1</v>
      </c>
      <c r="CD112" s="218" t="s">
        <v>1</v>
      </c>
      <c r="CE112" s="218" t="s">
        <v>1</v>
      </c>
      <c r="CF112" s="218" t="s">
        <v>1</v>
      </c>
      <c r="CG112" s="218" t="s">
        <v>1</v>
      </c>
      <c r="CH112" s="117" t="s">
        <v>1</v>
      </c>
    </row>
    <row r="113" ht="25" customHeight="1" spans="1:86">
      <c r="A113" s="29">
        <v>45216</v>
      </c>
      <c r="B113" s="7" t="s">
        <v>89</v>
      </c>
      <c r="C113" s="7" t="s">
        <v>1</v>
      </c>
      <c r="D113" s="30" t="s">
        <v>1</v>
      </c>
      <c r="E113" s="30" t="s">
        <v>1</v>
      </c>
      <c r="F113" s="32" t="str">
        <f t="shared" si="3"/>
        <v/>
      </c>
      <c r="G113" s="48" t="s">
        <v>1</v>
      </c>
      <c r="H113" s="174" t="str">
        <f t="shared" si="4"/>
        <v/>
      </c>
      <c r="I113" s="48" t="s">
        <v>1</v>
      </c>
      <c r="J113" s="48" t="s">
        <v>1</v>
      </c>
      <c r="K113" s="213" t="str">
        <f>IFERROR(E113/#REF!,"")</f>
        <v/>
      </c>
      <c r="L113" s="30">
        <v>47660</v>
      </c>
      <c r="M113" s="204">
        <v>873822.92</v>
      </c>
      <c r="N113" s="216">
        <f t="shared" si="6"/>
        <v>-0.945458056879533</v>
      </c>
      <c r="O113" s="48" t="s">
        <v>1</v>
      </c>
      <c r="P113" s="175" t="s">
        <v>1</v>
      </c>
      <c r="Q113" s="48" t="s">
        <v>1</v>
      </c>
      <c r="R113" s="48" t="s">
        <v>1</v>
      </c>
      <c r="S113" s="48" t="s">
        <v>1</v>
      </c>
      <c r="T113" s="48" t="s">
        <v>1</v>
      </c>
      <c r="U113" s="48" t="s">
        <v>1</v>
      </c>
      <c r="V113" s="48" t="s">
        <v>1</v>
      </c>
      <c r="W113" s="48" t="s">
        <v>1</v>
      </c>
      <c r="X113" s="18" t="s">
        <v>1</v>
      </c>
      <c r="Y113" s="18">
        <v>11712</v>
      </c>
      <c r="Z113" s="18" t="s">
        <v>1</v>
      </c>
      <c r="AA113" s="18">
        <v>3604</v>
      </c>
      <c r="AB113" s="18" t="s">
        <v>1</v>
      </c>
      <c r="AC113" s="18">
        <v>3</v>
      </c>
      <c r="AD113" s="18" t="s">
        <v>1</v>
      </c>
      <c r="AE113" s="18">
        <v>99</v>
      </c>
      <c r="AF113" s="18" t="s">
        <v>1</v>
      </c>
      <c r="AG113" s="18" t="s">
        <v>1</v>
      </c>
      <c r="AH113" s="18" t="s">
        <v>1</v>
      </c>
      <c r="AI113" s="18">
        <v>178</v>
      </c>
      <c r="AJ113" s="18" t="s">
        <v>1</v>
      </c>
      <c r="AK113" s="18">
        <v>2741</v>
      </c>
      <c r="AL113" s="18" t="s">
        <v>1</v>
      </c>
      <c r="AM113" s="18">
        <v>1112</v>
      </c>
      <c r="AN113" s="18" t="s">
        <v>1</v>
      </c>
      <c r="AO113" s="18">
        <v>186</v>
      </c>
      <c r="AP113" s="18" t="s">
        <v>1</v>
      </c>
      <c r="AQ113" s="18">
        <v>180</v>
      </c>
      <c r="AR113" s="18" t="s">
        <v>1</v>
      </c>
      <c r="AS113" s="18">
        <v>1049</v>
      </c>
      <c r="AT113" s="18" t="s">
        <v>1</v>
      </c>
      <c r="AU113" s="18">
        <v>279</v>
      </c>
      <c r="AV113" s="18" t="s">
        <v>1</v>
      </c>
      <c r="AW113" s="117" t="s">
        <v>1</v>
      </c>
      <c r="AX113" s="39">
        <v>0</v>
      </c>
      <c r="AY113" s="117" t="s">
        <v>1</v>
      </c>
      <c r="AZ113" s="117" t="s">
        <v>1</v>
      </c>
      <c r="BA113" s="117" t="s">
        <v>1</v>
      </c>
      <c r="BB113" s="38">
        <v>0</v>
      </c>
      <c r="BC113" s="117" t="s">
        <v>1</v>
      </c>
      <c r="BD113" s="117" t="s">
        <v>1</v>
      </c>
      <c r="BE113" s="117" t="s">
        <v>1</v>
      </c>
      <c r="BF113" s="117" t="s">
        <v>1</v>
      </c>
      <c r="BG113" s="117" t="s">
        <v>1</v>
      </c>
      <c r="BH113" s="117" t="s">
        <v>1</v>
      </c>
      <c r="BI113" s="217" t="s">
        <v>1</v>
      </c>
      <c r="BJ113" s="217" t="s">
        <v>1</v>
      </c>
      <c r="BK113" s="18" t="s">
        <v>74</v>
      </c>
      <c r="BL113" s="18">
        <v>178</v>
      </c>
      <c r="BM113" s="18">
        <v>454</v>
      </c>
      <c r="BN113" s="18" t="s">
        <v>1</v>
      </c>
      <c r="BO113" s="18" t="s">
        <v>74</v>
      </c>
      <c r="BP113" s="212">
        <v>846</v>
      </c>
      <c r="BQ113" s="18">
        <v>152</v>
      </c>
      <c r="BR113" s="18" t="s">
        <v>1</v>
      </c>
      <c r="BS113" s="218" t="s">
        <v>1</v>
      </c>
      <c r="BT113" s="218" t="s">
        <v>1</v>
      </c>
      <c r="BU113" s="218" t="s">
        <v>1</v>
      </c>
      <c r="BV113" s="218" t="s">
        <v>1</v>
      </c>
      <c r="BW113" s="218" t="s">
        <v>1</v>
      </c>
      <c r="BX113" s="218" t="s">
        <v>1</v>
      </c>
      <c r="BY113" s="218" t="s">
        <v>1</v>
      </c>
      <c r="BZ113" s="218" t="s">
        <v>1</v>
      </c>
      <c r="CA113" s="218" t="s">
        <v>1</v>
      </c>
      <c r="CB113" s="218" t="s">
        <v>1</v>
      </c>
      <c r="CC113" s="218" t="s">
        <v>1</v>
      </c>
      <c r="CD113" s="218" t="s">
        <v>1</v>
      </c>
      <c r="CE113" s="218" t="s">
        <v>1</v>
      </c>
      <c r="CF113" s="218" t="s">
        <v>1</v>
      </c>
      <c r="CG113" s="218" t="s">
        <v>1</v>
      </c>
      <c r="CH113" s="117" t="s">
        <v>1</v>
      </c>
    </row>
    <row r="114" ht="25" customHeight="1" spans="1:86">
      <c r="A114" s="29">
        <v>45217</v>
      </c>
      <c r="B114" s="7" t="s">
        <v>89</v>
      </c>
      <c r="C114" s="7" t="s">
        <v>1</v>
      </c>
      <c r="D114" s="30" t="s">
        <v>1</v>
      </c>
      <c r="E114" s="30" t="s">
        <v>1</v>
      </c>
      <c r="F114" s="32" t="str">
        <f t="shared" si="3"/>
        <v/>
      </c>
      <c r="G114" s="48" t="s">
        <v>1</v>
      </c>
      <c r="H114" s="174" t="str">
        <f t="shared" si="4"/>
        <v/>
      </c>
      <c r="I114" s="48" t="s">
        <v>1</v>
      </c>
      <c r="J114" s="48" t="s">
        <v>1</v>
      </c>
      <c r="K114" s="213" t="str">
        <f>IFERROR(E114/#REF!,"")</f>
        <v/>
      </c>
      <c r="L114" s="30">
        <v>6902</v>
      </c>
      <c r="M114" s="204">
        <v>240800.85</v>
      </c>
      <c r="N114" s="216">
        <f t="shared" si="6"/>
        <v>-0.971337310478763</v>
      </c>
      <c r="O114" s="48" t="s">
        <v>1</v>
      </c>
      <c r="P114" s="175" t="s">
        <v>1</v>
      </c>
      <c r="Q114" s="48" t="s">
        <v>1</v>
      </c>
      <c r="R114" s="48" t="s">
        <v>1</v>
      </c>
      <c r="S114" s="48" t="s">
        <v>1</v>
      </c>
      <c r="T114" s="48" t="s">
        <v>1</v>
      </c>
      <c r="U114" s="48" t="s">
        <v>1</v>
      </c>
      <c r="V114" s="48" t="s">
        <v>1</v>
      </c>
      <c r="W114" s="48" t="s">
        <v>1</v>
      </c>
      <c r="X114" s="18" t="s">
        <v>1</v>
      </c>
      <c r="Y114" s="18">
        <v>11869</v>
      </c>
      <c r="Z114" s="18" t="s">
        <v>1</v>
      </c>
      <c r="AA114" s="18">
        <v>3680</v>
      </c>
      <c r="AB114" s="18" t="s">
        <v>1</v>
      </c>
      <c r="AC114" s="18">
        <v>3</v>
      </c>
      <c r="AD114" s="18" t="s">
        <v>1</v>
      </c>
      <c r="AE114" s="18">
        <v>93</v>
      </c>
      <c r="AF114" s="18" t="s">
        <v>1</v>
      </c>
      <c r="AG114" s="18" t="s">
        <v>1</v>
      </c>
      <c r="AH114" s="18" t="s">
        <v>1</v>
      </c>
      <c r="AI114" s="18">
        <v>213</v>
      </c>
      <c r="AJ114" s="18" t="s">
        <v>1</v>
      </c>
      <c r="AK114" s="18">
        <v>2820</v>
      </c>
      <c r="AL114" s="18" t="s">
        <v>1</v>
      </c>
      <c r="AM114" s="18">
        <v>1130</v>
      </c>
      <c r="AN114" s="18" t="s">
        <v>1</v>
      </c>
      <c r="AO114" s="18">
        <v>163</v>
      </c>
      <c r="AP114" s="18" t="s">
        <v>1</v>
      </c>
      <c r="AQ114" s="18">
        <v>191</v>
      </c>
      <c r="AR114" s="18" t="s">
        <v>1</v>
      </c>
      <c r="AS114" s="18">
        <v>1229</v>
      </c>
      <c r="AT114" s="18" t="s">
        <v>1</v>
      </c>
      <c r="AU114" s="18">
        <v>228</v>
      </c>
      <c r="AV114" s="18" t="s">
        <v>1</v>
      </c>
      <c r="AW114" s="117" t="s">
        <v>1</v>
      </c>
      <c r="AX114" s="39">
        <v>0</v>
      </c>
      <c r="AY114" s="117" t="s">
        <v>1</v>
      </c>
      <c r="AZ114" s="117" t="s">
        <v>1</v>
      </c>
      <c r="BA114" s="117" t="s">
        <v>1</v>
      </c>
      <c r="BB114" s="38">
        <v>63</v>
      </c>
      <c r="BC114" s="117" t="s">
        <v>1</v>
      </c>
      <c r="BD114" s="117" t="s">
        <v>1</v>
      </c>
      <c r="BE114" s="117" t="s">
        <v>1</v>
      </c>
      <c r="BF114" s="117" t="s">
        <v>1</v>
      </c>
      <c r="BG114" s="117" t="s">
        <v>1</v>
      </c>
      <c r="BH114" s="117" t="s">
        <v>1</v>
      </c>
      <c r="BI114" s="217" t="s">
        <v>1</v>
      </c>
      <c r="BJ114" s="217" t="s">
        <v>1</v>
      </c>
      <c r="BK114" s="18" t="s">
        <v>74</v>
      </c>
      <c r="BL114" s="18">
        <v>155</v>
      </c>
      <c r="BM114" s="18">
        <v>604</v>
      </c>
      <c r="BN114" s="18" t="s">
        <v>1</v>
      </c>
      <c r="BO114" s="18" t="s">
        <v>74</v>
      </c>
      <c r="BP114" s="212">
        <v>649</v>
      </c>
      <c r="BQ114" s="18">
        <v>216</v>
      </c>
      <c r="BR114" s="18" t="s">
        <v>1</v>
      </c>
      <c r="BS114" s="218" t="s">
        <v>1</v>
      </c>
      <c r="BT114" s="218" t="s">
        <v>1</v>
      </c>
      <c r="BU114" s="218" t="s">
        <v>1</v>
      </c>
      <c r="BV114" s="218" t="s">
        <v>1</v>
      </c>
      <c r="BW114" s="218" t="s">
        <v>1</v>
      </c>
      <c r="BX114" s="218" t="s">
        <v>1</v>
      </c>
      <c r="BY114" s="218" t="s">
        <v>1</v>
      </c>
      <c r="BZ114" s="218" t="s">
        <v>1</v>
      </c>
      <c r="CA114" s="218" t="s">
        <v>1</v>
      </c>
      <c r="CB114" s="218" t="s">
        <v>1</v>
      </c>
      <c r="CC114" s="218" t="s">
        <v>1</v>
      </c>
      <c r="CD114" s="218" t="s">
        <v>1</v>
      </c>
      <c r="CE114" s="218" t="s">
        <v>1</v>
      </c>
      <c r="CF114" s="218" t="s">
        <v>1</v>
      </c>
      <c r="CG114" s="218" t="s">
        <v>1</v>
      </c>
      <c r="CH114" s="117" t="s">
        <v>1</v>
      </c>
    </row>
    <row r="115" ht="25" customHeight="1" spans="1:86">
      <c r="A115" s="29">
        <v>45218</v>
      </c>
      <c r="B115" s="7" t="s">
        <v>89</v>
      </c>
      <c r="C115" s="7" t="s">
        <v>1</v>
      </c>
      <c r="D115" s="30" t="s">
        <v>1</v>
      </c>
      <c r="E115" s="30" t="s">
        <v>1</v>
      </c>
      <c r="F115" s="32" t="str">
        <f t="shared" si="3"/>
        <v/>
      </c>
      <c r="G115" s="48" t="s">
        <v>1</v>
      </c>
      <c r="H115" s="174" t="str">
        <f t="shared" si="4"/>
        <v/>
      </c>
      <c r="I115" s="48" t="s">
        <v>1</v>
      </c>
      <c r="J115" s="48" t="s">
        <v>1</v>
      </c>
      <c r="K115" s="174" t="str">
        <f>IFERROR(E115/#REF!,"")</f>
        <v/>
      </c>
      <c r="L115" s="181">
        <v>18</v>
      </c>
      <c r="M115" s="30">
        <v>462598.3</v>
      </c>
      <c r="N115" s="216">
        <f t="shared" si="6"/>
        <v>-0.999961089351171</v>
      </c>
      <c r="O115" s="221" t="s">
        <v>1</v>
      </c>
      <c r="P115" s="175" t="s">
        <v>1</v>
      </c>
      <c r="Q115" s="221" t="s">
        <v>1</v>
      </c>
      <c r="R115" s="221" t="s">
        <v>1</v>
      </c>
      <c r="S115" s="221" t="s">
        <v>1</v>
      </c>
      <c r="T115" s="221" t="s">
        <v>1</v>
      </c>
      <c r="U115" s="221" t="s">
        <v>1</v>
      </c>
      <c r="V115" s="48" t="s">
        <v>1</v>
      </c>
      <c r="W115" s="48" t="s">
        <v>1</v>
      </c>
      <c r="X115" s="18" t="s">
        <v>1</v>
      </c>
      <c r="Y115" s="18">
        <v>16986</v>
      </c>
      <c r="Z115" s="18" t="s">
        <v>1</v>
      </c>
      <c r="AA115" s="18">
        <v>4150</v>
      </c>
      <c r="AB115" s="18" t="s">
        <v>1</v>
      </c>
      <c r="AC115" s="18">
        <v>4</v>
      </c>
      <c r="AD115" s="18" t="s">
        <v>1</v>
      </c>
      <c r="AE115" s="18">
        <v>123</v>
      </c>
      <c r="AF115" s="18" t="s">
        <v>1</v>
      </c>
      <c r="AG115" s="18" t="s">
        <v>1</v>
      </c>
      <c r="AH115" s="18" t="s">
        <v>1</v>
      </c>
      <c r="AI115" s="18">
        <v>289</v>
      </c>
      <c r="AJ115" s="18" t="s">
        <v>1</v>
      </c>
      <c r="AK115" s="18">
        <v>3272</v>
      </c>
      <c r="AL115" s="18" t="s">
        <v>1</v>
      </c>
      <c r="AM115" s="18">
        <v>1082</v>
      </c>
      <c r="AN115" s="18" t="s">
        <v>1</v>
      </c>
      <c r="AO115" s="18">
        <v>263</v>
      </c>
      <c r="AP115" s="18" t="s">
        <v>1</v>
      </c>
      <c r="AQ115" s="18">
        <v>238</v>
      </c>
      <c r="AR115" s="18" t="s">
        <v>1</v>
      </c>
      <c r="AS115" s="18">
        <v>1275</v>
      </c>
      <c r="AT115" s="18" t="s">
        <v>1</v>
      </c>
      <c r="AU115" s="18">
        <v>311</v>
      </c>
      <c r="AV115" s="18" t="s">
        <v>1</v>
      </c>
      <c r="AW115" s="117" t="s">
        <v>1</v>
      </c>
      <c r="AX115" s="39">
        <v>0</v>
      </c>
      <c r="AY115" s="117" t="s">
        <v>1</v>
      </c>
      <c r="AZ115" s="117" t="s">
        <v>1</v>
      </c>
      <c r="BA115" s="117" t="s">
        <v>1</v>
      </c>
      <c r="BB115" s="38">
        <v>43</v>
      </c>
      <c r="BC115" s="117" t="s">
        <v>1</v>
      </c>
      <c r="BD115" s="117" t="s">
        <v>1</v>
      </c>
      <c r="BE115" s="117" t="s">
        <v>1</v>
      </c>
      <c r="BF115" s="117" t="s">
        <v>1</v>
      </c>
      <c r="BG115" s="117" t="s">
        <v>1</v>
      </c>
      <c r="BH115" s="117" t="s">
        <v>1</v>
      </c>
      <c r="BI115" s="217" t="s">
        <v>1</v>
      </c>
      <c r="BJ115" s="217" t="s">
        <v>1</v>
      </c>
      <c r="BK115" s="18" t="s">
        <v>74</v>
      </c>
      <c r="BL115" s="18">
        <v>123</v>
      </c>
      <c r="BM115" s="18">
        <v>740</v>
      </c>
      <c r="BN115" s="18" t="s">
        <v>1</v>
      </c>
      <c r="BO115" s="18" t="s">
        <v>74</v>
      </c>
      <c r="BP115" s="212">
        <v>590</v>
      </c>
      <c r="BQ115" s="18">
        <v>243</v>
      </c>
      <c r="BR115" s="18" t="s">
        <v>1</v>
      </c>
      <c r="BS115" s="218" t="s">
        <v>1</v>
      </c>
      <c r="BT115" s="218" t="s">
        <v>1</v>
      </c>
      <c r="BU115" s="218" t="s">
        <v>1</v>
      </c>
      <c r="BV115" s="218" t="s">
        <v>1</v>
      </c>
      <c r="BW115" s="218" t="s">
        <v>1</v>
      </c>
      <c r="BX115" s="218" t="s">
        <v>1</v>
      </c>
      <c r="BY115" s="218" t="s">
        <v>1</v>
      </c>
      <c r="BZ115" s="218" t="s">
        <v>1</v>
      </c>
      <c r="CA115" s="218" t="s">
        <v>1</v>
      </c>
      <c r="CB115" s="218" t="s">
        <v>1</v>
      </c>
      <c r="CC115" s="218" t="s">
        <v>1</v>
      </c>
      <c r="CD115" s="218" t="s">
        <v>1</v>
      </c>
      <c r="CE115" s="218" t="s">
        <v>1</v>
      </c>
      <c r="CF115" s="218" t="s">
        <v>1</v>
      </c>
      <c r="CG115" s="218" t="s">
        <v>1</v>
      </c>
      <c r="CH115" s="117" t="s">
        <v>1</v>
      </c>
    </row>
    <row r="116" ht="25" customHeight="1" spans="1:86">
      <c r="A116" s="29">
        <v>45219</v>
      </c>
      <c r="B116" s="7" t="s">
        <v>89</v>
      </c>
      <c r="C116" s="7" t="s">
        <v>1</v>
      </c>
      <c r="D116" s="30" t="s">
        <v>1</v>
      </c>
      <c r="E116" s="30" t="s">
        <v>1</v>
      </c>
      <c r="F116" s="32" t="str">
        <f t="shared" si="3"/>
        <v/>
      </c>
      <c r="G116" s="48" t="s">
        <v>1</v>
      </c>
      <c r="H116" s="174" t="str">
        <f t="shared" si="4"/>
        <v/>
      </c>
      <c r="I116" s="48" t="s">
        <v>1</v>
      </c>
      <c r="J116" s="48" t="s">
        <v>1</v>
      </c>
      <c r="K116" s="174" t="str">
        <f>IFERROR(E116/#REF!,"")</f>
        <v/>
      </c>
      <c r="L116" s="215" t="s">
        <v>1</v>
      </c>
      <c r="M116" s="30">
        <v>125886.91</v>
      </c>
      <c r="N116" s="167" t="e">
        <f t="shared" si="6"/>
        <v>#VALUE!</v>
      </c>
      <c r="O116" s="48" t="s">
        <v>1</v>
      </c>
      <c r="P116" s="32" t="s">
        <v>1</v>
      </c>
      <c r="Q116" s="48" t="s">
        <v>1</v>
      </c>
      <c r="R116" s="48" t="s">
        <v>1</v>
      </c>
      <c r="S116" s="48" t="s">
        <v>1</v>
      </c>
      <c r="T116" s="48" t="s">
        <v>1</v>
      </c>
      <c r="U116" s="48" t="s">
        <v>1</v>
      </c>
      <c r="V116" s="222" t="s">
        <v>1</v>
      </c>
      <c r="W116" s="48" t="s">
        <v>1</v>
      </c>
      <c r="X116" s="18" t="s">
        <v>1</v>
      </c>
      <c r="Y116" s="18">
        <v>17513</v>
      </c>
      <c r="Z116" s="18" t="s">
        <v>1</v>
      </c>
      <c r="AA116" s="18">
        <v>5464</v>
      </c>
      <c r="AB116" s="18" t="s">
        <v>1</v>
      </c>
      <c r="AC116" s="18">
        <v>3</v>
      </c>
      <c r="AD116" s="18" t="s">
        <v>1</v>
      </c>
      <c r="AE116" s="18">
        <v>95</v>
      </c>
      <c r="AF116" s="18" t="s">
        <v>1</v>
      </c>
      <c r="AG116" s="18" t="s">
        <v>1</v>
      </c>
      <c r="AH116" s="18" t="s">
        <v>1</v>
      </c>
      <c r="AI116" s="18">
        <v>359</v>
      </c>
      <c r="AJ116" s="18" t="s">
        <v>1</v>
      </c>
      <c r="AK116" s="18">
        <v>4476</v>
      </c>
      <c r="AL116" s="18" t="s">
        <v>1</v>
      </c>
      <c r="AM116" s="18">
        <v>1333</v>
      </c>
      <c r="AN116" s="18" t="s">
        <v>1</v>
      </c>
      <c r="AO116" s="18">
        <v>210</v>
      </c>
      <c r="AP116" s="18" t="s">
        <v>1</v>
      </c>
      <c r="AQ116" s="18">
        <v>190</v>
      </c>
      <c r="AR116" s="18" t="s">
        <v>1</v>
      </c>
      <c r="AS116" s="18">
        <v>1864</v>
      </c>
      <c r="AT116" s="18" t="s">
        <v>1</v>
      </c>
      <c r="AU116" s="18">
        <v>401</v>
      </c>
      <c r="AV116" s="18" t="s">
        <v>1</v>
      </c>
      <c r="AW116" s="117" t="s">
        <v>1</v>
      </c>
      <c r="AX116" s="39">
        <v>365</v>
      </c>
      <c r="AY116" s="117" t="s">
        <v>1</v>
      </c>
      <c r="AZ116" s="117" t="s">
        <v>1</v>
      </c>
      <c r="BA116" s="117" t="s">
        <v>1</v>
      </c>
      <c r="BB116" s="38">
        <v>41</v>
      </c>
      <c r="BC116" s="117" t="s">
        <v>1</v>
      </c>
      <c r="BD116" s="117" t="s">
        <v>1</v>
      </c>
      <c r="BE116" s="117" t="s">
        <v>1</v>
      </c>
      <c r="BF116" s="117" t="s">
        <v>1</v>
      </c>
      <c r="BG116" s="117" t="s">
        <v>1</v>
      </c>
      <c r="BH116" s="117" t="s">
        <v>1</v>
      </c>
      <c r="BI116" s="217" t="s">
        <v>1</v>
      </c>
      <c r="BJ116" s="217" t="s">
        <v>1</v>
      </c>
      <c r="BK116" s="18" t="s">
        <v>74</v>
      </c>
      <c r="BL116" s="18">
        <v>112</v>
      </c>
      <c r="BM116" s="18">
        <v>774</v>
      </c>
      <c r="BN116" s="18" t="s">
        <v>1</v>
      </c>
      <c r="BO116" s="18" t="s">
        <v>74</v>
      </c>
      <c r="BP116" s="212">
        <v>530</v>
      </c>
      <c r="BQ116" s="18">
        <v>298</v>
      </c>
      <c r="BR116" s="18" t="s">
        <v>1</v>
      </c>
      <c r="BS116" s="218" t="s">
        <v>1</v>
      </c>
      <c r="BT116" s="218" t="s">
        <v>1</v>
      </c>
      <c r="BU116" s="218" t="s">
        <v>1</v>
      </c>
      <c r="BV116" s="218" t="s">
        <v>1</v>
      </c>
      <c r="BW116" s="218" t="s">
        <v>1</v>
      </c>
      <c r="BX116" s="218" t="s">
        <v>1</v>
      </c>
      <c r="BY116" s="218" t="s">
        <v>1</v>
      </c>
      <c r="BZ116" s="218" t="s">
        <v>1</v>
      </c>
      <c r="CA116" s="218" t="s">
        <v>1</v>
      </c>
      <c r="CB116" s="218" t="s">
        <v>1</v>
      </c>
      <c r="CC116" s="218" t="s">
        <v>1</v>
      </c>
      <c r="CD116" s="218" t="s">
        <v>1</v>
      </c>
      <c r="CE116" s="218" t="s">
        <v>1</v>
      </c>
      <c r="CF116" s="218" t="s">
        <v>1</v>
      </c>
      <c r="CG116" s="218" t="s">
        <v>1</v>
      </c>
      <c r="CH116" s="117" t="s">
        <v>1</v>
      </c>
    </row>
    <row r="117" ht="25" customHeight="1" spans="1:86">
      <c r="A117" s="29">
        <v>45220</v>
      </c>
      <c r="B117" s="7" t="s">
        <v>89</v>
      </c>
      <c r="C117" s="7" t="s">
        <v>1</v>
      </c>
      <c r="D117" s="30" t="s">
        <v>1</v>
      </c>
      <c r="E117" s="30" t="s">
        <v>1</v>
      </c>
      <c r="F117" s="32" t="str">
        <f t="shared" si="3"/>
        <v/>
      </c>
      <c r="G117" s="48" t="s">
        <v>1</v>
      </c>
      <c r="H117" s="174" t="str">
        <f t="shared" si="4"/>
        <v/>
      </c>
      <c r="I117" s="48" t="s">
        <v>1</v>
      </c>
      <c r="J117" s="48" t="s">
        <v>1</v>
      </c>
      <c r="K117" s="174" t="str">
        <f>IFERROR(E117/#REF!,"")</f>
        <v/>
      </c>
      <c r="L117" s="215" t="s">
        <v>1</v>
      </c>
      <c r="M117" s="30">
        <v>103756.87</v>
      </c>
      <c r="N117" s="167" t="e">
        <f t="shared" si="6"/>
        <v>#VALUE!</v>
      </c>
      <c r="O117" s="48" t="s">
        <v>1</v>
      </c>
      <c r="P117" s="32" t="s">
        <v>1</v>
      </c>
      <c r="Q117" s="48" t="s">
        <v>1</v>
      </c>
      <c r="R117" s="48" t="s">
        <v>1</v>
      </c>
      <c r="S117" s="48" t="s">
        <v>1</v>
      </c>
      <c r="T117" s="48" t="s">
        <v>1</v>
      </c>
      <c r="U117" s="48" t="s">
        <v>1</v>
      </c>
      <c r="V117" s="222" t="s">
        <v>1</v>
      </c>
      <c r="W117" s="48" t="s">
        <v>1</v>
      </c>
      <c r="X117" s="18" t="s">
        <v>1</v>
      </c>
      <c r="Y117" s="18">
        <v>16726</v>
      </c>
      <c r="Z117" s="18" t="s">
        <v>1</v>
      </c>
      <c r="AA117" s="18">
        <v>5504</v>
      </c>
      <c r="AB117" s="18" t="s">
        <v>1</v>
      </c>
      <c r="AC117" s="18">
        <v>3</v>
      </c>
      <c r="AD117" s="18" t="s">
        <v>1</v>
      </c>
      <c r="AE117" s="18">
        <v>89</v>
      </c>
      <c r="AF117" s="18" t="s">
        <v>1</v>
      </c>
      <c r="AG117" s="18" t="s">
        <v>1</v>
      </c>
      <c r="AH117" s="18" t="s">
        <v>1</v>
      </c>
      <c r="AI117" s="18">
        <v>354</v>
      </c>
      <c r="AJ117" s="18" t="s">
        <v>1</v>
      </c>
      <c r="AK117" s="18">
        <v>4490</v>
      </c>
      <c r="AL117" s="18" t="s">
        <v>1</v>
      </c>
      <c r="AM117" s="18">
        <v>1325</v>
      </c>
      <c r="AN117" s="18" t="s">
        <v>1</v>
      </c>
      <c r="AO117" s="18">
        <v>238</v>
      </c>
      <c r="AP117" s="18" t="s">
        <v>1</v>
      </c>
      <c r="AQ117" s="18">
        <v>221</v>
      </c>
      <c r="AR117" s="18" t="s">
        <v>1</v>
      </c>
      <c r="AS117" s="18">
        <v>1744</v>
      </c>
      <c r="AT117" s="18" t="s">
        <v>1</v>
      </c>
      <c r="AU117" s="18">
        <v>328</v>
      </c>
      <c r="AV117" s="18" t="s">
        <v>1</v>
      </c>
      <c r="AW117" s="117" t="s">
        <v>1</v>
      </c>
      <c r="AX117" s="39">
        <v>361</v>
      </c>
      <c r="AY117" s="117" t="s">
        <v>1</v>
      </c>
      <c r="AZ117" s="117" t="s">
        <v>1</v>
      </c>
      <c r="BA117" s="117" t="s">
        <v>1</v>
      </c>
      <c r="BB117" s="38">
        <v>59</v>
      </c>
      <c r="BC117" s="117" t="s">
        <v>1</v>
      </c>
      <c r="BD117" s="117" t="s">
        <v>1</v>
      </c>
      <c r="BE117" s="117" t="s">
        <v>1</v>
      </c>
      <c r="BF117" s="117" t="s">
        <v>1</v>
      </c>
      <c r="BG117" s="117" t="s">
        <v>1</v>
      </c>
      <c r="BH117" s="117" t="s">
        <v>1</v>
      </c>
      <c r="BI117" s="217" t="s">
        <v>1</v>
      </c>
      <c r="BJ117" s="217" t="s">
        <v>1</v>
      </c>
      <c r="BK117" s="18" t="s">
        <v>74</v>
      </c>
      <c r="BL117" s="18">
        <v>104</v>
      </c>
      <c r="BM117" s="18">
        <v>974</v>
      </c>
      <c r="BN117" s="18" t="s">
        <v>1</v>
      </c>
      <c r="BO117" s="18" t="s">
        <v>74</v>
      </c>
      <c r="BP117" s="212">
        <v>458</v>
      </c>
      <c r="BQ117" s="18">
        <v>388</v>
      </c>
      <c r="BR117" s="18" t="s">
        <v>1</v>
      </c>
      <c r="BS117" s="218" t="s">
        <v>1</v>
      </c>
      <c r="BT117" s="218" t="s">
        <v>1</v>
      </c>
      <c r="BU117" s="218" t="s">
        <v>1</v>
      </c>
      <c r="BV117" s="218" t="s">
        <v>1</v>
      </c>
      <c r="BW117" s="218" t="s">
        <v>1</v>
      </c>
      <c r="BX117" s="218" t="s">
        <v>1</v>
      </c>
      <c r="BY117" s="218" t="s">
        <v>1</v>
      </c>
      <c r="BZ117" s="218" t="s">
        <v>1</v>
      </c>
      <c r="CA117" s="218" t="s">
        <v>1</v>
      </c>
      <c r="CB117" s="218" t="s">
        <v>1</v>
      </c>
      <c r="CC117" s="218" t="s">
        <v>1</v>
      </c>
      <c r="CD117" s="218" t="s">
        <v>1</v>
      </c>
      <c r="CE117" s="218" t="s">
        <v>1</v>
      </c>
      <c r="CF117" s="218" t="s">
        <v>1</v>
      </c>
      <c r="CG117" s="218" t="s">
        <v>1</v>
      </c>
      <c r="CH117" s="117" t="s">
        <v>1</v>
      </c>
    </row>
    <row r="118" ht="25" customHeight="1" spans="1:86">
      <c r="A118" s="29">
        <v>45221</v>
      </c>
      <c r="B118" s="7" t="s">
        <v>89</v>
      </c>
      <c r="C118" s="7" t="s">
        <v>1</v>
      </c>
      <c r="D118" s="30" t="s">
        <v>1</v>
      </c>
      <c r="E118" s="30" t="s">
        <v>1</v>
      </c>
      <c r="F118" s="32" t="str">
        <f t="shared" si="3"/>
        <v/>
      </c>
      <c r="G118" s="48" t="s">
        <v>1</v>
      </c>
      <c r="H118" s="174" t="str">
        <f t="shared" si="4"/>
        <v/>
      </c>
      <c r="I118" s="48" t="s">
        <v>1</v>
      </c>
      <c r="J118" s="48" t="s">
        <v>1</v>
      </c>
      <c r="K118" s="174" t="str">
        <f>IFERROR(E118/#REF!,"")</f>
        <v/>
      </c>
      <c r="L118" s="215" t="s">
        <v>1</v>
      </c>
      <c r="M118" s="30">
        <v>84184</v>
      </c>
      <c r="N118" s="167" t="e">
        <f t="shared" si="6"/>
        <v>#VALUE!</v>
      </c>
      <c r="O118" s="48" t="s">
        <v>1</v>
      </c>
      <c r="P118" s="32" t="s">
        <v>1</v>
      </c>
      <c r="Q118" s="48" t="s">
        <v>1</v>
      </c>
      <c r="R118" s="48" t="s">
        <v>1</v>
      </c>
      <c r="S118" s="48" t="s">
        <v>1</v>
      </c>
      <c r="T118" s="48" t="s">
        <v>1</v>
      </c>
      <c r="U118" s="48" t="s">
        <v>1</v>
      </c>
      <c r="V118" s="222" t="s">
        <v>1</v>
      </c>
      <c r="W118" s="48" t="s">
        <v>1</v>
      </c>
      <c r="X118" s="18" t="s">
        <v>1</v>
      </c>
      <c r="Y118" s="18">
        <v>14402</v>
      </c>
      <c r="Z118" s="18" t="s">
        <v>1</v>
      </c>
      <c r="AA118" s="18">
        <v>4547</v>
      </c>
      <c r="AB118" s="18" t="s">
        <v>1</v>
      </c>
      <c r="AC118" s="18">
        <v>3</v>
      </c>
      <c r="AD118" s="18" t="s">
        <v>1</v>
      </c>
      <c r="AE118" s="18">
        <v>98</v>
      </c>
      <c r="AF118" s="18" t="s">
        <v>1</v>
      </c>
      <c r="AG118" s="18" t="s">
        <v>1</v>
      </c>
      <c r="AH118" s="18" t="s">
        <v>1</v>
      </c>
      <c r="AI118" s="18">
        <v>296</v>
      </c>
      <c r="AJ118" s="18" t="s">
        <v>1</v>
      </c>
      <c r="AK118" s="18">
        <v>3596</v>
      </c>
      <c r="AL118" s="18" t="s">
        <v>1</v>
      </c>
      <c r="AM118" s="18">
        <v>1237</v>
      </c>
      <c r="AN118" s="18" t="s">
        <v>1</v>
      </c>
      <c r="AO118" s="18">
        <v>226</v>
      </c>
      <c r="AP118" s="18" t="s">
        <v>1</v>
      </c>
      <c r="AQ118" s="18">
        <v>183</v>
      </c>
      <c r="AR118" s="18" t="s">
        <v>1</v>
      </c>
      <c r="AS118" s="18">
        <v>1520</v>
      </c>
      <c r="AT118" s="18" t="s">
        <v>1</v>
      </c>
      <c r="AU118" s="18">
        <v>278</v>
      </c>
      <c r="AV118" s="18" t="s">
        <v>1</v>
      </c>
      <c r="AW118" s="117" t="s">
        <v>1</v>
      </c>
      <c r="AX118" s="39">
        <v>482</v>
      </c>
      <c r="AY118" s="117" t="s">
        <v>1</v>
      </c>
      <c r="AZ118" s="117" t="s">
        <v>1</v>
      </c>
      <c r="BA118" s="117" t="s">
        <v>1</v>
      </c>
      <c r="BB118" s="38">
        <v>92</v>
      </c>
      <c r="BC118" s="117" t="s">
        <v>1</v>
      </c>
      <c r="BD118" s="117" t="s">
        <v>1</v>
      </c>
      <c r="BE118" s="117" t="s">
        <v>1</v>
      </c>
      <c r="BF118" s="117" t="s">
        <v>1</v>
      </c>
      <c r="BG118" s="117" t="s">
        <v>1</v>
      </c>
      <c r="BH118" s="117" t="s">
        <v>1</v>
      </c>
      <c r="BI118" s="217" t="s">
        <v>1</v>
      </c>
      <c r="BJ118" s="217" t="s">
        <v>1</v>
      </c>
      <c r="BK118" s="18" t="s">
        <v>74</v>
      </c>
      <c r="BL118" s="18">
        <v>103</v>
      </c>
      <c r="BM118" s="18">
        <v>1204</v>
      </c>
      <c r="BN118" s="18" t="s">
        <v>1</v>
      </c>
      <c r="BO118" s="18" t="s">
        <v>74</v>
      </c>
      <c r="BP118" s="212">
        <v>455</v>
      </c>
      <c r="BQ118" s="18">
        <v>437</v>
      </c>
      <c r="BR118" s="18" t="s">
        <v>1</v>
      </c>
      <c r="BS118" s="218" t="s">
        <v>1</v>
      </c>
      <c r="BT118" s="218" t="s">
        <v>1</v>
      </c>
      <c r="BU118" s="218" t="s">
        <v>1</v>
      </c>
      <c r="BV118" s="218" t="s">
        <v>1</v>
      </c>
      <c r="BW118" s="218" t="s">
        <v>1</v>
      </c>
      <c r="BX118" s="218" t="s">
        <v>1</v>
      </c>
      <c r="BY118" s="218" t="s">
        <v>1</v>
      </c>
      <c r="BZ118" s="218" t="s">
        <v>1</v>
      </c>
      <c r="CA118" s="218" t="s">
        <v>1</v>
      </c>
      <c r="CB118" s="218" t="s">
        <v>1</v>
      </c>
      <c r="CC118" s="218" t="s">
        <v>1</v>
      </c>
      <c r="CD118" s="218" t="s">
        <v>1</v>
      </c>
      <c r="CE118" s="218" t="s">
        <v>1</v>
      </c>
      <c r="CF118" s="218" t="s">
        <v>1</v>
      </c>
      <c r="CG118" s="218" t="s">
        <v>1</v>
      </c>
      <c r="CH118" s="117" t="s">
        <v>1</v>
      </c>
    </row>
    <row r="119" ht="25" customHeight="1" spans="1:86">
      <c r="A119" s="29">
        <v>45222</v>
      </c>
      <c r="B119" s="108" t="s">
        <v>126</v>
      </c>
      <c r="C119" s="7" t="s">
        <v>1</v>
      </c>
      <c r="D119" s="30" t="s">
        <v>1</v>
      </c>
      <c r="E119" s="30" t="s">
        <v>1</v>
      </c>
      <c r="F119" s="175" t="str">
        <f t="shared" si="3"/>
        <v/>
      </c>
      <c r="G119" s="221" t="s">
        <v>1</v>
      </c>
      <c r="H119" s="174" t="str">
        <f t="shared" si="4"/>
        <v/>
      </c>
      <c r="I119" s="221" t="s">
        <v>1</v>
      </c>
      <c r="J119" s="221" t="s">
        <v>1</v>
      </c>
      <c r="K119" s="174" t="str">
        <f>IFERROR(E119/#REF!,"")</f>
        <v/>
      </c>
      <c r="L119" s="219" t="s">
        <v>1</v>
      </c>
      <c r="M119" s="30">
        <v>91101</v>
      </c>
      <c r="N119" s="223" t="e">
        <f t="shared" si="6"/>
        <v>#VALUE!</v>
      </c>
      <c r="O119" s="221" t="s">
        <v>1</v>
      </c>
      <c r="P119" s="175" t="s">
        <v>1</v>
      </c>
      <c r="Q119" s="221" t="s">
        <v>1</v>
      </c>
      <c r="R119" s="221" t="s">
        <v>1</v>
      </c>
      <c r="S119" s="221" t="s">
        <v>1</v>
      </c>
      <c r="T119" s="221" t="s">
        <v>1</v>
      </c>
      <c r="U119" s="48" t="s">
        <v>1</v>
      </c>
      <c r="V119" s="222" t="s">
        <v>1</v>
      </c>
      <c r="W119" s="48" t="s">
        <v>1</v>
      </c>
      <c r="X119" s="18" t="s">
        <v>1</v>
      </c>
      <c r="Y119" s="18">
        <v>15346</v>
      </c>
      <c r="Z119" s="18" t="s">
        <v>1</v>
      </c>
      <c r="AA119" s="18">
        <v>4567</v>
      </c>
      <c r="AB119" s="18" t="s">
        <v>1</v>
      </c>
      <c r="AC119" s="18">
        <v>3</v>
      </c>
      <c r="AD119" s="18" t="s">
        <v>1</v>
      </c>
      <c r="AE119" s="18">
        <v>101</v>
      </c>
      <c r="AF119" s="18" t="s">
        <v>1</v>
      </c>
      <c r="AG119" s="18" t="s">
        <v>1</v>
      </c>
      <c r="AH119" s="18" t="s">
        <v>1</v>
      </c>
      <c r="AI119" s="18">
        <v>299</v>
      </c>
      <c r="AJ119" s="18" t="s">
        <v>1</v>
      </c>
      <c r="AK119" s="18">
        <v>3572</v>
      </c>
      <c r="AL119" s="18" t="s">
        <v>1</v>
      </c>
      <c r="AM119" s="18">
        <v>1267</v>
      </c>
      <c r="AN119" s="18" t="s">
        <v>1</v>
      </c>
      <c r="AO119" s="18">
        <v>203</v>
      </c>
      <c r="AP119" s="18" t="s">
        <v>1</v>
      </c>
      <c r="AQ119" s="18">
        <v>164</v>
      </c>
      <c r="AR119" s="18" t="s">
        <v>1</v>
      </c>
      <c r="AS119" s="18">
        <v>1601</v>
      </c>
      <c r="AT119" s="18" t="s">
        <v>1</v>
      </c>
      <c r="AU119" s="18">
        <v>278</v>
      </c>
      <c r="AV119" s="18" t="s">
        <v>1</v>
      </c>
      <c r="AW119" s="117" t="s">
        <v>1</v>
      </c>
      <c r="AX119" s="39">
        <v>907</v>
      </c>
      <c r="AY119" s="117" t="s">
        <v>1</v>
      </c>
      <c r="AZ119" s="117" t="s">
        <v>1</v>
      </c>
      <c r="BA119" s="117" t="s">
        <v>1</v>
      </c>
      <c r="BB119" s="38">
        <v>220</v>
      </c>
      <c r="BC119" s="117" t="s">
        <v>1</v>
      </c>
      <c r="BD119" s="117" t="s">
        <v>1</v>
      </c>
      <c r="BE119" s="117" t="s">
        <v>1</v>
      </c>
      <c r="BF119" s="117" t="s">
        <v>1</v>
      </c>
      <c r="BG119" s="117" t="s">
        <v>1</v>
      </c>
      <c r="BH119" s="117" t="s">
        <v>1</v>
      </c>
      <c r="BI119" s="217" t="s">
        <v>1</v>
      </c>
      <c r="BJ119" s="217" t="s">
        <v>1</v>
      </c>
      <c r="BK119" s="18" t="s">
        <v>73</v>
      </c>
      <c r="BL119" s="18">
        <v>65</v>
      </c>
      <c r="BM119" s="18">
        <v>1869</v>
      </c>
      <c r="BN119" s="18" t="s">
        <v>1</v>
      </c>
      <c r="BO119" s="18" t="s">
        <v>74</v>
      </c>
      <c r="BP119" s="212">
        <v>264</v>
      </c>
      <c r="BQ119" s="18">
        <v>833</v>
      </c>
      <c r="BR119" s="18" t="s">
        <v>1</v>
      </c>
      <c r="BS119" s="218" t="s">
        <v>1</v>
      </c>
      <c r="BT119" s="218" t="s">
        <v>1</v>
      </c>
      <c r="BU119" s="218" t="s">
        <v>1</v>
      </c>
      <c r="BV119" s="218" t="s">
        <v>1</v>
      </c>
      <c r="BW119" s="218" t="s">
        <v>1</v>
      </c>
      <c r="BX119" s="218" t="s">
        <v>1</v>
      </c>
      <c r="BY119" s="218" t="s">
        <v>1</v>
      </c>
      <c r="BZ119" s="218" t="s">
        <v>1</v>
      </c>
      <c r="CA119" s="218" t="s">
        <v>1</v>
      </c>
      <c r="CB119" s="218" t="s">
        <v>1</v>
      </c>
      <c r="CC119" s="218" t="s">
        <v>1</v>
      </c>
      <c r="CD119" s="218" t="s">
        <v>1</v>
      </c>
      <c r="CE119" s="218" t="s">
        <v>1</v>
      </c>
      <c r="CF119" s="218" t="s">
        <v>1</v>
      </c>
      <c r="CG119" s="218" t="s">
        <v>1</v>
      </c>
      <c r="CH119" s="117" t="s">
        <v>1</v>
      </c>
    </row>
    <row r="120" ht="25" customHeight="1" spans="1:86">
      <c r="A120" s="29">
        <v>45223</v>
      </c>
      <c r="B120" s="7" t="s">
        <v>125</v>
      </c>
      <c r="C120" s="7" t="s">
        <v>1</v>
      </c>
      <c r="D120" s="30" t="s">
        <v>1</v>
      </c>
      <c r="E120" s="215" t="s">
        <v>1</v>
      </c>
      <c r="F120" s="32" t="str">
        <f t="shared" si="3"/>
        <v/>
      </c>
      <c r="G120" s="48" t="s">
        <v>1</v>
      </c>
      <c r="H120" s="31" t="str">
        <f t="shared" si="4"/>
        <v/>
      </c>
      <c r="I120" s="48" t="s">
        <v>1</v>
      </c>
      <c r="J120" s="48" t="s">
        <v>1</v>
      </c>
      <c r="K120" s="31" t="str">
        <f>IFERROR(E120/#REF!,"")</f>
        <v/>
      </c>
      <c r="L120" s="215" t="s">
        <v>1</v>
      </c>
      <c r="M120" s="30">
        <v>301845.99</v>
      </c>
      <c r="N120" s="167" t="e">
        <f t="shared" si="6"/>
        <v>#VALUE!</v>
      </c>
      <c r="O120" s="48" t="s">
        <v>1</v>
      </c>
      <c r="P120" s="32" t="s">
        <v>1</v>
      </c>
      <c r="Q120" s="48" t="s">
        <v>1</v>
      </c>
      <c r="R120" s="48" t="s">
        <v>1</v>
      </c>
      <c r="S120" s="48" t="s">
        <v>1</v>
      </c>
      <c r="T120" s="48" t="s">
        <v>1</v>
      </c>
      <c r="U120" s="222" t="s">
        <v>1</v>
      </c>
      <c r="V120" s="222" t="s">
        <v>1</v>
      </c>
      <c r="W120" s="48" t="s">
        <v>1</v>
      </c>
      <c r="X120" s="18" t="s">
        <v>1</v>
      </c>
      <c r="Y120" s="18">
        <v>23637</v>
      </c>
      <c r="Z120" s="18" t="s">
        <v>1</v>
      </c>
      <c r="AA120" s="18">
        <v>6360</v>
      </c>
      <c r="AB120" s="18" t="s">
        <v>1</v>
      </c>
      <c r="AC120" s="18">
        <v>4</v>
      </c>
      <c r="AD120" s="18" t="s">
        <v>1</v>
      </c>
      <c r="AE120" s="18">
        <v>109</v>
      </c>
      <c r="AF120" s="18" t="s">
        <v>1</v>
      </c>
      <c r="AG120" s="18" t="s">
        <v>1</v>
      </c>
      <c r="AH120" s="18" t="s">
        <v>1</v>
      </c>
      <c r="AI120" s="18">
        <v>417</v>
      </c>
      <c r="AJ120" s="18" t="s">
        <v>1</v>
      </c>
      <c r="AK120" s="18">
        <v>5173</v>
      </c>
      <c r="AL120" s="18" t="s">
        <v>1</v>
      </c>
      <c r="AM120" s="18">
        <v>1430</v>
      </c>
      <c r="AN120" s="18" t="s">
        <v>1</v>
      </c>
      <c r="AO120" s="18">
        <v>358</v>
      </c>
      <c r="AP120" s="18" t="s">
        <v>1</v>
      </c>
      <c r="AQ120" s="18">
        <v>246</v>
      </c>
      <c r="AR120" s="18" t="s">
        <v>1</v>
      </c>
      <c r="AS120" s="18">
        <v>2164</v>
      </c>
      <c r="AT120" s="18" t="s">
        <v>1</v>
      </c>
      <c r="AU120" s="18">
        <v>476</v>
      </c>
      <c r="AV120" s="18" t="s">
        <v>1</v>
      </c>
      <c r="AW120" s="117" t="s">
        <v>1</v>
      </c>
      <c r="AX120" s="39">
        <v>652</v>
      </c>
      <c r="AY120" s="117" t="s">
        <v>1</v>
      </c>
      <c r="AZ120" s="117" t="s">
        <v>1</v>
      </c>
      <c r="BA120" s="117" t="s">
        <v>1</v>
      </c>
      <c r="BB120" s="38">
        <v>73</v>
      </c>
      <c r="BC120" s="117" t="s">
        <v>1</v>
      </c>
      <c r="BD120" s="117" t="s">
        <v>1</v>
      </c>
      <c r="BE120" s="117" t="s">
        <v>1</v>
      </c>
      <c r="BF120" s="117" t="s">
        <v>1</v>
      </c>
      <c r="BG120" s="117" t="s">
        <v>1</v>
      </c>
      <c r="BH120" s="117" t="s">
        <v>1</v>
      </c>
      <c r="BI120" s="217" t="s">
        <v>1</v>
      </c>
      <c r="BJ120" s="217" t="s">
        <v>1</v>
      </c>
      <c r="BK120" s="18" t="s">
        <v>73</v>
      </c>
      <c r="BL120" s="18">
        <v>72</v>
      </c>
      <c r="BM120" s="18">
        <v>1640</v>
      </c>
      <c r="BN120" s="18" t="s">
        <v>1</v>
      </c>
      <c r="BO120" s="18" t="s">
        <v>74</v>
      </c>
      <c r="BP120" s="212">
        <v>272</v>
      </c>
      <c r="BQ120" s="18">
        <v>727</v>
      </c>
      <c r="BR120" s="18" t="s">
        <v>1</v>
      </c>
      <c r="BS120" s="218" t="s">
        <v>1</v>
      </c>
      <c r="BT120" s="218" t="s">
        <v>1</v>
      </c>
      <c r="BU120" s="218" t="s">
        <v>1</v>
      </c>
      <c r="BV120" s="218" t="s">
        <v>1</v>
      </c>
      <c r="BW120" s="218" t="s">
        <v>1</v>
      </c>
      <c r="BX120" s="218" t="s">
        <v>1</v>
      </c>
      <c r="BY120" s="218" t="s">
        <v>1</v>
      </c>
      <c r="BZ120" s="218" t="s">
        <v>1</v>
      </c>
      <c r="CA120" s="218" t="s">
        <v>1</v>
      </c>
      <c r="CB120" s="218" t="s">
        <v>1</v>
      </c>
      <c r="CC120" s="218" t="s">
        <v>1</v>
      </c>
      <c r="CD120" s="218" t="s">
        <v>1</v>
      </c>
      <c r="CE120" s="218" t="s">
        <v>1</v>
      </c>
      <c r="CF120" s="218" t="s">
        <v>1</v>
      </c>
      <c r="CG120" s="218" t="s">
        <v>1</v>
      </c>
      <c r="CH120" s="117" t="s">
        <v>1</v>
      </c>
    </row>
    <row r="121" ht="25" customHeight="1" spans="1:86">
      <c r="A121" s="29">
        <v>45224</v>
      </c>
      <c r="B121" s="7" t="s">
        <v>89</v>
      </c>
      <c r="C121" s="7" t="s">
        <v>1</v>
      </c>
      <c r="D121" s="30" t="s">
        <v>1</v>
      </c>
      <c r="E121" s="215" t="s">
        <v>1</v>
      </c>
      <c r="F121" s="32" t="str">
        <f t="shared" si="3"/>
        <v/>
      </c>
      <c r="G121" s="48" t="s">
        <v>1</v>
      </c>
      <c r="H121" s="31" t="str">
        <f t="shared" si="4"/>
        <v/>
      </c>
      <c r="I121" s="48" t="s">
        <v>1</v>
      </c>
      <c r="J121" s="48" t="s">
        <v>1</v>
      </c>
      <c r="K121" s="31" t="str">
        <f>IFERROR(E121/#REF!,"")</f>
        <v/>
      </c>
      <c r="L121" s="215" t="s">
        <v>1</v>
      </c>
      <c r="M121" s="30">
        <v>48416.01</v>
      </c>
      <c r="N121" s="167" t="e">
        <f t="shared" si="6"/>
        <v>#VALUE!</v>
      </c>
      <c r="O121" s="48" t="s">
        <v>1</v>
      </c>
      <c r="P121" s="32" t="s">
        <v>1</v>
      </c>
      <c r="Q121" s="48" t="s">
        <v>1</v>
      </c>
      <c r="R121" s="48" t="s">
        <v>1</v>
      </c>
      <c r="S121" s="48" t="s">
        <v>1</v>
      </c>
      <c r="T121" s="48" t="s">
        <v>1</v>
      </c>
      <c r="U121" s="222" t="s">
        <v>1</v>
      </c>
      <c r="V121" s="222" t="s">
        <v>1</v>
      </c>
      <c r="W121" s="48" t="s">
        <v>1</v>
      </c>
      <c r="X121" s="18" t="s">
        <v>1</v>
      </c>
      <c r="Y121" s="18">
        <v>19658</v>
      </c>
      <c r="Z121" s="18" t="s">
        <v>1</v>
      </c>
      <c r="AA121" s="18">
        <v>5692</v>
      </c>
      <c r="AB121" s="18" t="s">
        <v>1</v>
      </c>
      <c r="AC121" s="18">
        <v>3</v>
      </c>
      <c r="AD121" s="18" t="s">
        <v>1</v>
      </c>
      <c r="AE121" s="18">
        <v>103</v>
      </c>
      <c r="AF121" s="18" t="s">
        <v>1</v>
      </c>
      <c r="AG121" s="18" t="s">
        <v>1</v>
      </c>
      <c r="AH121" s="18" t="s">
        <v>1</v>
      </c>
      <c r="AI121" s="18">
        <v>421</v>
      </c>
      <c r="AJ121" s="18" t="s">
        <v>1</v>
      </c>
      <c r="AK121" s="18">
        <v>4788</v>
      </c>
      <c r="AL121" s="18" t="s">
        <v>1</v>
      </c>
      <c r="AM121" s="18">
        <v>1059</v>
      </c>
      <c r="AN121" s="18" t="s">
        <v>1</v>
      </c>
      <c r="AO121" s="18">
        <v>263</v>
      </c>
      <c r="AP121" s="18" t="s">
        <v>1</v>
      </c>
      <c r="AQ121" s="18">
        <v>272</v>
      </c>
      <c r="AR121" s="18" t="s">
        <v>1</v>
      </c>
      <c r="AS121" s="18">
        <v>1926</v>
      </c>
      <c r="AT121" s="18" t="s">
        <v>1</v>
      </c>
      <c r="AU121" s="18">
        <v>534</v>
      </c>
      <c r="AV121" s="18" t="s">
        <v>1</v>
      </c>
      <c r="AW121" s="117" t="s">
        <v>1</v>
      </c>
      <c r="AX121" s="39">
        <v>463</v>
      </c>
      <c r="AY121" s="117" t="s">
        <v>1</v>
      </c>
      <c r="AZ121" s="117" t="s">
        <v>1</v>
      </c>
      <c r="BA121" s="117" t="s">
        <v>1</v>
      </c>
      <c r="BB121" s="38">
        <v>83</v>
      </c>
      <c r="BC121" s="117" t="s">
        <v>1</v>
      </c>
      <c r="BD121" s="117" t="s">
        <v>1</v>
      </c>
      <c r="BE121" s="117" t="s">
        <v>1</v>
      </c>
      <c r="BF121" s="117" t="s">
        <v>1</v>
      </c>
      <c r="BG121" s="117" t="s">
        <v>1</v>
      </c>
      <c r="BH121" s="117" t="s">
        <v>1</v>
      </c>
      <c r="BI121" s="217" t="s">
        <v>1</v>
      </c>
      <c r="BJ121" s="217" t="s">
        <v>1</v>
      </c>
      <c r="BK121" s="18" t="s">
        <v>74</v>
      </c>
      <c r="BL121" s="18">
        <v>116</v>
      </c>
      <c r="BM121" s="18">
        <v>987</v>
      </c>
      <c r="BN121" s="18" t="s">
        <v>1</v>
      </c>
      <c r="BO121" s="18" t="s">
        <v>74</v>
      </c>
      <c r="BP121" s="212">
        <v>452</v>
      </c>
      <c r="BQ121" s="18">
        <v>436</v>
      </c>
      <c r="BR121" s="18" t="s">
        <v>1</v>
      </c>
      <c r="BS121" s="218" t="s">
        <v>1</v>
      </c>
      <c r="BT121" s="218" t="s">
        <v>1</v>
      </c>
      <c r="BU121" s="218" t="s">
        <v>1</v>
      </c>
      <c r="BV121" s="218" t="s">
        <v>1</v>
      </c>
      <c r="BW121" s="218" t="s">
        <v>1</v>
      </c>
      <c r="BX121" s="218" t="s">
        <v>1</v>
      </c>
      <c r="BY121" s="218" t="s">
        <v>1</v>
      </c>
      <c r="BZ121" s="218" t="s">
        <v>1</v>
      </c>
      <c r="CA121" s="218" t="s">
        <v>1</v>
      </c>
      <c r="CB121" s="218" t="s">
        <v>1</v>
      </c>
      <c r="CC121" s="218" t="s">
        <v>1</v>
      </c>
      <c r="CD121" s="218" t="s">
        <v>1</v>
      </c>
      <c r="CE121" s="218" t="s">
        <v>1</v>
      </c>
      <c r="CF121" s="218" t="s">
        <v>1</v>
      </c>
      <c r="CG121" s="218" t="s">
        <v>1</v>
      </c>
      <c r="CH121" s="117" t="s">
        <v>1</v>
      </c>
    </row>
    <row r="122" ht="25" customHeight="1" spans="1:86">
      <c r="A122" s="29">
        <v>45225</v>
      </c>
      <c r="B122" s="7" t="s">
        <v>89</v>
      </c>
      <c r="C122" s="7" t="s">
        <v>1</v>
      </c>
      <c r="D122" s="30" t="s">
        <v>1</v>
      </c>
      <c r="E122" s="215" t="s">
        <v>1</v>
      </c>
      <c r="F122" s="32" t="str">
        <f t="shared" si="3"/>
        <v/>
      </c>
      <c r="G122" s="48" t="s">
        <v>1</v>
      </c>
      <c r="H122" s="31" t="str">
        <f t="shared" si="4"/>
        <v/>
      </c>
      <c r="I122" s="48" t="s">
        <v>1</v>
      </c>
      <c r="J122" s="48" t="s">
        <v>1</v>
      </c>
      <c r="K122" s="31" t="str">
        <f>IFERROR(E122/#REF!,"")</f>
        <v/>
      </c>
      <c r="L122" s="215" t="s">
        <v>1</v>
      </c>
      <c r="M122" s="30">
        <v>160409</v>
      </c>
      <c r="N122" s="167" t="e">
        <f t="shared" si="6"/>
        <v>#VALUE!</v>
      </c>
      <c r="O122" s="48" t="s">
        <v>1</v>
      </c>
      <c r="P122" s="32" t="s">
        <v>1</v>
      </c>
      <c r="Q122" s="48" t="s">
        <v>1</v>
      </c>
      <c r="R122" s="48" t="s">
        <v>1</v>
      </c>
      <c r="S122" s="48" t="s">
        <v>1</v>
      </c>
      <c r="T122" s="48" t="s">
        <v>1</v>
      </c>
      <c r="U122" s="222" t="s">
        <v>1</v>
      </c>
      <c r="V122" s="222" t="s">
        <v>1</v>
      </c>
      <c r="W122" s="48" t="s">
        <v>1</v>
      </c>
      <c r="X122" s="18" t="s">
        <v>1</v>
      </c>
      <c r="Y122" s="18">
        <v>17363</v>
      </c>
      <c r="Z122" s="18" t="s">
        <v>1</v>
      </c>
      <c r="AA122" s="18">
        <v>5274</v>
      </c>
      <c r="AB122" s="18" t="s">
        <v>1</v>
      </c>
      <c r="AC122" s="18">
        <v>3</v>
      </c>
      <c r="AD122" s="18" t="s">
        <v>1</v>
      </c>
      <c r="AE122" s="18">
        <v>101</v>
      </c>
      <c r="AF122" s="18" t="s">
        <v>1</v>
      </c>
      <c r="AG122" s="18" t="s">
        <v>1</v>
      </c>
      <c r="AH122" s="18" t="s">
        <v>1</v>
      </c>
      <c r="AI122" s="18">
        <v>387</v>
      </c>
      <c r="AJ122" s="18" t="s">
        <v>1</v>
      </c>
      <c r="AK122" s="18">
        <v>4442</v>
      </c>
      <c r="AL122" s="18" t="s">
        <v>1</v>
      </c>
      <c r="AM122" s="18">
        <v>984</v>
      </c>
      <c r="AN122" s="18" t="s">
        <v>1</v>
      </c>
      <c r="AO122" s="18">
        <v>252</v>
      </c>
      <c r="AP122" s="18" t="s">
        <v>1</v>
      </c>
      <c r="AQ122" s="18">
        <v>270</v>
      </c>
      <c r="AR122" s="18" t="s">
        <v>1</v>
      </c>
      <c r="AS122" s="18">
        <v>1790</v>
      </c>
      <c r="AT122" s="18" t="s">
        <v>1</v>
      </c>
      <c r="AU122" s="18">
        <v>594</v>
      </c>
      <c r="AV122" s="18" t="s">
        <v>1</v>
      </c>
      <c r="AW122" s="117" t="s">
        <v>1</v>
      </c>
      <c r="AX122" s="39">
        <v>480</v>
      </c>
      <c r="AY122" s="117" t="s">
        <v>1</v>
      </c>
      <c r="AZ122" s="117" t="s">
        <v>1</v>
      </c>
      <c r="BA122" s="117" t="s">
        <v>1</v>
      </c>
      <c r="BB122" s="38">
        <v>78</v>
      </c>
      <c r="BC122" s="117" t="s">
        <v>1</v>
      </c>
      <c r="BD122" s="117" t="s">
        <v>1</v>
      </c>
      <c r="BE122" s="117" t="s">
        <v>1</v>
      </c>
      <c r="BF122" s="117" t="s">
        <v>1</v>
      </c>
      <c r="BG122" s="117" t="s">
        <v>1</v>
      </c>
      <c r="BH122" s="117" t="s">
        <v>1</v>
      </c>
      <c r="BI122" s="217" t="s">
        <v>1</v>
      </c>
      <c r="BJ122" s="217" t="s">
        <v>1</v>
      </c>
      <c r="BK122" s="18" t="s">
        <v>74</v>
      </c>
      <c r="BL122" s="18">
        <v>106</v>
      </c>
      <c r="BM122" s="18">
        <v>910</v>
      </c>
      <c r="BN122" s="18" t="s">
        <v>1</v>
      </c>
      <c r="BO122" s="18" t="s">
        <v>74</v>
      </c>
      <c r="BP122" s="212">
        <v>490</v>
      </c>
      <c r="BQ122" s="18">
        <v>338</v>
      </c>
      <c r="BR122" s="18" t="s">
        <v>1</v>
      </c>
      <c r="BS122" s="218" t="s">
        <v>1</v>
      </c>
      <c r="BT122" s="218" t="s">
        <v>1</v>
      </c>
      <c r="BU122" s="218" t="s">
        <v>1</v>
      </c>
      <c r="BV122" s="218" t="s">
        <v>1</v>
      </c>
      <c r="BW122" s="218" t="s">
        <v>1</v>
      </c>
      <c r="BX122" s="218" t="s">
        <v>1</v>
      </c>
      <c r="BY122" s="218" t="s">
        <v>1</v>
      </c>
      <c r="BZ122" s="218" t="s">
        <v>1</v>
      </c>
      <c r="CA122" s="218" t="s">
        <v>1</v>
      </c>
      <c r="CB122" s="218" t="s">
        <v>1</v>
      </c>
      <c r="CC122" s="218" t="s">
        <v>1</v>
      </c>
      <c r="CD122" s="218" t="s">
        <v>1</v>
      </c>
      <c r="CE122" s="218" t="s">
        <v>1</v>
      </c>
      <c r="CF122" s="218" t="s">
        <v>1</v>
      </c>
      <c r="CG122" s="218" t="s">
        <v>1</v>
      </c>
      <c r="CH122" s="117" t="s">
        <v>1</v>
      </c>
    </row>
    <row r="123" ht="25" customHeight="1" spans="1:86">
      <c r="A123" s="29">
        <v>45226</v>
      </c>
      <c r="B123" s="7" t="s">
        <v>89</v>
      </c>
      <c r="C123" s="7" t="s">
        <v>1</v>
      </c>
      <c r="D123" s="30" t="s">
        <v>1</v>
      </c>
      <c r="E123" s="215" t="s">
        <v>1</v>
      </c>
      <c r="F123" s="32" t="str">
        <f t="shared" si="3"/>
        <v/>
      </c>
      <c r="G123" s="48" t="s">
        <v>1</v>
      </c>
      <c r="H123" s="31" t="str">
        <f t="shared" si="4"/>
        <v/>
      </c>
      <c r="I123" s="48" t="s">
        <v>1</v>
      </c>
      <c r="J123" s="48" t="s">
        <v>1</v>
      </c>
      <c r="K123" s="31" t="str">
        <f>IFERROR(E123/#REF!,"")</f>
        <v/>
      </c>
      <c r="L123" s="215" t="s">
        <v>1</v>
      </c>
      <c r="M123" s="30">
        <v>80239</v>
      </c>
      <c r="N123" s="167" t="e">
        <f t="shared" si="6"/>
        <v>#VALUE!</v>
      </c>
      <c r="O123" s="48" t="s">
        <v>1</v>
      </c>
      <c r="P123" s="32" t="s">
        <v>1</v>
      </c>
      <c r="Q123" s="48" t="s">
        <v>1</v>
      </c>
      <c r="R123" s="48" t="s">
        <v>1</v>
      </c>
      <c r="S123" s="48" t="s">
        <v>1</v>
      </c>
      <c r="T123" s="48" t="s">
        <v>1</v>
      </c>
      <c r="U123" s="222" t="s">
        <v>1</v>
      </c>
      <c r="V123" s="222" t="s">
        <v>1</v>
      </c>
      <c r="W123" s="48" t="s">
        <v>1</v>
      </c>
      <c r="X123" s="18" t="s">
        <v>1</v>
      </c>
      <c r="Y123" s="18">
        <v>16762</v>
      </c>
      <c r="Z123" s="18" t="s">
        <v>1</v>
      </c>
      <c r="AA123" s="18">
        <v>5100</v>
      </c>
      <c r="AB123" s="18" t="s">
        <v>1</v>
      </c>
      <c r="AC123" s="18">
        <v>3</v>
      </c>
      <c r="AD123" s="18" t="s">
        <v>1</v>
      </c>
      <c r="AE123" s="18">
        <v>95</v>
      </c>
      <c r="AF123" s="18" t="s">
        <v>1</v>
      </c>
      <c r="AG123" s="18" t="s">
        <v>1</v>
      </c>
      <c r="AH123" s="18" t="s">
        <v>1</v>
      </c>
      <c r="AI123" s="18">
        <v>316</v>
      </c>
      <c r="AJ123" s="18" t="s">
        <v>1</v>
      </c>
      <c r="AK123" s="18">
        <v>4275</v>
      </c>
      <c r="AL123" s="18" t="s">
        <v>1</v>
      </c>
      <c r="AM123" s="18">
        <v>1003</v>
      </c>
      <c r="AN123" s="18" t="s">
        <v>1</v>
      </c>
      <c r="AO123" s="18">
        <v>243</v>
      </c>
      <c r="AP123" s="18" t="s">
        <v>1</v>
      </c>
      <c r="AQ123" s="18">
        <v>193</v>
      </c>
      <c r="AR123" s="18" t="s">
        <v>1</v>
      </c>
      <c r="AS123" s="18">
        <v>1813</v>
      </c>
      <c r="AT123" s="18" t="s">
        <v>1</v>
      </c>
      <c r="AU123" s="18">
        <v>488</v>
      </c>
      <c r="AV123" s="18" t="s">
        <v>1</v>
      </c>
      <c r="AW123" s="117" t="s">
        <v>1</v>
      </c>
      <c r="AX123" s="39">
        <v>444</v>
      </c>
      <c r="AY123" s="224" t="s">
        <v>1</v>
      </c>
      <c r="AZ123" s="224" t="s">
        <v>1</v>
      </c>
      <c r="BA123" s="224" t="s">
        <v>1</v>
      </c>
      <c r="BB123" s="38">
        <v>77</v>
      </c>
      <c r="BC123" s="224" t="s">
        <v>1</v>
      </c>
      <c r="BD123" s="224" t="s">
        <v>1</v>
      </c>
      <c r="BE123" s="117" t="s">
        <v>1</v>
      </c>
      <c r="BF123" s="117" t="s">
        <v>1</v>
      </c>
      <c r="BG123" s="117" t="s">
        <v>1</v>
      </c>
      <c r="BH123" s="117" t="s">
        <v>1</v>
      </c>
      <c r="BI123" s="217" t="s">
        <v>1</v>
      </c>
      <c r="BJ123" s="217" t="s">
        <v>1</v>
      </c>
      <c r="BK123" s="18" t="s">
        <v>73</v>
      </c>
      <c r="BL123" s="18">
        <v>89</v>
      </c>
      <c r="BM123" s="18">
        <v>896</v>
      </c>
      <c r="BN123" s="18" t="s">
        <v>1</v>
      </c>
      <c r="BO123" s="18" t="s">
        <v>74</v>
      </c>
      <c r="BP123" s="212">
        <v>450</v>
      </c>
      <c r="BQ123" s="18">
        <v>346</v>
      </c>
      <c r="BR123" s="18" t="s">
        <v>1</v>
      </c>
      <c r="BS123" s="218" t="s">
        <v>1</v>
      </c>
      <c r="BT123" s="218" t="s">
        <v>1</v>
      </c>
      <c r="BU123" s="218" t="s">
        <v>1</v>
      </c>
      <c r="BV123" s="218" t="s">
        <v>1</v>
      </c>
      <c r="BW123" s="218" t="s">
        <v>1</v>
      </c>
      <c r="BX123" s="218" t="s">
        <v>1</v>
      </c>
      <c r="BY123" s="218" t="s">
        <v>1</v>
      </c>
      <c r="BZ123" s="218" t="s">
        <v>1</v>
      </c>
      <c r="CA123" s="218" t="s">
        <v>1</v>
      </c>
      <c r="CB123" s="218" t="s">
        <v>1</v>
      </c>
      <c r="CC123" s="218" t="s">
        <v>1</v>
      </c>
      <c r="CD123" s="218" t="s">
        <v>1</v>
      </c>
      <c r="CE123" s="218" t="s">
        <v>1</v>
      </c>
      <c r="CF123" s="218" t="s">
        <v>1</v>
      </c>
      <c r="CG123" s="218" t="s">
        <v>1</v>
      </c>
      <c r="CH123" s="117" t="s">
        <v>1</v>
      </c>
    </row>
    <row r="124" ht="25" customHeight="1" spans="1:86">
      <c r="A124" s="29">
        <v>45227</v>
      </c>
      <c r="B124" s="7" t="s">
        <v>89</v>
      </c>
      <c r="C124" s="7" t="s">
        <v>1</v>
      </c>
      <c r="D124" s="30" t="s">
        <v>1</v>
      </c>
      <c r="E124" s="215" t="s">
        <v>1</v>
      </c>
      <c r="F124" s="32" t="str">
        <f t="shared" si="3"/>
        <v/>
      </c>
      <c r="G124" s="48" t="s">
        <v>1</v>
      </c>
      <c r="H124" s="31" t="str">
        <f t="shared" si="4"/>
        <v/>
      </c>
      <c r="I124" s="48" t="s">
        <v>1</v>
      </c>
      <c r="J124" s="48" t="s">
        <v>1</v>
      </c>
      <c r="K124" s="31" t="str">
        <f>IFERROR(E124/#REF!,"")</f>
        <v/>
      </c>
      <c r="L124" s="215" t="s">
        <v>1</v>
      </c>
      <c r="M124" s="30">
        <v>30612</v>
      </c>
      <c r="N124" s="167" t="e">
        <f t="shared" si="6"/>
        <v>#VALUE!</v>
      </c>
      <c r="O124" s="48" t="s">
        <v>1</v>
      </c>
      <c r="P124" s="32" t="s">
        <v>1</v>
      </c>
      <c r="Q124" s="48" t="s">
        <v>1</v>
      </c>
      <c r="R124" s="48" t="s">
        <v>1</v>
      </c>
      <c r="S124" s="48" t="s">
        <v>1</v>
      </c>
      <c r="T124" s="48" t="s">
        <v>1</v>
      </c>
      <c r="U124" s="222" t="s">
        <v>1</v>
      </c>
      <c r="V124" s="222" t="s">
        <v>1</v>
      </c>
      <c r="W124" s="48" t="s">
        <v>1</v>
      </c>
      <c r="X124" s="18" t="s">
        <v>1</v>
      </c>
      <c r="Y124" s="18">
        <v>16637</v>
      </c>
      <c r="Z124" s="18" t="s">
        <v>1</v>
      </c>
      <c r="AA124" s="18">
        <v>5066</v>
      </c>
      <c r="AB124" s="18" t="s">
        <v>1</v>
      </c>
      <c r="AC124" s="18">
        <v>3</v>
      </c>
      <c r="AD124" s="18" t="s">
        <v>1</v>
      </c>
      <c r="AE124" s="18">
        <v>98</v>
      </c>
      <c r="AF124" s="18" t="s">
        <v>1</v>
      </c>
      <c r="AG124" s="18" t="s">
        <v>1</v>
      </c>
      <c r="AH124" s="18" t="s">
        <v>1</v>
      </c>
      <c r="AI124" s="18">
        <v>315</v>
      </c>
      <c r="AJ124" s="18" t="s">
        <v>1</v>
      </c>
      <c r="AK124" s="18">
        <v>4170</v>
      </c>
      <c r="AL124" s="18" t="s">
        <v>1</v>
      </c>
      <c r="AM124" s="18">
        <v>1212</v>
      </c>
      <c r="AN124" s="18" t="s">
        <v>1</v>
      </c>
      <c r="AO124" s="18">
        <v>200</v>
      </c>
      <c r="AP124" s="18" t="s">
        <v>1</v>
      </c>
      <c r="AQ124" s="18">
        <v>216</v>
      </c>
      <c r="AR124" s="18" t="s">
        <v>1</v>
      </c>
      <c r="AS124" s="18">
        <v>1817</v>
      </c>
      <c r="AT124" s="18" t="s">
        <v>1</v>
      </c>
      <c r="AU124" s="18">
        <v>466</v>
      </c>
      <c r="AV124" s="18" t="s">
        <v>1</v>
      </c>
      <c r="AW124" s="225" t="s">
        <v>1</v>
      </c>
      <c r="AX124" s="30">
        <v>408</v>
      </c>
      <c r="AY124" s="117" t="s">
        <v>1</v>
      </c>
      <c r="AZ124" s="117" t="s">
        <v>1</v>
      </c>
      <c r="BA124" s="117" t="s">
        <v>1</v>
      </c>
      <c r="BB124" s="7">
        <v>62</v>
      </c>
      <c r="BC124" s="117" t="s">
        <v>1</v>
      </c>
      <c r="BD124" s="117" t="s">
        <v>1</v>
      </c>
      <c r="BE124" s="226" t="s">
        <v>1</v>
      </c>
      <c r="BF124" s="117" t="s">
        <v>1</v>
      </c>
      <c r="BG124" s="117" t="s">
        <v>1</v>
      </c>
      <c r="BH124" s="117" t="s">
        <v>1</v>
      </c>
      <c r="BI124" s="217" t="s">
        <v>1</v>
      </c>
      <c r="BJ124" s="217" t="s">
        <v>1</v>
      </c>
      <c r="BK124" s="18" t="s">
        <v>73</v>
      </c>
      <c r="BL124" s="18">
        <v>74</v>
      </c>
      <c r="BM124" s="18">
        <v>1140</v>
      </c>
      <c r="BN124" s="18" t="s">
        <v>1</v>
      </c>
      <c r="BO124" s="18" t="s">
        <v>74</v>
      </c>
      <c r="BP124" s="212">
        <v>323</v>
      </c>
      <c r="BQ124" s="18">
        <v>518</v>
      </c>
      <c r="BR124" s="18" t="s">
        <v>1</v>
      </c>
      <c r="BS124" s="218" t="s">
        <v>1</v>
      </c>
      <c r="BT124" s="218" t="s">
        <v>1</v>
      </c>
      <c r="BU124" s="218" t="s">
        <v>1</v>
      </c>
      <c r="BV124" s="218" t="s">
        <v>1</v>
      </c>
      <c r="BW124" s="218" t="s">
        <v>1</v>
      </c>
      <c r="BX124" s="218" t="s">
        <v>1</v>
      </c>
      <c r="BY124" s="218" t="s">
        <v>1</v>
      </c>
      <c r="BZ124" s="218" t="s">
        <v>1</v>
      </c>
      <c r="CA124" s="218" t="s">
        <v>1</v>
      </c>
      <c r="CB124" s="218" t="s">
        <v>1</v>
      </c>
      <c r="CC124" s="218" t="s">
        <v>1</v>
      </c>
      <c r="CD124" s="218" t="s">
        <v>1</v>
      </c>
      <c r="CE124" s="218" t="s">
        <v>1</v>
      </c>
      <c r="CF124" s="218" t="s">
        <v>1</v>
      </c>
      <c r="CG124" s="218" t="s">
        <v>1</v>
      </c>
      <c r="CH124" s="117" t="s">
        <v>1</v>
      </c>
    </row>
    <row r="125" ht="25" customHeight="1" spans="1:86">
      <c r="A125" s="29">
        <v>45228</v>
      </c>
      <c r="B125" s="7" t="s">
        <v>89</v>
      </c>
      <c r="C125" s="7" t="s">
        <v>1</v>
      </c>
      <c r="D125" s="30" t="s">
        <v>1</v>
      </c>
      <c r="E125" s="215" t="s">
        <v>1</v>
      </c>
      <c r="F125" s="32" t="str">
        <f>E125</f>
        <v/>
      </c>
      <c r="G125" s="48" t="s">
        <v>1</v>
      </c>
      <c r="H125" s="31" t="str">
        <f t="shared" si="4"/>
        <v/>
      </c>
      <c r="I125" s="48" t="s">
        <v>1</v>
      </c>
      <c r="J125" s="48" t="s">
        <v>1</v>
      </c>
      <c r="K125" s="31" t="str">
        <f>IFERROR(E125/#REF!,"")</f>
        <v/>
      </c>
      <c r="L125" s="215" t="s">
        <v>1</v>
      </c>
      <c r="M125" s="30">
        <v>20861</v>
      </c>
      <c r="N125" s="167" t="e">
        <f t="shared" si="6"/>
        <v>#VALUE!</v>
      </c>
      <c r="O125" s="48" t="s">
        <v>1</v>
      </c>
      <c r="P125" s="32" t="s">
        <v>1</v>
      </c>
      <c r="Q125" s="48" t="s">
        <v>1</v>
      </c>
      <c r="R125" s="48" t="s">
        <v>1</v>
      </c>
      <c r="S125" s="48" t="s">
        <v>1</v>
      </c>
      <c r="T125" s="48" t="s">
        <v>1</v>
      </c>
      <c r="U125" s="222" t="s">
        <v>1</v>
      </c>
      <c r="V125" s="222" t="s">
        <v>1</v>
      </c>
      <c r="W125" s="48" t="s">
        <v>1</v>
      </c>
      <c r="X125" s="18" t="s">
        <v>1</v>
      </c>
      <c r="Y125" s="18">
        <v>17169</v>
      </c>
      <c r="Z125" s="18" t="s">
        <v>1</v>
      </c>
      <c r="AA125" s="18">
        <v>5305</v>
      </c>
      <c r="AB125" s="18" t="s">
        <v>1</v>
      </c>
      <c r="AC125" s="18">
        <v>3</v>
      </c>
      <c r="AD125" s="18" t="s">
        <v>1</v>
      </c>
      <c r="AE125" s="18">
        <v>99</v>
      </c>
      <c r="AF125" s="18" t="s">
        <v>1</v>
      </c>
      <c r="AG125" s="18" t="s">
        <v>1</v>
      </c>
      <c r="AH125" s="18" t="s">
        <v>1</v>
      </c>
      <c r="AI125" s="18">
        <v>308</v>
      </c>
      <c r="AJ125" s="18" t="s">
        <v>1</v>
      </c>
      <c r="AK125" s="18">
        <v>4224</v>
      </c>
      <c r="AL125" s="18" t="s">
        <v>1</v>
      </c>
      <c r="AM125" s="18">
        <v>1402</v>
      </c>
      <c r="AN125" s="18" t="s">
        <v>1</v>
      </c>
      <c r="AO125" s="18">
        <v>222</v>
      </c>
      <c r="AP125" s="18" t="s">
        <v>1</v>
      </c>
      <c r="AQ125" s="18">
        <v>207</v>
      </c>
      <c r="AR125" s="18" t="s">
        <v>1</v>
      </c>
      <c r="AS125" s="18">
        <v>1725</v>
      </c>
      <c r="AT125" s="18" t="s">
        <v>1</v>
      </c>
      <c r="AU125" s="18">
        <v>547</v>
      </c>
      <c r="AV125" s="18" t="s">
        <v>1</v>
      </c>
      <c r="AW125" s="225" t="s">
        <v>1</v>
      </c>
      <c r="AX125" s="30" t="s">
        <v>1</v>
      </c>
      <c r="AY125" s="117" t="s">
        <v>1</v>
      </c>
      <c r="AZ125" s="117" t="s">
        <v>1</v>
      </c>
      <c r="BA125" s="117" t="s">
        <v>1</v>
      </c>
      <c r="BB125" s="7" t="s">
        <v>1</v>
      </c>
      <c r="BC125" s="117" t="s">
        <v>1</v>
      </c>
      <c r="BD125" s="117" t="s">
        <v>1</v>
      </c>
      <c r="BE125" s="226" t="s">
        <v>1</v>
      </c>
      <c r="BF125" s="117" t="s">
        <v>1</v>
      </c>
      <c r="BG125" s="117" t="s">
        <v>1</v>
      </c>
      <c r="BH125" s="117" t="s">
        <v>1</v>
      </c>
      <c r="BI125" s="217" t="s">
        <v>1</v>
      </c>
      <c r="BJ125" s="217" t="s">
        <v>1</v>
      </c>
      <c r="BK125" s="18" t="s">
        <v>73</v>
      </c>
      <c r="BL125" s="18">
        <v>86</v>
      </c>
      <c r="BM125" s="18">
        <v>1154</v>
      </c>
      <c r="BN125" s="18" t="s">
        <v>1</v>
      </c>
      <c r="BO125" s="18" t="s">
        <v>74</v>
      </c>
      <c r="BP125" s="212">
        <v>383</v>
      </c>
      <c r="BQ125" s="18">
        <v>463</v>
      </c>
      <c r="BR125" s="18" t="s">
        <v>1</v>
      </c>
      <c r="BS125" s="218" t="s">
        <v>1</v>
      </c>
      <c r="BT125" s="218" t="s">
        <v>1</v>
      </c>
      <c r="BU125" s="218" t="s">
        <v>1</v>
      </c>
      <c r="BV125" s="218" t="s">
        <v>1</v>
      </c>
      <c r="BW125" s="218" t="s">
        <v>1</v>
      </c>
      <c r="BX125" s="218" t="s">
        <v>1</v>
      </c>
      <c r="BY125" s="218" t="s">
        <v>1</v>
      </c>
      <c r="BZ125" s="218" t="s">
        <v>1</v>
      </c>
      <c r="CA125" s="218" t="s">
        <v>1</v>
      </c>
      <c r="CB125" s="218" t="s">
        <v>1</v>
      </c>
      <c r="CC125" s="218" t="s">
        <v>1</v>
      </c>
      <c r="CD125" s="218" t="s">
        <v>1</v>
      </c>
      <c r="CE125" s="218" t="s">
        <v>1</v>
      </c>
      <c r="CF125" s="218" t="s">
        <v>1</v>
      </c>
      <c r="CG125" s="218" t="s">
        <v>1</v>
      </c>
      <c r="CH125" s="117" t="s">
        <v>1</v>
      </c>
    </row>
    <row r="126" ht="25" customHeight="1" spans="1:86">
      <c r="A126" s="29">
        <v>45229</v>
      </c>
      <c r="B126" s="7" t="s">
        <v>89</v>
      </c>
      <c r="C126" s="7" t="s">
        <v>1</v>
      </c>
      <c r="D126" s="30" t="s">
        <v>1</v>
      </c>
      <c r="E126" s="215" t="s">
        <v>1</v>
      </c>
      <c r="F126" s="32" t="str">
        <f>E126</f>
        <v/>
      </c>
      <c r="G126" s="48" t="s">
        <v>1</v>
      </c>
      <c r="H126" s="31" t="str">
        <f t="shared" si="4"/>
        <v/>
      </c>
      <c r="I126" s="48" t="s">
        <v>1</v>
      </c>
      <c r="J126" s="48" t="s">
        <v>1</v>
      </c>
      <c r="K126" s="31" t="str">
        <f>IFERROR(E126/#REF!,"")</f>
        <v/>
      </c>
      <c r="L126" s="215" t="s">
        <v>1</v>
      </c>
      <c r="M126" s="30">
        <v>64553</v>
      </c>
      <c r="N126" s="167" t="e">
        <f t="shared" si="6"/>
        <v>#VALUE!</v>
      </c>
      <c r="O126" s="48" t="s">
        <v>1</v>
      </c>
      <c r="P126" s="32" t="s">
        <v>1</v>
      </c>
      <c r="Q126" s="48" t="s">
        <v>1</v>
      </c>
      <c r="R126" s="48" t="s">
        <v>1</v>
      </c>
      <c r="S126" s="48" t="s">
        <v>1</v>
      </c>
      <c r="T126" s="48" t="s">
        <v>1</v>
      </c>
      <c r="U126" s="222" t="s">
        <v>1</v>
      </c>
      <c r="V126" s="222" t="s">
        <v>1</v>
      </c>
      <c r="W126" s="48" t="s">
        <v>1</v>
      </c>
      <c r="X126" s="18" t="s">
        <v>1</v>
      </c>
      <c r="Y126" s="18">
        <v>21910</v>
      </c>
      <c r="Z126" s="18" t="s">
        <v>1</v>
      </c>
      <c r="AA126" s="18">
        <v>5980</v>
      </c>
      <c r="AB126" s="18" t="s">
        <v>1</v>
      </c>
      <c r="AC126" s="18">
        <v>4</v>
      </c>
      <c r="AD126" s="18" t="s">
        <v>1</v>
      </c>
      <c r="AE126" s="18">
        <v>112</v>
      </c>
      <c r="AF126" s="18" t="s">
        <v>1</v>
      </c>
      <c r="AG126" s="18" t="s">
        <v>1</v>
      </c>
      <c r="AH126" s="18" t="s">
        <v>1</v>
      </c>
      <c r="AI126" s="18">
        <v>403</v>
      </c>
      <c r="AJ126" s="18" t="s">
        <v>1</v>
      </c>
      <c r="AK126" s="18">
        <v>4936</v>
      </c>
      <c r="AL126" s="18" t="s">
        <v>1</v>
      </c>
      <c r="AM126" s="18">
        <v>1401</v>
      </c>
      <c r="AN126" s="18" t="s">
        <v>1</v>
      </c>
      <c r="AO126" s="18">
        <v>246</v>
      </c>
      <c r="AP126" s="18" t="s">
        <v>1</v>
      </c>
      <c r="AQ126" s="18">
        <v>252</v>
      </c>
      <c r="AR126" s="18" t="s">
        <v>1</v>
      </c>
      <c r="AS126" s="18">
        <v>2050</v>
      </c>
      <c r="AT126" s="18" t="s">
        <v>1</v>
      </c>
      <c r="AU126" s="18">
        <v>641</v>
      </c>
      <c r="AV126" s="18" t="s">
        <v>1</v>
      </c>
      <c r="AW126" s="225" t="s">
        <v>1</v>
      </c>
      <c r="AX126" s="30" t="s">
        <v>1</v>
      </c>
      <c r="AY126" s="117" t="s">
        <v>1</v>
      </c>
      <c r="AZ126" s="117" t="s">
        <v>1</v>
      </c>
      <c r="BA126" s="117" t="s">
        <v>1</v>
      </c>
      <c r="BB126" s="7" t="s">
        <v>1</v>
      </c>
      <c r="BC126" s="117" t="s">
        <v>1</v>
      </c>
      <c r="BD126" s="117" t="s">
        <v>1</v>
      </c>
      <c r="BE126" s="226" t="s">
        <v>1</v>
      </c>
      <c r="BF126" s="117" t="s">
        <v>1</v>
      </c>
      <c r="BG126" s="117" t="s">
        <v>1</v>
      </c>
      <c r="BH126" s="117" t="s">
        <v>1</v>
      </c>
      <c r="BI126" s="217" t="s">
        <v>1</v>
      </c>
      <c r="BJ126" s="217" t="s">
        <v>1</v>
      </c>
      <c r="BK126" s="18" t="s">
        <v>73</v>
      </c>
      <c r="BL126" s="18">
        <v>81</v>
      </c>
      <c r="BM126" s="18">
        <v>1252</v>
      </c>
      <c r="BN126" s="18" t="s">
        <v>1</v>
      </c>
      <c r="BO126" s="18" t="s">
        <v>74</v>
      </c>
      <c r="BP126" s="212">
        <v>378</v>
      </c>
      <c r="BQ126" s="18">
        <v>450</v>
      </c>
      <c r="BR126" s="18" t="s">
        <v>1</v>
      </c>
      <c r="BS126" s="218" t="s">
        <v>1</v>
      </c>
      <c r="BT126" s="218" t="s">
        <v>1</v>
      </c>
      <c r="BU126" s="218" t="s">
        <v>1</v>
      </c>
      <c r="BV126" s="218" t="s">
        <v>1</v>
      </c>
      <c r="BW126" s="218" t="s">
        <v>1</v>
      </c>
      <c r="BX126" s="218" t="s">
        <v>1</v>
      </c>
      <c r="BY126" s="218" t="s">
        <v>1</v>
      </c>
      <c r="BZ126" s="218" t="s">
        <v>1</v>
      </c>
      <c r="CA126" s="218" t="s">
        <v>1</v>
      </c>
      <c r="CB126" s="218" t="s">
        <v>1</v>
      </c>
      <c r="CC126" s="218" t="s">
        <v>1</v>
      </c>
      <c r="CD126" s="218" t="s">
        <v>1</v>
      </c>
      <c r="CE126" s="218" t="s">
        <v>1</v>
      </c>
      <c r="CF126" s="218" t="s">
        <v>1</v>
      </c>
      <c r="CG126" s="218" t="s">
        <v>1</v>
      </c>
      <c r="CH126" s="117" t="s">
        <v>1</v>
      </c>
    </row>
    <row r="127" ht="25" customHeight="1" spans="1:86">
      <c r="A127" s="29">
        <v>45230</v>
      </c>
      <c r="B127" s="108" t="s">
        <v>126</v>
      </c>
      <c r="C127" s="7" t="s">
        <v>1</v>
      </c>
      <c r="D127" s="30" t="s">
        <v>1</v>
      </c>
      <c r="E127" s="215" t="s">
        <v>1</v>
      </c>
      <c r="F127" s="32" t="str">
        <f>E127</f>
        <v/>
      </c>
      <c r="G127" s="48" t="s">
        <v>1</v>
      </c>
      <c r="H127" s="31" t="str">
        <f t="shared" si="4"/>
        <v/>
      </c>
      <c r="I127" s="48" t="s">
        <v>1</v>
      </c>
      <c r="J127" s="48" t="s">
        <v>1</v>
      </c>
      <c r="K127" s="31" t="str">
        <f>IFERROR(E127/#REF!,"")</f>
        <v/>
      </c>
      <c r="L127" s="215" t="s">
        <v>1</v>
      </c>
      <c r="M127" s="30">
        <v>2496008.4</v>
      </c>
      <c r="N127" s="167" t="e">
        <f t="shared" si="6"/>
        <v>#VALUE!</v>
      </c>
      <c r="O127" s="48" t="s">
        <v>1</v>
      </c>
      <c r="P127" s="32" t="s">
        <v>1</v>
      </c>
      <c r="Q127" s="48" t="s">
        <v>1</v>
      </c>
      <c r="R127" s="48" t="s">
        <v>1</v>
      </c>
      <c r="S127" s="48" t="s">
        <v>1</v>
      </c>
      <c r="T127" s="48" t="s">
        <v>1</v>
      </c>
      <c r="U127" s="222" t="s">
        <v>1</v>
      </c>
      <c r="V127" s="222" t="s">
        <v>1</v>
      </c>
      <c r="W127" s="48" t="s">
        <v>1</v>
      </c>
      <c r="X127" s="18" t="s">
        <v>1</v>
      </c>
      <c r="Y127" s="18">
        <v>50280</v>
      </c>
      <c r="Z127" s="18" t="s">
        <v>1</v>
      </c>
      <c r="AA127" s="18">
        <v>10447</v>
      </c>
      <c r="AB127" s="18" t="s">
        <v>1</v>
      </c>
      <c r="AC127" s="18">
        <v>5</v>
      </c>
      <c r="AD127" s="18" t="s">
        <v>1</v>
      </c>
      <c r="AE127" s="18">
        <v>133</v>
      </c>
      <c r="AF127" s="18" t="s">
        <v>1</v>
      </c>
      <c r="AG127" s="18" t="s">
        <v>1</v>
      </c>
      <c r="AH127" s="18" t="s">
        <v>1</v>
      </c>
      <c r="AI127" s="18">
        <v>882</v>
      </c>
      <c r="AJ127" s="18" t="s">
        <v>1</v>
      </c>
      <c r="AK127" s="18">
        <v>9235</v>
      </c>
      <c r="AL127" s="18" t="s">
        <v>1</v>
      </c>
      <c r="AM127" s="18">
        <v>1376</v>
      </c>
      <c r="AN127" s="18" t="s">
        <v>1</v>
      </c>
      <c r="AO127" s="18">
        <v>558</v>
      </c>
      <c r="AP127" s="18" t="s">
        <v>1</v>
      </c>
      <c r="AQ127" s="18">
        <v>668</v>
      </c>
      <c r="AR127" s="18" t="s">
        <v>1</v>
      </c>
      <c r="AS127" s="18">
        <v>3681</v>
      </c>
      <c r="AT127" s="18" t="s">
        <v>1</v>
      </c>
      <c r="AU127" s="18">
        <v>1119</v>
      </c>
      <c r="AV127" s="18" t="s">
        <v>1</v>
      </c>
      <c r="AW127" s="225" t="s">
        <v>1</v>
      </c>
      <c r="AX127" s="30" t="s">
        <v>1</v>
      </c>
      <c r="AY127" s="117" t="s">
        <v>1</v>
      </c>
      <c r="AZ127" s="117" t="s">
        <v>1</v>
      </c>
      <c r="BA127" s="117" t="s">
        <v>1</v>
      </c>
      <c r="BB127" s="7" t="s">
        <v>1</v>
      </c>
      <c r="BC127" s="117" t="s">
        <v>1</v>
      </c>
      <c r="BD127" s="117" t="s">
        <v>1</v>
      </c>
      <c r="BE127" s="226" t="s">
        <v>1</v>
      </c>
      <c r="BF127" s="117" t="s">
        <v>1</v>
      </c>
      <c r="BG127" s="117" t="s">
        <v>1</v>
      </c>
      <c r="BH127" s="117" t="s">
        <v>1</v>
      </c>
      <c r="BI127" s="217" t="s">
        <v>1</v>
      </c>
      <c r="BJ127" s="217" t="s">
        <v>1</v>
      </c>
      <c r="BK127" s="18" t="s">
        <v>73</v>
      </c>
      <c r="BL127" s="18">
        <v>73</v>
      </c>
      <c r="BM127" s="18">
        <v>1765</v>
      </c>
      <c r="BN127" s="18" t="s">
        <v>1</v>
      </c>
      <c r="BO127" s="18" t="s">
        <v>74</v>
      </c>
      <c r="BP127" s="212">
        <v>254</v>
      </c>
      <c r="BQ127" s="18">
        <v>792</v>
      </c>
      <c r="BR127" s="18" t="s">
        <v>1</v>
      </c>
      <c r="BS127" s="218" t="s">
        <v>1</v>
      </c>
      <c r="BT127" s="218" t="s">
        <v>1</v>
      </c>
      <c r="BU127" s="218" t="s">
        <v>1</v>
      </c>
      <c r="BV127" s="218" t="s">
        <v>1</v>
      </c>
      <c r="BW127" s="218" t="s">
        <v>1</v>
      </c>
      <c r="BX127" s="218" t="s">
        <v>1</v>
      </c>
      <c r="BY127" s="218" t="s">
        <v>1</v>
      </c>
      <c r="BZ127" s="218" t="s">
        <v>1</v>
      </c>
      <c r="CA127" s="218" t="s">
        <v>1</v>
      </c>
      <c r="CB127" s="218" t="s">
        <v>1</v>
      </c>
      <c r="CC127" s="218" t="s">
        <v>1</v>
      </c>
      <c r="CD127" s="218" t="s">
        <v>1</v>
      </c>
      <c r="CE127" s="218" t="s">
        <v>1</v>
      </c>
      <c r="CF127" s="218" t="s">
        <v>1</v>
      </c>
      <c r="CG127" s="218" t="s">
        <v>1</v>
      </c>
      <c r="CH127" s="117" t="s">
        <v>1</v>
      </c>
    </row>
    <row r="128" ht="25" customHeight="1" spans="1:86">
      <c r="A128" s="1" t="s">
        <v>1</v>
      </c>
      <c r="B128" s="1" t="s">
        <v>1</v>
      </c>
      <c r="C128" s="1" t="s">
        <v>1</v>
      </c>
      <c r="D128" s="1" t="s">
        <v>1</v>
      </c>
      <c r="E128" s="1" t="s">
        <v>1</v>
      </c>
      <c r="F128" s="1" t="s">
        <v>1</v>
      </c>
      <c r="G128" s="130" t="s">
        <v>1</v>
      </c>
      <c r="H128" s="130" t="s">
        <v>1</v>
      </c>
      <c r="I128" s="130" t="s">
        <v>1</v>
      </c>
      <c r="J128" s="130" t="s">
        <v>1</v>
      </c>
      <c r="K128" s="130" t="s">
        <v>1</v>
      </c>
      <c r="L128" s="181" t="s">
        <v>1</v>
      </c>
      <c r="M128" s="130" t="s">
        <v>1</v>
      </c>
      <c r="N128" s="130" t="s">
        <v>1</v>
      </c>
      <c r="O128" s="130" t="s">
        <v>1</v>
      </c>
      <c r="P128" s="130" t="s">
        <v>1</v>
      </c>
      <c r="Q128" s="130" t="s">
        <v>1</v>
      </c>
      <c r="R128" s="130" t="s">
        <v>1</v>
      </c>
      <c r="S128" s="130" t="s">
        <v>1</v>
      </c>
      <c r="T128" s="130" t="s">
        <v>1</v>
      </c>
      <c r="U128" s="130" t="s">
        <v>1</v>
      </c>
      <c r="V128" s="130" t="s">
        <v>1</v>
      </c>
      <c r="W128" s="130" t="s">
        <v>1</v>
      </c>
      <c r="X128" s="126" t="s">
        <v>1</v>
      </c>
      <c r="Y128" s="126" t="s">
        <v>1</v>
      </c>
      <c r="Z128" s="126" t="s">
        <v>1</v>
      </c>
      <c r="AA128" s="126" t="s">
        <v>1</v>
      </c>
      <c r="AB128" s="126" t="s">
        <v>1</v>
      </c>
      <c r="AC128" s="126" t="s">
        <v>1</v>
      </c>
      <c r="AD128" s="126" t="s">
        <v>1</v>
      </c>
      <c r="AE128" s="126" t="s">
        <v>1</v>
      </c>
      <c r="AF128" s="126" t="s">
        <v>1</v>
      </c>
      <c r="AG128" s="126" t="s">
        <v>1</v>
      </c>
      <c r="AH128" s="126" t="s">
        <v>1</v>
      </c>
      <c r="AI128" s="126" t="s">
        <v>1</v>
      </c>
      <c r="AJ128" s="126" t="s">
        <v>1</v>
      </c>
      <c r="AK128" s="126" t="s">
        <v>1</v>
      </c>
      <c r="AL128" s="126" t="s">
        <v>1</v>
      </c>
      <c r="AM128" s="126" t="s">
        <v>1</v>
      </c>
      <c r="AN128" s="126" t="s">
        <v>1</v>
      </c>
      <c r="AO128" s="126" t="s">
        <v>1</v>
      </c>
      <c r="AP128" s="126" t="s">
        <v>1</v>
      </c>
      <c r="AQ128" s="126" t="s">
        <v>1</v>
      </c>
      <c r="AR128" s="126" t="s">
        <v>1</v>
      </c>
      <c r="AS128" s="126" t="s">
        <v>1</v>
      </c>
      <c r="AT128" s="126" t="s">
        <v>1</v>
      </c>
      <c r="AU128" s="126" t="s">
        <v>1</v>
      </c>
      <c r="AV128" s="126" t="s">
        <v>1</v>
      </c>
      <c r="AW128" s="126" t="s">
        <v>1</v>
      </c>
      <c r="AX128" s="126" t="s">
        <v>1</v>
      </c>
      <c r="AY128" s="126" t="s">
        <v>1</v>
      </c>
      <c r="AZ128" s="126" t="s">
        <v>1</v>
      </c>
      <c r="BA128" s="126" t="s">
        <v>1</v>
      </c>
      <c r="BB128" s="126" t="s">
        <v>1</v>
      </c>
      <c r="BC128" s="126" t="s">
        <v>1</v>
      </c>
      <c r="BD128" s="126" t="s">
        <v>1</v>
      </c>
      <c r="BE128" s="126" t="s">
        <v>1</v>
      </c>
      <c r="BF128" s="126" t="s">
        <v>1</v>
      </c>
      <c r="BG128" s="126" t="s">
        <v>1</v>
      </c>
      <c r="BH128" s="126" t="s">
        <v>1</v>
      </c>
      <c r="BI128" s="137" t="s">
        <v>1</v>
      </c>
      <c r="BJ128" s="137" t="s">
        <v>1</v>
      </c>
      <c r="BK128" s="18" t="s">
        <v>73</v>
      </c>
      <c r="BL128" s="18">
        <v>59</v>
      </c>
      <c r="BM128" s="18">
        <v>1922</v>
      </c>
      <c r="BN128" s="18" t="s">
        <v>1</v>
      </c>
      <c r="BO128" s="18" t="s">
        <v>74</v>
      </c>
      <c r="BP128" s="212">
        <v>229</v>
      </c>
      <c r="BQ128" s="18">
        <v>805</v>
      </c>
      <c r="BR128" s="18" t="s">
        <v>1</v>
      </c>
      <c r="BS128" s="138" t="s">
        <v>1</v>
      </c>
      <c r="BT128" s="138" t="s">
        <v>1</v>
      </c>
      <c r="BU128" s="138" t="s">
        <v>1</v>
      </c>
      <c r="BV128" s="138" t="s">
        <v>1</v>
      </c>
      <c r="BW128" s="138" t="s">
        <v>1</v>
      </c>
      <c r="BX128" s="138" t="s">
        <v>1</v>
      </c>
      <c r="BY128" s="138" t="s">
        <v>1</v>
      </c>
      <c r="BZ128" s="138" t="s">
        <v>1</v>
      </c>
      <c r="CA128" s="138" t="s">
        <v>1</v>
      </c>
      <c r="CB128" s="138" t="s">
        <v>1</v>
      </c>
      <c r="CC128" s="138" t="s">
        <v>1</v>
      </c>
      <c r="CD128" s="138" t="s">
        <v>1</v>
      </c>
      <c r="CE128" s="138" t="s">
        <v>1</v>
      </c>
      <c r="CF128" s="138" t="s">
        <v>1</v>
      </c>
      <c r="CG128" s="138" t="s">
        <v>1</v>
      </c>
    </row>
    <row r="129" ht="25" customHeight="1" spans="1:85">
      <c r="A129" s="1" t="s">
        <v>1</v>
      </c>
      <c r="B129" s="1" t="s">
        <v>1</v>
      </c>
      <c r="C129" s="1" t="s">
        <v>1</v>
      </c>
      <c r="D129" s="1" t="s">
        <v>1</v>
      </c>
      <c r="E129" s="1" t="s">
        <v>1</v>
      </c>
      <c r="F129" s="1" t="s">
        <v>1</v>
      </c>
      <c r="G129" s="130" t="s">
        <v>1</v>
      </c>
      <c r="H129" s="130" t="s">
        <v>1</v>
      </c>
      <c r="I129" s="130" t="s">
        <v>1</v>
      </c>
      <c r="J129" s="130" t="s">
        <v>1</v>
      </c>
      <c r="K129" s="130" t="s">
        <v>1</v>
      </c>
      <c r="L129" s="181" t="s">
        <v>1</v>
      </c>
      <c r="M129" s="130" t="s">
        <v>1</v>
      </c>
      <c r="N129" s="130" t="s">
        <v>1</v>
      </c>
      <c r="O129" s="130" t="s">
        <v>1</v>
      </c>
      <c r="P129" s="130" t="s">
        <v>1</v>
      </c>
      <c r="Q129" s="130" t="s">
        <v>1</v>
      </c>
      <c r="R129" s="130" t="s">
        <v>1</v>
      </c>
      <c r="S129" s="130" t="s">
        <v>1</v>
      </c>
      <c r="T129" s="130" t="s">
        <v>1</v>
      </c>
      <c r="U129" s="130" t="s">
        <v>1</v>
      </c>
      <c r="V129" s="130" t="s">
        <v>1</v>
      </c>
      <c r="W129" s="130" t="s">
        <v>1</v>
      </c>
      <c r="X129" s="126" t="s">
        <v>1</v>
      </c>
      <c r="Y129" s="126" t="s">
        <v>1</v>
      </c>
      <c r="Z129" s="126" t="s">
        <v>1</v>
      </c>
      <c r="AA129" s="126" t="s">
        <v>1</v>
      </c>
      <c r="AB129" s="126" t="s">
        <v>1</v>
      </c>
      <c r="AC129" s="126" t="s">
        <v>1</v>
      </c>
      <c r="AD129" s="126" t="s">
        <v>1</v>
      </c>
      <c r="AE129" s="126" t="s">
        <v>1</v>
      </c>
      <c r="AF129" s="126" t="s">
        <v>1</v>
      </c>
      <c r="AG129" s="126" t="s">
        <v>1</v>
      </c>
      <c r="AH129" s="126" t="s">
        <v>1</v>
      </c>
      <c r="AI129" s="126" t="s">
        <v>1</v>
      </c>
      <c r="AJ129" s="126" t="s">
        <v>1</v>
      </c>
      <c r="AK129" s="126" t="s">
        <v>1</v>
      </c>
      <c r="AL129" s="126" t="s">
        <v>1</v>
      </c>
      <c r="AM129" s="126" t="s">
        <v>1</v>
      </c>
      <c r="AN129" s="126" t="s">
        <v>1</v>
      </c>
      <c r="AO129" s="126" t="s">
        <v>1</v>
      </c>
      <c r="AP129" s="126" t="s">
        <v>1</v>
      </c>
      <c r="AQ129" s="126" t="s">
        <v>1</v>
      </c>
      <c r="AR129" s="126" t="s">
        <v>1</v>
      </c>
      <c r="AS129" s="126" t="s">
        <v>1</v>
      </c>
      <c r="AT129" s="126" t="s">
        <v>1</v>
      </c>
      <c r="AU129" s="126" t="s">
        <v>1</v>
      </c>
      <c r="AV129" s="126" t="s">
        <v>1</v>
      </c>
      <c r="AW129" s="126" t="s">
        <v>1</v>
      </c>
      <c r="AX129" s="126" t="s">
        <v>1</v>
      </c>
      <c r="AY129" s="126" t="s">
        <v>1</v>
      </c>
      <c r="AZ129" s="126" t="s">
        <v>1</v>
      </c>
      <c r="BA129" s="126" t="s">
        <v>1</v>
      </c>
      <c r="BB129" s="126" t="s">
        <v>1</v>
      </c>
      <c r="BC129" s="126" t="s">
        <v>1</v>
      </c>
      <c r="BD129" s="126" t="s">
        <v>1</v>
      </c>
      <c r="BE129" s="126" t="s">
        <v>1</v>
      </c>
      <c r="BF129" s="126" t="s">
        <v>1</v>
      </c>
      <c r="BG129" s="126" t="s">
        <v>1</v>
      </c>
      <c r="BH129" s="126" t="s">
        <v>1</v>
      </c>
      <c r="BI129" s="137" t="s">
        <v>1</v>
      </c>
      <c r="BJ129" s="137" t="s">
        <v>1</v>
      </c>
      <c r="BK129" s="18" t="s">
        <v>73</v>
      </c>
      <c r="BL129" s="18">
        <v>58</v>
      </c>
      <c r="BM129" s="18">
        <v>1557</v>
      </c>
      <c r="BN129" s="18" t="s">
        <v>1</v>
      </c>
      <c r="BO129" s="18" t="s">
        <v>74</v>
      </c>
      <c r="BP129" s="212">
        <v>270</v>
      </c>
      <c r="BQ129" s="18">
        <v>573</v>
      </c>
      <c r="BR129" s="18" t="s">
        <v>1</v>
      </c>
      <c r="BS129" s="138" t="s">
        <v>1</v>
      </c>
      <c r="BT129" s="138" t="s">
        <v>1</v>
      </c>
      <c r="BU129" s="138" t="s">
        <v>1</v>
      </c>
      <c r="BV129" s="138" t="s">
        <v>1</v>
      </c>
      <c r="BW129" s="138" t="s">
        <v>1</v>
      </c>
      <c r="BX129" s="138" t="s">
        <v>1</v>
      </c>
      <c r="BY129" s="138" t="s">
        <v>1</v>
      </c>
      <c r="BZ129" s="138" t="s">
        <v>1</v>
      </c>
      <c r="CA129" s="138" t="s">
        <v>1</v>
      </c>
      <c r="CB129" s="138" t="s">
        <v>1</v>
      </c>
      <c r="CC129" s="138" t="s">
        <v>1</v>
      </c>
      <c r="CD129" s="138" t="s">
        <v>1</v>
      </c>
      <c r="CE129" s="138" t="s">
        <v>1</v>
      </c>
      <c r="CF129" s="138" t="s">
        <v>1</v>
      </c>
      <c r="CG129" s="138" t="s">
        <v>1</v>
      </c>
    </row>
    <row r="130" ht="25" customHeight="1" spans="1:85">
      <c r="A130" s="1" t="s">
        <v>1</v>
      </c>
      <c r="B130" s="1" t="s">
        <v>1</v>
      </c>
      <c r="C130" s="1" t="s">
        <v>1</v>
      </c>
      <c r="D130" s="1" t="s">
        <v>1</v>
      </c>
      <c r="E130" s="1" t="s">
        <v>1</v>
      </c>
      <c r="F130" s="1" t="s">
        <v>1</v>
      </c>
      <c r="G130" s="130" t="s">
        <v>1</v>
      </c>
      <c r="H130" s="130" t="s">
        <v>1</v>
      </c>
      <c r="I130" s="130" t="s">
        <v>1</v>
      </c>
      <c r="J130" s="130" t="s">
        <v>1</v>
      </c>
      <c r="K130" s="130" t="s">
        <v>1</v>
      </c>
      <c r="L130" s="181" t="s">
        <v>1</v>
      </c>
      <c r="M130" s="130" t="s">
        <v>1</v>
      </c>
      <c r="N130" s="130" t="s">
        <v>1</v>
      </c>
      <c r="O130" s="130" t="s">
        <v>1</v>
      </c>
      <c r="P130" s="130" t="s">
        <v>1</v>
      </c>
      <c r="Q130" s="130" t="s">
        <v>1</v>
      </c>
      <c r="R130" s="130" t="s">
        <v>1</v>
      </c>
      <c r="S130" s="130" t="s">
        <v>1</v>
      </c>
      <c r="T130" s="130" t="s">
        <v>1</v>
      </c>
      <c r="U130" s="130" t="s">
        <v>1</v>
      </c>
      <c r="V130" s="130" t="s">
        <v>1</v>
      </c>
      <c r="W130" s="130" t="s">
        <v>1</v>
      </c>
      <c r="X130" s="126" t="s">
        <v>1</v>
      </c>
      <c r="Y130" s="126" t="s">
        <v>1</v>
      </c>
      <c r="Z130" s="126" t="s">
        <v>1</v>
      </c>
      <c r="AA130" s="126" t="s">
        <v>1</v>
      </c>
      <c r="AB130" s="126" t="s">
        <v>1</v>
      </c>
      <c r="AC130" s="126" t="s">
        <v>1</v>
      </c>
      <c r="AD130" s="126" t="s">
        <v>1</v>
      </c>
      <c r="AE130" s="126" t="s">
        <v>1</v>
      </c>
      <c r="AF130" s="126" t="s">
        <v>1</v>
      </c>
      <c r="AG130" s="126" t="s">
        <v>1</v>
      </c>
      <c r="AH130" s="126" t="s">
        <v>1</v>
      </c>
      <c r="AI130" s="126" t="s">
        <v>1</v>
      </c>
      <c r="AJ130" s="126" t="s">
        <v>1</v>
      </c>
      <c r="AK130" s="126" t="s">
        <v>1</v>
      </c>
      <c r="AL130" s="126" t="s">
        <v>1</v>
      </c>
      <c r="AM130" s="126" t="s">
        <v>1</v>
      </c>
      <c r="AN130" s="126" t="s">
        <v>1</v>
      </c>
      <c r="AO130" s="126" t="s">
        <v>1</v>
      </c>
      <c r="AP130" s="126" t="s">
        <v>1</v>
      </c>
      <c r="AQ130" s="126" t="s">
        <v>1</v>
      </c>
      <c r="AR130" s="126" t="s">
        <v>1</v>
      </c>
      <c r="AS130" s="126" t="s">
        <v>1</v>
      </c>
      <c r="AT130" s="126" t="s">
        <v>1</v>
      </c>
      <c r="AU130" s="126" t="s">
        <v>1</v>
      </c>
      <c r="AV130" s="126" t="s">
        <v>1</v>
      </c>
      <c r="AW130" s="126" t="s">
        <v>1</v>
      </c>
      <c r="AX130" s="126" t="s">
        <v>1</v>
      </c>
      <c r="AY130" s="126" t="s">
        <v>1</v>
      </c>
      <c r="AZ130" s="126" t="s">
        <v>1</v>
      </c>
      <c r="BA130" s="126" t="s">
        <v>1</v>
      </c>
      <c r="BB130" s="126" t="s">
        <v>1</v>
      </c>
      <c r="BC130" s="126" t="s">
        <v>1</v>
      </c>
      <c r="BD130" s="126" t="s">
        <v>1</v>
      </c>
      <c r="BE130" s="126" t="s">
        <v>1</v>
      </c>
      <c r="BF130" s="126" t="s">
        <v>1</v>
      </c>
      <c r="BG130" s="126" t="s">
        <v>1</v>
      </c>
      <c r="BH130" s="126" t="s">
        <v>1</v>
      </c>
      <c r="BI130" s="137" t="s">
        <v>1</v>
      </c>
      <c r="BJ130" s="137" t="s">
        <v>1</v>
      </c>
      <c r="BK130" s="18" t="s">
        <v>73</v>
      </c>
      <c r="BL130" s="18">
        <v>97</v>
      </c>
      <c r="BM130" s="18">
        <v>1018</v>
      </c>
      <c r="BN130" s="18" t="s">
        <v>1</v>
      </c>
      <c r="BO130" s="18" t="s">
        <v>74</v>
      </c>
      <c r="BP130" s="212">
        <v>381</v>
      </c>
      <c r="BQ130" s="18">
        <v>403</v>
      </c>
      <c r="BR130" s="18" t="s">
        <v>1</v>
      </c>
      <c r="BS130" s="138" t="s">
        <v>1</v>
      </c>
      <c r="BT130" s="138" t="s">
        <v>1</v>
      </c>
      <c r="BU130" s="138" t="s">
        <v>1</v>
      </c>
      <c r="BV130" s="138" t="s">
        <v>1</v>
      </c>
      <c r="BW130" s="138" t="s">
        <v>1</v>
      </c>
      <c r="BX130" s="138" t="s">
        <v>1</v>
      </c>
      <c r="BY130" s="138" t="s">
        <v>1</v>
      </c>
      <c r="BZ130" s="138" t="s">
        <v>1</v>
      </c>
      <c r="CA130" s="138" t="s">
        <v>1</v>
      </c>
      <c r="CB130" s="138" t="s">
        <v>1</v>
      </c>
      <c r="CC130" s="138" t="s">
        <v>1</v>
      </c>
      <c r="CD130" s="138" t="s">
        <v>1</v>
      </c>
      <c r="CE130" s="138" t="s">
        <v>1</v>
      </c>
      <c r="CF130" s="138" t="s">
        <v>1</v>
      </c>
      <c r="CG130" s="138" t="s">
        <v>1</v>
      </c>
    </row>
    <row r="131" ht="25" customHeight="1" spans="1:85">
      <c r="A131" s="1" t="s">
        <v>1</v>
      </c>
      <c r="B131" s="1" t="s">
        <v>1</v>
      </c>
      <c r="C131" s="1" t="s">
        <v>1</v>
      </c>
      <c r="D131" s="1" t="s">
        <v>1</v>
      </c>
      <c r="E131" s="1" t="s">
        <v>1</v>
      </c>
      <c r="F131" s="1" t="s">
        <v>1</v>
      </c>
      <c r="G131" s="130" t="s">
        <v>1</v>
      </c>
      <c r="H131" s="130" t="s">
        <v>1</v>
      </c>
      <c r="I131" s="130" t="s">
        <v>1</v>
      </c>
      <c r="J131" s="130" t="s">
        <v>1</v>
      </c>
      <c r="K131" s="130" t="s">
        <v>1</v>
      </c>
      <c r="L131" s="181" t="s">
        <v>1</v>
      </c>
      <c r="M131" s="130" t="s">
        <v>1</v>
      </c>
      <c r="N131" s="130" t="s">
        <v>1</v>
      </c>
      <c r="O131" s="130" t="s">
        <v>1</v>
      </c>
      <c r="P131" s="130" t="s">
        <v>1</v>
      </c>
      <c r="Q131" s="130" t="s">
        <v>1</v>
      </c>
      <c r="R131" s="130" t="s">
        <v>1</v>
      </c>
      <c r="S131" s="130" t="s">
        <v>1</v>
      </c>
      <c r="T131" s="130" t="s">
        <v>1</v>
      </c>
      <c r="U131" s="130" t="s">
        <v>1</v>
      </c>
      <c r="V131" s="130" t="s">
        <v>1</v>
      </c>
      <c r="W131" s="130" t="s">
        <v>1</v>
      </c>
      <c r="X131" s="126" t="s">
        <v>1</v>
      </c>
      <c r="Y131" s="126" t="s">
        <v>1</v>
      </c>
      <c r="Z131" s="126" t="s">
        <v>1</v>
      </c>
      <c r="AA131" s="126" t="s">
        <v>1</v>
      </c>
      <c r="AB131" s="126" t="s">
        <v>1</v>
      </c>
      <c r="AC131" s="126" t="s">
        <v>1</v>
      </c>
      <c r="AD131" s="126" t="s">
        <v>1</v>
      </c>
      <c r="AE131" s="126" t="s">
        <v>1</v>
      </c>
      <c r="AF131" s="126" t="s">
        <v>1</v>
      </c>
      <c r="AG131" s="126" t="s">
        <v>1</v>
      </c>
      <c r="AH131" s="126" t="s">
        <v>1</v>
      </c>
      <c r="AI131" s="126" t="s">
        <v>1</v>
      </c>
      <c r="AJ131" s="126" t="s">
        <v>1</v>
      </c>
      <c r="AK131" s="126" t="s">
        <v>1</v>
      </c>
      <c r="AL131" s="126" t="s">
        <v>1</v>
      </c>
      <c r="AM131" s="126" t="s">
        <v>1</v>
      </c>
      <c r="AN131" s="126" t="s">
        <v>1</v>
      </c>
      <c r="AO131" s="126" t="s">
        <v>1</v>
      </c>
      <c r="AP131" s="126" t="s">
        <v>1</v>
      </c>
      <c r="AQ131" s="126" t="s">
        <v>1</v>
      </c>
      <c r="AR131" s="126" t="s">
        <v>1</v>
      </c>
      <c r="AS131" s="126" t="s">
        <v>1</v>
      </c>
      <c r="AT131" s="126" t="s">
        <v>1</v>
      </c>
      <c r="AU131" s="126" t="s">
        <v>1</v>
      </c>
      <c r="AV131" s="126" t="s">
        <v>1</v>
      </c>
      <c r="AW131" s="126" t="s">
        <v>1</v>
      </c>
      <c r="AX131" s="126" t="s">
        <v>1</v>
      </c>
      <c r="AY131" s="126" t="s">
        <v>1</v>
      </c>
      <c r="AZ131" s="126" t="s">
        <v>1</v>
      </c>
      <c r="BA131" s="126" t="s">
        <v>1</v>
      </c>
      <c r="BB131" s="126" t="s">
        <v>1</v>
      </c>
      <c r="BC131" s="126" t="s">
        <v>1</v>
      </c>
      <c r="BD131" s="126" t="s">
        <v>1</v>
      </c>
      <c r="BE131" s="126" t="s">
        <v>1</v>
      </c>
      <c r="BF131" s="126" t="s">
        <v>1</v>
      </c>
      <c r="BG131" s="126" t="s">
        <v>1</v>
      </c>
      <c r="BH131" s="126" t="s">
        <v>1</v>
      </c>
      <c r="BI131" s="137" t="s">
        <v>1</v>
      </c>
      <c r="BJ131" s="137" t="s">
        <v>1</v>
      </c>
      <c r="BK131" s="18" t="s">
        <v>74</v>
      </c>
      <c r="BL131" s="18">
        <v>102</v>
      </c>
      <c r="BM131" s="18">
        <v>953</v>
      </c>
      <c r="BN131" s="18" t="s">
        <v>1</v>
      </c>
      <c r="BO131" s="18" t="s">
        <v>74</v>
      </c>
      <c r="BP131" s="212">
        <v>447</v>
      </c>
      <c r="BQ131" s="18">
        <v>338</v>
      </c>
      <c r="BR131" s="18" t="s">
        <v>1</v>
      </c>
      <c r="BS131" s="138" t="s">
        <v>1</v>
      </c>
      <c r="BT131" s="138" t="s">
        <v>1</v>
      </c>
      <c r="BU131" s="138" t="s">
        <v>1</v>
      </c>
      <c r="BV131" s="138" t="s">
        <v>1</v>
      </c>
      <c r="BW131" s="138" t="s">
        <v>1</v>
      </c>
      <c r="BX131" s="138" t="s">
        <v>1</v>
      </c>
      <c r="BY131" s="138" t="s">
        <v>1</v>
      </c>
      <c r="BZ131" s="138" t="s">
        <v>1</v>
      </c>
      <c r="CA131" s="138" t="s">
        <v>1</v>
      </c>
      <c r="CB131" s="138" t="s">
        <v>1</v>
      </c>
      <c r="CC131" s="138" t="s">
        <v>1</v>
      </c>
      <c r="CD131" s="138" t="s">
        <v>1</v>
      </c>
      <c r="CE131" s="138" t="s">
        <v>1</v>
      </c>
      <c r="CF131" s="138" t="s">
        <v>1</v>
      </c>
      <c r="CG131" s="138" t="s">
        <v>1</v>
      </c>
    </row>
    <row r="132" ht="25" customHeight="1" spans="1:85">
      <c r="A132" s="1" t="s">
        <v>1</v>
      </c>
      <c r="B132" s="1" t="s">
        <v>1</v>
      </c>
      <c r="C132" s="1" t="s">
        <v>1</v>
      </c>
      <c r="D132" s="1" t="s">
        <v>1</v>
      </c>
      <c r="E132" s="1" t="s">
        <v>1</v>
      </c>
      <c r="F132" s="1" t="s">
        <v>1</v>
      </c>
      <c r="G132" s="130" t="s">
        <v>1</v>
      </c>
      <c r="H132" s="130" t="s">
        <v>1</v>
      </c>
      <c r="I132" s="130" t="s">
        <v>1</v>
      </c>
      <c r="J132" s="130" t="s">
        <v>1</v>
      </c>
      <c r="K132" s="130" t="s">
        <v>1</v>
      </c>
      <c r="L132" s="181" t="s">
        <v>1</v>
      </c>
      <c r="M132" s="130" t="s">
        <v>1</v>
      </c>
      <c r="N132" s="130" t="s">
        <v>1</v>
      </c>
      <c r="O132" s="130" t="s">
        <v>1</v>
      </c>
      <c r="P132" s="130" t="s">
        <v>1</v>
      </c>
      <c r="Q132" s="130" t="s">
        <v>1</v>
      </c>
      <c r="R132" s="130" t="s">
        <v>1</v>
      </c>
      <c r="S132" s="130" t="s">
        <v>1</v>
      </c>
      <c r="T132" s="130" t="s">
        <v>1</v>
      </c>
      <c r="U132" s="130" t="s">
        <v>1</v>
      </c>
      <c r="V132" s="130" t="s">
        <v>1</v>
      </c>
      <c r="W132" s="130" t="s">
        <v>1</v>
      </c>
      <c r="X132" s="126" t="s">
        <v>1</v>
      </c>
      <c r="Y132" s="126" t="s">
        <v>1</v>
      </c>
      <c r="Z132" s="126" t="s">
        <v>1</v>
      </c>
      <c r="AA132" s="126" t="s">
        <v>1</v>
      </c>
      <c r="AB132" s="126" t="s">
        <v>1</v>
      </c>
      <c r="AC132" s="126" t="s">
        <v>1</v>
      </c>
      <c r="AD132" s="126" t="s">
        <v>1</v>
      </c>
      <c r="AE132" s="126" t="s">
        <v>1</v>
      </c>
      <c r="AF132" s="126" t="s">
        <v>1</v>
      </c>
      <c r="AG132" s="126" t="s">
        <v>1</v>
      </c>
      <c r="AH132" s="126" t="s">
        <v>1</v>
      </c>
      <c r="AI132" s="126" t="s">
        <v>1</v>
      </c>
      <c r="AJ132" s="126" t="s">
        <v>1</v>
      </c>
      <c r="AK132" s="126" t="s">
        <v>1</v>
      </c>
      <c r="AL132" s="126" t="s">
        <v>1</v>
      </c>
      <c r="AM132" s="126" t="s">
        <v>1</v>
      </c>
      <c r="AN132" s="126" t="s">
        <v>1</v>
      </c>
      <c r="AO132" s="126" t="s">
        <v>1</v>
      </c>
      <c r="AP132" s="126" t="s">
        <v>1</v>
      </c>
      <c r="AQ132" s="126" t="s">
        <v>1</v>
      </c>
      <c r="AR132" s="126" t="s">
        <v>1</v>
      </c>
      <c r="AS132" s="126" t="s">
        <v>1</v>
      </c>
      <c r="AT132" s="126" t="s">
        <v>1</v>
      </c>
      <c r="AU132" s="126" t="s">
        <v>1</v>
      </c>
      <c r="AV132" s="126" t="s">
        <v>1</v>
      </c>
      <c r="AW132" s="126" t="s">
        <v>1</v>
      </c>
      <c r="AX132" s="126" t="s">
        <v>1</v>
      </c>
      <c r="AY132" s="126" t="s">
        <v>1</v>
      </c>
      <c r="AZ132" s="126" t="s">
        <v>1</v>
      </c>
      <c r="BA132" s="126" t="s">
        <v>1</v>
      </c>
      <c r="BB132" s="126" t="s">
        <v>1</v>
      </c>
      <c r="BC132" s="126" t="s">
        <v>1</v>
      </c>
      <c r="BD132" s="126" t="s">
        <v>1</v>
      </c>
      <c r="BE132" s="126" t="s">
        <v>1</v>
      </c>
      <c r="BF132" s="126" t="s">
        <v>1</v>
      </c>
      <c r="BG132" s="126" t="s">
        <v>1</v>
      </c>
      <c r="BH132" s="126" t="s">
        <v>1</v>
      </c>
      <c r="BI132" s="137" t="s">
        <v>1</v>
      </c>
      <c r="BJ132" s="137" t="s">
        <v>1</v>
      </c>
      <c r="BK132" s="18" t="s">
        <v>74</v>
      </c>
      <c r="BL132" s="18">
        <v>102</v>
      </c>
      <c r="BM132" s="18">
        <v>1035</v>
      </c>
      <c r="BN132" s="18" t="s">
        <v>1</v>
      </c>
      <c r="BO132" s="18" t="s">
        <v>74</v>
      </c>
      <c r="BP132" s="212">
        <v>449</v>
      </c>
      <c r="BQ132" s="18">
        <v>393</v>
      </c>
      <c r="BR132" s="18" t="s">
        <v>1</v>
      </c>
      <c r="BS132" s="138" t="s">
        <v>1</v>
      </c>
      <c r="BT132" s="138" t="s">
        <v>1</v>
      </c>
      <c r="BU132" s="138" t="s">
        <v>1</v>
      </c>
      <c r="BV132" s="138" t="s">
        <v>1</v>
      </c>
      <c r="BW132" s="138" t="s">
        <v>1</v>
      </c>
      <c r="BX132" s="138" t="s">
        <v>1</v>
      </c>
      <c r="BY132" s="138" t="s">
        <v>1</v>
      </c>
      <c r="BZ132" s="138" t="s">
        <v>1</v>
      </c>
      <c r="CA132" s="138" t="s">
        <v>1</v>
      </c>
      <c r="CB132" s="138" t="s">
        <v>1</v>
      </c>
      <c r="CC132" s="138" t="s">
        <v>1</v>
      </c>
      <c r="CD132" s="138" t="s">
        <v>1</v>
      </c>
      <c r="CE132" s="138" t="s">
        <v>1</v>
      </c>
      <c r="CF132" s="138" t="s">
        <v>1</v>
      </c>
      <c r="CG132" s="138" t="s">
        <v>1</v>
      </c>
    </row>
    <row r="133" ht="25" customHeight="1" spans="1:85">
      <c r="A133" s="1" t="s">
        <v>1</v>
      </c>
      <c r="B133" s="1" t="s">
        <v>1</v>
      </c>
      <c r="C133" s="1" t="s">
        <v>1</v>
      </c>
      <c r="D133" s="1" t="s">
        <v>1</v>
      </c>
      <c r="E133" s="1" t="s">
        <v>1</v>
      </c>
      <c r="F133" s="1" t="s">
        <v>1</v>
      </c>
      <c r="G133" s="130" t="s">
        <v>1</v>
      </c>
      <c r="H133" s="130" t="s">
        <v>1</v>
      </c>
      <c r="I133" s="130" t="s">
        <v>1</v>
      </c>
      <c r="J133" s="130" t="s">
        <v>1</v>
      </c>
      <c r="K133" s="130" t="s">
        <v>1</v>
      </c>
      <c r="L133" s="181" t="s">
        <v>1</v>
      </c>
      <c r="M133" s="130" t="s">
        <v>1</v>
      </c>
      <c r="N133" s="130" t="s">
        <v>1</v>
      </c>
      <c r="O133" s="130" t="s">
        <v>1</v>
      </c>
      <c r="P133" s="130" t="s">
        <v>1</v>
      </c>
      <c r="Q133" s="130" t="s">
        <v>1</v>
      </c>
      <c r="R133" s="130" t="s">
        <v>1</v>
      </c>
      <c r="S133" s="130" t="s">
        <v>1</v>
      </c>
      <c r="T133" s="130" t="s">
        <v>1</v>
      </c>
      <c r="U133" s="130" t="s">
        <v>1</v>
      </c>
      <c r="V133" s="130" t="s">
        <v>1</v>
      </c>
      <c r="W133" s="130" t="s">
        <v>1</v>
      </c>
      <c r="X133" s="126" t="s">
        <v>1</v>
      </c>
      <c r="Y133" s="126" t="s">
        <v>1</v>
      </c>
      <c r="Z133" s="126" t="s">
        <v>1</v>
      </c>
      <c r="AA133" s="126" t="s">
        <v>1</v>
      </c>
      <c r="AB133" s="126" t="s">
        <v>1</v>
      </c>
      <c r="AC133" s="126" t="s">
        <v>1</v>
      </c>
      <c r="AD133" s="126" t="s">
        <v>1</v>
      </c>
      <c r="AE133" s="126" t="s">
        <v>1</v>
      </c>
      <c r="AF133" s="126" t="s">
        <v>1</v>
      </c>
      <c r="AG133" s="126" t="s">
        <v>1</v>
      </c>
      <c r="AH133" s="126" t="s">
        <v>1</v>
      </c>
      <c r="AI133" s="126" t="s">
        <v>1</v>
      </c>
      <c r="AJ133" s="126" t="s">
        <v>1</v>
      </c>
      <c r="AK133" s="126" t="s">
        <v>1</v>
      </c>
      <c r="AL133" s="126" t="s">
        <v>1</v>
      </c>
      <c r="AM133" s="126" t="s">
        <v>1</v>
      </c>
      <c r="AN133" s="126" t="s">
        <v>1</v>
      </c>
      <c r="AO133" s="126" t="s">
        <v>1</v>
      </c>
      <c r="AP133" s="126" t="s">
        <v>1</v>
      </c>
      <c r="AQ133" s="126" t="s">
        <v>1</v>
      </c>
      <c r="AR133" s="126" t="s">
        <v>1</v>
      </c>
      <c r="AS133" s="126" t="s">
        <v>1</v>
      </c>
      <c r="AT133" s="126" t="s">
        <v>1</v>
      </c>
      <c r="AU133" s="126" t="s">
        <v>1</v>
      </c>
      <c r="AV133" s="126" t="s">
        <v>1</v>
      </c>
      <c r="AW133" s="126" t="s">
        <v>1</v>
      </c>
      <c r="AX133" s="126" t="s">
        <v>1</v>
      </c>
      <c r="AY133" s="126" t="s">
        <v>1</v>
      </c>
      <c r="AZ133" s="126" t="s">
        <v>1</v>
      </c>
      <c r="BA133" s="126" t="s">
        <v>1</v>
      </c>
      <c r="BB133" s="126" t="s">
        <v>1</v>
      </c>
      <c r="BC133" s="126" t="s">
        <v>1</v>
      </c>
      <c r="BD133" s="126" t="s">
        <v>1</v>
      </c>
      <c r="BE133" s="126" t="s">
        <v>1</v>
      </c>
      <c r="BF133" s="126" t="s">
        <v>1</v>
      </c>
      <c r="BG133" s="126" t="s">
        <v>1</v>
      </c>
      <c r="BH133" s="126" t="s">
        <v>1</v>
      </c>
      <c r="BI133" s="137" t="s">
        <v>1</v>
      </c>
      <c r="BJ133" s="137" t="s">
        <v>1</v>
      </c>
      <c r="BK133" s="18" t="s">
        <v>73</v>
      </c>
      <c r="BL133" s="18">
        <v>73</v>
      </c>
      <c r="BM133" s="18">
        <v>1396</v>
      </c>
      <c r="BN133" s="18" t="s">
        <v>1</v>
      </c>
      <c r="BO133" s="18" t="s">
        <v>74</v>
      </c>
      <c r="BP133" s="212">
        <v>294</v>
      </c>
      <c r="BQ133" s="18">
        <v>565</v>
      </c>
      <c r="BR133" s="18" t="s">
        <v>1</v>
      </c>
      <c r="BS133" s="138" t="s">
        <v>1</v>
      </c>
      <c r="BT133" s="138" t="s">
        <v>1</v>
      </c>
      <c r="BU133" s="138" t="s">
        <v>1</v>
      </c>
      <c r="BV133" s="138" t="s">
        <v>1</v>
      </c>
      <c r="BW133" s="138" t="s">
        <v>1</v>
      </c>
      <c r="BX133" s="138" t="s">
        <v>1</v>
      </c>
      <c r="BY133" s="138" t="s">
        <v>1</v>
      </c>
      <c r="BZ133" s="138" t="s">
        <v>1</v>
      </c>
      <c r="CA133" s="138" t="s">
        <v>1</v>
      </c>
      <c r="CB133" s="138" t="s">
        <v>1</v>
      </c>
      <c r="CC133" s="138" t="s">
        <v>1</v>
      </c>
      <c r="CD133" s="138" t="s">
        <v>1</v>
      </c>
      <c r="CE133" s="138" t="s">
        <v>1</v>
      </c>
      <c r="CF133" s="138" t="s">
        <v>1</v>
      </c>
      <c r="CG133" s="138" t="s">
        <v>1</v>
      </c>
    </row>
    <row r="134" ht="25" customHeight="1" spans="1:85">
      <c r="A134" s="1" t="s">
        <v>1</v>
      </c>
      <c r="B134" s="1" t="s">
        <v>1</v>
      </c>
      <c r="C134" s="1" t="s">
        <v>1</v>
      </c>
      <c r="D134" s="1" t="s">
        <v>1</v>
      </c>
      <c r="E134" s="1" t="s">
        <v>1</v>
      </c>
      <c r="F134" s="1" t="s">
        <v>1</v>
      </c>
      <c r="G134" s="130" t="s">
        <v>1</v>
      </c>
      <c r="H134" s="130" t="s">
        <v>1</v>
      </c>
      <c r="I134" s="130" t="s">
        <v>1</v>
      </c>
      <c r="J134" s="130" t="s">
        <v>1</v>
      </c>
      <c r="K134" s="130" t="s">
        <v>1</v>
      </c>
      <c r="L134" s="181" t="s">
        <v>1</v>
      </c>
      <c r="M134" s="130" t="s">
        <v>1</v>
      </c>
      <c r="N134" s="130" t="s">
        <v>1</v>
      </c>
      <c r="O134" s="130" t="s">
        <v>1</v>
      </c>
      <c r="P134" s="130" t="s">
        <v>1</v>
      </c>
      <c r="Q134" s="130" t="s">
        <v>1</v>
      </c>
      <c r="R134" s="130" t="s">
        <v>1</v>
      </c>
      <c r="S134" s="130" t="s">
        <v>1</v>
      </c>
      <c r="T134" s="130" t="s">
        <v>1</v>
      </c>
      <c r="U134" s="130" t="s">
        <v>1</v>
      </c>
      <c r="V134" s="130" t="s">
        <v>1</v>
      </c>
      <c r="W134" s="130" t="s">
        <v>1</v>
      </c>
      <c r="X134" s="126" t="s">
        <v>1</v>
      </c>
      <c r="Y134" s="126" t="s">
        <v>1</v>
      </c>
      <c r="Z134" s="126" t="s">
        <v>1</v>
      </c>
      <c r="AA134" s="126" t="s">
        <v>1</v>
      </c>
      <c r="AB134" s="126" t="s">
        <v>1</v>
      </c>
      <c r="AC134" s="126" t="s">
        <v>1</v>
      </c>
      <c r="AD134" s="126" t="s">
        <v>1</v>
      </c>
      <c r="AE134" s="126" t="s">
        <v>1</v>
      </c>
      <c r="AF134" s="126" t="s">
        <v>1</v>
      </c>
      <c r="AG134" s="126" t="s">
        <v>1</v>
      </c>
      <c r="AH134" s="126" t="s">
        <v>1</v>
      </c>
      <c r="AI134" s="126" t="s">
        <v>1</v>
      </c>
      <c r="AJ134" s="126" t="s">
        <v>1</v>
      </c>
      <c r="AK134" s="126" t="s">
        <v>1</v>
      </c>
      <c r="AL134" s="126" t="s">
        <v>1</v>
      </c>
      <c r="AM134" s="126" t="s">
        <v>1</v>
      </c>
      <c r="AN134" s="126" t="s">
        <v>1</v>
      </c>
      <c r="AO134" s="126" t="s">
        <v>1</v>
      </c>
      <c r="AP134" s="126" t="s">
        <v>1</v>
      </c>
      <c r="AQ134" s="126" t="s">
        <v>1</v>
      </c>
      <c r="AR134" s="126" t="s">
        <v>1</v>
      </c>
      <c r="AS134" s="126" t="s">
        <v>1</v>
      </c>
      <c r="AT134" s="126" t="s">
        <v>1</v>
      </c>
      <c r="AU134" s="126" t="s">
        <v>1</v>
      </c>
      <c r="AV134" s="126" t="s">
        <v>1</v>
      </c>
      <c r="AW134" s="126" t="s">
        <v>1</v>
      </c>
      <c r="AX134" s="126" t="s">
        <v>1</v>
      </c>
      <c r="AY134" s="126" t="s">
        <v>1</v>
      </c>
      <c r="AZ134" s="126" t="s">
        <v>1</v>
      </c>
      <c r="BA134" s="126" t="s">
        <v>1</v>
      </c>
      <c r="BB134" s="126" t="s">
        <v>1</v>
      </c>
      <c r="BC134" s="126" t="s">
        <v>1</v>
      </c>
      <c r="BD134" s="126" t="s">
        <v>1</v>
      </c>
      <c r="BE134" s="126" t="s">
        <v>1</v>
      </c>
      <c r="BF134" s="126" t="s">
        <v>1</v>
      </c>
      <c r="BG134" s="126" t="s">
        <v>1</v>
      </c>
      <c r="BH134" s="126" t="s">
        <v>1</v>
      </c>
      <c r="BI134" s="137" t="s">
        <v>1</v>
      </c>
      <c r="BJ134" s="137" t="s">
        <v>1</v>
      </c>
      <c r="BK134" s="18" t="s">
        <v>73</v>
      </c>
      <c r="BL134" s="18">
        <v>96</v>
      </c>
      <c r="BM134" s="18">
        <v>1051</v>
      </c>
      <c r="BN134" s="18" t="s">
        <v>1</v>
      </c>
      <c r="BO134" s="18" t="s">
        <v>74</v>
      </c>
      <c r="BP134" s="212">
        <v>405</v>
      </c>
      <c r="BQ134" s="18">
        <v>422</v>
      </c>
      <c r="BR134" s="18" t="s">
        <v>1</v>
      </c>
      <c r="BS134" s="138" t="s">
        <v>1</v>
      </c>
      <c r="BT134" s="138" t="s">
        <v>1</v>
      </c>
      <c r="BU134" s="138" t="s">
        <v>1</v>
      </c>
      <c r="BV134" s="138" t="s">
        <v>1</v>
      </c>
      <c r="BW134" s="138" t="s">
        <v>1</v>
      </c>
      <c r="BX134" s="138" t="s">
        <v>1</v>
      </c>
      <c r="BY134" s="138" t="s">
        <v>1</v>
      </c>
      <c r="BZ134" s="138" t="s">
        <v>1</v>
      </c>
      <c r="CA134" s="138" t="s">
        <v>1</v>
      </c>
      <c r="CB134" s="138" t="s">
        <v>1</v>
      </c>
      <c r="CC134" s="138" t="s">
        <v>1</v>
      </c>
      <c r="CD134" s="138" t="s">
        <v>1</v>
      </c>
      <c r="CE134" s="138" t="s">
        <v>1</v>
      </c>
      <c r="CF134" s="138" t="s">
        <v>1</v>
      </c>
      <c r="CG134" s="138" t="s">
        <v>1</v>
      </c>
    </row>
    <row r="135" ht="25" customHeight="1" spans="1:85">
      <c r="A135" s="1" t="s">
        <v>1</v>
      </c>
      <c r="B135" s="1" t="s">
        <v>1</v>
      </c>
      <c r="C135" s="1" t="s">
        <v>1</v>
      </c>
      <c r="D135" s="1" t="s">
        <v>1</v>
      </c>
      <c r="E135" s="1" t="s">
        <v>1</v>
      </c>
      <c r="F135" s="1" t="s">
        <v>1</v>
      </c>
      <c r="G135" s="130" t="s">
        <v>1</v>
      </c>
      <c r="H135" s="130" t="s">
        <v>1</v>
      </c>
      <c r="I135" s="130" t="s">
        <v>1</v>
      </c>
      <c r="J135" s="130" t="s">
        <v>1</v>
      </c>
      <c r="K135" s="130" t="s">
        <v>1</v>
      </c>
      <c r="L135" s="181" t="s">
        <v>1</v>
      </c>
      <c r="M135" s="130" t="s">
        <v>1</v>
      </c>
      <c r="N135" s="130" t="s">
        <v>1</v>
      </c>
      <c r="O135" s="130" t="s">
        <v>1</v>
      </c>
      <c r="P135" s="130" t="s">
        <v>1</v>
      </c>
      <c r="Q135" s="130" t="s">
        <v>1</v>
      </c>
      <c r="R135" s="130" t="s">
        <v>1</v>
      </c>
      <c r="S135" s="130" t="s">
        <v>1</v>
      </c>
      <c r="T135" s="130" t="s">
        <v>1</v>
      </c>
      <c r="U135" s="130" t="s">
        <v>1</v>
      </c>
      <c r="V135" s="130" t="s">
        <v>1</v>
      </c>
      <c r="W135" s="130" t="s">
        <v>1</v>
      </c>
      <c r="X135" s="126" t="s">
        <v>1</v>
      </c>
      <c r="Y135" s="126" t="s">
        <v>1</v>
      </c>
      <c r="Z135" s="126" t="s">
        <v>1</v>
      </c>
      <c r="AA135" s="126" t="s">
        <v>1</v>
      </c>
      <c r="AB135" s="126" t="s">
        <v>1</v>
      </c>
      <c r="AC135" s="126" t="s">
        <v>1</v>
      </c>
      <c r="AD135" s="126" t="s">
        <v>1</v>
      </c>
      <c r="AE135" s="126" t="s">
        <v>1</v>
      </c>
      <c r="AF135" s="126" t="s">
        <v>1</v>
      </c>
      <c r="AG135" s="126" t="s">
        <v>1</v>
      </c>
      <c r="AH135" s="126" t="s">
        <v>1</v>
      </c>
      <c r="AI135" s="126" t="s">
        <v>1</v>
      </c>
      <c r="AJ135" s="126" t="s">
        <v>1</v>
      </c>
      <c r="AK135" s="126" t="s">
        <v>1</v>
      </c>
      <c r="AL135" s="126" t="s">
        <v>1</v>
      </c>
      <c r="AM135" s="126" t="s">
        <v>1</v>
      </c>
      <c r="AN135" s="126" t="s">
        <v>1</v>
      </c>
      <c r="AO135" s="126" t="s">
        <v>1</v>
      </c>
      <c r="AP135" s="126" t="s">
        <v>1</v>
      </c>
      <c r="AQ135" s="126" t="s">
        <v>1</v>
      </c>
      <c r="AR135" s="126" t="s">
        <v>1</v>
      </c>
      <c r="AS135" s="126" t="s">
        <v>1</v>
      </c>
      <c r="AT135" s="126" t="s">
        <v>1</v>
      </c>
      <c r="AU135" s="126" t="s">
        <v>1</v>
      </c>
      <c r="AV135" s="126" t="s">
        <v>1</v>
      </c>
      <c r="AW135" s="126" t="s">
        <v>1</v>
      </c>
      <c r="AX135" s="126" t="s">
        <v>1</v>
      </c>
      <c r="AY135" s="126" t="s">
        <v>1</v>
      </c>
      <c r="AZ135" s="126" t="s">
        <v>1</v>
      </c>
      <c r="BA135" s="126" t="s">
        <v>1</v>
      </c>
      <c r="BB135" s="126" t="s">
        <v>1</v>
      </c>
      <c r="BC135" s="126" t="s">
        <v>1</v>
      </c>
      <c r="BD135" s="126" t="s">
        <v>1</v>
      </c>
      <c r="BE135" s="126" t="s">
        <v>1</v>
      </c>
      <c r="BF135" s="126" t="s">
        <v>1</v>
      </c>
      <c r="BG135" s="126" t="s">
        <v>1</v>
      </c>
      <c r="BH135" s="126" t="s">
        <v>1</v>
      </c>
      <c r="BI135" s="137" t="s">
        <v>1</v>
      </c>
      <c r="BJ135" s="137" t="s">
        <v>1</v>
      </c>
      <c r="BK135" s="137" t="s">
        <v>1</v>
      </c>
      <c r="BL135" s="137" t="s">
        <v>1</v>
      </c>
      <c r="BM135" s="137" t="s">
        <v>1</v>
      </c>
      <c r="BN135" s="137" t="s">
        <v>1</v>
      </c>
      <c r="BO135" s="137" t="s">
        <v>1</v>
      </c>
      <c r="BP135" s="137" t="s">
        <v>1</v>
      </c>
      <c r="BQ135" s="137" t="s">
        <v>1</v>
      </c>
      <c r="BR135" s="138" t="s">
        <v>1</v>
      </c>
      <c r="BS135" s="138" t="s">
        <v>1</v>
      </c>
      <c r="BT135" s="138" t="s">
        <v>1</v>
      </c>
      <c r="BU135" s="138" t="s">
        <v>1</v>
      </c>
      <c r="BV135" s="138" t="s">
        <v>1</v>
      </c>
      <c r="BW135" s="138" t="s">
        <v>1</v>
      </c>
      <c r="BX135" s="138" t="s">
        <v>1</v>
      </c>
      <c r="BY135" s="138" t="s">
        <v>1</v>
      </c>
      <c r="BZ135" s="138" t="s">
        <v>1</v>
      </c>
      <c r="CA135" s="138" t="s">
        <v>1</v>
      </c>
      <c r="CB135" s="138" t="s">
        <v>1</v>
      </c>
      <c r="CC135" s="138" t="s">
        <v>1</v>
      </c>
      <c r="CD135" s="138" t="s">
        <v>1</v>
      </c>
      <c r="CE135" s="138" t="s">
        <v>1</v>
      </c>
      <c r="CF135" s="138" t="s">
        <v>1</v>
      </c>
      <c r="CG135" s="138" t="s">
        <v>1</v>
      </c>
    </row>
    <row r="136" ht="25" customHeight="1" spans="1:85">
      <c r="A136" s="1" t="s">
        <v>1</v>
      </c>
      <c r="B136" s="1" t="s">
        <v>1</v>
      </c>
      <c r="C136" s="1" t="s">
        <v>1</v>
      </c>
      <c r="D136" s="1" t="s">
        <v>1</v>
      </c>
      <c r="E136" s="1" t="s">
        <v>1</v>
      </c>
      <c r="F136" s="1" t="s">
        <v>1</v>
      </c>
      <c r="G136" s="130" t="s">
        <v>1</v>
      </c>
      <c r="H136" s="130" t="s">
        <v>1</v>
      </c>
      <c r="I136" s="130" t="s">
        <v>1</v>
      </c>
      <c r="J136" s="130" t="s">
        <v>1</v>
      </c>
      <c r="K136" s="130" t="s">
        <v>1</v>
      </c>
      <c r="L136" s="181" t="s">
        <v>1</v>
      </c>
      <c r="M136" s="130" t="s">
        <v>1</v>
      </c>
      <c r="N136" s="130" t="s">
        <v>1</v>
      </c>
      <c r="O136" s="130" t="s">
        <v>1</v>
      </c>
      <c r="P136" s="130" t="s">
        <v>1</v>
      </c>
      <c r="Q136" s="130" t="s">
        <v>1</v>
      </c>
      <c r="R136" s="130" t="s">
        <v>1</v>
      </c>
      <c r="S136" s="130" t="s">
        <v>1</v>
      </c>
      <c r="T136" s="130" t="s">
        <v>1</v>
      </c>
      <c r="U136" s="130" t="s">
        <v>1</v>
      </c>
      <c r="V136" s="130" t="s">
        <v>1</v>
      </c>
      <c r="W136" s="130" t="s">
        <v>1</v>
      </c>
      <c r="X136" s="126" t="s">
        <v>1</v>
      </c>
      <c r="Y136" s="126" t="s">
        <v>1</v>
      </c>
      <c r="Z136" s="126" t="s">
        <v>1</v>
      </c>
      <c r="AA136" s="126" t="s">
        <v>1</v>
      </c>
      <c r="AB136" s="126" t="s">
        <v>1</v>
      </c>
      <c r="AC136" s="126" t="s">
        <v>1</v>
      </c>
      <c r="AD136" s="126" t="s">
        <v>1</v>
      </c>
      <c r="AE136" s="126" t="s">
        <v>1</v>
      </c>
      <c r="AF136" s="126" t="s">
        <v>1</v>
      </c>
      <c r="AG136" s="126" t="s">
        <v>1</v>
      </c>
      <c r="AH136" s="126" t="s">
        <v>1</v>
      </c>
      <c r="AI136" s="126" t="s">
        <v>1</v>
      </c>
      <c r="AJ136" s="126" t="s">
        <v>1</v>
      </c>
      <c r="AK136" s="126" t="s">
        <v>1</v>
      </c>
      <c r="AL136" s="126" t="s">
        <v>1</v>
      </c>
      <c r="AM136" s="126" t="s">
        <v>1</v>
      </c>
      <c r="AN136" s="126" t="s">
        <v>1</v>
      </c>
      <c r="AO136" s="126" t="s">
        <v>1</v>
      </c>
      <c r="AP136" s="126" t="s">
        <v>1</v>
      </c>
      <c r="AQ136" s="126" t="s">
        <v>1</v>
      </c>
      <c r="AR136" s="126" t="s">
        <v>1</v>
      </c>
      <c r="AS136" s="126" t="s">
        <v>1</v>
      </c>
      <c r="AT136" s="126" t="s">
        <v>1</v>
      </c>
      <c r="AU136" s="126" t="s">
        <v>1</v>
      </c>
      <c r="AV136" s="126" t="s">
        <v>1</v>
      </c>
      <c r="AW136" s="126" t="s">
        <v>1</v>
      </c>
      <c r="AX136" s="126" t="s">
        <v>1</v>
      </c>
      <c r="AY136" s="126" t="s">
        <v>1</v>
      </c>
      <c r="AZ136" s="126" t="s">
        <v>1</v>
      </c>
      <c r="BA136" s="126" t="s">
        <v>1</v>
      </c>
      <c r="BB136" s="126" t="s">
        <v>1</v>
      </c>
      <c r="BC136" s="126" t="s">
        <v>1</v>
      </c>
      <c r="BD136" s="126" t="s">
        <v>1</v>
      </c>
      <c r="BE136" s="126" t="s">
        <v>1</v>
      </c>
      <c r="BF136" s="126" t="s">
        <v>1</v>
      </c>
      <c r="BG136" s="126" t="s">
        <v>1</v>
      </c>
      <c r="BH136" s="126" t="s">
        <v>1</v>
      </c>
      <c r="BI136" s="137" t="s">
        <v>1</v>
      </c>
      <c r="BJ136" s="137" t="s">
        <v>1</v>
      </c>
      <c r="BK136" s="137" t="s">
        <v>1</v>
      </c>
      <c r="BL136" s="137" t="s">
        <v>1</v>
      </c>
      <c r="BM136" s="137" t="s">
        <v>1</v>
      </c>
      <c r="BN136" s="137" t="s">
        <v>1</v>
      </c>
      <c r="BO136" s="137" t="s">
        <v>1</v>
      </c>
      <c r="BP136" s="137" t="s">
        <v>1</v>
      </c>
      <c r="BQ136" s="137" t="s">
        <v>1</v>
      </c>
      <c r="BR136" s="138" t="s">
        <v>1</v>
      </c>
      <c r="BS136" s="138" t="s">
        <v>1</v>
      </c>
      <c r="BT136" s="138" t="s">
        <v>1</v>
      </c>
      <c r="BU136" s="138" t="s">
        <v>1</v>
      </c>
      <c r="BV136" s="138" t="s">
        <v>1</v>
      </c>
      <c r="BW136" s="138" t="s">
        <v>1</v>
      </c>
      <c r="BX136" s="138" t="s">
        <v>1</v>
      </c>
      <c r="BY136" s="138" t="s">
        <v>1</v>
      </c>
      <c r="BZ136" s="138" t="s">
        <v>1</v>
      </c>
      <c r="CA136" s="138" t="s">
        <v>1</v>
      </c>
      <c r="CB136" s="138" t="s">
        <v>1</v>
      </c>
      <c r="CC136" s="138" t="s">
        <v>1</v>
      </c>
      <c r="CD136" s="138" t="s">
        <v>1</v>
      </c>
      <c r="CE136" s="138" t="s">
        <v>1</v>
      </c>
      <c r="CF136" s="138" t="s">
        <v>1</v>
      </c>
      <c r="CG136" s="138" t="s">
        <v>1</v>
      </c>
    </row>
    <row r="137" ht="25" customHeight="1" spans="1:85">
      <c r="A137" s="1" t="s">
        <v>1</v>
      </c>
      <c r="B137" s="1" t="s">
        <v>1</v>
      </c>
      <c r="C137" s="1" t="s">
        <v>1</v>
      </c>
      <c r="D137" s="1" t="s">
        <v>1</v>
      </c>
      <c r="E137" s="1" t="s">
        <v>1</v>
      </c>
      <c r="F137" s="1" t="s">
        <v>1</v>
      </c>
      <c r="G137" s="130" t="s">
        <v>1</v>
      </c>
      <c r="H137" s="130" t="s">
        <v>1</v>
      </c>
      <c r="I137" s="130" t="s">
        <v>1</v>
      </c>
      <c r="J137" s="130" t="s">
        <v>1</v>
      </c>
      <c r="K137" s="130" t="s">
        <v>1</v>
      </c>
      <c r="L137" s="181" t="s">
        <v>1</v>
      </c>
      <c r="M137" s="130" t="s">
        <v>1</v>
      </c>
      <c r="N137" s="130" t="s">
        <v>1</v>
      </c>
      <c r="O137" s="130" t="s">
        <v>1</v>
      </c>
      <c r="P137" s="130" t="s">
        <v>1</v>
      </c>
      <c r="Q137" s="130" t="s">
        <v>1</v>
      </c>
      <c r="R137" s="130" t="s">
        <v>1</v>
      </c>
      <c r="S137" s="130" t="s">
        <v>1</v>
      </c>
      <c r="T137" s="130" t="s">
        <v>1</v>
      </c>
      <c r="U137" s="130" t="s">
        <v>1</v>
      </c>
      <c r="V137" s="130" t="s">
        <v>1</v>
      </c>
      <c r="W137" s="130" t="s">
        <v>1</v>
      </c>
      <c r="X137" s="126" t="s">
        <v>1</v>
      </c>
      <c r="Y137" s="126" t="s">
        <v>1</v>
      </c>
      <c r="Z137" s="126" t="s">
        <v>1</v>
      </c>
      <c r="AA137" s="126" t="s">
        <v>1</v>
      </c>
      <c r="AB137" s="126" t="s">
        <v>1</v>
      </c>
      <c r="AC137" s="126" t="s">
        <v>1</v>
      </c>
      <c r="AD137" s="126" t="s">
        <v>1</v>
      </c>
      <c r="AE137" s="126" t="s">
        <v>1</v>
      </c>
      <c r="AF137" s="126" t="s">
        <v>1</v>
      </c>
      <c r="AG137" s="126" t="s">
        <v>1</v>
      </c>
      <c r="AH137" s="126" t="s">
        <v>1</v>
      </c>
      <c r="AI137" s="126" t="s">
        <v>1</v>
      </c>
      <c r="AJ137" s="126" t="s">
        <v>1</v>
      </c>
      <c r="AK137" s="126" t="s">
        <v>1</v>
      </c>
      <c r="AL137" s="126" t="s">
        <v>1</v>
      </c>
      <c r="AM137" s="126" t="s">
        <v>1</v>
      </c>
      <c r="AN137" s="126" t="s">
        <v>1</v>
      </c>
      <c r="AO137" s="126" t="s">
        <v>1</v>
      </c>
      <c r="AP137" s="126" t="s">
        <v>1</v>
      </c>
      <c r="AQ137" s="126" t="s">
        <v>1</v>
      </c>
      <c r="AR137" s="126" t="s">
        <v>1</v>
      </c>
      <c r="AS137" s="126" t="s">
        <v>1</v>
      </c>
      <c r="AT137" s="126" t="s">
        <v>1</v>
      </c>
      <c r="AU137" s="126" t="s">
        <v>1</v>
      </c>
      <c r="AV137" s="126" t="s">
        <v>1</v>
      </c>
      <c r="AW137" s="126" t="s">
        <v>1</v>
      </c>
      <c r="AX137" s="126" t="s">
        <v>1</v>
      </c>
      <c r="AY137" s="126" t="s">
        <v>1</v>
      </c>
      <c r="AZ137" s="126" t="s">
        <v>1</v>
      </c>
      <c r="BA137" s="126" t="s">
        <v>1</v>
      </c>
      <c r="BB137" s="126" t="s">
        <v>1</v>
      </c>
      <c r="BC137" s="126" t="s">
        <v>1</v>
      </c>
      <c r="BD137" s="126" t="s">
        <v>1</v>
      </c>
      <c r="BE137" s="126" t="s">
        <v>1</v>
      </c>
      <c r="BF137" s="126" t="s">
        <v>1</v>
      </c>
      <c r="BG137" s="126" t="s">
        <v>1</v>
      </c>
      <c r="BH137" s="126" t="s">
        <v>1</v>
      </c>
      <c r="BI137" s="137" t="s">
        <v>1</v>
      </c>
      <c r="BJ137" s="137" t="s">
        <v>1</v>
      </c>
      <c r="BK137" s="137" t="s">
        <v>1</v>
      </c>
      <c r="BL137" s="137" t="s">
        <v>1</v>
      </c>
      <c r="BM137" s="137" t="s">
        <v>1</v>
      </c>
      <c r="BN137" s="137" t="s">
        <v>1</v>
      </c>
      <c r="BO137" s="137" t="s">
        <v>1</v>
      </c>
      <c r="BP137" s="137" t="s">
        <v>1</v>
      </c>
      <c r="BQ137" s="137" t="s">
        <v>1</v>
      </c>
      <c r="BR137" s="138" t="s">
        <v>1</v>
      </c>
      <c r="BS137" s="138" t="s">
        <v>1</v>
      </c>
      <c r="BT137" s="138" t="s">
        <v>1</v>
      </c>
      <c r="BU137" s="138" t="s">
        <v>1</v>
      </c>
      <c r="BV137" s="138" t="s">
        <v>1</v>
      </c>
      <c r="BW137" s="138" t="s">
        <v>1</v>
      </c>
      <c r="BX137" s="138" t="s">
        <v>1</v>
      </c>
      <c r="BY137" s="138" t="s">
        <v>1</v>
      </c>
      <c r="BZ137" s="138" t="s">
        <v>1</v>
      </c>
      <c r="CA137" s="138" t="s">
        <v>1</v>
      </c>
      <c r="CB137" s="138" t="s">
        <v>1</v>
      </c>
      <c r="CC137" s="138" t="s">
        <v>1</v>
      </c>
      <c r="CD137" s="138" t="s">
        <v>1</v>
      </c>
      <c r="CE137" s="138" t="s">
        <v>1</v>
      </c>
      <c r="CF137" s="138" t="s">
        <v>1</v>
      </c>
      <c r="CG137" s="138" t="s">
        <v>1</v>
      </c>
    </row>
    <row r="138" ht="25" customHeight="1" spans="1:85">
      <c r="A138" s="1" t="s">
        <v>1</v>
      </c>
      <c r="B138" s="1" t="s">
        <v>1</v>
      </c>
      <c r="C138" s="1" t="s">
        <v>1</v>
      </c>
      <c r="D138" s="1" t="s">
        <v>1</v>
      </c>
      <c r="E138" s="1" t="s">
        <v>1</v>
      </c>
      <c r="F138" s="1" t="s">
        <v>1</v>
      </c>
      <c r="G138" s="130" t="s">
        <v>1</v>
      </c>
      <c r="H138" s="130" t="s">
        <v>1</v>
      </c>
      <c r="I138" s="130" t="s">
        <v>1</v>
      </c>
      <c r="J138" s="130" t="s">
        <v>1</v>
      </c>
      <c r="K138" s="130" t="s">
        <v>1</v>
      </c>
      <c r="L138" s="181" t="s">
        <v>1</v>
      </c>
      <c r="M138" s="130" t="s">
        <v>1</v>
      </c>
      <c r="N138" s="130" t="s">
        <v>1</v>
      </c>
      <c r="O138" s="130" t="s">
        <v>1</v>
      </c>
      <c r="P138" s="130" t="s">
        <v>1</v>
      </c>
      <c r="Q138" s="130" t="s">
        <v>1</v>
      </c>
      <c r="R138" s="130" t="s">
        <v>1</v>
      </c>
      <c r="S138" s="130" t="s">
        <v>1</v>
      </c>
      <c r="T138" s="130" t="s">
        <v>1</v>
      </c>
      <c r="U138" s="130" t="s">
        <v>1</v>
      </c>
      <c r="V138" s="130" t="s">
        <v>1</v>
      </c>
      <c r="W138" s="130" t="s">
        <v>1</v>
      </c>
      <c r="X138" s="126" t="s">
        <v>1</v>
      </c>
      <c r="Y138" s="126" t="s">
        <v>1</v>
      </c>
      <c r="Z138" s="126" t="s">
        <v>1</v>
      </c>
      <c r="AA138" s="126" t="s">
        <v>1</v>
      </c>
      <c r="AB138" s="126" t="s">
        <v>1</v>
      </c>
      <c r="AC138" s="126" t="s">
        <v>1</v>
      </c>
      <c r="AD138" s="126" t="s">
        <v>1</v>
      </c>
      <c r="AE138" s="126" t="s">
        <v>1</v>
      </c>
      <c r="AF138" s="126" t="s">
        <v>1</v>
      </c>
      <c r="AG138" s="126" t="s">
        <v>1</v>
      </c>
      <c r="AH138" s="126" t="s">
        <v>1</v>
      </c>
      <c r="AI138" s="126" t="s">
        <v>1</v>
      </c>
      <c r="AJ138" s="126" t="s">
        <v>1</v>
      </c>
      <c r="AK138" s="126" t="s">
        <v>1</v>
      </c>
      <c r="AL138" s="126" t="s">
        <v>1</v>
      </c>
      <c r="AM138" s="126" t="s">
        <v>1</v>
      </c>
      <c r="AN138" s="126" t="s">
        <v>1</v>
      </c>
      <c r="AO138" s="126" t="s">
        <v>1</v>
      </c>
      <c r="AP138" s="126" t="s">
        <v>1</v>
      </c>
      <c r="AQ138" s="126" t="s">
        <v>1</v>
      </c>
      <c r="AR138" s="126" t="s">
        <v>1</v>
      </c>
      <c r="AS138" s="126" t="s">
        <v>1</v>
      </c>
      <c r="AT138" s="126" t="s">
        <v>1</v>
      </c>
      <c r="AU138" s="126" t="s">
        <v>1</v>
      </c>
      <c r="AV138" s="126" t="s">
        <v>1</v>
      </c>
      <c r="AW138" s="126" t="s">
        <v>1</v>
      </c>
      <c r="AX138" s="126" t="s">
        <v>1</v>
      </c>
      <c r="AY138" s="126" t="s">
        <v>1</v>
      </c>
      <c r="AZ138" s="126" t="s">
        <v>1</v>
      </c>
      <c r="BA138" s="126" t="s">
        <v>1</v>
      </c>
      <c r="BB138" s="126" t="s">
        <v>1</v>
      </c>
      <c r="BC138" s="126" t="s">
        <v>1</v>
      </c>
      <c r="BD138" s="126" t="s">
        <v>1</v>
      </c>
      <c r="BE138" s="126" t="s">
        <v>1</v>
      </c>
      <c r="BF138" s="126" t="s">
        <v>1</v>
      </c>
      <c r="BG138" s="126" t="s">
        <v>1</v>
      </c>
      <c r="BH138" s="126" t="s">
        <v>1</v>
      </c>
      <c r="BI138" s="137" t="s">
        <v>1</v>
      </c>
      <c r="BJ138" s="137" t="s">
        <v>1</v>
      </c>
      <c r="BK138" s="137" t="s">
        <v>1</v>
      </c>
      <c r="BL138" s="137" t="s">
        <v>1</v>
      </c>
      <c r="BM138" s="137" t="s">
        <v>1</v>
      </c>
      <c r="BN138" s="137" t="s">
        <v>1</v>
      </c>
      <c r="BO138" s="137" t="s">
        <v>1</v>
      </c>
      <c r="BP138" s="137" t="s">
        <v>1</v>
      </c>
      <c r="BQ138" s="137" t="s">
        <v>1</v>
      </c>
      <c r="BR138" s="138" t="s">
        <v>1</v>
      </c>
      <c r="BS138" s="138" t="s">
        <v>1</v>
      </c>
      <c r="BT138" s="138" t="s">
        <v>1</v>
      </c>
      <c r="BU138" s="138" t="s">
        <v>1</v>
      </c>
      <c r="BV138" s="138" t="s">
        <v>1</v>
      </c>
      <c r="BW138" s="138" t="s">
        <v>1</v>
      </c>
      <c r="BX138" s="138" t="s">
        <v>1</v>
      </c>
      <c r="BY138" s="138" t="s">
        <v>1</v>
      </c>
      <c r="BZ138" s="138" t="s">
        <v>1</v>
      </c>
      <c r="CA138" s="138" t="s">
        <v>1</v>
      </c>
      <c r="CB138" s="138" t="s">
        <v>1</v>
      </c>
      <c r="CC138" s="138" t="s">
        <v>1</v>
      </c>
      <c r="CD138" s="138" t="s">
        <v>1</v>
      </c>
      <c r="CE138" s="138" t="s">
        <v>1</v>
      </c>
      <c r="CF138" s="138" t="s">
        <v>1</v>
      </c>
      <c r="CG138" s="138" t="s">
        <v>1</v>
      </c>
    </row>
    <row r="139" ht="25" customHeight="1" spans="1:85">
      <c r="A139" s="1" t="s">
        <v>1</v>
      </c>
      <c r="B139" s="1" t="s">
        <v>1</v>
      </c>
      <c r="C139" s="1" t="s">
        <v>1</v>
      </c>
      <c r="D139" s="1" t="s">
        <v>1</v>
      </c>
      <c r="E139" s="1" t="s">
        <v>1</v>
      </c>
      <c r="F139" s="1" t="s">
        <v>1</v>
      </c>
      <c r="G139" s="130" t="s">
        <v>1</v>
      </c>
      <c r="H139" s="130" t="s">
        <v>1</v>
      </c>
      <c r="I139" s="130" t="s">
        <v>1</v>
      </c>
      <c r="J139" s="130" t="s">
        <v>1</v>
      </c>
      <c r="K139" s="130" t="s">
        <v>1</v>
      </c>
      <c r="L139" s="181" t="s">
        <v>1</v>
      </c>
      <c r="M139" s="130" t="s">
        <v>1</v>
      </c>
      <c r="N139" s="130" t="s">
        <v>1</v>
      </c>
      <c r="O139" s="130" t="s">
        <v>1</v>
      </c>
      <c r="P139" s="130" t="s">
        <v>1</v>
      </c>
      <c r="Q139" s="130" t="s">
        <v>1</v>
      </c>
      <c r="R139" s="130" t="s">
        <v>1</v>
      </c>
      <c r="S139" s="130" t="s">
        <v>1</v>
      </c>
      <c r="T139" s="130" t="s">
        <v>1</v>
      </c>
      <c r="U139" s="130" t="s">
        <v>1</v>
      </c>
      <c r="V139" s="130" t="s">
        <v>1</v>
      </c>
      <c r="W139" s="130" t="s">
        <v>1</v>
      </c>
      <c r="X139" s="126" t="s">
        <v>1</v>
      </c>
      <c r="Y139" s="126" t="s">
        <v>1</v>
      </c>
      <c r="Z139" s="126" t="s">
        <v>1</v>
      </c>
      <c r="AA139" s="126" t="s">
        <v>1</v>
      </c>
      <c r="AB139" s="126" t="s">
        <v>1</v>
      </c>
      <c r="AC139" s="126" t="s">
        <v>1</v>
      </c>
      <c r="AD139" s="126" t="s">
        <v>1</v>
      </c>
      <c r="AE139" s="126" t="s">
        <v>1</v>
      </c>
      <c r="AF139" s="126" t="s">
        <v>1</v>
      </c>
      <c r="AG139" s="126" t="s">
        <v>1</v>
      </c>
      <c r="AH139" s="126" t="s">
        <v>1</v>
      </c>
      <c r="AI139" s="126" t="s">
        <v>1</v>
      </c>
      <c r="AJ139" s="126" t="s">
        <v>1</v>
      </c>
      <c r="AK139" s="126" t="s">
        <v>1</v>
      </c>
      <c r="AL139" s="126" t="s">
        <v>1</v>
      </c>
      <c r="AM139" s="126" t="s">
        <v>1</v>
      </c>
      <c r="AN139" s="126" t="s">
        <v>1</v>
      </c>
      <c r="AO139" s="126" t="s">
        <v>1</v>
      </c>
      <c r="AP139" s="126" t="s">
        <v>1</v>
      </c>
      <c r="AQ139" s="126" t="s">
        <v>1</v>
      </c>
      <c r="AR139" s="126" t="s">
        <v>1</v>
      </c>
      <c r="AS139" s="126" t="s">
        <v>1</v>
      </c>
      <c r="AT139" s="126" t="s">
        <v>1</v>
      </c>
      <c r="AU139" s="126" t="s">
        <v>1</v>
      </c>
      <c r="AV139" s="126" t="s">
        <v>1</v>
      </c>
      <c r="AW139" s="126" t="s">
        <v>1</v>
      </c>
      <c r="AX139" s="126" t="s">
        <v>1</v>
      </c>
      <c r="AY139" s="126" t="s">
        <v>1</v>
      </c>
      <c r="AZ139" s="126" t="s">
        <v>1</v>
      </c>
      <c r="BA139" s="126" t="s">
        <v>1</v>
      </c>
      <c r="BB139" s="126" t="s">
        <v>1</v>
      </c>
      <c r="BC139" s="126" t="s">
        <v>1</v>
      </c>
      <c r="BD139" s="126" t="s">
        <v>1</v>
      </c>
      <c r="BE139" s="126" t="s">
        <v>1</v>
      </c>
      <c r="BF139" s="126" t="s">
        <v>1</v>
      </c>
      <c r="BG139" s="126" t="s">
        <v>1</v>
      </c>
      <c r="BH139" s="126" t="s">
        <v>1</v>
      </c>
      <c r="BI139" s="137" t="s">
        <v>1</v>
      </c>
      <c r="BJ139" s="137" t="s">
        <v>1</v>
      </c>
      <c r="BK139" s="137" t="s">
        <v>1</v>
      </c>
      <c r="BL139" s="137" t="s">
        <v>1</v>
      </c>
      <c r="BM139" s="137" t="s">
        <v>1</v>
      </c>
      <c r="BN139" s="137" t="s">
        <v>1</v>
      </c>
      <c r="BO139" s="137" t="s">
        <v>1</v>
      </c>
      <c r="BP139" s="137" t="s">
        <v>1</v>
      </c>
      <c r="BQ139" s="137" t="s">
        <v>1</v>
      </c>
      <c r="BR139" s="138" t="s">
        <v>1</v>
      </c>
      <c r="BS139" s="138" t="s">
        <v>1</v>
      </c>
      <c r="BT139" s="138" t="s">
        <v>1</v>
      </c>
      <c r="BU139" s="138" t="s">
        <v>1</v>
      </c>
      <c r="BV139" s="138" t="s">
        <v>1</v>
      </c>
      <c r="BW139" s="138" t="s">
        <v>1</v>
      </c>
      <c r="BX139" s="138" t="s">
        <v>1</v>
      </c>
      <c r="BY139" s="138" t="s">
        <v>1</v>
      </c>
      <c r="BZ139" s="138" t="s">
        <v>1</v>
      </c>
      <c r="CA139" s="138" t="s">
        <v>1</v>
      </c>
      <c r="CB139" s="138" t="s">
        <v>1</v>
      </c>
      <c r="CC139" s="138" t="s">
        <v>1</v>
      </c>
      <c r="CD139" s="138" t="s">
        <v>1</v>
      </c>
      <c r="CE139" s="138" t="s">
        <v>1</v>
      </c>
      <c r="CF139" s="138" t="s">
        <v>1</v>
      </c>
      <c r="CG139" s="138" t="s">
        <v>1</v>
      </c>
    </row>
    <row r="140" ht="25" customHeight="1" spans="1:85">
      <c r="A140" s="1" t="s">
        <v>1</v>
      </c>
      <c r="B140" s="1" t="s">
        <v>1</v>
      </c>
      <c r="C140" s="1" t="s">
        <v>1</v>
      </c>
      <c r="D140" s="1" t="s">
        <v>1</v>
      </c>
      <c r="E140" s="1" t="s">
        <v>1</v>
      </c>
      <c r="F140" s="1" t="s">
        <v>1</v>
      </c>
      <c r="G140" s="130" t="s">
        <v>1</v>
      </c>
      <c r="H140" s="130" t="s">
        <v>1</v>
      </c>
      <c r="I140" s="130" t="s">
        <v>1</v>
      </c>
      <c r="J140" s="130" t="s">
        <v>1</v>
      </c>
      <c r="K140" s="130" t="s">
        <v>1</v>
      </c>
      <c r="L140" s="181" t="s">
        <v>1</v>
      </c>
      <c r="M140" s="130" t="s">
        <v>1</v>
      </c>
      <c r="N140" s="130" t="s">
        <v>1</v>
      </c>
      <c r="O140" s="130" t="s">
        <v>1</v>
      </c>
      <c r="P140" s="130" t="s">
        <v>1</v>
      </c>
      <c r="Q140" s="130" t="s">
        <v>1</v>
      </c>
      <c r="R140" s="130" t="s">
        <v>1</v>
      </c>
      <c r="S140" s="130" t="s">
        <v>1</v>
      </c>
      <c r="T140" s="130" t="s">
        <v>1</v>
      </c>
      <c r="U140" s="130" t="s">
        <v>1</v>
      </c>
      <c r="V140" s="130" t="s">
        <v>1</v>
      </c>
      <c r="W140" s="130" t="s">
        <v>1</v>
      </c>
      <c r="X140" s="126" t="s">
        <v>1</v>
      </c>
      <c r="Y140" s="126" t="s">
        <v>1</v>
      </c>
      <c r="Z140" s="126" t="s">
        <v>1</v>
      </c>
      <c r="AA140" s="126" t="s">
        <v>1</v>
      </c>
      <c r="AB140" s="126" t="s">
        <v>1</v>
      </c>
      <c r="AC140" s="126" t="s">
        <v>1</v>
      </c>
      <c r="AD140" s="126" t="s">
        <v>1</v>
      </c>
      <c r="AE140" s="126" t="s">
        <v>1</v>
      </c>
      <c r="AF140" s="126" t="s">
        <v>1</v>
      </c>
      <c r="AG140" s="126" t="s">
        <v>1</v>
      </c>
      <c r="AH140" s="126" t="s">
        <v>1</v>
      </c>
      <c r="AI140" s="126" t="s">
        <v>1</v>
      </c>
      <c r="AJ140" s="126" t="s">
        <v>1</v>
      </c>
      <c r="AK140" s="126" t="s">
        <v>1</v>
      </c>
      <c r="AL140" s="126" t="s">
        <v>1</v>
      </c>
      <c r="AM140" s="126" t="s">
        <v>1</v>
      </c>
      <c r="AN140" s="126" t="s">
        <v>1</v>
      </c>
      <c r="AO140" s="126" t="s">
        <v>1</v>
      </c>
      <c r="AP140" s="126" t="s">
        <v>1</v>
      </c>
      <c r="AQ140" s="126" t="s">
        <v>1</v>
      </c>
      <c r="AR140" s="126" t="s">
        <v>1</v>
      </c>
      <c r="AS140" s="126" t="s">
        <v>1</v>
      </c>
      <c r="AT140" s="126" t="s">
        <v>1</v>
      </c>
      <c r="AU140" s="126" t="s">
        <v>1</v>
      </c>
      <c r="AV140" s="126" t="s">
        <v>1</v>
      </c>
      <c r="AW140" s="126" t="s">
        <v>1</v>
      </c>
      <c r="AX140" s="126" t="s">
        <v>1</v>
      </c>
      <c r="AY140" s="126" t="s">
        <v>1</v>
      </c>
      <c r="AZ140" s="126" t="s">
        <v>1</v>
      </c>
      <c r="BA140" s="126" t="s">
        <v>1</v>
      </c>
      <c r="BB140" s="126" t="s">
        <v>1</v>
      </c>
      <c r="BC140" s="126" t="s">
        <v>1</v>
      </c>
      <c r="BD140" s="126" t="s">
        <v>1</v>
      </c>
      <c r="BE140" s="126" t="s">
        <v>1</v>
      </c>
      <c r="BF140" s="126" t="s">
        <v>1</v>
      </c>
      <c r="BG140" s="126" t="s">
        <v>1</v>
      </c>
      <c r="BH140" s="126" t="s">
        <v>1</v>
      </c>
      <c r="BI140" s="137" t="s">
        <v>1</v>
      </c>
      <c r="BJ140" s="137" t="s">
        <v>1</v>
      </c>
      <c r="BK140" s="137" t="s">
        <v>1</v>
      </c>
      <c r="BL140" s="137" t="s">
        <v>1</v>
      </c>
      <c r="BM140" s="137" t="s">
        <v>1</v>
      </c>
      <c r="BN140" s="137" t="s">
        <v>1</v>
      </c>
      <c r="BO140" s="137" t="s">
        <v>1</v>
      </c>
      <c r="BP140" s="137" t="s">
        <v>1</v>
      </c>
      <c r="BQ140" s="137" t="s">
        <v>1</v>
      </c>
      <c r="BR140" s="138" t="s">
        <v>1</v>
      </c>
      <c r="BS140" s="138" t="s">
        <v>1</v>
      </c>
      <c r="BT140" s="138" t="s">
        <v>1</v>
      </c>
      <c r="BU140" s="138" t="s">
        <v>1</v>
      </c>
      <c r="BV140" s="138" t="s">
        <v>1</v>
      </c>
      <c r="BW140" s="138" t="s">
        <v>1</v>
      </c>
      <c r="BX140" s="138" t="s">
        <v>1</v>
      </c>
      <c r="BY140" s="138" t="s">
        <v>1</v>
      </c>
      <c r="BZ140" s="138" t="s">
        <v>1</v>
      </c>
      <c r="CA140" s="138" t="s">
        <v>1</v>
      </c>
      <c r="CB140" s="138" t="s">
        <v>1</v>
      </c>
      <c r="CC140" s="138" t="s">
        <v>1</v>
      </c>
      <c r="CD140" s="138" t="s">
        <v>1</v>
      </c>
      <c r="CE140" s="138" t="s">
        <v>1</v>
      </c>
      <c r="CF140" s="138" t="s">
        <v>1</v>
      </c>
      <c r="CG140" s="138" t="s">
        <v>1</v>
      </c>
    </row>
    <row r="141" ht="25" customHeight="1" spans="1:85">
      <c r="A141" s="1" t="s">
        <v>1</v>
      </c>
      <c r="B141" s="1" t="s">
        <v>1</v>
      </c>
      <c r="C141" s="1" t="s">
        <v>1</v>
      </c>
      <c r="D141" s="1" t="s">
        <v>1</v>
      </c>
      <c r="E141" s="1" t="s">
        <v>1</v>
      </c>
      <c r="F141" s="1" t="s">
        <v>1</v>
      </c>
      <c r="G141" s="130" t="s">
        <v>1</v>
      </c>
      <c r="H141" s="130" t="s">
        <v>1</v>
      </c>
      <c r="I141" s="130" t="s">
        <v>1</v>
      </c>
      <c r="J141" s="130" t="s">
        <v>1</v>
      </c>
      <c r="K141" s="130" t="s">
        <v>1</v>
      </c>
      <c r="L141" s="181" t="s">
        <v>1</v>
      </c>
      <c r="M141" s="130" t="s">
        <v>1</v>
      </c>
      <c r="N141" s="130" t="s">
        <v>1</v>
      </c>
      <c r="O141" s="130" t="s">
        <v>1</v>
      </c>
      <c r="P141" s="130" t="s">
        <v>1</v>
      </c>
      <c r="Q141" s="130" t="s">
        <v>1</v>
      </c>
      <c r="R141" s="130" t="s">
        <v>1</v>
      </c>
      <c r="S141" s="130" t="s">
        <v>1</v>
      </c>
      <c r="T141" s="130" t="s">
        <v>1</v>
      </c>
      <c r="U141" s="130" t="s">
        <v>1</v>
      </c>
      <c r="V141" s="130" t="s">
        <v>1</v>
      </c>
      <c r="W141" s="130" t="s">
        <v>1</v>
      </c>
      <c r="X141" s="126" t="s">
        <v>1</v>
      </c>
      <c r="Y141" s="126" t="s">
        <v>1</v>
      </c>
      <c r="Z141" s="126" t="s">
        <v>1</v>
      </c>
      <c r="AA141" s="126" t="s">
        <v>1</v>
      </c>
      <c r="AB141" s="126" t="s">
        <v>1</v>
      </c>
      <c r="AC141" s="126" t="s">
        <v>1</v>
      </c>
      <c r="AD141" s="126" t="s">
        <v>1</v>
      </c>
      <c r="AE141" s="126" t="s">
        <v>1</v>
      </c>
      <c r="AF141" s="126" t="s">
        <v>1</v>
      </c>
      <c r="AG141" s="126" t="s">
        <v>1</v>
      </c>
      <c r="AH141" s="126" t="s">
        <v>1</v>
      </c>
      <c r="AI141" s="126" t="s">
        <v>1</v>
      </c>
      <c r="AJ141" s="126" t="s">
        <v>1</v>
      </c>
      <c r="AK141" s="126" t="s">
        <v>1</v>
      </c>
      <c r="AL141" s="126" t="s">
        <v>1</v>
      </c>
      <c r="AM141" s="126" t="s">
        <v>1</v>
      </c>
      <c r="AN141" s="126" t="s">
        <v>1</v>
      </c>
      <c r="AO141" s="126" t="s">
        <v>1</v>
      </c>
      <c r="AP141" s="126" t="s">
        <v>1</v>
      </c>
      <c r="AQ141" s="126" t="s">
        <v>1</v>
      </c>
      <c r="AR141" s="126" t="s">
        <v>1</v>
      </c>
      <c r="AS141" s="126" t="s">
        <v>1</v>
      </c>
      <c r="AT141" s="126" t="s">
        <v>1</v>
      </c>
      <c r="AU141" s="126" t="s">
        <v>1</v>
      </c>
      <c r="AV141" s="126" t="s">
        <v>1</v>
      </c>
      <c r="AW141" s="126" t="s">
        <v>1</v>
      </c>
      <c r="AX141" s="126" t="s">
        <v>1</v>
      </c>
      <c r="AY141" s="126" t="s">
        <v>1</v>
      </c>
      <c r="AZ141" s="126" t="s">
        <v>1</v>
      </c>
      <c r="BA141" s="126" t="s">
        <v>1</v>
      </c>
      <c r="BB141" s="126" t="s">
        <v>1</v>
      </c>
      <c r="BC141" s="126" t="s">
        <v>1</v>
      </c>
      <c r="BD141" s="126" t="s">
        <v>1</v>
      </c>
      <c r="BE141" s="126" t="s">
        <v>1</v>
      </c>
      <c r="BF141" s="126" t="s">
        <v>1</v>
      </c>
      <c r="BG141" s="126" t="s">
        <v>1</v>
      </c>
      <c r="BH141" s="126" t="s">
        <v>1</v>
      </c>
      <c r="BI141" s="137" t="s">
        <v>1</v>
      </c>
      <c r="BJ141" s="137" t="s">
        <v>1</v>
      </c>
      <c r="BK141" s="137" t="s">
        <v>1</v>
      </c>
      <c r="BL141" s="137" t="s">
        <v>1</v>
      </c>
      <c r="BM141" s="137" t="s">
        <v>1</v>
      </c>
      <c r="BN141" s="137" t="s">
        <v>1</v>
      </c>
      <c r="BO141" s="137" t="s">
        <v>1</v>
      </c>
      <c r="BP141" s="137" t="s">
        <v>1</v>
      </c>
      <c r="BQ141" s="137" t="s">
        <v>1</v>
      </c>
      <c r="BR141" s="138" t="s">
        <v>1</v>
      </c>
      <c r="BS141" s="138" t="s">
        <v>1</v>
      </c>
      <c r="BT141" s="138" t="s">
        <v>1</v>
      </c>
      <c r="BU141" s="138" t="s">
        <v>1</v>
      </c>
      <c r="BV141" s="138" t="s">
        <v>1</v>
      </c>
      <c r="BW141" s="138" t="s">
        <v>1</v>
      </c>
      <c r="BX141" s="138" t="s">
        <v>1</v>
      </c>
      <c r="BY141" s="138" t="s">
        <v>1</v>
      </c>
      <c r="BZ141" s="138" t="s">
        <v>1</v>
      </c>
      <c r="CA141" s="138" t="s">
        <v>1</v>
      </c>
      <c r="CB141" s="138" t="s">
        <v>1</v>
      </c>
      <c r="CC141" s="138" t="s">
        <v>1</v>
      </c>
      <c r="CD141" s="138" t="s">
        <v>1</v>
      </c>
      <c r="CE141" s="138" t="s">
        <v>1</v>
      </c>
      <c r="CF141" s="138" t="s">
        <v>1</v>
      </c>
      <c r="CG141" s="138" t="s">
        <v>1</v>
      </c>
    </row>
    <row r="142" ht="25" customHeight="1" spans="1:85">
      <c r="A142" s="1" t="s">
        <v>1</v>
      </c>
      <c r="B142" s="1" t="s">
        <v>1</v>
      </c>
      <c r="C142" s="1" t="s">
        <v>1</v>
      </c>
      <c r="D142" s="1" t="s">
        <v>1</v>
      </c>
      <c r="E142" s="1" t="s">
        <v>1</v>
      </c>
      <c r="F142" s="1" t="s">
        <v>1</v>
      </c>
      <c r="G142" s="130" t="s">
        <v>1</v>
      </c>
      <c r="H142" s="130" t="s">
        <v>1</v>
      </c>
      <c r="I142" s="130" t="s">
        <v>1</v>
      </c>
      <c r="J142" s="130" t="s">
        <v>1</v>
      </c>
      <c r="K142" s="130" t="s">
        <v>1</v>
      </c>
      <c r="L142" s="181" t="s">
        <v>1</v>
      </c>
      <c r="M142" s="130" t="s">
        <v>1</v>
      </c>
      <c r="N142" s="130" t="s">
        <v>1</v>
      </c>
      <c r="O142" s="130" t="s">
        <v>1</v>
      </c>
      <c r="P142" s="130" t="s">
        <v>1</v>
      </c>
      <c r="Q142" s="130" t="s">
        <v>1</v>
      </c>
      <c r="R142" s="130" t="s">
        <v>1</v>
      </c>
      <c r="S142" s="130" t="s">
        <v>1</v>
      </c>
      <c r="T142" s="130" t="s">
        <v>1</v>
      </c>
      <c r="U142" s="130" t="s">
        <v>1</v>
      </c>
      <c r="V142" s="130" t="s">
        <v>1</v>
      </c>
      <c r="W142" s="130" t="s">
        <v>1</v>
      </c>
      <c r="X142" s="126" t="s">
        <v>1</v>
      </c>
      <c r="Y142" s="126" t="s">
        <v>1</v>
      </c>
      <c r="Z142" s="126" t="s">
        <v>1</v>
      </c>
      <c r="AA142" s="126" t="s">
        <v>1</v>
      </c>
      <c r="AB142" s="126" t="s">
        <v>1</v>
      </c>
      <c r="AC142" s="126" t="s">
        <v>1</v>
      </c>
      <c r="AD142" s="126" t="s">
        <v>1</v>
      </c>
      <c r="AE142" s="126" t="s">
        <v>1</v>
      </c>
      <c r="AF142" s="126" t="s">
        <v>1</v>
      </c>
      <c r="AG142" s="126" t="s">
        <v>1</v>
      </c>
      <c r="AH142" s="126" t="s">
        <v>1</v>
      </c>
      <c r="AI142" s="126" t="s">
        <v>1</v>
      </c>
      <c r="AJ142" s="126" t="s">
        <v>1</v>
      </c>
      <c r="AK142" s="126" t="s">
        <v>1</v>
      </c>
      <c r="AL142" s="126" t="s">
        <v>1</v>
      </c>
      <c r="AM142" s="126" t="s">
        <v>1</v>
      </c>
      <c r="AN142" s="126" t="s">
        <v>1</v>
      </c>
      <c r="AO142" s="126" t="s">
        <v>1</v>
      </c>
      <c r="AP142" s="126" t="s">
        <v>1</v>
      </c>
      <c r="AQ142" s="126" t="s">
        <v>1</v>
      </c>
      <c r="AR142" s="126" t="s">
        <v>1</v>
      </c>
      <c r="AS142" s="126" t="s">
        <v>1</v>
      </c>
      <c r="AT142" s="126" t="s">
        <v>1</v>
      </c>
      <c r="AU142" s="126" t="s">
        <v>1</v>
      </c>
      <c r="AV142" s="126" t="s">
        <v>1</v>
      </c>
      <c r="AW142" s="126" t="s">
        <v>1</v>
      </c>
      <c r="AX142" s="126" t="s">
        <v>1</v>
      </c>
      <c r="AY142" s="126" t="s">
        <v>1</v>
      </c>
      <c r="AZ142" s="126" t="s">
        <v>1</v>
      </c>
      <c r="BA142" s="126" t="s">
        <v>1</v>
      </c>
      <c r="BB142" s="126" t="s">
        <v>1</v>
      </c>
      <c r="BC142" s="126" t="s">
        <v>1</v>
      </c>
      <c r="BD142" s="126" t="s">
        <v>1</v>
      </c>
      <c r="BE142" s="126" t="s">
        <v>1</v>
      </c>
      <c r="BF142" s="126" t="s">
        <v>1</v>
      </c>
      <c r="BG142" s="126" t="s">
        <v>1</v>
      </c>
      <c r="BH142" s="126" t="s">
        <v>1</v>
      </c>
      <c r="BI142" s="137" t="s">
        <v>1</v>
      </c>
      <c r="BJ142" s="137" t="s">
        <v>1</v>
      </c>
      <c r="BK142" s="137" t="s">
        <v>1</v>
      </c>
      <c r="BL142" s="137" t="s">
        <v>1</v>
      </c>
      <c r="BM142" s="137" t="s">
        <v>1</v>
      </c>
      <c r="BN142" s="137" t="s">
        <v>1</v>
      </c>
      <c r="BO142" s="137" t="s">
        <v>1</v>
      </c>
      <c r="BP142" s="137" t="s">
        <v>1</v>
      </c>
      <c r="BQ142" s="137" t="s">
        <v>1</v>
      </c>
      <c r="BR142" s="138" t="s">
        <v>1</v>
      </c>
      <c r="BS142" s="138" t="s">
        <v>1</v>
      </c>
      <c r="BT142" s="138" t="s">
        <v>1</v>
      </c>
      <c r="BU142" s="138" t="s">
        <v>1</v>
      </c>
      <c r="BV142" s="138" t="s">
        <v>1</v>
      </c>
      <c r="BW142" s="138" t="s">
        <v>1</v>
      </c>
      <c r="BX142" s="138" t="s">
        <v>1</v>
      </c>
      <c r="BY142" s="138" t="s">
        <v>1</v>
      </c>
      <c r="BZ142" s="138" t="s">
        <v>1</v>
      </c>
      <c r="CA142" s="138" t="s">
        <v>1</v>
      </c>
      <c r="CB142" s="138" t="s">
        <v>1</v>
      </c>
      <c r="CC142" s="138" t="s">
        <v>1</v>
      </c>
      <c r="CD142" s="138" t="s">
        <v>1</v>
      </c>
      <c r="CE142" s="138" t="s">
        <v>1</v>
      </c>
      <c r="CF142" s="138" t="s">
        <v>1</v>
      </c>
      <c r="CG142" s="138" t="s">
        <v>1</v>
      </c>
    </row>
    <row r="143" ht="25" customHeight="1" spans="1:85">
      <c r="A143" s="1" t="s">
        <v>1</v>
      </c>
      <c r="B143" s="1" t="s">
        <v>1</v>
      </c>
      <c r="C143" s="1" t="s">
        <v>1</v>
      </c>
      <c r="D143" s="1" t="s">
        <v>1</v>
      </c>
      <c r="E143" s="1" t="s">
        <v>1</v>
      </c>
      <c r="F143" s="1" t="s">
        <v>1</v>
      </c>
      <c r="G143" s="130" t="s">
        <v>1</v>
      </c>
      <c r="H143" s="130" t="s">
        <v>1</v>
      </c>
      <c r="I143" s="130" t="s">
        <v>1</v>
      </c>
      <c r="J143" s="130" t="s">
        <v>1</v>
      </c>
      <c r="K143" s="130" t="s">
        <v>1</v>
      </c>
      <c r="L143" s="181" t="s">
        <v>1</v>
      </c>
      <c r="M143" s="130" t="s">
        <v>1</v>
      </c>
      <c r="N143" s="130" t="s">
        <v>1</v>
      </c>
      <c r="O143" s="130" t="s">
        <v>1</v>
      </c>
      <c r="P143" s="130" t="s">
        <v>1</v>
      </c>
      <c r="Q143" s="130" t="s">
        <v>1</v>
      </c>
      <c r="R143" s="130" t="s">
        <v>1</v>
      </c>
      <c r="S143" s="130" t="s">
        <v>1</v>
      </c>
      <c r="T143" s="130" t="s">
        <v>1</v>
      </c>
      <c r="U143" s="130" t="s">
        <v>1</v>
      </c>
      <c r="V143" s="130" t="s">
        <v>1</v>
      </c>
      <c r="W143" s="130" t="s">
        <v>1</v>
      </c>
      <c r="X143" s="126" t="s">
        <v>1</v>
      </c>
      <c r="Y143" s="126" t="s">
        <v>1</v>
      </c>
      <c r="Z143" s="126" t="s">
        <v>1</v>
      </c>
      <c r="AA143" s="126" t="s">
        <v>1</v>
      </c>
      <c r="AB143" s="126" t="s">
        <v>1</v>
      </c>
      <c r="AC143" s="126" t="s">
        <v>1</v>
      </c>
      <c r="AD143" s="126" t="s">
        <v>1</v>
      </c>
      <c r="AE143" s="126" t="s">
        <v>1</v>
      </c>
      <c r="AF143" s="126" t="s">
        <v>1</v>
      </c>
      <c r="AG143" s="126" t="s">
        <v>1</v>
      </c>
      <c r="AH143" s="126" t="s">
        <v>1</v>
      </c>
      <c r="AI143" s="126" t="s">
        <v>1</v>
      </c>
      <c r="AJ143" s="126" t="s">
        <v>1</v>
      </c>
      <c r="AK143" s="126" t="s">
        <v>1</v>
      </c>
      <c r="AL143" s="126" t="s">
        <v>1</v>
      </c>
      <c r="AM143" s="126" t="s">
        <v>1</v>
      </c>
      <c r="AN143" s="126" t="s">
        <v>1</v>
      </c>
      <c r="AO143" s="126" t="s">
        <v>1</v>
      </c>
      <c r="AP143" s="126" t="s">
        <v>1</v>
      </c>
      <c r="AQ143" s="126" t="s">
        <v>1</v>
      </c>
      <c r="AR143" s="126" t="s">
        <v>1</v>
      </c>
      <c r="AS143" s="126" t="s">
        <v>1</v>
      </c>
      <c r="AT143" s="126" t="s">
        <v>1</v>
      </c>
      <c r="AU143" s="126" t="s">
        <v>1</v>
      </c>
      <c r="AV143" s="126" t="s">
        <v>1</v>
      </c>
      <c r="AW143" s="126" t="s">
        <v>1</v>
      </c>
      <c r="AX143" s="126" t="s">
        <v>1</v>
      </c>
      <c r="AY143" s="126" t="s">
        <v>1</v>
      </c>
      <c r="AZ143" s="126" t="s">
        <v>1</v>
      </c>
      <c r="BA143" s="126" t="s">
        <v>1</v>
      </c>
      <c r="BB143" s="126" t="s">
        <v>1</v>
      </c>
      <c r="BC143" s="126" t="s">
        <v>1</v>
      </c>
      <c r="BD143" s="126" t="s">
        <v>1</v>
      </c>
      <c r="BE143" s="126" t="s">
        <v>1</v>
      </c>
      <c r="BF143" s="126" t="s">
        <v>1</v>
      </c>
      <c r="BG143" s="126" t="s">
        <v>1</v>
      </c>
      <c r="BH143" s="126" t="s">
        <v>1</v>
      </c>
      <c r="BI143" s="137" t="s">
        <v>1</v>
      </c>
      <c r="BJ143" s="137" t="s">
        <v>1</v>
      </c>
      <c r="BK143" s="137" t="s">
        <v>1</v>
      </c>
      <c r="BL143" s="137" t="s">
        <v>1</v>
      </c>
      <c r="BM143" s="137" t="s">
        <v>1</v>
      </c>
      <c r="BN143" s="137" t="s">
        <v>1</v>
      </c>
      <c r="BO143" s="137" t="s">
        <v>1</v>
      </c>
      <c r="BP143" s="137" t="s">
        <v>1</v>
      </c>
      <c r="BQ143" s="137" t="s">
        <v>1</v>
      </c>
      <c r="BR143" s="138" t="s">
        <v>1</v>
      </c>
      <c r="BS143" s="138" t="s">
        <v>1</v>
      </c>
      <c r="BT143" s="138" t="s">
        <v>1</v>
      </c>
      <c r="BU143" s="138" t="s">
        <v>1</v>
      </c>
      <c r="BV143" s="138" t="s">
        <v>1</v>
      </c>
      <c r="BW143" s="138" t="s">
        <v>1</v>
      </c>
      <c r="BX143" s="138" t="s">
        <v>1</v>
      </c>
      <c r="BY143" s="138" t="s">
        <v>1</v>
      </c>
      <c r="BZ143" s="138" t="s">
        <v>1</v>
      </c>
      <c r="CA143" s="138" t="s">
        <v>1</v>
      </c>
      <c r="CB143" s="138" t="s">
        <v>1</v>
      </c>
      <c r="CC143" s="138" t="s">
        <v>1</v>
      </c>
      <c r="CD143" s="138" t="s">
        <v>1</v>
      </c>
      <c r="CE143" s="138" t="s">
        <v>1</v>
      </c>
      <c r="CF143" s="138" t="s">
        <v>1</v>
      </c>
      <c r="CG143" s="138" t="s">
        <v>1</v>
      </c>
    </row>
    <row r="144" ht="25" customHeight="1" spans="1:85">
      <c r="A144" s="1" t="s">
        <v>1</v>
      </c>
      <c r="B144" s="1" t="s">
        <v>1</v>
      </c>
      <c r="C144" s="1" t="s">
        <v>1</v>
      </c>
      <c r="D144" s="1" t="s">
        <v>1</v>
      </c>
      <c r="E144" s="1" t="s">
        <v>1</v>
      </c>
      <c r="F144" s="1" t="s">
        <v>1</v>
      </c>
      <c r="G144" s="130" t="s">
        <v>1</v>
      </c>
      <c r="H144" s="130" t="s">
        <v>1</v>
      </c>
      <c r="I144" s="130" t="s">
        <v>1</v>
      </c>
      <c r="J144" s="130" t="s">
        <v>1</v>
      </c>
      <c r="K144" s="130" t="s">
        <v>1</v>
      </c>
      <c r="L144" s="181" t="s">
        <v>1</v>
      </c>
      <c r="M144" s="130" t="s">
        <v>1</v>
      </c>
      <c r="N144" s="130" t="s">
        <v>1</v>
      </c>
      <c r="O144" s="130" t="s">
        <v>1</v>
      </c>
      <c r="P144" s="130" t="s">
        <v>1</v>
      </c>
      <c r="Q144" s="130" t="s">
        <v>1</v>
      </c>
      <c r="R144" s="130" t="s">
        <v>1</v>
      </c>
      <c r="S144" s="130" t="s">
        <v>1</v>
      </c>
      <c r="T144" s="130" t="s">
        <v>1</v>
      </c>
      <c r="U144" s="130" t="s">
        <v>1</v>
      </c>
      <c r="V144" s="130" t="s">
        <v>1</v>
      </c>
      <c r="W144" s="130" t="s">
        <v>1</v>
      </c>
      <c r="X144" s="126" t="s">
        <v>1</v>
      </c>
      <c r="Y144" s="126" t="s">
        <v>1</v>
      </c>
      <c r="Z144" s="126" t="s">
        <v>1</v>
      </c>
      <c r="AA144" s="126" t="s">
        <v>1</v>
      </c>
      <c r="AB144" s="126" t="s">
        <v>1</v>
      </c>
      <c r="AC144" s="126" t="s">
        <v>1</v>
      </c>
      <c r="AD144" s="126" t="s">
        <v>1</v>
      </c>
      <c r="AE144" s="126" t="s">
        <v>1</v>
      </c>
      <c r="AF144" s="126" t="s">
        <v>1</v>
      </c>
      <c r="AG144" s="126" t="s">
        <v>1</v>
      </c>
      <c r="AH144" s="126" t="s">
        <v>1</v>
      </c>
      <c r="AI144" s="126" t="s">
        <v>1</v>
      </c>
      <c r="AJ144" s="126" t="s">
        <v>1</v>
      </c>
      <c r="AK144" s="126" t="s">
        <v>1</v>
      </c>
      <c r="AL144" s="126" t="s">
        <v>1</v>
      </c>
      <c r="AM144" s="126" t="s">
        <v>1</v>
      </c>
      <c r="AN144" s="126" t="s">
        <v>1</v>
      </c>
      <c r="AO144" s="126" t="s">
        <v>1</v>
      </c>
      <c r="AP144" s="126" t="s">
        <v>1</v>
      </c>
      <c r="AQ144" s="126" t="s">
        <v>1</v>
      </c>
      <c r="AR144" s="126" t="s">
        <v>1</v>
      </c>
      <c r="AS144" s="126" t="s">
        <v>1</v>
      </c>
      <c r="AT144" s="126" t="s">
        <v>1</v>
      </c>
      <c r="AU144" s="126" t="s">
        <v>1</v>
      </c>
      <c r="AV144" s="126" t="s">
        <v>1</v>
      </c>
      <c r="AW144" s="126" t="s">
        <v>1</v>
      </c>
      <c r="AX144" s="126" t="s">
        <v>1</v>
      </c>
      <c r="AY144" s="126" t="s">
        <v>1</v>
      </c>
      <c r="AZ144" s="126" t="s">
        <v>1</v>
      </c>
      <c r="BA144" s="126" t="s">
        <v>1</v>
      </c>
      <c r="BB144" s="126" t="s">
        <v>1</v>
      </c>
      <c r="BC144" s="126" t="s">
        <v>1</v>
      </c>
      <c r="BD144" s="126" t="s">
        <v>1</v>
      </c>
      <c r="BE144" s="126" t="s">
        <v>1</v>
      </c>
      <c r="BF144" s="126" t="s">
        <v>1</v>
      </c>
      <c r="BG144" s="126" t="s">
        <v>1</v>
      </c>
      <c r="BH144" s="126" t="s">
        <v>1</v>
      </c>
      <c r="BI144" s="137" t="s">
        <v>1</v>
      </c>
      <c r="BJ144" s="137" t="s">
        <v>1</v>
      </c>
      <c r="BK144" s="137" t="s">
        <v>1</v>
      </c>
      <c r="BL144" s="137" t="s">
        <v>1</v>
      </c>
      <c r="BM144" s="137" t="s">
        <v>1</v>
      </c>
      <c r="BN144" s="137" t="s">
        <v>1</v>
      </c>
      <c r="BO144" s="137" t="s">
        <v>1</v>
      </c>
      <c r="BP144" s="137" t="s">
        <v>1</v>
      </c>
      <c r="BQ144" s="137" t="s">
        <v>1</v>
      </c>
      <c r="BR144" s="138" t="s">
        <v>1</v>
      </c>
      <c r="BS144" s="138" t="s">
        <v>1</v>
      </c>
      <c r="BT144" s="138" t="s">
        <v>1</v>
      </c>
      <c r="BU144" s="138" t="s">
        <v>1</v>
      </c>
      <c r="BV144" s="138" t="s">
        <v>1</v>
      </c>
      <c r="BW144" s="138" t="s">
        <v>1</v>
      </c>
      <c r="BX144" s="138" t="s">
        <v>1</v>
      </c>
      <c r="BY144" s="138" t="s">
        <v>1</v>
      </c>
      <c r="BZ144" s="138" t="s">
        <v>1</v>
      </c>
      <c r="CA144" s="138" t="s">
        <v>1</v>
      </c>
      <c r="CB144" s="138" t="s">
        <v>1</v>
      </c>
      <c r="CC144" s="138" t="s">
        <v>1</v>
      </c>
      <c r="CD144" s="138" t="s">
        <v>1</v>
      </c>
      <c r="CE144" s="138" t="s">
        <v>1</v>
      </c>
      <c r="CF144" s="138" t="s">
        <v>1</v>
      </c>
      <c r="CG144" s="138" t="s">
        <v>1</v>
      </c>
    </row>
    <row r="145" ht="25" customHeight="1" spans="1:85">
      <c r="A145" s="1" t="s">
        <v>1</v>
      </c>
      <c r="B145" s="1" t="s">
        <v>1</v>
      </c>
      <c r="C145" s="1" t="s">
        <v>1</v>
      </c>
      <c r="D145" s="1" t="s">
        <v>1</v>
      </c>
      <c r="E145" s="1" t="s">
        <v>1</v>
      </c>
      <c r="F145" s="1" t="s">
        <v>1</v>
      </c>
      <c r="G145" s="130" t="s">
        <v>1</v>
      </c>
      <c r="H145" s="130" t="s">
        <v>1</v>
      </c>
      <c r="I145" s="130" t="s">
        <v>1</v>
      </c>
      <c r="J145" s="130" t="s">
        <v>1</v>
      </c>
      <c r="K145" s="130" t="s">
        <v>1</v>
      </c>
      <c r="L145" s="181" t="s">
        <v>1</v>
      </c>
      <c r="M145" s="130" t="s">
        <v>1</v>
      </c>
      <c r="N145" s="130" t="s">
        <v>1</v>
      </c>
      <c r="O145" s="130" t="s">
        <v>1</v>
      </c>
      <c r="P145" s="130" t="s">
        <v>1</v>
      </c>
      <c r="Q145" s="130" t="s">
        <v>1</v>
      </c>
      <c r="R145" s="130" t="s">
        <v>1</v>
      </c>
      <c r="S145" s="130" t="s">
        <v>1</v>
      </c>
      <c r="T145" s="130" t="s">
        <v>1</v>
      </c>
      <c r="U145" s="130" t="s">
        <v>1</v>
      </c>
      <c r="V145" s="130" t="s">
        <v>1</v>
      </c>
      <c r="W145" s="130" t="s">
        <v>1</v>
      </c>
      <c r="X145" s="126" t="s">
        <v>1</v>
      </c>
      <c r="Y145" s="126" t="s">
        <v>1</v>
      </c>
      <c r="Z145" s="126" t="s">
        <v>1</v>
      </c>
      <c r="AA145" s="126" t="s">
        <v>1</v>
      </c>
      <c r="AB145" s="126" t="s">
        <v>1</v>
      </c>
      <c r="AC145" s="126" t="s">
        <v>1</v>
      </c>
      <c r="AD145" s="126" t="s">
        <v>1</v>
      </c>
      <c r="AE145" s="126" t="s">
        <v>1</v>
      </c>
      <c r="AF145" s="126" t="s">
        <v>1</v>
      </c>
      <c r="AG145" s="126" t="s">
        <v>1</v>
      </c>
      <c r="AH145" s="126" t="s">
        <v>1</v>
      </c>
      <c r="AI145" s="126" t="s">
        <v>1</v>
      </c>
      <c r="AJ145" s="126" t="s">
        <v>1</v>
      </c>
      <c r="AK145" s="126" t="s">
        <v>1</v>
      </c>
      <c r="AL145" s="126" t="s">
        <v>1</v>
      </c>
      <c r="AM145" s="126" t="s">
        <v>1</v>
      </c>
      <c r="AN145" s="126" t="s">
        <v>1</v>
      </c>
      <c r="AO145" s="126" t="s">
        <v>1</v>
      </c>
      <c r="AP145" s="126" t="s">
        <v>1</v>
      </c>
      <c r="AQ145" s="126" t="s">
        <v>1</v>
      </c>
      <c r="AR145" s="126" t="s">
        <v>1</v>
      </c>
      <c r="AS145" s="126" t="s">
        <v>1</v>
      </c>
      <c r="AT145" s="126" t="s">
        <v>1</v>
      </c>
      <c r="AU145" s="126" t="s">
        <v>1</v>
      </c>
      <c r="AV145" s="126" t="s">
        <v>1</v>
      </c>
      <c r="AW145" s="126" t="s">
        <v>1</v>
      </c>
      <c r="AX145" s="126" t="s">
        <v>1</v>
      </c>
      <c r="AY145" s="126" t="s">
        <v>1</v>
      </c>
      <c r="AZ145" s="126" t="s">
        <v>1</v>
      </c>
      <c r="BA145" s="126" t="s">
        <v>1</v>
      </c>
      <c r="BB145" s="126" t="s">
        <v>1</v>
      </c>
      <c r="BC145" s="126" t="s">
        <v>1</v>
      </c>
      <c r="BD145" s="126" t="s">
        <v>1</v>
      </c>
      <c r="BE145" s="126" t="s">
        <v>1</v>
      </c>
      <c r="BF145" s="126" t="s">
        <v>1</v>
      </c>
      <c r="BG145" s="126" t="s">
        <v>1</v>
      </c>
      <c r="BH145" s="126" t="s">
        <v>1</v>
      </c>
      <c r="BI145" s="137" t="s">
        <v>1</v>
      </c>
      <c r="BJ145" s="137" t="s">
        <v>1</v>
      </c>
      <c r="BK145" s="137" t="s">
        <v>1</v>
      </c>
      <c r="BL145" s="137" t="s">
        <v>1</v>
      </c>
      <c r="BM145" s="137" t="s">
        <v>1</v>
      </c>
      <c r="BN145" s="137" t="s">
        <v>1</v>
      </c>
      <c r="BO145" s="137" t="s">
        <v>1</v>
      </c>
      <c r="BP145" s="137" t="s">
        <v>1</v>
      </c>
      <c r="BQ145" s="137" t="s">
        <v>1</v>
      </c>
      <c r="BR145" s="138" t="s">
        <v>1</v>
      </c>
      <c r="BS145" s="138" t="s">
        <v>1</v>
      </c>
      <c r="BT145" s="138" t="s">
        <v>1</v>
      </c>
      <c r="BU145" s="138" t="s">
        <v>1</v>
      </c>
      <c r="BV145" s="138" t="s">
        <v>1</v>
      </c>
      <c r="BW145" s="138" t="s">
        <v>1</v>
      </c>
      <c r="BX145" s="138" t="s">
        <v>1</v>
      </c>
      <c r="BY145" s="138" t="s">
        <v>1</v>
      </c>
      <c r="BZ145" s="138" t="s">
        <v>1</v>
      </c>
      <c r="CA145" s="138" t="s">
        <v>1</v>
      </c>
      <c r="CB145" s="138" t="s">
        <v>1</v>
      </c>
      <c r="CC145" s="138" t="s">
        <v>1</v>
      </c>
      <c r="CD145" s="138" t="s">
        <v>1</v>
      </c>
      <c r="CE145" s="138" t="s">
        <v>1</v>
      </c>
      <c r="CF145" s="138" t="s">
        <v>1</v>
      </c>
      <c r="CG145" s="138" t="s">
        <v>1</v>
      </c>
    </row>
    <row r="146" ht="25" customHeight="1" spans="1:85">
      <c r="A146" s="1" t="s">
        <v>1</v>
      </c>
      <c r="B146" s="1" t="s">
        <v>1</v>
      </c>
      <c r="C146" s="1" t="s">
        <v>1</v>
      </c>
      <c r="D146" s="1" t="s">
        <v>1</v>
      </c>
      <c r="E146" s="1" t="s">
        <v>1</v>
      </c>
      <c r="F146" s="1" t="s">
        <v>1</v>
      </c>
      <c r="G146" s="130" t="s">
        <v>1</v>
      </c>
      <c r="H146" s="130" t="s">
        <v>1</v>
      </c>
      <c r="I146" s="130" t="s">
        <v>1</v>
      </c>
      <c r="J146" s="130" t="s">
        <v>1</v>
      </c>
      <c r="K146" s="130" t="s">
        <v>1</v>
      </c>
      <c r="L146" s="181" t="s">
        <v>1</v>
      </c>
      <c r="M146" s="130" t="s">
        <v>1</v>
      </c>
      <c r="N146" s="130" t="s">
        <v>1</v>
      </c>
      <c r="O146" s="130" t="s">
        <v>1</v>
      </c>
      <c r="P146" s="130" t="s">
        <v>1</v>
      </c>
      <c r="Q146" s="130" t="s">
        <v>1</v>
      </c>
      <c r="R146" s="130" t="s">
        <v>1</v>
      </c>
      <c r="S146" s="130" t="s">
        <v>1</v>
      </c>
      <c r="T146" s="130" t="s">
        <v>1</v>
      </c>
      <c r="U146" s="130" t="s">
        <v>1</v>
      </c>
      <c r="V146" s="130" t="s">
        <v>1</v>
      </c>
      <c r="W146" s="130" t="s">
        <v>1</v>
      </c>
      <c r="X146" s="126" t="s">
        <v>1</v>
      </c>
      <c r="Y146" s="126" t="s">
        <v>1</v>
      </c>
      <c r="Z146" s="126" t="s">
        <v>1</v>
      </c>
      <c r="AA146" s="126" t="s">
        <v>1</v>
      </c>
      <c r="AB146" s="126" t="s">
        <v>1</v>
      </c>
      <c r="AC146" s="126" t="s">
        <v>1</v>
      </c>
      <c r="AD146" s="126" t="s">
        <v>1</v>
      </c>
      <c r="AE146" s="126" t="s">
        <v>1</v>
      </c>
      <c r="AF146" s="126" t="s">
        <v>1</v>
      </c>
      <c r="AG146" s="126" t="s">
        <v>1</v>
      </c>
      <c r="AH146" s="126" t="s">
        <v>1</v>
      </c>
      <c r="AI146" s="126" t="s">
        <v>1</v>
      </c>
      <c r="AJ146" s="126" t="s">
        <v>1</v>
      </c>
      <c r="AK146" s="126" t="s">
        <v>1</v>
      </c>
      <c r="AL146" s="126" t="s">
        <v>1</v>
      </c>
      <c r="AM146" s="126" t="s">
        <v>1</v>
      </c>
      <c r="AN146" s="126" t="s">
        <v>1</v>
      </c>
      <c r="AO146" s="126" t="s">
        <v>1</v>
      </c>
      <c r="AP146" s="126" t="s">
        <v>1</v>
      </c>
      <c r="AQ146" s="126" t="s">
        <v>1</v>
      </c>
      <c r="AR146" s="126" t="s">
        <v>1</v>
      </c>
      <c r="AS146" s="126" t="s">
        <v>1</v>
      </c>
      <c r="AT146" s="126" t="s">
        <v>1</v>
      </c>
      <c r="AU146" s="126" t="s">
        <v>1</v>
      </c>
      <c r="AV146" s="126" t="s">
        <v>1</v>
      </c>
      <c r="AW146" s="126" t="s">
        <v>1</v>
      </c>
      <c r="AX146" s="126" t="s">
        <v>1</v>
      </c>
      <c r="AY146" s="126" t="s">
        <v>1</v>
      </c>
      <c r="AZ146" s="126" t="s">
        <v>1</v>
      </c>
      <c r="BA146" s="126" t="s">
        <v>1</v>
      </c>
      <c r="BB146" s="126" t="s">
        <v>1</v>
      </c>
      <c r="BC146" s="126" t="s">
        <v>1</v>
      </c>
      <c r="BD146" s="126" t="s">
        <v>1</v>
      </c>
      <c r="BE146" s="126" t="s">
        <v>1</v>
      </c>
      <c r="BF146" s="126" t="s">
        <v>1</v>
      </c>
      <c r="BG146" s="126" t="s">
        <v>1</v>
      </c>
      <c r="BH146" s="126" t="s">
        <v>1</v>
      </c>
      <c r="BI146" s="137" t="s">
        <v>1</v>
      </c>
      <c r="BJ146" s="137" t="s">
        <v>1</v>
      </c>
      <c r="BK146" s="137" t="s">
        <v>1</v>
      </c>
      <c r="BL146" s="137" t="s">
        <v>1</v>
      </c>
      <c r="BM146" s="137" t="s">
        <v>1</v>
      </c>
      <c r="BN146" s="137" t="s">
        <v>1</v>
      </c>
      <c r="BO146" s="137" t="s">
        <v>1</v>
      </c>
      <c r="BP146" s="137" t="s">
        <v>1</v>
      </c>
      <c r="BQ146" s="137" t="s">
        <v>1</v>
      </c>
      <c r="BR146" s="138" t="s">
        <v>1</v>
      </c>
      <c r="BS146" s="138" t="s">
        <v>1</v>
      </c>
      <c r="BT146" s="138" t="s">
        <v>1</v>
      </c>
      <c r="BU146" s="138" t="s">
        <v>1</v>
      </c>
      <c r="BV146" s="138" t="s">
        <v>1</v>
      </c>
      <c r="BW146" s="138" t="s">
        <v>1</v>
      </c>
      <c r="BX146" s="138" t="s">
        <v>1</v>
      </c>
      <c r="BY146" s="138" t="s">
        <v>1</v>
      </c>
      <c r="BZ146" s="138" t="s">
        <v>1</v>
      </c>
      <c r="CA146" s="138" t="s">
        <v>1</v>
      </c>
      <c r="CB146" s="138" t="s">
        <v>1</v>
      </c>
      <c r="CC146" s="138" t="s">
        <v>1</v>
      </c>
      <c r="CD146" s="138" t="s">
        <v>1</v>
      </c>
      <c r="CE146" s="138" t="s">
        <v>1</v>
      </c>
      <c r="CF146" s="138" t="s">
        <v>1</v>
      </c>
      <c r="CG146" s="138" t="s">
        <v>1</v>
      </c>
    </row>
    <row r="147" ht="25" customHeight="1" spans="1:85">
      <c r="A147" s="1" t="s">
        <v>1</v>
      </c>
      <c r="B147" s="1" t="s">
        <v>1</v>
      </c>
      <c r="C147" s="1" t="s">
        <v>1</v>
      </c>
      <c r="D147" s="1" t="s">
        <v>1</v>
      </c>
      <c r="E147" s="1" t="s">
        <v>1</v>
      </c>
      <c r="F147" s="1" t="s">
        <v>1</v>
      </c>
      <c r="G147" s="130" t="s">
        <v>1</v>
      </c>
      <c r="H147" s="130" t="s">
        <v>1</v>
      </c>
      <c r="I147" s="130" t="s">
        <v>1</v>
      </c>
      <c r="J147" s="130" t="s">
        <v>1</v>
      </c>
      <c r="K147" s="130" t="s">
        <v>1</v>
      </c>
      <c r="L147" s="181" t="s">
        <v>1</v>
      </c>
      <c r="M147" s="130" t="s">
        <v>1</v>
      </c>
      <c r="N147" s="130" t="s">
        <v>1</v>
      </c>
      <c r="O147" s="130" t="s">
        <v>1</v>
      </c>
      <c r="P147" s="130" t="s">
        <v>1</v>
      </c>
      <c r="Q147" s="130" t="s">
        <v>1</v>
      </c>
      <c r="R147" s="130" t="s">
        <v>1</v>
      </c>
      <c r="S147" s="130" t="s">
        <v>1</v>
      </c>
      <c r="T147" s="130" t="s">
        <v>1</v>
      </c>
      <c r="U147" s="130" t="s">
        <v>1</v>
      </c>
      <c r="V147" s="130" t="s">
        <v>1</v>
      </c>
      <c r="W147" s="130" t="s">
        <v>1</v>
      </c>
      <c r="X147" s="126" t="s">
        <v>1</v>
      </c>
      <c r="Y147" s="126" t="s">
        <v>1</v>
      </c>
      <c r="Z147" s="126" t="s">
        <v>1</v>
      </c>
      <c r="AA147" s="126" t="s">
        <v>1</v>
      </c>
      <c r="AB147" s="126" t="s">
        <v>1</v>
      </c>
      <c r="AC147" s="126" t="s">
        <v>1</v>
      </c>
      <c r="AD147" s="126" t="s">
        <v>1</v>
      </c>
      <c r="AE147" s="126" t="s">
        <v>1</v>
      </c>
      <c r="AF147" s="126" t="s">
        <v>1</v>
      </c>
      <c r="AG147" s="126" t="s">
        <v>1</v>
      </c>
      <c r="AH147" s="126" t="s">
        <v>1</v>
      </c>
      <c r="AI147" s="126" t="s">
        <v>1</v>
      </c>
      <c r="AJ147" s="126" t="s">
        <v>1</v>
      </c>
      <c r="AK147" s="126" t="s">
        <v>1</v>
      </c>
      <c r="AL147" s="126" t="s">
        <v>1</v>
      </c>
      <c r="AM147" s="126" t="s">
        <v>1</v>
      </c>
      <c r="AN147" s="126" t="s">
        <v>1</v>
      </c>
      <c r="AO147" s="126" t="s">
        <v>1</v>
      </c>
      <c r="AP147" s="126" t="s">
        <v>1</v>
      </c>
      <c r="AQ147" s="126" t="s">
        <v>1</v>
      </c>
      <c r="AR147" s="126" t="s">
        <v>1</v>
      </c>
      <c r="AS147" s="126" t="s">
        <v>1</v>
      </c>
      <c r="AT147" s="126" t="s">
        <v>1</v>
      </c>
      <c r="AU147" s="126" t="s">
        <v>1</v>
      </c>
      <c r="AV147" s="126" t="s">
        <v>1</v>
      </c>
      <c r="AW147" s="126" t="s">
        <v>1</v>
      </c>
      <c r="AX147" s="126" t="s">
        <v>1</v>
      </c>
      <c r="AY147" s="126" t="s">
        <v>1</v>
      </c>
      <c r="AZ147" s="126" t="s">
        <v>1</v>
      </c>
      <c r="BA147" s="126" t="s">
        <v>1</v>
      </c>
      <c r="BB147" s="126" t="s">
        <v>1</v>
      </c>
      <c r="BC147" s="126" t="s">
        <v>1</v>
      </c>
      <c r="BD147" s="126" t="s">
        <v>1</v>
      </c>
      <c r="BE147" s="126" t="s">
        <v>1</v>
      </c>
      <c r="BF147" s="126" t="s">
        <v>1</v>
      </c>
      <c r="BG147" s="126" t="s">
        <v>1</v>
      </c>
      <c r="BH147" s="126" t="s">
        <v>1</v>
      </c>
      <c r="BI147" s="137" t="s">
        <v>1</v>
      </c>
      <c r="BJ147" s="137" t="s">
        <v>1</v>
      </c>
      <c r="BK147" s="137" t="s">
        <v>1</v>
      </c>
      <c r="BL147" s="137" t="s">
        <v>1</v>
      </c>
      <c r="BM147" s="137" t="s">
        <v>1</v>
      </c>
      <c r="BN147" s="137" t="s">
        <v>1</v>
      </c>
      <c r="BO147" s="137" t="s">
        <v>1</v>
      </c>
      <c r="BP147" s="137" t="s">
        <v>1</v>
      </c>
      <c r="BQ147" s="137" t="s">
        <v>1</v>
      </c>
      <c r="BR147" s="138" t="s">
        <v>1</v>
      </c>
      <c r="BS147" s="138" t="s">
        <v>1</v>
      </c>
      <c r="BT147" s="138" t="s">
        <v>1</v>
      </c>
      <c r="BU147" s="138" t="s">
        <v>1</v>
      </c>
      <c r="BV147" s="138" t="s">
        <v>1</v>
      </c>
      <c r="BW147" s="138" t="s">
        <v>1</v>
      </c>
      <c r="BX147" s="138" t="s">
        <v>1</v>
      </c>
      <c r="BY147" s="138" t="s">
        <v>1</v>
      </c>
      <c r="BZ147" s="138" t="s">
        <v>1</v>
      </c>
      <c r="CA147" s="138" t="s">
        <v>1</v>
      </c>
      <c r="CB147" s="138" t="s">
        <v>1</v>
      </c>
      <c r="CC147" s="138" t="s">
        <v>1</v>
      </c>
      <c r="CD147" s="138" t="s">
        <v>1</v>
      </c>
      <c r="CE147" s="138" t="s">
        <v>1</v>
      </c>
      <c r="CF147" s="138" t="s">
        <v>1</v>
      </c>
      <c r="CG147" s="138" t="s">
        <v>1</v>
      </c>
    </row>
    <row r="148" ht="25" customHeight="1" spans="1:85">
      <c r="A148" s="1" t="s">
        <v>1</v>
      </c>
      <c r="B148" s="1" t="s">
        <v>1</v>
      </c>
      <c r="C148" s="1" t="s">
        <v>1</v>
      </c>
      <c r="D148" s="1" t="s">
        <v>1</v>
      </c>
      <c r="E148" s="1" t="s">
        <v>1</v>
      </c>
      <c r="F148" s="1" t="s">
        <v>1</v>
      </c>
      <c r="G148" s="130" t="s">
        <v>1</v>
      </c>
      <c r="H148" s="130" t="s">
        <v>1</v>
      </c>
      <c r="I148" s="130" t="s">
        <v>1</v>
      </c>
      <c r="J148" s="130" t="s">
        <v>1</v>
      </c>
      <c r="K148" s="130" t="s">
        <v>1</v>
      </c>
      <c r="L148" s="181" t="s">
        <v>1</v>
      </c>
      <c r="M148" s="130" t="s">
        <v>1</v>
      </c>
      <c r="N148" s="130" t="s">
        <v>1</v>
      </c>
      <c r="O148" s="130" t="s">
        <v>1</v>
      </c>
      <c r="P148" s="130" t="s">
        <v>1</v>
      </c>
      <c r="Q148" s="130" t="s">
        <v>1</v>
      </c>
      <c r="R148" s="130" t="s">
        <v>1</v>
      </c>
      <c r="S148" s="130" t="s">
        <v>1</v>
      </c>
      <c r="T148" s="130" t="s">
        <v>1</v>
      </c>
      <c r="U148" s="130" t="s">
        <v>1</v>
      </c>
      <c r="V148" s="130" t="s">
        <v>1</v>
      </c>
      <c r="W148" s="130" t="s">
        <v>1</v>
      </c>
      <c r="X148" s="126" t="s">
        <v>1</v>
      </c>
      <c r="Y148" s="126" t="s">
        <v>1</v>
      </c>
      <c r="Z148" s="126" t="s">
        <v>1</v>
      </c>
      <c r="AA148" s="126" t="s">
        <v>1</v>
      </c>
      <c r="AB148" s="126" t="s">
        <v>1</v>
      </c>
      <c r="AC148" s="126" t="s">
        <v>1</v>
      </c>
      <c r="AD148" s="126" t="s">
        <v>1</v>
      </c>
      <c r="AE148" s="126" t="s">
        <v>1</v>
      </c>
      <c r="AF148" s="126" t="s">
        <v>1</v>
      </c>
      <c r="AG148" s="126" t="s">
        <v>1</v>
      </c>
      <c r="AH148" s="126" t="s">
        <v>1</v>
      </c>
      <c r="AI148" s="126" t="s">
        <v>1</v>
      </c>
      <c r="AJ148" s="126" t="s">
        <v>1</v>
      </c>
      <c r="AK148" s="126" t="s">
        <v>1</v>
      </c>
      <c r="AL148" s="126" t="s">
        <v>1</v>
      </c>
      <c r="AM148" s="126" t="s">
        <v>1</v>
      </c>
      <c r="AN148" s="126" t="s">
        <v>1</v>
      </c>
      <c r="AO148" s="126" t="s">
        <v>1</v>
      </c>
      <c r="AP148" s="126" t="s">
        <v>1</v>
      </c>
      <c r="AQ148" s="126" t="s">
        <v>1</v>
      </c>
      <c r="AR148" s="126" t="s">
        <v>1</v>
      </c>
      <c r="AS148" s="126" t="s">
        <v>1</v>
      </c>
      <c r="AT148" s="126" t="s">
        <v>1</v>
      </c>
      <c r="AU148" s="126" t="s">
        <v>1</v>
      </c>
      <c r="AV148" s="126" t="s">
        <v>1</v>
      </c>
      <c r="AW148" s="126" t="s">
        <v>1</v>
      </c>
      <c r="AX148" s="126" t="s">
        <v>1</v>
      </c>
      <c r="AY148" s="126" t="s">
        <v>1</v>
      </c>
      <c r="AZ148" s="126" t="s">
        <v>1</v>
      </c>
      <c r="BA148" s="126" t="s">
        <v>1</v>
      </c>
      <c r="BB148" s="126" t="s">
        <v>1</v>
      </c>
      <c r="BC148" s="126" t="s">
        <v>1</v>
      </c>
      <c r="BD148" s="126" t="s">
        <v>1</v>
      </c>
      <c r="BE148" s="126" t="s">
        <v>1</v>
      </c>
      <c r="BF148" s="126" t="s">
        <v>1</v>
      </c>
      <c r="BG148" s="126" t="s">
        <v>1</v>
      </c>
      <c r="BH148" s="126" t="s">
        <v>1</v>
      </c>
      <c r="BI148" s="137" t="s">
        <v>1</v>
      </c>
      <c r="BJ148" s="137" t="s">
        <v>1</v>
      </c>
      <c r="BK148" s="137" t="s">
        <v>1</v>
      </c>
      <c r="BL148" s="137" t="s">
        <v>1</v>
      </c>
      <c r="BM148" s="137" t="s">
        <v>1</v>
      </c>
      <c r="BN148" s="137" t="s">
        <v>1</v>
      </c>
      <c r="BO148" s="137" t="s">
        <v>1</v>
      </c>
      <c r="BP148" s="137" t="s">
        <v>1</v>
      </c>
      <c r="BQ148" s="137" t="s">
        <v>1</v>
      </c>
      <c r="BR148" s="138" t="s">
        <v>1</v>
      </c>
      <c r="BS148" s="138" t="s">
        <v>1</v>
      </c>
      <c r="BT148" s="138" t="s">
        <v>1</v>
      </c>
      <c r="BU148" s="138" t="s">
        <v>1</v>
      </c>
      <c r="BV148" s="138" t="s">
        <v>1</v>
      </c>
      <c r="BW148" s="138" t="s">
        <v>1</v>
      </c>
      <c r="BX148" s="138" t="s">
        <v>1</v>
      </c>
      <c r="BY148" s="138" t="s">
        <v>1</v>
      </c>
      <c r="BZ148" s="138" t="s">
        <v>1</v>
      </c>
      <c r="CA148" s="138" t="s">
        <v>1</v>
      </c>
      <c r="CB148" s="138" t="s">
        <v>1</v>
      </c>
      <c r="CC148" s="138" t="s">
        <v>1</v>
      </c>
      <c r="CD148" s="138" t="s">
        <v>1</v>
      </c>
      <c r="CE148" s="138" t="s">
        <v>1</v>
      </c>
      <c r="CF148" s="138" t="s">
        <v>1</v>
      </c>
      <c r="CG148" s="138" t="s">
        <v>1</v>
      </c>
    </row>
    <row r="149" ht="25" customHeight="1" spans="1:85">
      <c r="A149" s="1" t="s">
        <v>1</v>
      </c>
      <c r="B149" s="1" t="s">
        <v>1</v>
      </c>
      <c r="C149" s="1" t="s">
        <v>1</v>
      </c>
      <c r="D149" s="1" t="s">
        <v>1</v>
      </c>
      <c r="E149" s="1" t="s">
        <v>1</v>
      </c>
      <c r="F149" s="1" t="s">
        <v>1</v>
      </c>
      <c r="G149" s="130" t="s">
        <v>1</v>
      </c>
      <c r="H149" s="130" t="s">
        <v>1</v>
      </c>
      <c r="I149" s="130" t="s">
        <v>1</v>
      </c>
      <c r="J149" s="130" t="s">
        <v>1</v>
      </c>
      <c r="K149" s="130" t="s">
        <v>1</v>
      </c>
      <c r="L149" s="181" t="s">
        <v>1</v>
      </c>
      <c r="M149" s="130" t="s">
        <v>1</v>
      </c>
      <c r="N149" s="130" t="s">
        <v>1</v>
      </c>
      <c r="O149" s="130" t="s">
        <v>1</v>
      </c>
      <c r="P149" s="130" t="s">
        <v>1</v>
      </c>
      <c r="Q149" s="130" t="s">
        <v>1</v>
      </c>
      <c r="R149" s="130" t="s">
        <v>1</v>
      </c>
      <c r="S149" s="130" t="s">
        <v>1</v>
      </c>
      <c r="T149" s="130" t="s">
        <v>1</v>
      </c>
      <c r="U149" s="130" t="s">
        <v>1</v>
      </c>
      <c r="V149" s="130" t="s">
        <v>1</v>
      </c>
      <c r="W149" s="130" t="s">
        <v>1</v>
      </c>
      <c r="X149" s="126" t="s">
        <v>1</v>
      </c>
      <c r="Y149" s="126" t="s">
        <v>1</v>
      </c>
      <c r="Z149" s="126" t="s">
        <v>1</v>
      </c>
      <c r="AA149" s="126" t="s">
        <v>1</v>
      </c>
      <c r="AB149" s="126" t="s">
        <v>1</v>
      </c>
      <c r="AC149" s="126" t="s">
        <v>1</v>
      </c>
      <c r="AD149" s="126" t="s">
        <v>1</v>
      </c>
      <c r="AE149" s="126" t="s">
        <v>1</v>
      </c>
      <c r="AF149" s="126" t="s">
        <v>1</v>
      </c>
      <c r="AG149" s="126" t="s">
        <v>1</v>
      </c>
      <c r="AH149" s="126" t="s">
        <v>1</v>
      </c>
      <c r="AI149" s="126" t="s">
        <v>1</v>
      </c>
      <c r="AJ149" s="126" t="s">
        <v>1</v>
      </c>
      <c r="AK149" s="126" t="s">
        <v>1</v>
      </c>
      <c r="AL149" s="126" t="s">
        <v>1</v>
      </c>
      <c r="AM149" s="126" t="s">
        <v>1</v>
      </c>
      <c r="AN149" s="126" t="s">
        <v>1</v>
      </c>
      <c r="AO149" s="126" t="s">
        <v>1</v>
      </c>
      <c r="AP149" s="126" t="s">
        <v>1</v>
      </c>
      <c r="AQ149" s="126" t="s">
        <v>1</v>
      </c>
      <c r="AR149" s="126" t="s">
        <v>1</v>
      </c>
      <c r="AS149" s="126" t="s">
        <v>1</v>
      </c>
      <c r="AT149" s="126" t="s">
        <v>1</v>
      </c>
      <c r="AU149" s="126" t="s">
        <v>1</v>
      </c>
      <c r="AV149" s="126" t="s">
        <v>1</v>
      </c>
      <c r="AW149" s="126" t="s">
        <v>1</v>
      </c>
      <c r="AX149" s="126" t="s">
        <v>1</v>
      </c>
      <c r="AY149" s="126" t="s">
        <v>1</v>
      </c>
      <c r="AZ149" s="126" t="s">
        <v>1</v>
      </c>
      <c r="BA149" s="126" t="s">
        <v>1</v>
      </c>
      <c r="BB149" s="126" t="s">
        <v>1</v>
      </c>
      <c r="BC149" s="126" t="s">
        <v>1</v>
      </c>
      <c r="BD149" s="126" t="s">
        <v>1</v>
      </c>
      <c r="BE149" s="126" t="s">
        <v>1</v>
      </c>
      <c r="BF149" s="126" t="s">
        <v>1</v>
      </c>
      <c r="BG149" s="126" t="s">
        <v>1</v>
      </c>
      <c r="BH149" s="126" t="s">
        <v>1</v>
      </c>
      <c r="BI149" s="137" t="s">
        <v>1</v>
      </c>
      <c r="BJ149" s="137" t="s">
        <v>1</v>
      </c>
      <c r="BK149" s="137" t="s">
        <v>1</v>
      </c>
      <c r="BL149" s="137" t="s">
        <v>1</v>
      </c>
      <c r="BM149" s="137" t="s">
        <v>1</v>
      </c>
      <c r="BN149" s="137" t="s">
        <v>1</v>
      </c>
      <c r="BO149" s="137" t="s">
        <v>1</v>
      </c>
      <c r="BP149" s="137" t="s">
        <v>1</v>
      </c>
      <c r="BQ149" s="137" t="s">
        <v>1</v>
      </c>
      <c r="BR149" s="138" t="s">
        <v>1</v>
      </c>
      <c r="BS149" s="138" t="s">
        <v>1</v>
      </c>
      <c r="BT149" s="138" t="s">
        <v>1</v>
      </c>
      <c r="BU149" s="138" t="s">
        <v>1</v>
      </c>
      <c r="BV149" s="138" t="s">
        <v>1</v>
      </c>
      <c r="BW149" s="138" t="s">
        <v>1</v>
      </c>
      <c r="BX149" s="138" t="s">
        <v>1</v>
      </c>
      <c r="BY149" s="138" t="s">
        <v>1</v>
      </c>
      <c r="BZ149" s="138" t="s">
        <v>1</v>
      </c>
      <c r="CA149" s="138" t="s">
        <v>1</v>
      </c>
      <c r="CB149" s="138" t="s">
        <v>1</v>
      </c>
      <c r="CC149" s="138" t="s">
        <v>1</v>
      </c>
      <c r="CD149" s="138" t="s">
        <v>1</v>
      </c>
      <c r="CE149" s="138" t="s">
        <v>1</v>
      </c>
      <c r="CF149" s="138" t="s">
        <v>1</v>
      </c>
      <c r="CG149" s="138" t="s">
        <v>1</v>
      </c>
    </row>
    <row r="150" ht="25" customHeight="1" spans="1:85">
      <c r="A150" s="1" t="s">
        <v>1</v>
      </c>
      <c r="B150" s="1" t="s">
        <v>1</v>
      </c>
      <c r="C150" s="1" t="s">
        <v>1</v>
      </c>
      <c r="D150" s="1" t="s">
        <v>1</v>
      </c>
      <c r="E150" s="1" t="s">
        <v>1</v>
      </c>
      <c r="F150" s="1" t="s">
        <v>1</v>
      </c>
      <c r="G150" s="130" t="s">
        <v>1</v>
      </c>
      <c r="H150" s="130" t="s">
        <v>1</v>
      </c>
      <c r="I150" s="130" t="s">
        <v>1</v>
      </c>
      <c r="J150" s="130" t="s">
        <v>1</v>
      </c>
      <c r="K150" s="130" t="s">
        <v>1</v>
      </c>
      <c r="L150" s="181" t="s">
        <v>1</v>
      </c>
      <c r="M150" s="130" t="s">
        <v>1</v>
      </c>
      <c r="N150" s="130" t="s">
        <v>1</v>
      </c>
      <c r="O150" s="130" t="s">
        <v>1</v>
      </c>
      <c r="P150" s="130" t="s">
        <v>1</v>
      </c>
      <c r="Q150" s="130" t="s">
        <v>1</v>
      </c>
      <c r="R150" s="130" t="s">
        <v>1</v>
      </c>
      <c r="S150" s="130" t="s">
        <v>1</v>
      </c>
      <c r="T150" s="130" t="s">
        <v>1</v>
      </c>
      <c r="U150" s="130" t="s">
        <v>1</v>
      </c>
      <c r="V150" s="130" t="s">
        <v>1</v>
      </c>
      <c r="W150" s="130" t="s">
        <v>1</v>
      </c>
      <c r="X150" s="126" t="s">
        <v>1</v>
      </c>
      <c r="Y150" s="126" t="s">
        <v>1</v>
      </c>
      <c r="Z150" s="126" t="s">
        <v>1</v>
      </c>
      <c r="AA150" s="126" t="s">
        <v>1</v>
      </c>
      <c r="AB150" s="126" t="s">
        <v>1</v>
      </c>
      <c r="AC150" s="126" t="s">
        <v>1</v>
      </c>
      <c r="AD150" s="126" t="s">
        <v>1</v>
      </c>
      <c r="AE150" s="126" t="s">
        <v>1</v>
      </c>
      <c r="AF150" s="126" t="s">
        <v>1</v>
      </c>
      <c r="AG150" s="126" t="s">
        <v>1</v>
      </c>
      <c r="AH150" s="126" t="s">
        <v>1</v>
      </c>
      <c r="AI150" s="126" t="s">
        <v>1</v>
      </c>
      <c r="AJ150" s="126" t="s">
        <v>1</v>
      </c>
      <c r="AK150" s="126" t="s">
        <v>1</v>
      </c>
      <c r="AL150" s="126" t="s">
        <v>1</v>
      </c>
      <c r="AM150" s="126" t="s">
        <v>1</v>
      </c>
      <c r="AN150" s="126" t="s">
        <v>1</v>
      </c>
      <c r="AO150" s="126" t="s">
        <v>1</v>
      </c>
      <c r="AP150" s="126" t="s">
        <v>1</v>
      </c>
      <c r="AQ150" s="126" t="s">
        <v>1</v>
      </c>
      <c r="AR150" s="126" t="s">
        <v>1</v>
      </c>
      <c r="AS150" s="126" t="s">
        <v>1</v>
      </c>
      <c r="AT150" s="126" t="s">
        <v>1</v>
      </c>
      <c r="AU150" s="126" t="s">
        <v>1</v>
      </c>
      <c r="AV150" s="126" t="s">
        <v>1</v>
      </c>
      <c r="AW150" s="126" t="s">
        <v>1</v>
      </c>
      <c r="AX150" s="126" t="s">
        <v>1</v>
      </c>
      <c r="AY150" s="126" t="s">
        <v>1</v>
      </c>
      <c r="AZ150" s="126" t="s">
        <v>1</v>
      </c>
      <c r="BA150" s="126" t="s">
        <v>1</v>
      </c>
      <c r="BB150" s="126" t="s">
        <v>1</v>
      </c>
      <c r="BC150" s="126" t="s">
        <v>1</v>
      </c>
      <c r="BD150" s="126" t="s">
        <v>1</v>
      </c>
      <c r="BE150" s="126" t="s">
        <v>1</v>
      </c>
      <c r="BF150" s="126" t="s">
        <v>1</v>
      </c>
      <c r="BG150" s="126" t="s">
        <v>1</v>
      </c>
      <c r="BH150" s="126" t="s">
        <v>1</v>
      </c>
      <c r="BI150" s="137" t="s">
        <v>1</v>
      </c>
      <c r="BJ150" s="137" t="s">
        <v>1</v>
      </c>
      <c r="BK150" s="137" t="s">
        <v>1</v>
      </c>
      <c r="BL150" s="137" t="s">
        <v>1</v>
      </c>
      <c r="BM150" s="137" t="s">
        <v>1</v>
      </c>
      <c r="BN150" s="137" t="s">
        <v>1</v>
      </c>
      <c r="BO150" s="137" t="s">
        <v>1</v>
      </c>
      <c r="BP150" s="137" t="s">
        <v>1</v>
      </c>
      <c r="BQ150" s="137" t="s">
        <v>1</v>
      </c>
      <c r="BR150" s="138" t="s">
        <v>1</v>
      </c>
      <c r="BS150" s="138" t="s">
        <v>1</v>
      </c>
      <c r="BT150" s="138" t="s">
        <v>1</v>
      </c>
      <c r="BU150" s="138" t="s">
        <v>1</v>
      </c>
      <c r="BV150" s="138" t="s">
        <v>1</v>
      </c>
      <c r="BW150" s="138" t="s">
        <v>1</v>
      </c>
      <c r="BX150" s="138" t="s">
        <v>1</v>
      </c>
      <c r="BY150" s="138" t="s">
        <v>1</v>
      </c>
      <c r="BZ150" s="138" t="s">
        <v>1</v>
      </c>
      <c r="CA150" s="138" t="s">
        <v>1</v>
      </c>
      <c r="CB150" s="138" t="s">
        <v>1</v>
      </c>
      <c r="CC150" s="138" t="s">
        <v>1</v>
      </c>
      <c r="CD150" s="138" t="s">
        <v>1</v>
      </c>
      <c r="CE150" s="138" t="s">
        <v>1</v>
      </c>
      <c r="CF150" s="138" t="s">
        <v>1</v>
      </c>
      <c r="CG150" s="138" t="s">
        <v>1</v>
      </c>
    </row>
    <row r="151" ht="25" customHeight="1" spans="1:85">
      <c r="A151" s="1" t="s">
        <v>1</v>
      </c>
      <c r="B151" s="1" t="s">
        <v>1</v>
      </c>
      <c r="C151" s="1" t="s">
        <v>1</v>
      </c>
      <c r="D151" s="1" t="s">
        <v>1</v>
      </c>
      <c r="E151" s="1" t="s">
        <v>1</v>
      </c>
      <c r="F151" s="1" t="s">
        <v>1</v>
      </c>
      <c r="G151" s="130" t="s">
        <v>1</v>
      </c>
      <c r="H151" s="130" t="s">
        <v>1</v>
      </c>
      <c r="I151" s="130" t="s">
        <v>1</v>
      </c>
      <c r="J151" s="130" t="s">
        <v>1</v>
      </c>
      <c r="K151" s="130" t="s">
        <v>1</v>
      </c>
      <c r="L151" s="181" t="s">
        <v>1</v>
      </c>
      <c r="M151" s="130" t="s">
        <v>1</v>
      </c>
      <c r="N151" s="130" t="s">
        <v>1</v>
      </c>
      <c r="O151" s="130" t="s">
        <v>1</v>
      </c>
      <c r="P151" s="130" t="s">
        <v>1</v>
      </c>
      <c r="Q151" s="130" t="s">
        <v>1</v>
      </c>
      <c r="R151" s="130" t="s">
        <v>1</v>
      </c>
      <c r="S151" s="130" t="s">
        <v>1</v>
      </c>
      <c r="T151" s="130" t="s">
        <v>1</v>
      </c>
      <c r="U151" s="130" t="s">
        <v>1</v>
      </c>
      <c r="V151" s="130" t="s">
        <v>1</v>
      </c>
      <c r="W151" s="130" t="s">
        <v>1</v>
      </c>
      <c r="X151" s="126" t="s">
        <v>1</v>
      </c>
      <c r="Y151" s="126" t="s">
        <v>1</v>
      </c>
      <c r="Z151" s="126" t="s">
        <v>1</v>
      </c>
      <c r="AA151" s="126" t="s">
        <v>1</v>
      </c>
      <c r="AB151" s="126" t="s">
        <v>1</v>
      </c>
      <c r="AC151" s="126" t="s">
        <v>1</v>
      </c>
      <c r="AD151" s="126" t="s">
        <v>1</v>
      </c>
      <c r="AE151" s="126" t="s">
        <v>1</v>
      </c>
      <c r="AF151" s="126" t="s">
        <v>1</v>
      </c>
      <c r="AG151" s="126" t="s">
        <v>1</v>
      </c>
      <c r="AH151" s="126" t="s">
        <v>1</v>
      </c>
      <c r="AI151" s="126" t="s">
        <v>1</v>
      </c>
      <c r="AJ151" s="126" t="s">
        <v>1</v>
      </c>
      <c r="AK151" s="126" t="s">
        <v>1</v>
      </c>
      <c r="AL151" s="126" t="s">
        <v>1</v>
      </c>
      <c r="AM151" s="126" t="s">
        <v>1</v>
      </c>
      <c r="AN151" s="126" t="s">
        <v>1</v>
      </c>
      <c r="AO151" s="126" t="s">
        <v>1</v>
      </c>
      <c r="AP151" s="126" t="s">
        <v>1</v>
      </c>
      <c r="AQ151" s="126" t="s">
        <v>1</v>
      </c>
      <c r="AR151" s="126" t="s">
        <v>1</v>
      </c>
      <c r="AS151" s="126" t="s">
        <v>1</v>
      </c>
      <c r="AT151" s="126" t="s">
        <v>1</v>
      </c>
      <c r="AU151" s="126" t="s">
        <v>1</v>
      </c>
      <c r="AV151" s="126" t="s">
        <v>1</v>
      </c>
      <c r="AW151" s="126" t="s">
        <v>1</v>
      </c>
      <c r="AX151" s="126" t="s">
        <v>1</v>
      </c>
      <c r="AY151" s="126" t="s">
        <v>1</v>
      </c>
      <c r="AZ151" s="126" t="s">
        <v>1</v>
      </c>
      <c r="BA151" s="126" t="s">
        <v>1</v>
      </c>
      <c r="BB151" s="126" t="s">
        <v>1</v>
      </c>
      <c r="BC151" s="126" t="s">
        <v>1</v>
      </c>
      <c r="BD151" s="126" t="s">
        <v>1</v>
      </c>
      <c r="BE151" s="126" t="s">
        <v>1</v>
      </c>
      <c r="BF151" s="126" t="s">
        <v>1</v>
      </c>
      <c r="BG151" s="126" t="s">
        <v>1</v>
      </c>
      <c r="BH151" s="126" t="s">
        <v>1</v>
      </c>
      <c r="BI151" s="137" t="s">
        <v>1</v>
      </c>
      <c r="BJ151" s="137" t="s">
        <v>1</v>
      </c>
      <c r="BK151" s="137" t="s">
        <v>1</v>
      </c>
      <c r="BL151" s="137" t="s">
        <v>1</v>
      </c>
      <c r="BM151" s="137" t="s">
        <v>1</v>
      </c>
      <c r="BN151" s="137" t="s">
        <v>1</v>
      </c>
      <c r="BO151" s="137" t="s">
        <v>1</v>
      </c>
      <c r="BP151" s="137" t="s">
        <v>1</v>
      </c>
      <c r="BQ151" s="137" t="s">
        <v>1</v>
      </c>
      <c r="BR151" s="138" t="s">
        <v>1</v>
      </c>
      <c r="BS151" s="138" t="s">
        <v>1</v>
      </c>
      <c r="BT151" s="138" t="s">
        <v>1</v>
      </c>
      <c r="BU151" s="138" t="s">
        <v>1</v>
      </c>
      <c r="BV151" s="138" t="s">
        <v>1</v>
      </c>
      <c r="BW151" s="138" t="s">
        <v>1</v>
      </c>
      <c r="BX151" s="138" t="s">
        <v>1</v>
      </c>
      <c r="BY151" s="138" t="s">
        <v>1</v>
      </c>
      <c r="BZ151" s="138" t="s">
        <v>1</v>
      </c>
      <c r="CA151" s="138" t="s">
        <v>1</v>
      </c>
      <c r="CB151" s="138" t="s">
        <v>1</v>
      </c>
      <c r="CC151" s="138" t="s">
        <v>1</v>
      </c>
      <c r="CD151" s="138" t="s">
        <v>1</v>
      </c>
      <c r="CE151" s="138" t="s">
        <v>1</v>
      </c>
      <c r="CF151" s="138" t="s">
        <v>1</v>
      </c>
      <c r="CG151" s="138" t="s">
        <v>1</v>
      </c>
    </row>
    <row r="152" ht="25" customHeight="1" spans="1:85">
      <c r="A152" s="1" t="s">
        <v>1</v>
      </c>
      <c r="B152" s="1" t="s">
        <v>1</v>
      </c>
      <c r="C152" s="1" t="s">
        <v>1</v>
      </c>
      <c r="D152" s="1" t="s">
        <v>1</v>
      </c>
      <c r="E152" s="1" t="s">
        <v>1</v>
      </c>
      <c r="F152" s="1" t="s">
        <v>1</v>
      </c>
      <c r="G152" s="130" t="s">
        <v>1</v>
      </c>
      <c r="H152" s="130" t="s">
        <v>1</v>
      </c>
      <c r="I152" s="130" t="s">
        <v>1</v>
      </c>
      <c r="J152" s="130" t="s">
        <v>1</v>
      </c>
      <c r="K152" s="130" t="s">
        <v>1</v>
      </c>
      <c r="L152" s="181" t="s">
        <v>1</v>
      </c>
      <c r="M152" s="130" t="s">
        <v>1</v>
      </c>
      <c r="N152" s="130" t="s">
        <v>1</v>
      </c>
      <c r="O152" s="130" t="s">
        <v>1</v>
      </c>
      <c r="P152" s="130" t="s">
        <v>1</v>
      </c>
      <c r="Q152" s="130" t="s">
        <v>1</v>
      </c>
      <c r="R152" s="130" t="s">
        <v>1</v>
      </c>
      <c r="S152" s="130" t="s">
        <v>1</v>
      </c>
      <c r="T152" s="130" t="s">
        <v>1</v>
      </c>
      <c r="U152" s="130" t="s">
        <v>1</v>
      </c>
      <c r="V152" s="130" t="s">
        <v>1</v>
      </c>
      <c r="W152" s="130" t="s">
        <v>1</v>
      </c>
      <c r="X152" s="126" t="s">
        <v>1</v>
      </c>
      <c r="Y152" s="126" t="s">
        <v>1</v>
      </c>
      <c r="Z152" s="126" t="s">
        <v>1</v>
      </c>
      <c r="AA152" s="126" t="s">
        <v>1</v>
      </c>
      <c r="AB152" s="126" t="s">
        <v>1</v>
      </c>
      <c r="AC152" s="126" t="s">
        <v>1</v>
      </c>
      <c r="AD152" s="126" t="s">
        <v>1</v>
      </c>
      <c r="AE152" s="126" t="s">
        <v>1</v>
      </c>
      <c r="AF152" s="126" t="s">
        <v>1</v>
      </c>
      <c r="AG152" s="126" t="s">
        <v>1</v>
      </c>
      <c r="AH152" s="126" t="s">
        <v>1</v>
      </c>
      <c r="AI152" s="126" t="s">
        <v>1</v>
      </c>
      <c r="AJ152" s="126" t="s">
        <v>1</v>
      </c>
      <c r="AK152" s="126" t="s">
        <v>1</v>
      </c>
      <c r="AL152" s="126" t="s">
        <v>1</v>
      </c>
      <c r="AM152" s="126" t="s">
        <v>1</v>
      </c>
      <c r="AN152" s="126" t="s">
        <v>1</v>
      </c>
      <c r="AO152" s="126" t="s">
        <v>1</v>
      </c>
      <c r="AP152" s="126" t="s">
        <v>1</v>
      </c>
      <c r="AQ152" s="126" t="s">
        <v>1</v>
      </c>
      <c r="AR152" s="126" t="s">
        <v>1</v>
      </c>
      <c r="AS152" s="126" t="s">
        <v>1</v>
      </c>
      <c r="AT152" s="126" t="s">
        <v>1</v>
      </c>
      <c r="AU152" s="126" t="s">
        <v>1</v>
      </c>
      <c r="AV152" s="126" t="s">
        <v>1</v>
      </c>
      <c r="AW152" s="126" t="s">
        <v>1</v>
      </c>
      <c r="AX152" s="126" t="s">
        <v>1</v>
      </c>
      <c r="AY152" s="126" t="s">
        <v>1</v>
      </c>
      <c r="AZ152" s="126" t="s">
        <v>1</v>
      </c>
      <c r="BA152" s="126" t="s">
        <v>1</v>
      </c>
      <c r="BB152" s="126" t="s">
        <v>1</v>
      </c>
      <c r="BC152" s="126" t="s">
        <v>1</v>
      </c>
      <c r="BD152" s="126" t="s">
        <v>1</v>
      </c>
      <c r="BE152" s="126" t="s">
        <v>1</v>
      </c>
      <c r="BF152" s="126" t="s">
        <v>1</v>
      </c>
      <c r="BG152" s="126" t="s">
        <v>1</v>
      </c>
      <c r="BH152" s="126" t="s">
        <v>1</v>
      </c>
      <c r="BI152" s="137" t="s">
        <v>1</v>
      </c>
      <c r="BJ152" s="137" t="s">
        <v>1</v>
      </c>
      <c r="BK152" s="137" t="s">
        <v>1</v>
      </c>
      <c r="BL152" s="137" t="s">
        <v>1</v>
      </c>
      <c r="BM152" s="137" t="s">
        <v>1</v>
      </c>
      <c r="BN152" s="137" t="s">
        <v>1</v>
      </c>
      <c r="BO152" s="137" t="s">
        <v>1</v>
      </c>
      <c r="BP152" s="137" t="s">
        <v>1</v>
      </c>
      <c r="BQ152" s="137" t="s">
        <v>1</v>
      </c>
      <c r="BR152" s="138" t="s">
        <v>1</v>
      </c>
      <c r="BS152" s="138" t="s">
        <v>1</v>
      </c>
      <c r="BT152" s="138" t="s">
        <v>1</v>
      </c>
      <c r="BU152" s="138" t="s">
        <v>1</v>
      </c>
      <c r="BV152" s="138" t="s">
        <v>1</v>
      </c>
      <c r="BW152" s="138" t="s">
        <v>1</v>
      </c>
      <c r="BX152" s="138" t="s">
        <v>1</v>
      </c>
      <c r="BY152" s="138" t="s">
        <v>1</v>
      </c>
      <c r="BZ152" s="138" t="s">
        <v>1</v>
      </c>
      <c r="CA152" s="138" t="s">
        <v>1</v>
      </c>
      <c r="CB152" s="138" t="s">
        <v>1</v>
      </c>
      <c r="CC152" s="138" t="s">
        <v>1</v>
      </c>
      <c r="CD152" s="138" t="s">
        <v>1</v>
      </c>
      <c r="CE152" s="138" t="s">
        <v>1</v>
      </c>
      <c r="CF152" s="138" t="s">
        <v>1</v>
      </c>
      <c r="CG152" s="138" t="s">
        <v>1</v>
      </c>
    </row>
    <row r="153" ht="25" customHeight="1" spans="1:85">
      <c r="A153" s="1" t="s">
        <v>1</v>
      </c>
      <c r="B153" s="1" t="s">
        <v>1</v>
      </c>
      <c r="C153" s="1" t="s">
        <v>1</v>
      </c>
      <c r="D153" s="1" t="s">
        <v>1</v>
      </c>
      <c r="E153" s="1" t="s">
        <v>1</v>
      </c>
      <c r="F153" s="1" t="s">
        <v>1</v>
      </c>
      <c r="G153" s="130" t="s">
        <v>1</v>
      </c>
      <c r="H153" s="130" t="s">
        <v>1</v>
      </c>
      <c r="I153" s="130" t="s">
        <v>1</v>
      </c>
      <c r="J153" s="130" t="s">
        <v>1</v>
      </c>
      <c r="K153" s="130" t="s">
        <v>1</v>
      </c>
      <c r="L153" s="181" t="s">
        <v>1</v>
      </c>
      <c r="M153" s="130" t="s">
        <v>1</v>
      </c>
      <c r="N153" s="130" t="s">
        <v>1</v>
      </c>
      <c r="O153" s="130" t="s">
        <v>1</v>
      </c>
      <c r="P153" s="130" t="s">
        <v>1</v>
      </c>
      <c r="Q153" s="130" t="s">
        <v>1</v>
      </c>
      <c r="R153" s="130" t="s">
        <v>1</v>
      </c>
      <c r="S153" s="130" t="s">
        <v>1</v>
      </c>
      <c r="T153" s="130" t="s">
        <v>1</v>
      </c>
      <c r="U153" s="130" t="s">
        <v>1</v>
      </c>
      <c r="V153" s="130" t="s">
        <v>1</v>
      </c>
      <c r="W153" s="130" t="s">
        <v>1</v>
      </c>
      <c r="X153" s="126" t="s">
        <v>1</v>
      </c>
      <c r="Y153" s="126" t="s">
        <v>1</v>
      </c>
      <c r="Z153" s="126" t="s">
        <v>1</v>
      </c>
      <c r="AA153" s="126" t="s">
        <v>1</v>
      </c>
      <c r="AB153" s="126" t="s">
        <v>1</v>
      </c>
      <c r="AC153" s="126" t="s">
        <v>1</v>
      </c>
      <c r="AD153" s="126" t="s">
        <v>1</v>
      </c>
      <c r="AE153" s="126" t="s">
        <v>1</v>
      </c>
      <c r="AF153" s="126" t="s">
        <v>1</v>
      </c>
      <c r="AG153" s="126" t="s">
        <v>1</v>
      </c>
      <c r="AH153" s="126" t="s">
        <v>1</v>
      </c>
      <c r="AI153" s="126" t="s">
        <v>1</v>
      </c>
      <c r="AJ153" s="126" t="s">
        <v>1</v>
      </c>
      <c r="AK153" s="126" t="s">
        <v>1</v>
      </c>
      <c r="AL153" s="126" t="s">
        <v>1</v>
      </c>
      <c r="AM153" s="126" t="s">
        <v>1</v>
      </c>
      <c r="AN153" s="126" t="s">
        <v>1</v>
      </c>
      <c r="AO153" s="126" t="s">
        <v>1</v>
      </c>
      <c r="AP153" s="126" t="s">
        <v>1</v>
      </c>
      <c r="AQ153" s="126" t="s">
        <v>1</v>
      </c>
      <c r="AR153" s="126" t="s">
        <v>1</v>
      </c>
      <c r="AS153" s="126" t="s">
        <v>1</v>
      </c>
      <c r="AT153" s="126" t="s">
        <v>1</v>
      </c>
      <c r="AU153" s="126" t="s">
        <v>1</v>
      </c>
      <c r="AV153" s="126" t="s">
        <v>1</v>
      </c>
      <c r="AW153" s="126" t="s">
        <v>1</v>
      </c>
      <c r="AX153" s="126" t="s">
        <v>1</v>
      </c>
      <c r="AY153" s="126" t="s">
        <v>1</v>
      </c>
      <c r="AZ153" s="126" t="s">
        <v>1</v>
      </c>
      <c r="BA153" s="126" t="s">
        <v>1</v>
      </c>
      <c r="BB153" s="126" t="s">
        <v>1</v>
      </c>
      <c r="BC153" s="126" t="s">
        <v>1</v>
      </c>
      <c r="BD153" s="126" t="s">
        <v>1</v>
      </c>
      <c r="BE153" s="126" t="s">
        <v>1</v>
      </c>
      <c r="BF153" s="126" t="s">
        <v>1</v>
      </c>
      <c r="BG153" s="126" t="s">
        <v>1</v>
      </c>
      <c r="BH153" s="126" t="s">
        <v>1</v>
      </c>
      <c r="BI153" s="137" t="s">
        <v>1</v>
      </c>
      <c r="BJ153" s="137" t="s">
        <v>1</v>
      </c>
      <c r="BK153" s="137" t="s">
        <v>1</v>
      </c>
      <c r="BL153" s="137" t="s">
        <v>1</v>
      </c>
      <c r="BM153" s="137" t="s">
        <v>1</v>
      </c>
      <c r="BN153" s="137" t="s">
        <v>1</v>
      </c>
      <c r="BO153" s="137" t="s">
        <v>1</v>
      </c>
      <c r="BP153" s="137" t="s">
        <v>1</v>
      </c>
      <c r="BQ153" s="137" t="s">
        <v>1</v>
      </c>
      <c r="BR153" s="138" t="s">
        <v>1</v>
      </c>
      <c r="BS153" s="138" t="s">
        <v>1</v>
      </c>
      <c r="BT153" s="138" t="s">
        <v>1</v>
      </c>
      <c r="BU153" s="138" t="s">
        <v>1</v>
      </c>
      <c r="BV153" s="138" t="s">
        <v>1</v>
      </c>
      <c r="BW153" s="138" t="s">
        <v>1</v>
      </c>
      <c r="BX153" s="138" t="s">
        <v>1</v>
      </c>
      <c r="BY153" s="138" t="s">
        <v>1</v>
      </c>
      <c r="BZ153" s="138" t="s">
        <v>1</v>
      </c>
      <c r="CA153" s="138" t="s">
        <v>1</v>
      </c>
      <c r="CB153" s="138" t="s">
        <v>1</v>
      </c>
      <c r="CC153" s="138" t="s">
        <v>1</v>
      </c>
      <c r="CD153" s="138" t="s">
        <v>1</v>
      </c>
      <c r="CE153" s="138" t="s">
        <v>1</v>
      </c>
      <c r="CF153" s="138" t="s">
        <v>1</v>
      </c>
      <c r="CG153" s="138" t="s">
        <v>1</v>
      </c>
    </row>
    <row r="154" ht="25" customHeight="1" spans="1:85">
      <c r="A154" s="1" t="s">
        <v>1</v>
      </c>
      <c r="B154" s="1" t="s">
        <v>1</v>
      </c>
      <c r="C154" s="1" t="s">
        <v>1</v>
      </c>
      <c r="D154" s="1" t="s">
        <v>1</v>
      </c>
      <c r="E154" s="1" t="s">
        <v>1</v>
      </c>
      <c r="F154" s="1" t="s">
        <v>1</v>
      </c>
      <c r="G154" s="130" t="s">
        <v>1</v>
      </c>
      <c r="H154" s="130" t="s">
        <v>1</v>
      </c>
      <c r="I154" s="130" t="s">
        <v>1</v>
      </c>
      <c r="J154" s="130" t="s">
        <v>1</v>
      </c>
      <c r="K154" s="130" t="s">
        <v>1</v>
      </c>
      <c r="L154" s="181" t="s">
        <v>1</v>
      </c>
      <c r="M154" s="130" t="s">
        <v>1</v>
      </c>
      <c r="N154" s="130" t="s">
        <v>1</v>
      </c>
      <c r="O154" s="130" t="s">
        <v>1</v>
      </c>
      <c r="P154" s="130" t="s">
        <v>1</v>
      </c>
      <c r="Q154" s="130" t="s">
        <v>1</v>
      </c>
      <c r="R154" s="130" t="s">
        <v>1</v>
      </c>
      <c r="S154" s="130" t="s">
        <v>1</v>
      </c>
      <c r="T154" s="130" t="s">
        <v>1</v>
      </c>
      <c r="U154" s="130" t="s">
        <v>1</v>
      </c>
      <c r="V154" s="130" t="s">
        <v>1</v>
      </c>
      <c r="W154" s="130" t="s">
        <v>1</v>
      </c>
      <c r="X154" s="126" t="s">
        <v>1</v>
      </c>
      <c r="Y154" s="126" t="s">
        <v>1</v>
      </c>
      <c r="Z154" s="126" t="s">
        <v>1</v>
      </c>
      <c r="AA154" s="126" t="s">
        <v>1</v>
      </c>
      <c r="AB154" s="126" t="s">
        <v>1</v>
      </c>
      <c r="AC154" s="126" t="s">
        <v>1</v>
      </c>
      <c r="AD154" s="126" t="s">
        <v>1</v>
      </c>
      <c r="AE154" s="126" t="s">
        <v>1</v>
      </c>
      <c r="AF154" s="126" t="s">
        <v>1</v>
      </c>
      <c r="AG154" s="126" t="s">
        <v>1</v>
      </c>
      <c r="AH154" s="126" t="s">
        <v>1</v>
      </c>
      <c r="AI154" s="126" t="s">
        <v>1</v>
      </c>
      <c r="AJ154" s="126" t="s">
        <v>1</v>
      </c>
      <c r="AK154" s="126" t="s">
        <v>1</v>
      </c>
      <c r="AL154" s="126" t="s">
        <v>1</v>
      </c>
      <c r="AM154" s="126" t="s">
        <v>1</v>
      </c>
      <c r="AN154" s="126" t="s">
        <v>1</v>
      </c>
      <c r="AO154" s="126" t="s">
        <v>1</v>
      </c>
      <c r="AP154" s="126" t="s">
        <v>1</v>
      </c>
      <c r="AQ154" s="126" t="s">
        <v>1</v>
      </c>
      <c r="AR154" s="126" t="s">
        <v>1</v>
      </c>
      <c r="AS154" s="126" t="s">
        <v>1</v>
      </c>
      <c r="AT154" s="126" t="s">
        <v>1</v>
      </c>
      <c r="AU154" s="126" t="s">
        <v>1</v>
      </c>
      <c r="AV154" s="126" t="s">
        <v>1</v>
      </c>
      <c r="AW154" s="126" t="s">
        <v>1</v>
      </c>
      <c r="AX154" s="126" t="s">
        <v>1</v>
      </c>
      <c r="AY154" s="126" t="s">
        <v>1</v>
      </c>
      <c r="AZ154" s="126" t="s">
        <v>1</v>
      </c>
      <c r="BA154" s="126" t="s">
        <v>1</v>
      </c>
      <c r="BB154" s="126" t="s">
        <v>1</v>
      </c>
      <c r="BC154" s="126" t="s">
        <v>1</v>
      </c>
      <c r="BD154" s="126" t="s">
        <v>1</v>
      </c>
      <c r="BE154" s="126" t="s">
        <v>1</v>
      </c>
      <c r="BF154" s="126" t="s">
        <v>1</v>
      </c>
      <c r="BG154" s="126" t="s">
        <v>1</v>
      </c>
      <c r="BH154" s="126" t="s">
        <v>1</v>
      </c>
      <c r="BI154" s="137" t="s">
        <v>1</v>
      </c>
      <c r="BJ154" s="137" t="s">
        <v>1</v>
      </c>
      <c r="BK154" s="137" t="s">
        <v>1</v>
      </c>
      <c r="BL154" s="137" t="s">
        <v>1</v>
      </c>
      <c r="BM154" s="137" t="s">
        <v>1</v>
      </c>
      <c r="BN154" s="137" t="s">
        <v>1</v>
      </c>
      <c r="BO154" s="137" t="s">
        <v>1</v>
      </c>
      <c r="BP154" s="137" t="s">
        <v>1</v>
      </c>
      <c r="BQ154" s="137" t="s">
        <v>1</v>
      </c>
      <c r="BR154" s="138" t="s">
        <v>1</v>
      </c>
      <c r="BS154" s="138" t="s">
        <v>1</v>
      </c>
      <c r="BT154" s="138" t="s">
        <v>1</v>
      </c>
      <c r="BU154" s="138" t="s">
        <v>1</v>
      </c>
      <c r="BV154" s="138" t="s">
        <v>1</v>
      </c>
      <c r="BW154" s="138" t="s">
        <v>1</v>
      </c>
      <c r="BX154" s="138" t="s">
        <v>1</v>
      </c>
      <c r="BY154" s="138" t="s">
        <v>1</v>
      </c>
      <c r="BZ154" s="138" t="s">
        <v>1</v>
      </c>
      <c r="CA154" s="138" t="s">
        <v>1</v>
      </c>
      <c r="CB154" s="138" t="s">
        <v>1</v>
      </c>
      <c r="CC154" s="138" t="s">
        <v>1</v>
      </c>
      <c r="CD154" s="138" t="s">
        <v>1</v>
      </c>
      <c r="CE154" s="138" t="s">
        <v>1</v>
      </c>
      <c r="CF154" s="138" t="s">
        <v>1</v>
      </c>
      <c r="CG154" s="138" t="s">
        <v>1</v>
      </c>
    </row>
    <row r="155" ht="25" customHeight="1" spans="1:85">
      <c r="A155" s="1" t="s">
        <v>1</v>
      </c>
      <c r="B155" s="1" t="s">
        <v>1</v>
      </c>
      <c r="C155" s="1" t="s">
        <v>1</v>
      </c>
      <c r="D155" s="1" t="s">
        <v>1</v>
      </c>
      <c r="E155" s="1" t="s">
        <v>1</v>
      </c>
      <c r="F155" s="1" t="s">
        <v>1</v>
      </c>
      <c r="G155" s="130" t="s">
        <v>1</v>
      </c>
      <c r="H155" s="130" t="s">
        <v>1</v>
      </c>
      <c r="I155" s="130" t="s">
        <v>1</v>
      </c>
      <c r="J155" s="130" t="s">
        <v>1</v>
      </c>
      <c r="K155" s="130" t="s">
        <v>1</v>
      </c>
      <c r="L155" s="181" t="s">
        <v>1</v>
      </c>
      <c r="M155" s="130" t="s">
        <v>1</v>
      </c>
      <c r="N155" s="130" t="s">
        <v>1</v>
      </c>
      <c r="O155" s="130" t="s">
        <v>1</v>
      </c>
      <c r="P155" s="130" t="s">
        <v>1</v>
      </c>
      <c r="Q155" s="130" t="s">
        <v>1</v>
      </c>
      <c r="R155" s="130" t="s">
        <v>1</v>
      </c>
      <c r="S155" s="130" t="s">
        <v>1</v>
      </c>
      <c r="T155" s="130" t="s">
        <v>1</v>
      </c>
      <c r="U155" s="130" t="s">
        <v>1</v>
      </c>
      <c r="V155" s="130" t="s">
        <v>1</v>
      </c>
      <c r="W155" s="130" t="s">
        <v>1</v>
      </c>
      <c r="X155" s="126" t="s">
        <v>1</v>
      </c>
      <c r="Y155" s="126" t="s">
        <v>1</v>
      </c>
      <c r="Z155" s="126" t="s">
        <v>1</v>
      </c>
      <c r="AA155" s="126" t="s">
        <v>1</v>
      </c>
      <c r="AB155" s="126" t="s">
        <v>1</v>
      </c>
      <c r="AC155" s="126" t="s">
        <v>1</v>
      </c>
      <c r="AD155" s="126" t="s">
        <v>1</v>
      </c>
      <c r="AE155" s="126" t="s">
        <v>1</v>
      </c>
      <c r="AF155" s="126" t="s">
        <v>1</v>
      </c>
      <c r="AG155" s="126" t="s">
        <v>1</v>
      </c>
      <c r="AH155" s="126" t="s">
        <v>1</v>
      </c>
      <c r="AI155" s="126" t="s">
        <v>1</v>
      </c>
      <c r="AJ155" s="126" t="s">
        <v>1</v>
      </c>
      <c r="AK155" s="126" t="s">
        <v>1</v>
      </c>
      <c r="AL155" s="126" t="s">
        <v>1</v>
      </c>
      <c r="AM155" s="126" t="s">
        <v>1</v>
      </c>
      <c r="AN155" s="126" t="s">
        <v>1</v>
      </c>
      <c r="AO155" s="126" t="s">
        <v>1</v>
      </c>
      <c r="AP155" s="126" t="s">
        <v>1</v>
      </c>
      <c r="AQ155" s="126" t="s">
        <v>1</v>
      </c>
      <c r="AR155" s="126" t="s">
        <v>1</v>
      </c>
      <c r="AS155" s="126" t="s">
        <v>1</v>
      </c>
      <c r="AT155" s="126" t="s">
        <v>1</v>
      </c>
      <c r="AU155" s="126" t="s">
        <v>1</v>
      </c>
      <c r="AV155" s="126" t="s">
        <v>1</v>
      </c>
      <c r="AW155" s="126" t="s">
        <v>1</v>
      </c>
      <c r="AX155" s="126" t="s">
        <v>1</v>
      </c>
      <c r="AY155" s="126" t="s">
        <v>1</v>
      </c>
      <c r="AZ155" s="126" t="s">
        <v>1</v>
      </c>
      <c r="BA155" s="126" t="s">
        <v>1</v>
      </c>
      <c r="BB155" s="126" t="s">
        <v>1</v>
      </c>
      <c r="BC155" s="126" t="s">
        <v>1</v>
      </c>
      <c r="BD155" s="126" t="s">
        <v>1</v>
      </c>
      <c r="BE155" s="126" t="s">
        <v>1</v>
      </c>
      <c r="BF155" s="126" t="s">
        <v>1</v>
      </c>
      <c r="BG155" s="126" t="s">
        <v>1</v>
      </c>
      <c r="BH155" s="126" t="s">
        <v>1</v>
      </c>
      <c r="BI155" s="137" t="s">
        <v>1</v>
      </c>
      <c r="BJ155" s="137" t="s">
        <v>1</v>
      </c>
      <c r="BK155" s="137" t="s">
        <v>1</v>
      </c>
      <c r="BL155" s="137" t="s">
        <v>1</v>
      </c>
      <c r="BM155" s="137" t="s">
        <v>1</v>
      </c>
      <c r="BN155" s="137" t="s">
        <v>1</v>
      </c>
      <c r="BO155" s="137" t="s">
        <v>1</v>
      </c>
      <c r="BP155" s="137" t="s">
        <v>1</v>
      </c>
      <c r="BQ155" s="137" t="s">
        <v>1</v>
      </c>
      <c r="BR155" s="138" t="s">
        <v>1</v>
      </c>
      <c r="BS155" s="138" t="s">
        <v>1</v>
      </c>
      <c r="BT155" s="138" t="s">
        <v>1</v>
      </c>
      <c r="BU155" s="138" t="s">
        <v>1</v>
      </c>
      <c r="BV155" s="138" t="s">
        <v>1</v>
      </c>
      <c r="BW155" s="138" t="s">
        <v>1</v>
      </c>
      <c r="BX155" s="138" t="s">
        <v>1</v>
      </c>
      <c r="BY155" s="138" t="s">
        <v>1</v>
      </c>
      <c r="BZ155" s="138" t="s">
        <v>1</v>
      </c>
      <c r="CA155" s="138" t="s">
        <v>1</v>
      </c>
      <c r="CB155" s="138" t="s">
        <v>1</v>
      </c>
      <c r="CC155" s="138" t="s">
        <v>1</v>
      </c>
      <c r="CD155" s="138" t="s">
        <v>1</v>
      </c>
      <c r="CE155" s="138" t="s">
        <v>1</v>
      </c>
      <c r="CF155" s="138" t="s">
        <v>1</v>
      </c>
      <c r="CG155" s="138" t="s">
        <v>1</v>
      </c>
    </row>
    <row r="156" ht="25" customHeight="1" spans="1:85">
      <c r="A156" s="1" t="s">
        <v>1</v>
      </c>
      <c r="B156" s="1" t="s">
        <v>1</v>
      </c>
      <c r="C156" s="1" t="s">
        <v>1</v>
      </c>
      <c r="D156" s="1" t="s">
        <v>1</v>
      </c>
      <c r="E156" s="1" t="s">
        <v>1</v>
      </c>
      <c r="F156" s="1" t="s">
        <v>1</v>
      </c>
      <c r="G156" s="130" t="s">
        <v>1</v>
      </c>
      <c r="H156" s="130" t="s">
        <v>1</v>
      </c>
      <c r="I156" s="130" t="s">
        <v>1</v>
      </c>
      <c r="J156" s="130" t="s">
        <v>1</v>
      </c>
      <c r="K156" s="130" t="s">
        <v>1</v>
      </c>
      <c r="L156" s="181" t="s">
        <v>1</v>
      </c>
      <c r="M156" s="130" t="s">
        <v>1</v>
      </c>
      <c r="N156" s="130" t="s">
        <v>1</v>
      </c>
      <c r="O156" s="130" t="s">
        <v>1</v>
      </c>
      <c r="P156" s="130" t="s">
        <v>1</v>
      </c>
      <c r="Q156" s="130" t="s">
        <v>1</v>
      </c>
      <c r="R156" s="130" t="s">
        <v>1</v>
      </c>
      <c r="S156" s="130" t="s">
        <v>1</v>
      </c>
      <c r="T156" s="130" t="s">
        <v>1</v>
      </c>
      <c r="U156" s="130" t="s">
        <v>1</v>
      </c>
      <c r="V156" s="130" t="s">
        <v>1</v>
      </c>
      <c r="W156" s="130" t="s">
        <v>1</v>
      </c>
      <c r="X156" s="126" t="s">
        <v>1</v>
      </c>
      <c r="Y156" s="126" t="s">
        <v>1</v>
      </c>
      <c r="Z156" s="126" t="s">
        <v>1</v>
      </c>
      <c r="AA156" s="126" t="s">
        <v>1</v>
      </c>
      <c r="AB156" s="126" t="s">
        <v>1</v>
      </c>
      <c r="AC156" s="126" t="s">
        <v>1</v>
      </c>
      <c r="AD156" s="126" t="s">
        <v>1</v>
      </c>
      <c r="AE156" s="126" t="s">
        <v>1</v>
      </c>
      <c r="AF156" s="126" t="s">
        <v>1</v>
      </c>
      <c r="AG156" s="126" t="s">
        <v>1</v>
      </c>
      <c r="AH156" s="126" t="s">
        <v>1</v>
      </c>
      <c r="AI156" s="126" t="s">
        <v>1</v>
      </c>
      <c r="AJ156" s="126" t="s">
        <v>1</v>
      </c>
      <c r="AK156" s="126" t="s">
        <v>1</v>
      </c>
      <c r="AL156" s="126" t="s">
        <v>1</v>
      </c>
      <c r="AM156" s="126" t="s">
        <v>1</v>
      </c>
      <c r="AN156" s="126" t="s">
        <v>1</v>
      </c>
      <c r="AO156" s="126" t="s">
        <v>1</v>
      </c>
      <c r="AP156" s="126" t="s">
        <v>1</v>
      </c>
      <c r="AQ156" s="126" t="s">
        <v>1</v>
      </c>
      <c r="AR156" s="126" t="s">
        <v>1</v>
      </c>
      <c r="AS156" s="126" t="s">
        <v>1</v>
      </c>
      <c r="AT156" s="126" t="s">
        <v>1</v>
      </c>
      <c r="AU156" s="126" t="s">
        <v>1</v>
      </c>
      <c r="AV156" s="126" t="s">
        <v>1</v>
      </c>
      <c r="AW156" s="126" t="s">
        <v>1</v>
      </c>
      <c r="AX156" s="126" t="s">
        <v>1</v>
      </c>
      <c r="AY156" s="126" t="s">
        <v>1</v>
      </c>
      <c r="AZ156" s="126" t="s">
        <v>1</v>
      </c>
      <c r="BA156" s="126" t="s">
        <v>1</v>
      </c>
      <c r="BB156" s="126" t="s">
        <v>1</v>
      </c>
      <c r="BC156" s="126" t="s">
        <v>1</v>
      </c>
      <c r="BD156" s="126" t="s">
        <v>1</v>
      </c>
      <c r="BE156" s="126" t="s">
        <v>1</v>
      </c>
      <c r="BF156" s="126" t="s">
        <v>1</v>
      </c>
      <c r="BG156" s="126" t="s">
        <v>1</v>
      </c>
      <c r="BH156" s="126" t="s">
        <v>1</v>
      </c>
      <c r="BI156" s="137" t="s">
        <v>1</v>
      </c>
      <c r="BJ156" s="137" t="s">
        <v>1</v>
      </c>
      <c r="BK156" s="137" t="s">
        <v>1</v>
      </c>
      <c r="BL156" s="137" t="s">
        <v>1</v>
      </c>
      <c r="BM156" s="137" t="s">
        <v>1</v>
      </c>
      <c r="BN156" s="137" t="s">
        <v>1</v>
      </c>
      <c r="BO156" s="137" t="s">
        <v>1</v>
      </c>
      <c r="BP156" s="137" t="s">
        <v>1</v>
      </c>
      <c r="BQ156" s="137" t="s">
        <v>1</v>
      </c>
      <c r="BR156" s="138" t="s">
        <v>1</v>
      </c>
      <c r="BS156" s="138" t="s">
        <v>1</v>
      </c>
      <c r="BT156" s="138" t="s">
        <v>1</v>
      </c>
      <c r="BU156" s="138" t="s">
        <v>1</v>
      </c>
      <c r="BV156" s="138" t="s">
        <v>1</v>
      </c>
      <c r="BW156" s="138" t="s">
        <v>1</v>
      </c>
      <c r="BX156" s="138" t="s">
        <v>1</v>
      </c>
      <c r="BY156" s="138" t="s">
        <v>1</v>
      </c>
      <c r="BZ156" s="138" t="s">
        <v>1</v>
      </c>
      <c r="CA156" s="138" t="s">
        <v>1</v>
      </c>
      <c r="CB156" s="138" t="s">
        <v>1</v>
      </c>
      <c r="CC156" s="138" t="s">
        <v>1</v>
      </c>
      <c r="CD156" s="138" t="s">
        <v>1</v>
      </c>
      <c r="CE156" s="138" t="s">
        <v>1</v>
      </c>
      <c r="CF156" s="138" t="s">
        <v>1</v>
      </c>
      <c r="CG156" s="138" t="s">
        <v>1</v>
      </c>
    </row>
    <row r="157" ht="25" customHeight="1" spans="1:85">
      <c r="A157" s="1" t="s">
        <v>1</v>
      </c>
      <c r="B157" s="1" t="s">
        <v>1</v>
      </c>
      <c r="C157" s="1" t="s">
        <v>1</v>
      </c>
      <c r="D157" s="1" t="s">
        <v>1</v>
      </c>
      <c r="E157" s="1" t="s">
        <v>1</v>
      </c>
      <c r="F157" s="1" t="s">
        <v>1</v>
      </c>
      <c r="G157" s="130" t="s">
        <v>1</v>
      </c>
      <c r="H157" s="130" t="s">
        <v>1</v>
      </c>
      <c r="I157" s="130" t="s">
        <v>1</v>
      </c>
      <c r="J157" s="130" t="s">
        <v>1</v>
      </c>
      <c r="K157" s="130" t="s">
        <v>1</v>
      </c>
      <c r="L157" s="181" t="s">
        <v>1</v>
      </c>
      <c r="M157" s="130" t="s">
        <v>1</v>
      </c>
      <c r="N157" s="130" t="s">
        <v>1</v>
      </c>
      <c r="O157" s="130" t="s">
        <v>1</v>
      </c>
      <c r="P157" s="130" t="s">
        <v>1</v>
      </c>
      <c r="Q157" s="130" t="s">
        <v>1</v>
      </c>
      <c r="R157" s="130" t="s">
        <v>1</v>
      </c>
      <c r="S157" s="130" t="s">
        <v>1</v>
      </c>
      <c r="T157" s="130" t="s">
        <v>1</v>
      </c>
      <c r="U157" s="130" t="s">
        <v>1</v>
      </c>
      <c r="V157" s="130" t="s">
        <v>1</v>
      </c>
      <c r="W157" s="130" t="s">
        <v>1</v>
      </c>
      <c r="X157" s="126" t="s">
        <v>1</v>
      </c>
      <c r="Y157" s="126" t="s">
        <v>1</v>
      </c>
      <c r="Z157" s="126" t="s">
        <v>1</v>
      </c>
      <c r="AA157" s="126" t="s">
        <v>1</v>
      </c>
      <c r="AB157" s="126" t="s">
        <v>1</v>
      </c>
      <c r="AC157" s="126" t="s">
        <v>1</v>
      </c>
      <c r="AD157" s="126" t="s">
        <v>1</v>
      </c>
      <c r="AE157" s="126" t="s">
        <v>1</v>
      </c>
      <c r="AF157" s="126" t="s">
        <v>1</v>
      </c>
      <c r="AG157" s="126" t="s">
        <v>1</v>
      </c>
      <c r="AH157" s="126" t="s">
        <v>1</v>
      </c>
      <c r="AI157" s="126" t="s">
        <v>1</v>
      </c>
      <c r="AJ157" s="126" t="s">
        <v>1</v>
      </c>
      <c r="AK157" s="126" t="s">
        <v>1</v>
      </c>
      <c r="AL157" s="126" t="s">
        <v>1</v>
      </c>
      <c r="AM157" s="126" t="s">
        <v>1</v>
      </c>
      <c r="AN157" s="126" t="s">
        <v>1</v>
      </c>
      <c r="AO157" s="126" t="s">
        <v>1</v>
      </c>
      <c r="AP157" s="126" t="s">
        <v>1</v>
      </c>
      <c r="AQ157" s="126" t="s">
        <v>1</v>
      </c>
      <c r="AR157" s="126" t="s">
        <v>1</v>
      </c>
      <c r="AS157" s="126" t="s">
        <v>1</v>
      </c>
      <c r="AT157" s="126" t="s">
        <v>1</v>
      </c>
      <c r="AU157" s="126" t="s">
        <v>1</v>
      </c>
      <c r="AV157" s="126" t="s">
        <v>1</v>
      </c>
      <c r="AW157" s="126" t="s">
        <v>1</v>
      </c>
      <c r="AX157" s="126" t="s">
        <v>1</v>
      </c>
      <c r="AY157" s="126" t="s">
        <v>1</v>
      </c>
      <c r="AZ157" s="126" t="s">
        <v>1</v>
      </c>
      <c r="BA157" s="126" t="s">
        <v>1</v>
      </c>
      <c r="BB157" s="126" t="s">
        <v>1</v>
      </c>
      <c r="BC157" s="126" t="s">
        <v>1</v>
      </c>
      <c r="BD157" s="126" t="s">
        <v>1</v>
      </c>
      <c r="BE157" s="126" t="s">
        <v>1</v>
      </c>
      <c r="BF157" s="126" t="s">
        <v>1</v>
      </c>
      <c r="BG157" s="126" t="s">
        <v>1</v>
      </c>
      <c r="BH157" s="126" t="s">
        <v>1</v>
      </c>
      <c r="BI157" s="137" t="s">
        <v>1</v>
      </c>
      <c r="BJ157" s="137" t="s">
        <v>1</v>
      </c>
      <c r="BK157" s="137" t="s">
        <v>1</v>
      </c>
      <c r="BL157" s="137" t="s">
        <v>1</v>
      </c>
      <c r="BM157" s="137" t="s">
        <v>1</v>
      </c>
      <c r="BN157" s="137" t="s">
        <v>1</v>
      </c>
      <c r="BO157" s="137" t="s">
        <v>1</v>
      </c>
      <c r="BP157" s="137" t="s">
        <v>1</v>
      </c>
      <c r="BQ157" s="137" t="s">
        <v>1</v>
      </c>
      <c r="BR157" s="138" t="s">
        <v>1</v>
      </c>
      <c r="BS157" s="138" t="s">
        <v>1</v>
      </c>
      <c r="BT157" s="138" t="s">
        <v>1</v>
      </c>
      <c r="BU157" s="138" t="s">
        <v>1</v>
      </c>
      <c r="BV157" s="138" t="s">
        <v>1</v>
      </c>
      <c r="BW157" s="138" t="s">
        <v>1</v>
      </c>
      <c r="BX157" s="138" t="s">
        <v>1</v>
      </c>
      <c r="BY157" s="138" t="s">
        <v>1</v>
      </c>
      <c r="BZ157" s="138" t="s">
        <v>1</v>
      </c>
      <c r="CA157" s="138" t="s">
        <v>1</v>
      </c>
      <c r="CB157" s="138" t="s">
        <v>1</v>
      </c>
      <c r="CC157" s="138" t="s">
        <v>1</v>
      </c>
      <c r="CD157" s="138" t="s">
        <v>1</v>
      </c>
      <c r="CE157" s="138" t="s">
        <v>1</v>
      </c>
      <c r="CF157" s="138" t="s">
        <v>1</v>
      </c>
      <c r="CG157" s="138" t="s">
        <v>1</v>
      </c>
    </row>
    <row r="158" ht="25" customHeight="1" spans="1:85">
      <c r="A158" s="1" t="s">
        <v>1</v>
      </c>
      <c r="B158" s="1" t="s">
        <v>1</v>
      </c>
      <c r="C158" s="1" t="s">
        <v>1</v>
      </c>
      <c r="D158" s="1" t="s">
        <v>1</v>
      </c>
      <c r="E158" s="1" t="s">
        <v>1</v>
      </c>
      <c r="F158" s="1" t="s">
        <v>1</v>
      </c>
      <c r="G158" s="130" t="s">
        <v>1</v>
      </c>
      <c r="H158" s="130" t="s">
        <v>1</v>
      </c>
      <c r="I158" s="130" t="s">
        <v>1</v>
      </c>
      <c r="J158" s="130" t="s">
        <v>1</v>
      </c>
      <c r="K158" s="130" t="s">
        <v>1</v>
      </c>
      <c r="L158" s="181" t="s">
        <v>1</v>
      </c>
      <c r="M158" s="130" t="s">
        <v>1</v>
      </c>
      <c r="N158" s="130" t="s">
        <v>1</v>
      </c>
      <c r="O158" s="130" t="s">
        <v>1</v>
      </c>
      <c r="P158" s="130" t="s">
        <v>1</v>
      </c>
      <c r="Q158" s="130" t="s">
        <v>1</v>
      </c>
      <c r="R158" s="130" t="s">
        <v>1</v>
      </c>
      <c r="S158" s="130" t="s">
        <v>1</v>
      </c>
      <c r="T158" s="130" t="s">
        <v>1</v>
      </c>
      <c r="U158" s="130" t="s">
        <v>1</v>
      </c>
      <c r="V158" s="130" t="s">
        <v>1</v>
      </c>
      <c r="W158" s="130" t="s">
        <v>1</v>
      </c>
      <c r="X158" s="126" t="s">
        <v>1</v>
      </c>
      <c r="Y158" s="126" t="s">
        <v>1</v>
      </c>
      <c r="Z158" s="126" t="s">
        <v>1</v>
      </c>
      <c r="AA158" s="126" t="s">
        <v>1</v>
      </c>
      <c r="AB158" s="126" t="s">
        <v>1</v>
      </c>
      <c r="AC158" s="126" t="s">
        <v>1</v>
      </c>
      <c r="AD158" s="126" t="s">
        <v>1</v>
      </c>
      <c r="AE158" s="126" t="s">
        <v>1</v>
      </c>
      <c r="AF158" s="126" t="s">
        <v>1</v>
      </c>
      <c r="AG158" s="126" t="s">
        <v>1</v>
      </c>
      <c r="AH158" s="126" t="s">
        <v>1</v>
      </c>
      <c r="AI158" s="126" t="s">
        <v>1</v>
      </c>
      <c r="AJ158" s="126" t="s">
        <v>1</v>
      </c>
      <c r="AK158" s="126" t="s">
        <v>1</v>
      </c>
      <c r="AL158" s="126" t="s">
        <v>1</v>
      </c>
      <c r="AM158" s="126" t="s">
        <v>1</v>
      </c>
      <c r="AN158" s="126" t="s">
        <v>1</v>
      </c>
      <c r="AO158" s="126" t="s">
        <v>1</v>
      </c>
      <c r="AP158" s="126" t="s">
        <v>1</v>
      </c>
      <c r="AQ158" s="126" t="s">
        <v>1</v>
      </c>
      <c r="AR158" s="126" t="s">
        <v>1</v>
      </c>
      <c r="AS158" s="126" t="s">
        <v>1</v>
      </c>
      <c r="AT158" s="126" t="s">
        <v>1</v>
      </c>
      <c r="AU158" s="126" t="s">
        <v>1</v>
      </c>
      <c r="AV158" s="126" t="s">
        <v>1</v>
      </c>
      <c r="AW158" s="126" t="s">
        <v>1</v>
      </c>
      <c r="AX158" s="126" t="s">
        <v>1</v>
      </c>
      <c r="AY158" s="126" t="s">
        <v>1</v>
      </c>
      <c r="AZ158" s="126" t="s">
        <v>1</v>
      </c>
      <c r="BA158" s="126" t="s">
        <v>1</v>
      </c>
      <c r="BB158" s="126" t="s">
        <v>1</v>
      </c>
      <c r="BC158" s="126" t="s">
        <v>1</v>
      </c>
      <c r="BD158" s="126" t="s">
        <v>1</v>
      </c>
      <c r="BE158" s="126" t="s">
        <v>1</v>
      </c>
      <c r="BF158" s="126" t="s">
        <v>1</v>
      </c>
      <c r="BG158" s="126" t="s">
        <v>1</v>
      </c>
      <c r="BH158" s="126" t="s">
        <v>1</v>
      </c>
      <c r="BI158" s="137" t="s">
        <v>1</v>
      </c>
      <c r="BJ158" s="137" t="s">
        <v>1</v>
      </c>
      <c r="BK158" s="137" t="s">
        <v>1</v>
      </c>
      <c r="BL158" s="137" t="s">
        <v>1</v>
      </c>
      <c r="BM158" s="137" t="s">
        <v>1</v>
      </c>
      <c r="BN158" s="137" t="s">
        <v>1</v>
      </c>
      <c r="BO158" s="137" t="s">
        <v>1</v>
      </c>
      <c r="BP158" s="137" t="s">
        <v>1</v>
      </c>
      <c r="BQ158" s="137" t="s">
        <v>1</v>
      </c>
      <c r="BR158" s="138" t="s">
        <v>1</v>
      </c>
      <c r="BS158" s="138" t="s">
        <v>1</v>
      </c>
      <c r="BT158" s="138" t="s">
        <v>1</v>
      </c>
      <c r="BU158" s="138" t="s">
        <v>1</v>
      </c>
      <c r="BV158" s="138" t="s">
        <v>1</v>
      </c>
      <c r="BW158" s="138" t="s">
        <v>1</v>
      </c>
      <c r="BX158" s="138" t="s">
        <v>1</v>
      </c>
      <c r="BY158" s="138" t="s">
        <v>1</v>
      </c>
      <c r="BZ158" s="138" t="s">
        <v>1</v>
      </c>
      <c r="CA158" s="138" t="s">
        <v>1</v>
      </c>
      <c r="CB158" s="138" t="s">
        <v>1</v>
      </c>
      <c r="CC158" s="138" t="s">
        <v>1</v>
      </c>
      <c r="CD158" s="138" t="s">
        <v>1</v>
      </c>
      <c r="CE158" s="138" t="s">
        <v>1</v>
      </c>
      <c r="CF158" s="138" t="s">
        <v>1</v>
      </c>
      <c r="CG158" s="138" t="s">
        <v>1</v>
      </c>
    </row>
    <row r="159" ht="25" customHeight="1" spans="1:85">
      <c r="A159" s="1" t="s">
        <v>1</v>
      </c>
      <c r="B159" s="1" t="s">
        <v>1</v>
      </c>
      <c r="C159" s="1" t="s">
        <v>1</v>
      </c>
      <c r="D159" s="1" t="s">
        <v>1</v>
      </c>
      <c r="E159" s="1" t="s">
        <v>1</v>
      </c>
      <c r="F159" s="1" t="s">
        <v>1</v>
      </c>
      <c r="G159" s="130" t="s">
        <v>1</v>
      </c>
      <c r="H159" s="130" t="s">
        <v>1</v>
      </c>
      <c r="I159" s="130" t="s">
        <v>1</v>
      </c>
      <c r="J159" s="130" t="s">
        <v>1</v>
      </c>
      <c r="K159" s="130" t="s">
        <v>1</v>
      </c>
      <c r="L159" s="181" t="s">
        <v>1</v>
      </c>
      <c r="M159" s="130" t="s">
        <v>1</v>
      </c>
      <c r="N159" s="130" t="s">
        <v>1</v>
      </c>
      <c r="O159" s="130" t="s">
        <v>1</v>
      </c>
      <c r="P159" s="130" t="s">
        <v>1</v>
      </c>
      <c r="Q159" s="130" t="s">
        <v>1</v>
      </c>
      <c r="R159" s="130" t="s">
        <v>1</v>
      </c>
      <c r="S159" s="130" t="s">
        <v>1</v>
      </c>
      <c r="T159" s="130" t="s">
        <v>1</v>
      </c>
      <c r="U159" s="130" t="s">
        <v>1</v>
      </c>
      <c r="V159" s="130" t="s">
        <v>1</v>
      </c>
      <c r="W159" s="130" t="s">
        <v>1</v>
      </c>
      <c r="X159" s="126" t="s">
        <v>1</v>
      </c>
      <c r="Y159" s="126" t="s">
        <v>1</v>
      </c>
      <c r="Z159" s="126" t="s">
        <v>1</v>
      </c>
      <c r="AA159" s="126" t="s">
        <v>1</v>
      </c>
      <c r="AB159" s="126" t="s">
        <v>1</v>
      </c>
      <c r="AC159" s="126" t="s">
        <v>1</v>
      </c>
      <c r="AD159" s="126" t="s">
        <v>1</v>
      </c>
      <c r="AE159" s="126" t="s">
        <v>1</v>
      </c>
      <c r="AF159" s="126" t="s">
        <v>1</v>
      </c>
      <c r="AG159" s="126" t="s">
        <v>1</v>
      </c>
      <c r="AH159" s="126" t="s">
        <v>1</v>
      </c>
      <c r="AI159" s="126" t="s">
        <v>1</v>
      </c>
      <c r="AJ159" s="126" t="s">
        <v>1</v>
      </c>
      <c r="AK159" s="126" t="s">
        <v>1</v>
      </c>
      <c r="AL159" s="126" t="s">
        <v>1</v>
      </c>
      <c r="AM159" s="126" t="s">
        <v>1</v>
      </c>
      <c r="AN159" s="126" t="s">
        <v>1</v>
      </c>
      <c r="AO159" s="126" t="s">
        <v>1</v>
      </c>
      <c r="AP159" s="126" t="s">
        <v>1</v>
      </c>
      <c r="AQ159" s="126" t="s">
        <v>1</v>
      </c>
      <c r="AR159" s="126" t="s">
        <v>1</v>
      </c>
      <c r="AS159" s="126" t="s">
        <v>1</v>
      </c>
      <c r="AT159" s="126" t="s">
        <v>1</v>
      </c>
      <c r="AU159" s="126" t="s">
        <v>1</v>
      </c>
      <c r="AV159" s="126" t="s">
        <v>1</v>
      </c>
      <c r="AW159" s="126" t="s">
        <v>1</v>
      </c>
      <c r="AX159" s="126" t="s">
        <v>1</v>
      </c>
      <c r="AY159" s="126" t="s">
        <v>1</v>
      </c>
      <c r="AZ159" s="126" t="s">
        <v>1</v>
      </c>
      <c r="BA159" s="126" t="s">
        <v>1</v>
      </c>
      <c r="BB159" s="126" t="s">
        <v>1</v>
      </c>
      <c r="BC159" s="126" t="s">
        <v>1</v>
      </c>
      <c r="BD159" s="126" t="s">
        <v>1</v>
      </c>
      <c r="BE159" s="126" t="s">
        <v>1</v>
      </c>
      <c r="BF159" s="126" t="s">
        <v>1</v>
      </c>
      <c r="BG159" s="126" t="s">
        <v>1</v>
      </c>
      <c r="BH159" s="126" t="s">
        <v>1</v>
      </c>
      <c r="BI159" s="137" t="s">
        <v>1</v>
      </c>
      <c r="BJ159" s="137" t="s">
        <v>1</v>
      </c>
      <c r="BK159" s="137" t="s">
        <v>1</v>
      </c>
      <c r="BL159" s="137" t="s">
        <v>1</v>
      </c>
      <c r="BM159" s="137" t="s">
        <v>1</v>
      </c>
      <c r="BN159" s="137" t="s">
        <v>1</v>
      </c>
      <c r="BO159" s="137" t="s">
        <v>1</v>
      </c>
      <c r="BP159" s="137" t="s">
        <v>1</v>
      </c>
      <c r="BQ159" s="137" t="s">
        <v>1</v>
      </c>
      <c r="BR159" s="138" t="s">
        <v>1</v>
      </c>
      <c r="BS159" s="138" t="s">
        <v>1</v>
      </c>
      <c r="BT159" s="138" t="s">
        <v>1</v>
      </c>
      <c r="BU159" s="138" t="s">
        <v>1</v>
      </c>
      <c r="BV159" s="138" t="s">
        <v>1</v>
      </c>
      <c r="BW159" s="138" t="s">
        <v>1</v>
      </c>
      <c r="BX159" s="138" t="s">
        <v>1</v>
      </c>
      <c r="BY159" s="138" t="s">
        <v>1</v>
      </c>
      <c r="BZ159" s="138" t="s">
        <v>1</v>
      </c>
      <c r="CA159" s="138" t="s">
        <v>1</v>
      </c>
      <c r="CB159" s="138" t="s">
        <v>1</v>
      </c>
      <c r="CC159" s="138" t="s">
        <v>1</v>
      </c>
      <c r="CD159" s="138" t="s">
        <v>1</v>
      </c>
      <c r="CE159" s="138" t="s">
        <v>1</v>
      </c>
      <c r="CF159" s="138" t="s">
        <v>1</v>
      </c>
      <c r="CG159" s="138" t="s">
        <v>1</v>
      </c>
    </row>
    <row r="160" ht="25" customHeight="1" spans="1:85">
      <c r="A160" s="1" t="s">
        <v>1</v>
      </c>
      <c r="B160" s="1" t="s">
        <v>1</v>
      </c>
      <c r="C160" s="1" t="s">
        <v>1</v>
      </c>
      <c r="D160" s="1" t="s">
        <v>1</v>
      </c>
      <c r="E160" s="1" t="s">
        <v>1</v>
      </c>
      <c r="F160" s="1" t="s">
        <v>1</v>
      </c>
      <c r="G160" s="130" t="s">
        <v>1</v>
      </c>
      <c r="H160" s="130" t="s">
        <v>1</v>
      </c>
      <c r="I160" s="130" t="s">
        <v>1</v>
      </c>
      <c r="J160" s="130" t="s">
        <v>1</v>
      </c>
      <c r="K160" s="130" t="s">
        <v>1</v>
      </c>
      <c r="L160" s="181" t="s">
        <v>1</v>
      </c>
      <c r="M160" s="130" t="s">
        <v>1</v>
      </c>
      <c r="N160" s="130" t="s">
        <v>1</v>
      </c>
      <c r="O160" s="130" t="s">
        <v>1</v>
      </c>
      <c r="P160" s="130" t="s">
        <v>1</v>
      </c>
      <c r="Q160" s="130" t="s">
        <v>1</v>
      </c>
      <c r="R160" s="130" t="s">
        <v>1</v>
      </c>
      <c r="S160" s="130" t="s">
        <v>1</v>
      </c>
      <c r="T160" s="130" t="s">
        <v>1</v>
      </c>
      <c r="U160" s="130" t="s">
        <v>1</v>
      </c>
      <c r="V160" s="130" t="s">
        <v>1</v>
      </c>
      <c r="W160" s="130" t="s">
        <v>1</v>
      </c>
      <c r="X160" s="126" t="s">
        <v>1</v>
      </c>
      <c r="Y160" s="126" t="s">
        <v>1</v>
      </c>
      <c r="Z160" s="126" t="s">
        <v>1</v>
      </c>
      <c r="AA160" s="126" t="s">
        <v>1</v>
      </c>
      <c r="AB160" s="126" t="s">
        <v>1</v>
      </c>
      <c r="AC160" s="126" t="s">
        <v>1</v>
      </c>
      <c r="AD160" s="126" t="s">
        <v>1</v>
      </c>
      <c r="AE160" s="126" t="s">
        <v>1</v>
      </c>
      <c r="AF160" s="126" t="s">
        <v>1</v>
      </c>
      <c r="AG160" s="126" t="s">
        <v>1</v>
      </c>
      <c r="AH160" s="126" t="s">
        <v>1</v>
      </c>
      <c r="AI160" s="126" t="s">
        <v>1</v>
      </c>
      <c r="AJ160" s="126" t="s">
        <v>1</v>
      </c>
      <c r="AK160" s="126" t="s">
        <v>1</v>
      </c>
      <c r="AL160" s="126" t="s">
        <v>1</v>
      </c>
      <c r="AM160" s="126" t="s">
        <v>1</v>
      </c>
      <c r="AN160" s="126" t="s">
        <v>1</v>
      </c>
      <c r="AO160" s="126" t="s">
        <v>1</v>
      </c>
      <c r="AP160" s="126" t="s">
        <v>1</v>
      </c>
      <c r="AQ160" s="126" t="s">
        <v>1</v>
      </c>
      <c r="AR160" s="126" t="s">
        <v>1</v>
      </c>
      <c r="AS160" s="126" t="s">
        <v>1</v>
      </c>
      <c r="AT160" s="126" t="s">
        <v>1</v>
      </c>
      <c r="AU160" s="126" t="s">
        <v>1</v>
      </c>
      <c r="AV160" s="126" t="s">
        <v>1</v>
      </c>
      <c r="AW160" s="126" t="s">
        <v>1</v>
      </c>
      <c r="AX160" s="126" t="s">
        <v>1</v>
      </c>
      <c r="AY160" s="126" t="s">
        <v>1</v>
      </c>
      <c r="AZ160" s="126" t="s">
        <v>1</v>
      </c>
      <c r="BA160" s="126" t="s">
        <v>1</v>
      </c>
      <c r="BB160" s="126" t="s">
        <v>1</v>
      </c>
      <c r="BC160" s="126" t="s">
        <v>1</v>
      </c>
      <c r="BD160" s="126" t="s">
        <v>1</v>
      </c>
      <c r="BE160" s="126" t="s">
        <v>1</v>
      </c>
      <c r="BF160" s="126" t="s">
        <v>1</v>
      </c>
      <c r="BG160" s="126" t="s">
        <v>1</v>
      </c>
      <c r="BH160" s="126" t="s">
        <v>1</v>
      </c>
      <c r="BI160" s="137" t="s">
        <v>1</v>
      </c>
      <c r="BJ160" s="137" t="s">
        <v>1</v>
      </c>
      <c r="BK160" s="137" t="s">
        <v>1</v>
      </c>
      <c r="BL160" s="137" t="s">
        <v>1</v>
      </c>
      <c r="BM160" s="137" t="s">
        <v>1</v>
      </c>
      <c r="BN160" s="137" t="s">
        <v>1</v>
      </c>
      <c r="BO160" s="137" t="s">
        <v>1</v>
      </c>
      <c r="BP160" s="137" t="s">
        <v>1</v>
      </c>
      <c r="BQ160" s="137" t="s">
        <v>1</v>
      </c>
      <c r="BR160" s="138" t="s">
        <v>1</v>
      </c>
      <c r="BS160" s="138" t="s">
        <v>1</v>
      </c>
      <c r="BT160" s="138" t="s">
        <v>1</v>
      </c>
      <c r="BU160" s="138" t="s">
        <v>1</v>
      </c>
      <c r="BV160" s="138" t="s">
        <v>1</v>
      </c>
      <c r="BW160" s="138" t="s">
        <v>1</v>
      </c>
      <c r="BX160" s="138" t="s">
        <v>1</v>
      </c>
      <c r="BY160" s="138" t="s">
        <v>1</v>
      </c>
      <c r="BZ160" s="138" t="s">
        <v>1</v>
      </c>
      <c r="CA160" s="138" t="s">
        <v>1</v>
      </c>
      <c r="CB160" s="138" t="s">
        <v>1</v>
      </c>
      <c r="CC160" s="138" t="s">
        <v>1</v>
      </c>
      <c r="CD160" s="138" t="s">
        <v>1</v>
      </c>
      <c r="CE160" s="138" t="s">
        <v>1</v>
      </c>
      <c r="CF160" s="138" t="s">
        <v>1</v>
      </c>
      <c r="CG160" s="138" t="s">
        <v>1</v>
      </c>
    </row>
    <row r="161" ht="25" customHeight="1" spans="1:86">
      <c r="A161" s="63" t="s">
        <v>177</v>
      </c>
      <c r="B161" s="64" t="s">
        <v>1</v>
      </c>
      <c r="C161" s="64" t="s">
        <v>1</v>
      </c>
      <c r="D161" s="65" t="s">
        <v>2</v>
      </c>
      <c r="E161" s="65" t="s">
        <v>1</v>
      </c>
      <c r="F161" s="65" t="s">
        <v>1</v>
      </c>
      <c r="G161" s="65" t="s">
        <v>1</v>
      </c>
      <c r="H161" s="65" t="s">
        <v>1</v>
      </c>
      <c r="I161" s="65" t="s">
        <v>1</v>
      </c>
      <c r="J161" s="65" t="s">
        <v>1</v>
      </c>
      <c r="K161" s="65" t="s">
        <v>1</v>
      </c>
      <c r="L161" s="182" t="s">
        <v>1</v>
      </c>
      <c r="M161" s="65" t="s">
        <v>1</v>
      </c>
      <c r="N161" s="65" t="s">
        <v>1</v>
      </c>
      <c r="O161" s="65" t="s">
        <v>1</v>
      </c>
      <c r="P161" s="65" t="s">
        <v>1</v>
      </c>
      <c r="Q161" s="65" t="s">
        <v>1</v>
      </c>
      <c r="R161" s="65" t="s">
        <v>1</v>
      </c>
      <c r="S161" s="65" t="s">
        <v>1</v>
      </c>
      <c r="T161" s="65" t="s">
        <v>1</v>
      </c>
      <c r="U161" s="65" t="s">
        <v>1</v>
      </c>
      <c r="V161" s="65" t="s">
        <v>1</v>
      </c>
      <c r="W161" s="65" t="s">
        <v>1</v>
      </c>
      <c r="X161" s="66" t="s">
        <v>3</v>
      </c>
      <c r="Y161" s="67" t="s">
        <v>1</v>
      </c>
      <c r="Z161" s="67" t="s">
        <v>1</v>
      </c>
      <c r="AA161" s="67" t="s">
        <v>1</v>
      </c>
      <c r="AB161" s="67" t="s">
        <v>1</v>
      </c>
      <c r="AC161" s="67" t="s">
        <v>1</v>
      </c>
      <c r="AD161" s="67" t="s">
        <v>1</v>
      </c>
      <c r="AE161" s="67" t="s">
        <v>1</v>
      </c>
      <c r="AF161" s="67" t="s">
        <v>1</v>
      </c>
      <c r="AG161" s="67" t="s">
        <v>1</v>
      </c>
      <c r="AH161" s="67" t="s">
        <v>1</v>
      </c>
      <c r="AI161" s="67" t="s">
        <v>1</v>
      </c>
      <c r="AJ161" s="67" t="s">
        <v>1</v>
      </c>
      <c r="AK161" s="67" t="s">
        <v>1</v>
      </c>
      <c r="AL161" s="67" t="s">
        <v>1</v>
      </c>
      <c r="AM161" s="67" t="s">
        <v>1</v>
      </c>
      <c r="AN161" s="67" t="s">
        <v>1</v>
      </c>
      <c r="AO161" s="67" t="s">
        <v>1</v>
      </c>
      <c r="AP161" s="67" t="s">
        <v>1</v>
      </c>
      <c r="AQ161" s="67" t="s">
        <v>1</v>
      </c>
      <c r="AR161" s="67" t="s">
        <v>1</v>
      </c>
      <c r="AS161" s="67" t="s">
        <v>1</v>
      </c>
      <c r="AT161" s="67" t="s">
        <v>1</v>
      </c>
      <c r="AU161" s="67" t="s">
        <v>1</v>
      </c>
      <c r="AV161" s="68" t="s">
        <v>4</v>
      </c>
      <c r="AW161" s="68" t="s">
        <v>1</v>
      </c>
      <c r="AX161" s="68" t="s">
        <v>1</v>
      </c>
      <c r="AY161" s="68" t="s">
        <v>1</v>
      </c>
      <c r="AZ161" s="68" t="s">
        <v>1</v>
      </c>
      <c r="BA161" s="68" t="s">
        <v>1</v>
      </c>
      <c r="BB161" s="68" t="s">
        <v>1</v>
      </c>
      <c r="BC161" s="68" t="s">
        <v>1</v>
      </c>
      <c r="BD161" s="68" t="s">
        <v>1</v>
      </c>
      <c r="BE161" s="68" t="s">
        <v>1</v>
      </c>
      <c r="BF161" s="68" t="s">
        <v>1</v>
      </c>
      <c r="BG161" s="68" t="s">
        <v>1</v>
      </c>
      <c r="BH161" s="68" t="s">
        <v>1</v>
      </c>
      <c r="BI161" s="68" t="s">
        <v>1</v>
      </c>
      <c r="BJ161" s="149" t="s">
        <v>5</v>
      </c>
      <c r="BK161" s="150" t="s">
        <v>6</v>
      </c>
      <c r="BL161" s="150" t="s">
        <v>1</v>
      </c>
      <c r="BM161" s="150" t="s">
        <v>1</v>
      </c>
      <c r="BN161" s="150" t="s">
        <v>1</v>
      </c>
      <c r="BO161" s="150" t="s">
        <v>1</v>
      </c>
      <c r="BP161" s="150" t="s">
        <v>1</v>
      </c>
      <c r="BQ161" s="150" t="s">
        <v>1</v>
      </c>
      <c r="BR161" s="101" t="s">
        <v>1</v>
      </c>
      <c r="BS161" s="71" t="s">
        <v>7</v>
      </c>
      <c r="BT161" s="71" t="s">
        <v>1</v>
      </c>
      <c r="BU161" s="71" t="s">
        <v>1</v>
      </c>
      <c r="BV161" s="71" t="s">
        <v>1</v>
      </c>
      <c r="BW161" s="71" t="s">
        <v>1</v>
      </c>
      <c r="BX161" s="71" t="s">
        <v>1</v>
      </c>
      <c r="BY161" s="71" t="s">
        <v>1</v>
      </c>
      <c r="BZ161" s="71" t="s">
        <v>1</v>
      </c>
      <c r="CA161" s="71" t="s">
        <v>1</v>
      </c>
      <c r="CB161" s="71" t="s">
        <v>1</v>
      </c>
      <c r="CC161" s="71" t="s">
        <v>1</v>
      </c>
      <c r="CD161" s="71" t="s">
        <v>1</v>
      </c>
      <c r="CE161" s="71" t="s">
        <v>1</v>
      </c>
      <c r="CF161" s="71" t="s">
        <v>1</v>
      </c>
      <c r="CG161" s="90" t="s">
        <v>1</v>
      </c>
      <c r="CH161" s="72" t="s">
        <v>178</v>
      </c>
    </row>
    <row r="162" ht="25" customHeight="1" spans="1:86">
      <c r="A162" s="73" t="s">
        <v>9</v>
      </c>
      <c r="B162" s="74" t="s">
        <v>10</v>
      </c>
      <c r="C162" s="75" t="s">
        <v>1</v>
      </c>
      <c r="D162" s="76" t="s">
        <v>11</v>
      </c>
      <c r="E162" s="77" t="s">
        <v>1</v>
      </c>
      <c r="F162" s="77" t="s">
        <v>1</v>
      </c>
      <c r="G162" s="77" t="s">
        <v>1</v>
      </c>
      <c r="H162" s="77" t="s">
        <v>1</v>
      </c>
      <c r="I162" s="77" t="s">
        <v>1</v>
      </c>
      <c r="J162" s="77" t="s">
        <v>1</v>
      </c>
      <c r="K162" s="77" t="s">
        <v>1</v>
      </c>
      <c r="L162" s="183" t="s">
        <v>12</v>
      </c>
      <c r="M162" s="77" t="s">
        <v>1</v>
      </c>
      <c r="N162" s="77" t="s">
        <v>1</v>
      </c>
      <c r="O162" s="77" t="s">
        <v>1</v>
      </c>
      <c r="P162" s="77" t="s">
        <v>1</v>
      </c>
      <c r="Q162" s="77" t="s">
        <v>1</v>
      </c>
      <c r="R162" s="77" t="s">
        <v>1</v>
      </c>
      <c r="S162" s="77" t="s">
        <v>1</v>
      </c>
      <c r="T162" s="77" t="s">
        <v>1</v>
      </c>
      <c r="U162" s="77" t="s">
        <v>1</v>
      </c>
      <c r="V162" s="77" t="s">
        <v>1</v>
      </c>
      <c r="W162" s="78" t="s">
        <v>1</v>
      </c>
      <c r="X162" s="79" t="s">
        <v>13</v>
      </c>
      <c r="Y162" s="80" t="s">
        <v>1</v>
      </c>
      <c r="Z162" s="81" t="s">
        <v>14</v>
      </c>
      <c r="AA162" s="82" t="s">
        <v>1</v>
      </c>
      <c r="AB162" s="81" t="s">
        <v>15</v>
      </c>
      <c r="AC162" s="82" t="s">
        <v>1</v>
      </c>
      <c r="AD162" s="81" t="s">
        <v>16</v>
      </c>
      <c r="AE162" s="82" t="s">
        <v>1</v>
      </c>
      <c r="AF162" s="81" t="s">
        <v>17</v>
      </c>
      <c r="AG162" s="82" t="s">
        <v>1</v>
      </c>
      <c r="AH162" s="81" t="s">
        <v>18</v>
      </c>
      <c r="AI162" s="82" t="s">
        <v>1</v>
      </c>
      <c r="AJ162" s="83" t="s">
        <v>19</v>
      </c>
      <c r="AK162" s="84" t="s">
        <v>1</v>
      </c>
      <c r="AL162" s="83" t="s">
        <v>20</v>
      </c>
      <c r="AM162" s="84" t="s">
        <v>1</v>
      </c>
      <c r="AN162" s="83" t="s">
        <v>21</v>
      </c>
      <c r="AO162" s="84" t="s">
        <v>1</v>
      </c>
      <c r="AP162" s="83" t="s">
        <v>22</v>
      </c>
      <c r="AQ162" s="84" t="s">
        <v>1</v>
      </c>
      <c r="AR162" s="85" t="s">
        <v>23</v>
      </c>
      <c r="AS162" s="86" t="s">
        <v>1</v>
      </c>
      <c r="AT162" s="85" t="s">
        <v>24</v>
      </c>
      <c r="AU162" s="86" t="s">
        <v>1</v>
      </c>
      <c r="AV162" s="68" t="s">
        <v>25</v>
      </c>
      <c r="AW162" s="68" t="s">
        <v>1</v>
      </c>
      <c r="AX162" s="87" t="s">
        <v>26</v>
      </c>
      <c r="AY162" s="87" t="s">
        <v>1</v>
      </c>
      <c r="AZ162" s="87" t="s">
        <v>27</v>
      </c>
      <c r="BA162" s="87" t="s">
        <v>1</v>
      </c>
      <c r="BB162" s="88" t="s">
        <v>28</v>
      </c>
      <c r="BC162" s="88" t="s">
        <v>1</v>
      </c>
      <c r="BD162" s="87" t="s">
        <v>29</v>
      </c>
      <c r="BE162" s="87" t="s">
        <v>1</v>
      </c>
      <c r="BF162" s="89" t="s">
        <v>30</v>
      </c>
      <c r="BG162" s="89" t="s">
        <v>1</v>
      </c>
      <c r="BH162" s="89" t="s">
        <v>31</v>
      </c>
      <c r="BI162" s="89" t="s">
        <v>1</v>
      </c>
      <c r="BJ162" s="149" t="s">
        <v>1</v>
      </c>
      <c r="BK162" s="150" t="s">
        <v>32</v>
      </c>
      <c r="BL162" s="150" t="s">
        <v>1</v>
      </c>
      <c r="BM162" s="150" t="s">
        <v>1</v>
      </c>
      <c r="BN162" s="150" t="s">
        <v>1</v>
      </c>
      <c r="BO162" s="151" t="s">
        <v>33</v>
      </c>
      <c r="BP162" s="150" t="s">
        <v>1</v>
      </c>
      <c r="BQ162" s="150" t="s">
        <v>1</v>
      </c>
      <c r="BR162" s="101" t="s">
        <v>1</v>
      </c>
      <c r="BS162" s="71" t="s">
        <v>34</v>
      </c>
      <c r="BT162" s="71" t="s">
        <v>1</v>
      </c>
      <c r="BU162" s="71" t="s">
        <v>1</v>
      </c>
      <c r="BV162" s="71" t="s">
        <v>1</v>
      </c>
      <c r="BW162" s="90" t="s">
        <v>1</v>
      </c>
      <c r="BX162" s="71" t="s">
        <v>35</v>
      </c>
      <c r="BY162" s="71" t="s">
        <v>1</v>
      </c>
      <c r="BZ162" s="71" t="s">
        <v>1</v>
      </c>
      <c r="CA162" s="71" t="s">
        <v>1</v>
      </c>
      <c r="CB162" s="71" t="s">
        <v>1</v>
      </c>
      <c r="CC162" s="71" t="s">
        <v>1</v>
      </c>
      <c r="CD162" s="71" t="s">
        <v>1</v>
      </c>
      <c r="CE162" s="71" t="s">
        <v>1</v>
      </c>
      <c r="CF162" s="71" t="s">
        <v>1</v>
      </c>
      <c r="CG162" s="90" t="s">
        <v>1</v>
      </c>
      <c r="CH162" s="72" t="s">
        <v>1</v>
      </c>
    </row>
    <row r="163" ht="53" customHeight="1" spans="1:86">
      <c r="A163" s="91" t="s">
        <v>1</v>
      </c>
      <c r="B163" s="92" t="s">
        <v>36</v>
      </c>
      <c r="C163" s="92" t="s">
        <v>37</v>
      </c>
      <c r="D163" s="93" t="s">
        <v>38</v>
      </c>
      <c r="E163" s="93" t="s">
        <v>39</v>
      </c>
      <c r="F163" s="93" t="s">
        <v>40</v>
      </c>
      <c r="G163" s="65" t="s">
        <v>41</v>
      </c>
      <c r="H163" s="65" t="s">
        <v>42</v>
      </c>
      <c r="I163" s="65" t="s">
        <v>43</v>
      </c>
      <c r="J163" s="65" t="s">
        <v>44</v>
      </c>
      <c r="K163" s="65" t="s">
        <v>45</v>
      </c>
      <c r="L163" s="182" t="s">
        <v>46</v>
      </c>
      <c r="M163" s="65" t="s">
        <v>1</v>
      </c>
      <c r="N163" s="65" t="s">
        <v>42</v>
      </c>
      <c r="O163" s="65" t="s">
        <v>47</v>
      </c>
      <c r="P163" s="65" t="s">
        <v>48</v>
      </c>
      <c r="Q163" s="65" t="s">
        <v>1</v>
      </c>
      <c r="R163" s="65" t="s">
        <v>42</v>
      </c>
      <c r="S163" s="65" t="s">
        <v>47</v>
      </c>
      <c r="T163" s="65" t="s">
        <v>179</v>
      </c>
      <c r="U163" s="65" t="s">
        <v>1</v>
      </c>
      <c r="V163" s="65" t="s">
        <v>42</v>
      </c>
      <c r="W163" s="65" t="s">
        <v>47</v>
      </c>
      <c r="X163" s="94" t="s">
        <v>36</v>
      </c>
      <c r="Y163" s="94" t="s">
        <v>37</v>
      </c>
      <c r="Z163" s="95" t="s">
        <v>36</v>
      </c>
      <c r="AA163" s="95" t="s">
        <v>37</v>
      </c>
      <c r="AB163" s="95" t="s">
        <v>36</v>
      </c>
      <c r="AC163" s="95" t="s">
        <v>37</v>
      </c>
      <c r="AD163" s="95" t="s">
        <v>36</v>
      </c>
      <c r="AE163" s="95" t="s">
        <v>37</v>
      </c>
      <c r="AF163" s="95" t="s">
        <v>36</v>
      </c>
      <c r="AG163" s="95" t="s">
        <v>37</v>
      </c>
      <c r="AH163" s="95" t="s">
        <v>36</v>
      </c>
      <c r="AI163" s="95" t="s">
        <v>37</v>
      </c>
      <c r="AJ163" s="96" t="s">
        <v>36</v>
      </c>
      <c r="AK163" s="96" t="s">
        <v>37</v>
      </c>
      <c r="AL163" s="96" t="s">
        <v>36</v>
      </c>
      <c r="AM163" s="96" t="s">
        <v>37</v>
      </c>
      <c r="AN163" s="96" t="s">
        <v>36</v>
      </c>
      <c r="AO163" s="96" t="s">
        <v>37</v>
      </c>
      <c r="AP163" s="96" t="s">
        <v>36</v>
      </c>
      <c r="AQ163" s="96" t="s">
        <v>37</v>
      </c>
      <c r="AR163" s="97" t="s">
        <v>36</v>
      </c>
      <c r="AS163" s="97" t="s">
        <v>37</v>
      </c>
      <c r="AT163" s="97" t="s">
        <v>36</v>
      </c>
      <c r="AU163" s="97" t="s">
        <v>37</v>
      </c>
      <c r="AV163" s="68" t="s">
        <v>36</v>
      </c>
      <c r="AW163" s="68" t="s">
        <v>37</v>
      </c>
      <c r="AX163" s="98" t="s">
        <v>36</v>
      </c>
      <c r="AY163" s="98" t="s">
        <v>37</v>
      </c>
      <c r="AZ163" s="98" t="s">
        <v>36</v>
      </c>
      <c r="BA163" s="98" t="s">
        <v>37</v>
      </c>
      <c r="BB163" s="68" t="s">
        <v>36</v>
      </c>
      <c r="BC163" s="68" t="s">
        <v>37</v>
      </c>
      <c r="BD163" s="98" t="s">
        <v>36</v>
      </c>
      <c r="BE163" s="98" t="s">
        <v>37</v>
      </c>
      <c r="BF163" s="99" t="s">
        <v>36</v>
      </c>
      <c r="BG163" s="99" t="s">
        <v>37</v>
      </c>
      <c r="BH163" s="99" t="s">
        <v>36</v>
      </c>
      <c r="BI163" s="99" t="s">
        <v>37</v>
      </c>
      <c r="BJ163" s="149" t="s">
        <v>1</v>
      </c>
      <c r="BK163" s="153" t="s">
        <v>49</v>
      </c>
      <c r="BL163" s="100" t="s">
        <v>50</v>
      </c>
      <c r="BM163" s="100" t="s">
        <v>51</v>
      </c>
      <c r="BN163" s="101" t="s">
        <v>52</v>
      </c>
      <c r="BO163" s="100" t="s">
        <v>49</v>
      </c>
      <c r="BP163" s="100" t="s">
        <v>50</v>
      </c>
      <c r="BQ163" s="100" t="s">
        <v>51</v>
      </c>
      <c r="BR163" s="101" t="s">
        <v>52</v>
      </c>
      <c r="BS163" s="90" t="s">
        <v>53</v>
      </c>
      <c r="BT163" s="90" t="s">
        <v>54</v>
      </c>
      <c r="BU163" s="90" t="s">
        <v>55</v>
      </c>
      <c r="BV163" s="90" t="s">
        <v>56</v>
      </c>
      <c r="BW163" s="90" t="s">
        <v>57</v>
      </c>
      <c r="BX163" s="90" t="s">
        <v>53</v>
      </c>
      <c r="BY163" s="90" t="s">
        <v>54</v>
      </c>
      <c r="BZ163" s="90" t="s">
        <v>55</v>
      </c>
      <c r="CA163" s="90" t="s">
        <v>56</v>
      </c>
      <c r="CB163" s="90" t="s">
        <v>57</v>
      </c>
      <c r="CC163" s="90" t="s">
        <v>58</v>
      </c>
      <c r="CD163" s="90" t="s">
        <v>59</v>
      </c>
      <c r="CE163" s="90" t="s">
        <v>60</v>
      </c>
      <c r="CF163" s="90" t="s">
        <v>61</v>
      </c>
      <c r="CG163" s="90" t="s">
        <v>62</v>
      </c>
      <c r="CH163" s="72" t="s">
        <v>1</v>
      </c>
    </row>
    <row r="164" ht="36" customHeight="1" spans="1:86">
      <c r="A164" s="102" t="s">
        <v>63</v>
      </c>
      <c r="B164" s="103" t="s">
        <v>64</v>
      </c>
      <c r="C164" s="103" t="s">
        <v>64</v>
      </c>
      <c r="D164" s="184" t="s">
        <v>65</v>
      </c>
      <c r="E164" s="184" t="s">
        <v>65</v>
      </c>
      <c r="F164" s="103" t="s">
        <v>64</v>
      </c>
      <c r="G164" s="184" t="s">
        <v>65</v>
      </c>
      <c r="H164" s="184" t="s">
        <v>65</v>
      </c>
      <c r="I164" s="184" t="s">
        <v>65</v>
      </c>
      <c r="J164" s="184" t="s">
        <v>65</v>
      </c>
      <c r="K164" s="184" t="s">
        <v>65</v>
      </c>
      <c r="L164" s="185" t="s">
        <v>66</v>
      </c>
      <c r="M164" s="186" t="s">
        <v>1</v>
      </c>
      <c r="N164" s="186" t="s">
        <v>66</v>
      </c>
      <c r="O164" s="186" t="s">
        <v>66</v>
      </c>
      <c r="P164" s="186" t="s">
        <v>67</v>
      </c>
      <c r="Q164" s="186" t="s">
        <v>1</v>
      </c>
      <c r="R164" s="186" t="s">
        <v>67</v>
      </c>
      <c r="S164" s="186" t="s">
        <v>67</v>
      </c>
      <c r="T164" s="186" t="s">
        <v>68</v>
      </c>
      <c r="U164" s="186" t="s">
        <v>1</v>
      </c>
      <c r="V164" s="186" t="s">
        <v>68</v>
      </c>
      <c r="W164" s="186" t="s">
        <v>68</v>
      </c>
      <c r="X164" s="103" t="s">
        <v>64</v>
      </c>
      <c r="Y164" s="103" t="s">
        <v>64</v>
      </c>
      <c r="Z164" s="103" t="s">
        <v>64</v>
      </c>
      <c r="AA164" s="103" t="s">
        <v>64</v>
      </c>
      <c r="AB164" s="103" t="s">
        <v>64</v>
      </c>
      <c r="AC164" s="103" t="s">
        <v>64</v>
      </c>
      <c r="AD164" s="103" t="s">
        <v>64</v>
      </c>
      <c r="AE164" s="103" t="s">
        <v>64</v>
      </c>
      <c r="AF164" s="103" t="s">
        <v>64</v>
      </c>
      <c r="AG164" s="103" t="s">
        <v>64</v>
      </c>
      <c r="AH164" s="103" t="s">
        <v>64</v>
      </c>
      <c r="AI164" s="103" t="s">
        <v>64</v>
      </c>
      <c r="AJ164" s="103" t="s">
        <v>64</v>
      </c>
      <c r="AK164" s="103" t="s">
        <v>64</v>
      </c>
      <c r="AL164" s="103" t="s">
        <v>64</v>
      </c>
      <c r="AM164" s="103" t="s">
        <v>64</v>
      </c>
      <c r="AN164" s="103" t="s">
        <v>64</v>
      </c>
      <c r="AO164" s="103" t="s">
        <v>64</v>
      </c>
      <c r="AP164" s="103" t="s">
        <v>64</v>
      </c>
      <c r="AQ164" s="103" t="s">
        <v>64</v>
      </c>
      <c r="AR164" s="103" t="s">
        <v>64</v>
      </c>
      <c r="AS164" s="103" t="s">
        <v>64</v>
      </c>
      <c r="AT164" s="103" t="s">
        <v>64</v>
      </c>
      <c r="AU164" s="103" t="s">
        <v>64</v>
      </c>
      <c r="AV164" s="149" t="s">
        <v>67</v>
      </c>
      <c r="AW164" s="149" t="s">
        <v>67</v>
      </c>
      <c r="AX164" s="149" t="s">
        <v>67</v>
      </c>
      <c r="AY164" s="149" t="s">
        <v>67</v>
      </c>
      <c r="AZ164" s="149" t="s">
        <v>67</v>
      </c>
      <c r="BA164" s="149" t="s">
        <v>67</v>
      </c>
      <c r="BB164" s="149" t="s">
        <v>67</v>
      </c>
      <c r="BC164" s="149" t="s">
        <v>67</v>
      </c>
      <c r="BD164" s="149" t="s">
        <v>67</v>
      </c>
      <c r="BE164" s="149" t="s">
        <v>67</v>
      </c>
      <c r="BF164" s="149" t="s">
        <v>67</v>
      </c>
      <c r="BG164" s="149" t="s">
        <v>67</v>
      </c>
      <c r="BH164" s="149" t="s">
        <v>67</v>
      </c>
      <c r="BI164" s="149" t="s">
        <v>67</v>
      </c>
      <c r="BJ164" s="149" t="s">
        <v>69</v>
      </c>
      <c r="BK164" s="149" t="s">
        <v>64</v>
      </c>
      <c r="BL164" s="149" t="s">
        <v>64</v>
      </c>
      <c r="BM164" s="149" t="s">
        <v>64</v>
      </c>
      <c r="BN164" s="149" t="s">
        <v>64</v>
      </c>
      <c r="BO164" s="149" t="s">
        <v>64</v>
      </c>
      <c r="BP164" s="149" t="s">
        <v>64</v>
      </c>
      <c r="BQ164" s="149" t="s">
        <v>64</v>
      </c>
      <c r="BR164" s="149" t="s">
        <v>64</v>
      </c>
      <c r="BS164" s="149" t="s">
        <v>64</v>
      </c>
      <c r="BT164" s="149" t="s">
        <v>64</v>
      </c>
      <c r="BU164" s="149" t="s">
        <v>64</v>
      </c>
      <c r="BV164" s="149" t="s">
        <v>64</v>
      </c>
      <c r="BW164" s="149" t="s">
        <v>64</v>
      </c>
      <c r="BX164" s="149" t="s">
        <v>64</v>
      </c>
      <c r="BY164" s="149" t="s">
        <v>64</v>
      </c>
      <c r="BZ164" s="149" t="s">
        <v>64</v>
      </c>
      <c r="CA164" s="149" t="s">
        <v>64</v>
      </c>
      <c r="CB164" s="149" t="s">
        <v>64</v>
      </c>
      <c r="CC164" s="149" t="s">
        <v>64</v>
      </c>
      <c r="CD164" s="149" t="s">
        <v>64</v>
      </c>
      <c r="CE164" s="149" t="s">
        <v>64</v>
      </c>
      <c r="CF164" s="149" t="s">
        <v>64</v>
      </c>
      <c r="CG164" s="149" t="s">
        <v>64</v>
      </c>
      <c r="CH164" s="149" t="s">
        <v>64</v>
      </c>
    </row>
    <row r="165" ht="25" customHeight="1" spans="1:86">
      <c r="A165" s="108" t="s">
        <v>135</v>
      </c>
      <c r="B165" s="124" t="s">
        <v>1</v>
      </c>
      <c r="C165" s="124" t="s">
        <v>1</v>
      </c>
      <c r="D165" s="124">
        <f>SUM(D5:D11)</f>
        <v>0</v>
      </c>
      <c r="E165" s="124">
        <f>SUM(E5:E11)</f>
        <v>0</v>
      </c>
      <c r="F165" s="124">
        <f>SUM(F5:F11)</f>
        <v>45.8609</v>
      </c>
      <c r="G165" s="141">
        <f>D165/F165-1</f>
        <v>-1</v>
      </c>
      <c r="H165" s="124">
        <f>SUM(H5:H11)</f>
        <v>0</v>
      </c>
      <c r="I165" s="141" t="e">
        <f>D165/H165</f>
        <v>#DIV/0!</v>
      </c>
      <c r="J165" s="124">
        <f>SUM(J5:J11)</f>
        <v>0</v>
      </c>
      <c r="K165" s="124" t="s">
        <v>1</v>
      </c>
      <c r="L165" s="198" t="e">
        <f>J165/D165</f>
        <v>#DIV/0!</v>
      </c>
      <c r="M165" s="124" t="s">
        <v>1</v>
      </c>
      <c r="N165" s="124">
        <f>SUM(N5:N11)</f>
        <v>1.0797820832891</v>
      </c>
      <c r="O165" s="124">
        <f>SUM(O5:O11)</f>
        <v>0</v>
      </c>
      <c r="P165" s="124">
        <f>SUM(P5:P11)</f>
        <v>0</v>
      </c>
      <c r="Q165" s="124" t="s">
        <v>1</v>
      </c>
      <c r="R165" s="124">
        <f>SUM(R5:R11)</f>
        <v>0</v>
      </c>
      <c r="S165" s="124">
        <f>SUM(S5:S11)</f>
        <v>0</v>
      </c>
      <c r="T165" s="124">
        <f>SUM(T5:T11)</f>
        <v>9198</v>
      </c>
      <c r="U165" s="124" t="s">
        <v>1</v>
      </c>
      <c r="V165" s="124">
        <f>SUM(V5:V11)</f>
        <v>0</v>
      </c>
      <c r="W165" s="124">
        <f>SUM(W5:W11)</f>
        <v>0</v>
      </c>
      <c r="X165" s="124">
        <f>SUM(X5:X11)</f>
        <v>0</v>
      </c>
      <c r="Y165" s="124" t="s">
        <v>1</v>
      </c>
      <c r="Z165" s="124">
        <f>SUM(Z5:Z11)</f>
        <v>0</v>
      </c>
      <c r="AA165" s="124">
        <f>SUM(AA5:AA11)</f>
        <v>17380</v>
      </c>
      <c r="AB165" s="124">
        <f>SUM(AB5:AB11)</f>
        <v>0</v>
      </c>
      <c r="AC165" s="124">
        <f>SUM(AC5:AC11)</f>
        <v>21</v>
      </c>
      <c r="AD165" s="142">
        <f>SUM(AD5:AD11)/7</f>
        <v>0</v>
      </c>
      <c r="AE165" s="142">
        <f>SUM(AE5:AE11)/7</f>
        <v>86.4285714285714</v>
      </c>
      <c r="AF165" s="143">
        <f>SUM(AF5:AF11)/7</f>
        <v>15.7142857142857</v>
      </c>
      <c r="AG165" s="143">
        <f>SUM(AG5:AG11)/7</f>
        <v>11.2857142857143</v>
      </c>
      <c r="AH165" s="124">
        <f t="shared" ref="AH165:AQ165" si="7">SUM(AH5:AH11)</f>
        <v>0</v>
      </c>
      <c r="AI165" s="143">
        <f t="shared" si="7"/>
        <v>755</v>
      </c>
      <c r="AJ165" s="143">
        <f t="shared" si="7"/>
        <v>13795</v>
      </c>
      <c r="AK165" s="143">
        <f t="shared" si="7"/>
        <v>14414</v>
      </c>
      <c r="AL165" s="143">
        <f t="shared" si="7"/>
        <v>3960</v>
      </c>
      <c r="AM165" s="143">
        <f t="shared" si="7"/>
        <v>3795</v>
      </c>
      <c r="AN165" s="143">
        <f t="shared" si="7"/>
        <v>723</v>
      </c>
      <c r="AO165" s="143">
        <f t="shared" si="7"/>
        <v>587</v>
      </c>
      <c r="AP165" s="143">
        <f t="shared" si="7"/>
        <v>205</v>
      </c>
      <c r="AQ165" s="143">
        <f t="shared" si="7"/>
        <v>944</v>
      </c>
      <c r="AR165" s="141">
        <f>AP165/(AH165+AJ165+AL165+AN165)</f>
        <v>0.0110942742721074</v>
      </c>
      <c r="AS165" s="124">
        <f>SUM(AS5:AS11)</f>
        <v>7346</v>
      </c>
      <c r="AT165" s="124">
        <f>SUM(AT5:AT11)</f>
        <v>1147</v>
      </c>
      <c r="AU165" s="144">
        <f>SUM(AU5:AU11)/7</f>
        <v>186.857142857143</v>
      </c>
      <c r="AV165" s="144">
        <f>SUM(AV5:AV11)/7</f>
        <v>0.00492857142857143</v>
      </c>
      <c r="AW165" s="124">
        <f>SUM(AW5:AW11)</f>
        <v>0.0613</v>
      </c>
      <c r="AX165" s="124">
        <f>SUM(AX5:AX11)</f>
        <v>0</v>
      </c>
      <c r="AY165" s="124">
        <f>SUM(AY5:AY11)</f>
        <v>0</v>
      </c>
      <c r="AZ165" s="124">
        <f>SUM(AZ5:AZ11)</f>
        <v>0</v>
      </c>
      <c r="BA165" s="144">
        <f>SUM(BA5:BA11)/7</f>
        <v>0</v>
      </c>
      <c r="BB165" s="144">
        <f>SUM(BB5:BB11)/7</f>
        <v>0</v>
      </c>
      <c r="BC165" s="124">
        <f>SUM(BC5:BC11)</f>
        <v>0</v>
      </c>
      <c r="BD165" s="124">
        <f>SUM(BD5:BD11)</f>
        <v>0</v>
      </c>
      <c r="BE165" s="144">
        <f>SUM(BE5:BE11)/7</f>
        <v>0</v>
      </c>
      <c r="BF165" s="144">
        <f>SUM(BF5:BF11)/7</f>
        <v>0</v>
      </c>
      <c r="BG165" s="124">
        <f>SUM(BG5:BG11)</f>
        <v>0</v>
      </c>
      <c r="BH165" s="124">
        <f>SUM(BH5:BH11)</f>
        <v>0</v>
      </c>
      <c r="BI165" s="145">
        <f>SUM(BI5:BI11)/7</f>
        <v>0</v>
      </c>
      <c r="BJ165" s="145">
        <f>SUM(BJ5:BJ11)/7</f>
        <v>0.428571428571429</v>
      </c>
      <c r="BK165" s="124">
        <f t="shared" ref="BK165:BR165" si="8">SUM(BK5:BK11)</f>
        <v>0</v>
      </c>
      <c r="BL165" s="124">
        <f t="shared" si="8"/>
        <v>675</v>
      </c>
      <c r="BM165" s="124">
        <f t="shared" si="8"/>
        <v>5122</v>
      </c>
      <c r="BN165" s="124">
        <f t="shared" si="8"/>
        <v>7124</v>
      </c>
      <c r="BO165" s="124">
        <f t="shared" si="8"/>
        <v>0</v>
      </c>
      <c r="BP165" s="124">
        <f t="shared" si="8"/>
        <v>4440</v>
      </c>
      <c r="BQ165" s="124">
        <f t="shared" si="8"/>
        <v>1208</v>
      </c>
      <c r="BR165" s="124">
        <f t="shared" si="8"/>
        <v>2026</v>
      </c>
      <c r="BS165" s="146" t="s">
        <v>1</v>
      </c>
      <c r="BT165" s="146" t="s">
        <v>1</v>
      </c>
      <c r="BU165" s="146" t="s">
        <v>1</v>
      </c>
      <c r="BV165" s="146" t="s">
        <v>1</v>
      </c>
      <c r="BW165" s="146" t="s">
        <v>1</v>
      </c>
      <c r="BX165" s="146" t="s">
        <v>1</v>
      </c>
      <c r="BY165" s="146" t="s">
        <v>1</v>
      </c>
      <c r="BZ165" s="146" t="s">
        <v>1</v>
      </c>
      <c r="CA165" s="146" t="s">
        <v>1</v>
      </c>
      <c r="CB165" s="146" t="s">
        <v>1</v>
      </c>
      <c r="CC165" s="146" t="s">
        <v>1</v>
      </c>
      <c r="CD165" s="146" t="s">
        <v>1</v>
      </c>
      <c r="CE165" s="146" t="s">
        <v>1</v>
      </c>
      <c r="CF165" s="146" t="s">
        <v>1</v>
      </c>
      <c r="CG165" s="146" t="s">
        <v>1</v>
      </c>
      <c r="CH165" s="227" t="s">
        <v>1</v>
      </c>
    </row>
    <row r="166" ht="25" customHeight="1" spans="1:86">
      <c r="A166" s="108" t="s">
        <v>136</v>
      </c>
      <c r="B166" s="124" t="s">
        <v>1</v>
      </c>
      <c r="C166" s="124" t="s">
        <v>1</v>
      </c>
      <c r="D166" s="124">
        <f>SUM(D12:D18)</f>
        <v>0</v>
      </c>
      <c r="E166" s="124">
        <f>SUM(E12:E18)</f>
        <v>0</v>
      </c>
      <c r="F166" s="124">
        <f>SUM(F12:F18)</f>
        <v>41.9713</v>
      </c>
      <c r="G166" s="141">
        <f>D166/F166-1</f>
        <v>-1</v>
      </c>
      <c r="H166" s="124">
        <f>SUM(H12:H18)</f>
        <v>0</v>
      </c>
      <c r="I166" s="141" t="e">
        <f>D166/H166</f>
        <v>#DIV/0!</v>
      </c>
      <c r="J166" s="124">
        <f>SUM(J12:J18)</f>
        <v>0</v>
      </c>
      <c r="K166" s="124" t="s">
        <v>1</v>
      </c>
      <c r="L166" s="198" t="e">
        <f>J166/D166</f>
        <v>#DIV/0!</v>
      </c>
      <c r="M166" s="124" t="s">
        <v>1</v>
      </c>
      <c r="N166" s="124">
        <f>SUM(N12:N18)</f>
        <v>-1.00615428963423</v>
      </c>
      <c r="O166" s="124">
        <f>SUM(O12:O18)</f>
        <v>0</v>
      </c>
      <c r="P166" s="124">
        <f>SUM(P12:P18)</f>
        <v>0</v>
      </c>
      <c r="Q166" s="124" t="s">
        <v>1</v>
      </c>
      <c r="R166" s="124">
        <f>SUM(R12:R18)</f>
        <v>0</v>
      </c>
      <c r="S166" s="124">
        <f>SUM(S12:S18)</f>
        <v>0</v>
      </c>
      <c r="T166" s="124">
        <f>SUM(T12:T18)</f>
        <v>27494</v>
      </c>
      <c r="U166" s="124" t="s">
        <v>1</v>
      </c>
      <c r="V166" s="124">
        <f>SUM(V12:V18)</f>
        <v>0</v>
      </c>
      <c r="W166" s="124">
        <f>SUM(W12:W18)</f>
        <v>0</v>
      </c>
      <c r="X166" s="124">
        <f>SUM(X12:X18)</f>
        <v>0</v>
      </c>
      <c r="Y166" s="124" t="s">
        <v>1</v>
      </c>
      <c r="Z166" s="124">
        <f>SUM(Z12:Z18)</f>
        <v>0</v>
      </c>
      <c r="AA166" s="124">
        <f>SUM(AA12:AA18)</f>
        <v>18200</v>
      </c>
      <c r="AB166" s="124">
        <f>SUM(AB12:AB18)</f>
        <v>0</v>
      </c>
      <c r="AC166" s="124">
        <f>SUM(AC12:AC18)</f>
        <v>21</v>
      </c>
      <c r="AD166" s="142">
        <f>SUM(AD6:AD12)/7</f>
        <v>0</v>
      </c>
      <c r="AE166" s="142">
        <f>SUM(AE6:AE12)/7</f>
        <v>86.7142857142857</v>
      </c>
      <c r="AF166" s="143">
        <f>SUM(AF6:AF12)/7</f>
        <v>15.5714285714286</v>
      </c>
      <c r="AG166" s="143">
        <f>SUM(AG6:AG12)/7</f>
        <v>11.1428571428571</v>
      </c>
      <c r="AH166" s="124">
        <f t="shared" ref="AH166:AQ166" si="9">SUM(AH12:AH18)</f>
        <v>0</v>
      </c>
      <c r="AI166" s="143">
        <f t="shared" si="9"/>
        <v>801</v>
      </c>
      <c r="AJ166" s="143">
        <f t="shared" si="9"/>
        <v>11511</v>
      </c>
      <c r="AK166" s="143">
        <f t="shared" si="9"/>
        <v>14878</v>
      </c>
      <c r="AL166" s="143">
        <f t="shared" si="9"/>
        <v>3920</v>
      </c>
      <c r="AM166" s="143">
        <f t="shared" si="9"/>
        <v>4206</v>
      </c>
      <c r="AN166" s="143">
        <f t="shared" si="9"/>
        <v>588</v>
      </c>
      <c r="AO166" s="143">
        <f t="shared" si="9"/>
        <v>652</v>
      </c>
      <c r="AP166" s="143">
        <f t="shared" si="9"/>
        <v>248</v>
      </c>
      <c r="AQ166" s="143">
        <f t="shared" si="9"/>
        <v>1158</v>
      </c>
      <c r="AR166" s="141">
        <f>AP166/(AH166+AJ166+AL166+AN166)</f>
        <v>0.015481615581497</v>
      </c>
      <c r="AS166" s="124">
        <f>SUM(AS12:AS18)</f>
        <v>7302</v>
      </c>
      <c r="AT166" s="124">
        <f>SUM(AT12:AT18)</f>
        <v>1162</v>
      </c>
      <c r="AU166" s="144">
        <f>SUM(AU6:AU12)/7</f>
        <v>188.428571428571</v>
      </c>
      <c r="AV166" s="144">
        <f>SUM(AV6:AV12)/7</f>
        <v>0.00537142857142857</v>
      </c>
      <c r="AW166" s="124">
        <f>SUM(AW12:AW18)</f>
        <v>0.0584</v>
      </c>
      <c r="AX166" s="124">
        <f>SUM(AX12:AX18)</f>
        <v>0</v>
      </c>
      <c r="AY166" s="124">
        <f>SUM(AY12:AY18)</f>
        <v>0</v>
      </c>
      <c r="AZ166" s="124">
        <f>SUM(AZ12:AZ18)</f>
        <v>0</v>
      </c>
      <c r="BA166" s="144">
        <f>SUM(BA6:BA12)/7</f>
        <v>0</v>
      </c>
      <c r="BB166" s="144">
        <f>SUM(BB6:BB12)/7</f>
        <v>0</v>
      </c>
      <c r="BC166" s="124">
        <f>SUM(BC12:BC18)</f>
        <v>0</v>
      </c>
      <c r="BD166" s="124">
        <f>SUM(BD12:BD18)</f>
        <v>0</v>
      </c>
      <c r="BE166" s="144">
        <f>SUM(BE6:BE12)/7</f>
        <v>0</v>
      </c>
      <c r="BF166" s="144">
        <f>SUM(BF6:BF12)/7</f>
        <v>0</v>
      </c>
      <c r="BG166" s="124">
        <f>SUM(BG12:BG18)</f>
        <v>0</v>
      </c>
      <c r="BH166" s="124">
        <f>SUM(BH12:BH18)</f>
        <v>0</v>
      </c>
      <c r="BI166" s="145">
        <f>SUM(BI6:BI12)/7</f>
        <v>0</v>
      </c>
      <c r="BJ166" s="145">
        <f>SUM(BJ6:BJ12)/7</f>
        <v>0.428571428571429</v>
      </c>
      <c r="BK166" s="124">
        <f t="shared" ref="BK166:BR166" si="10">SUM(BK12:BK18)</f>
        <v>0</v>
      </c>
      <c r="BL166" s="124">
        <f t="shared" si="10"/>
        <v>1418</v>
      </c>
      <c r="BM166" s="124">
        <f t="shared" si="10"/>
        <v>2978</v>
      </c>
      <c r="BN166" s="124">
        <f t="shared" si="10"/>
        <v>4958</v>
      </c>
      <c r="BO166" s="124">
        <f t="shared" si="10"/>
        <v>0</v>
      </c>
      <c r="BP166" s="124">
        <f t="shared" si="10"/>
        <v>5882</v>
      </c>
      <c r="BQ166" s="124">
        <f t="shared" si="10"/>
        <v>921</v>
      </c>
      <c r="BR166" s="124">
        <f t="shared" si="10"/>
        <v>1286</v>
      </c>
      <c r="BS166" s="146" t="s">
        <v>1</v>
      </c>
      <c r="BT166" s="146" t="s">
        <v>1</v>
      </c>
      <c r="BU166" s="146" t="s">
        <v>1</v>
      </c>
      <c r="BV166" s="146" t="s">
        <v>1</v>
      </c>
      <c r="BW166" s="146" t="s">
        <v>1</v>
      </c>
      <c r="BX166" s="146" t="s">
        <v>1</v>
      </c>
      <c r="BY166" s="146" t="s">
        <v>1</v>
      </c>
      <c r="BZ166" s="146" t="s">
        <v>1</v>
      </c>
      <c r="CA166" s="146" t="s">
        <v>1</v>
      </c>
      <c r="CB166" s="146" t="s">
        <v>1</v>
      </c>
      <c r="CC166" s="146" t="s">
        <v>1</v>
      </c>
      <c r="CD166" s="146" t="s">
        <v>1</v>
      </c>
      <c r="CE166" s="146" t="s">
        <v>1</v>
      </c>
      <c r="CF166" s="146" t="s">
        <v>1</v>
      </c>
      <c r="CG166" s="146" t="s">
        <v>1</v>
      </c>
      <c r="CH166" s="227" t="s">
        <v>1</v>
      </c>
    </row>
    <row r="167" ht="25" customHeight="1" spans="1:86">
      <c r="A167" s="108" t="s">
        <v>137</v>
      </c>
      <c r="B167" s="124" t="s">
        <v>1</v>
      </c>
      <c r="C167" s="124" t="s">
        <v>1</v>
      </c>
      <c r="D167" s="124">
        <f>SUM(D19:D25)</f>
        <v>0</v>
      </c>
      <c r="E167" s="124">
        <f>SUM(E19:E25)</f>
        <v>0</v>
      </c>
      <c r="F167" s="124">
        <f>SUM(F19:F25)</f>
        <v>41.4992</v>
      </c>
      <c r="G167" s="141">
        <f>D167/F167-1</f>
        <v>-1</v>
      </c>
      <c r="H167" s="124">
        <f>SUM(H19:H25)</f>
        <v>0</v>
      </c>
      <c r="I167" s="141" t="e">
        <f>D167/H167</f>
        <v>#DIV/0!</v>
      </c>
      <c r="J167" s="124">
        <f>SUM(J19:J25)</f>
        <v>0</v>
      </c>
      <c r="K167" s="124" t="s">
        <v>1</v>
      </c>
      <c r="L167" s="198" t="e">
        <f>J167/D167</f>
        <v>#DIV/0!</v>
      </c>
      <c r="M167" s="124" t="s">
        <v>1</v>
      </c>
      <c r="N167" s="124">
        <f>SUM(N19:N25)</f>
        <v>7.99545437874029</v>
      </c>
      <c r="O167" s="124">
        <f>SUM(O19:O25)</f>
        <v>0</v>
      </c>
      <c r="P167" s="124">
        <f>SUM(P19:P25)</f>
        <v>0</v>
      </c>
      <c r="Q167" s="124" t="s">
        <v>1</v>
      </c>
      <c r="R167" s="124">
        <f>SUM(R19:R25)</f>
        <v>0</v>
      </c>
      <c r="S167" s="124">
        <f>SUM(S19:S25)</f>
        <v>0</v>
      </c>
      <c r="T167" s="124">
        <f>SUM(T19:T25)</f>
        <v>14897</v>
      </c>
      <c r="U167" s="124" t="s">
        <v>1</v>
      </c>
      <c r="V167" s="124">
        <f>SUM(V19:V25)</f>
        <v>0</v>
      </c>
      <c r="W167" s="124">
        <f>SUM(W19:W25)</f>
        <v>0</v>
      </c>
      <c r="X167" s="124">
        <f>SUM(X19:X25)</f>
        <v>0</v>
      </c>
      <c r="Y167" s="124" t="s">
        <v>1</v>
      </c>
      <c r="Z167" s="124">
        <f>SUM(Z19:Z25)</f>
        <v>0</v>
      </c>
      <c r="AA167" s="124">
        <f>SUM(AA19:AA25)</f>
        <v>21586</v>
      </c>
      <c r="AB167" s="124">
        <f>SUM(AB19:AB25)</f>
        <v>0</v>
      </c>
      <c r="AC167" s="124">
        <f>SUM(AC19:AC25)</f>
        <v>21</v>
      </c>
      <c r="AD167" s="142">
        <f>SUM(AD7:AD13)/7</f>
        <v>0</v>
      </c>
      <c r="AE167" s="142">
        <f>SUM(AE7:AE13)/7</f>
        <v>85</v>
      </c>
      <c r="AF167" s="143">
        <f>SUM(AF7:AF13)/7</f>
        <v>14.1428571428571</v>
      </c>
      <c r="AG167" s="143">
        <f>SUM(AG7:AG13)/7</f>
        <v>11.2857142857143</v>
      </c>
      <c r="AH167" s="124">
        <f t="shared" ref="AH167:AQ167" si="11">SUM(AH19:AH25)</f>
        <v>0</v>
      </c>
      <c r="AI167" s="143">
        <f t="shared" si="11"/>
        <v>858</v>
      </c>
      <c r="AJ167" s="143">
        <f t="shared" si="11"/>
        <v>11951</v>
      </c>
      <c r="AK167" s="143">
        <f t="shared" si="11"/>
        <v>17840</v>
      </c>
      <c r="AL167" s="143">
        <f t="shared" si="11"/>
        <v>4380</v>
      </c>
      <c r="AM167" s="143">
        <f t="shared" si="11"/>
        <v>4486</v>
      </c>
      <c r="AN167" s="143">
        <f t="shared" si="11"/>
        <v>729</v>
      </c>
      <c r="AO167" s="143">
        <f t="shared" si="11"/>
        <v>776</v>
      </c>
      <c r="AP167" s="143">
        <f t="shared" si="11"/>
        <v>1182</v>
      </c>
      <c r="AQ167" s="143">
        <f t="shared" si="11"/>
        <v>1441</v>
      </c>
      <c r="AR167" s="141">
        <f>AP167/(AH167+AJ167+AL167+AN167)</f>
        <v>0.069284876905041</v>
      </c>
      <c r="AS167" s="124">
        <f>SUM(AS19:AS25)</f>
        <v>8402</v>
      </c>
      <c r="AT167" s="124">
        <f>SUM(AT19:AT25)</f>
        <v>900</v>
      </c>
      <c r="AU167" s="144">
        <f>SUM(AU7:AU13)/7</f>
        <v>192</v>
      </c>
      <c r="AV167" s="144">
        <f>SUM(AV7:AV13)/7</f>
        <v>0.00477142857142857</v>
      </c>
      <c r="AW167" s="124">
        <f>SUM(AW19:AW25)</f>
        <v>0.0826</v>
      </c>
      <c r="AX167" s="124">
        <f>SUM(AX19:AX25)</f>
        <v>0</v>
      </c>
      <c r="AY167" s="124">
        <f>SUM(AY19:AY25)</f>
        <v>0</v>
      </c>
      <c r="AZ167" s="124">
        <f>SUM(AZ19:AZ25)</f>
        <v>0</v>
      </c>
      <c r="BA167" s="144">
        <f>SUM(BA7:BA13)/7</f>
        <v>0</v>
      </c>
      <c r="BB167" s="144">
        <f>SUM(BB7:BB13)/7</f>
        <v>0</v>
      </c>
      <c r="BC167" s="124">
        <f>SUM(BC19:BC25)</f>
        <v>0</v>
      </c>
      <c r="BD167" s="124">
        <f>SUM(BD19:BD25)</f>
        <v>0</v>
      </c>
      <c r="BE167" s="144">
        <f>SUM(BE7:BE13)/7</f>
        <v>0</v>
      </c>
      <c r="BF167" s="144">
        <f>SUM(BF7:BF13)/7</f>
        <v>0</v>
      </c>
      <c r="BG167" s="124">
        <f>SUM(BG19:BG25)</f>
        <v>0</v>
      </c>
      <c r="BH167" s="124">
        <f>SUM(BH19:BH25)</f>
        <v>0</v>
      </c>
      <c r="BI167" s="145">
        <f>SUM(BI7:BI13)/7</f>
        <v>0</v>
      </c>
      <c r="BJ167" s="145">
        <f>SUM(BJ7:BJ13)/7</f>
        <v>0.428571428571429</v>
      </c>
      <c r="BK167" s="124">
        <f t="shared" ref="BK167:BR167" si="12">SUM(BK19:BK25)</f>
        <v>0</v>
      </c>
      <c r="BL167" s="124">
        <f t="shared" si="12"/>
        <v>1174</v>
      </c>
      <c r="BM167" s="124">
        <f t="shared" si="12"/>
        <v>2943</v>
      </c>
      <c r="BN167" s="124">
        <f t="shared" si="12"/>
        <v>7537</v>
      </c>
      <c r="BO167" s="124">
        <f t="shared" si="12"/>
        <v>0</v>
      </c>
      <c r="BP167" s="124">
        <f t="shared" si="12"/>
        <v>7007</v>
      </c>
      <c r="BQ167" s="124">
        <f t="shared" si="12"/>
        <v>816</v>
      </c>
      <c r="BR167" s="124">
        <f t="shared" si="12"/>
        <v>1636</v>
      </c>
      <c r="BS167" s="146" t="s">
        <v>1</v>
      </c>
      <c r="BT167" s="146" t="s">
        <v>1</v>
      </c>
      <c r="BU167" s="146" t="s">
        <v>1</v>
      </c>
      <c r="BV167" s="146" t="s">
        <v>1</v>
      </c>
      <c r="BW167" s="146" t="s">
        <v>1</v>
      </c>
      <c r="BX167" s="146" t="s">
        <v>1</v>
      </c>
      <c r="BY167" s="146" t="s">
        <v>1</v>
      </c>
      <c r="BZ167" s="146" t="s">
        <v>1</v>
      </c>
      <c r="CA167" s="146" t="s">
        <v>1</v>
      </c>
      <c r="CB167" s="146" t="s">
        <v>1</v>
      </c>
      <c r="CC167" s="146" t="s">
        <v>1</v>
      </c>
      <c r="CD167" s="146" t="s">
        <v>1</v>
      </c>
      <c r="CE167" s="146" t="s">
        <v>1</v>
      </c>
      <c r="CF167" s="146" t="s">
        <v>1</v>
      </c>
      <c r="CG167" s="146" t="s">
        <v>1</v>
      </c>
      <c r="CH167" s="227" t="s">
        <v>1</v>
      </c>
    </row>
    <row r="168" ht="25" customHeight="1" spans="1:86">
      <c r="A168" s="108" t="s">
        <v>138</v>
      </c>
      <c r="B168" s="124" t="s">
        <v>1</v>
      </c>
      <c r="C168" s="124" t="s">
        <v>1</v>
      </c>
      <c r="D168" s="124">
        <f>SUM(D26:D32)</f>
        <v>0</v>
      </c>
      <c r="E168" s="124">
        <f>SUM(E26:E32)</f>
        <v>0</v>
      </c>
      <c r="F168" s="124">
        <f>SUM(F26:F32)</f>
        <v>45.0044</v>
      </c>
      <c r="G168" s="141">
        <f>D168/F168-1</f>
        <v>-1</v>
      </c>
      <c r="H168" s="124">
        <f>SUM(H26:H32)</f>
        <v>0</v>
      </c>
      <c r="I168" s="141" t="e">
        <f>D168/H168</f>
        <v>#DIV/0!</v>
      </c>
      <c r="J168" s="124">
        <f>SUM(J26:J32)</f>
        <v>0</v>
      </c>
      <c r="K168" s="124" t="s">
        <v>1</v>
      </c>
      <c r="L168" s="198" t="e">
        <f>J168/D168</f>
        <v>#DIV/0!</v>
      </c>
      <c r="M168" s="124" t="s">
        <v>1</v>
      </c>
      <c r="N168" s="124">
        <f>SUM(N26:N32)</f>
        <v>0.0385151955920557</v>
      </c>
      <c r="O168" s="124">
        <f>SUM(O26:O32)</f>
        <v>0</v>
      </c>
      <c r="P168" s="124">
        <f>SUM(P26:P32)</f>
        <v>0</v>
      </c>
      <c r="Q168" s="124" t="s">
        <v>1</v>
      </c>
      <c r="R168" s="124">
        <f>SUM(R26:R32)</f>
        <v>0</v>
      </c>
      <c r="S168" s="124">
        <f>SUM(S26:S32)</f>
        <v>0</v>
      </c>
      <c r="T168" s="124">
        <f>SUM(T26:T32)</f>
        <v>19499</v>
      </c>
      <c r="U168" s="124" t="s">
        <v>1</v>
      </c>
      <c r="V168" s="124">
        <f>SUM(V26:V32)</f>
        <v>0</v>
      </c>
      <c r="W168" s="124">
        <f>SUM(W26:W32)</f>
        <v>0</v>
      </c>
      <c r="X168" s="124">
        <f>SUM(X26:X32)</f>
        <v>0</v>
      </c>
      <c r="Y168" s="124" t="s">
        <v>1</v>
      </c>
      <c r="Z168" s="124">
        <f>SUM(Z26:Z32)</f>
        <v>0</v>
      </c>
      <c r="AA168" s="124">
        <f>SUM(AA26:AA32)</f>
        <v>19068</v>
      </c>
      <c r="AB168" s="124">
        <f>SUM(AB26:AB32)</f>
        <v>0</v>
      </c>
      <c r="AC168" s="124">
        <f>SUM(AC26:AC32)</f>
        <v>22</v>
      </c>
      <c r="AD168" s="142">
        <f>SUM(AD8:AD14)/7</f>
        <v>0</v>
      </c>
      <c r="AE168" s="142">
        <f>SUM(AE8:AE14)/7</f>
        <v>84.8571428571429</v>
      </c>
      <c r="AF168" s="143">
        <f>SUM(AF8:AF14)/7</f>
        <v>13.5714285714286</v>
      </c>
      <c r="AG168" s="143">
        <f>SUM(AG8:AG14)/7</f>
        <v>11.2857142857143</v>
      </c>
      <c r="AH168" s="124">
        <f t="shared" ref="AH168:AQ168" si="13">SUM(AH26:AH32)</f>
        <v>0</v>
      </c>
      <c r="AI168" s="143">
        <f t="shared" si="13"/>
        <v>809</v>
      </c>
      <c r="AJ168" s="143">
        <f t="shared" si="13"/>
        <v>12880</v>
      </c>
      <c r="AK168" s="143">
        <f t="shared" si="13"/>
        <v>15348</v>
      </c>
      <c r="AL168" s="143">
        <f t="shared" si="13"/>
        <v>4333</v>
      </c>
      <c r="AM168" s="143">
        <f t="shared" si="13"/>
        <v>4336</v>
      </c>
      <c r="AN168" s="143">
        <f t="shared" si="13"/>
        <v>676</v>
      </c>
      <c r="AO168" s="143">
        <f t="shared" si="13"/>
        <v>830</v>
      </c>
      <c r="AP168" s="143">
        <f t="shared" si="13"/>
        <v>14480</v>
      </c>
      <c r="AQ168" s="143">
        <f t="shared" si="13"/>
        <v>1242</v>
      </c>
      <c r="AR168" s="141">
        <f>AP168/(AH168+AJ168+AL168+AN168)</f>
        <v>0.809435966236235</v>
      </c>
      <c r="AS168" s="124">
        <f>SUM(AS26:AS32)</f>
        <v>6653</v>
      </c>
      <c r="AT168" s="124">
        <f>SUM(AT26:AT32)</f>
        <v>731</v>
      </c>
      <c r="AU168" s="144">
        <f>SUM(AU8:AU14)/7</f>
        <v>193.571428571429</v>
      </c>
      <c r="AV168" s="144">
        <f>SUM(AV8:AV14)/7</f>
        <v>0.0048</v>
      </c>
      <c r="AW168" s="124">
        <f>SUM(AW26:AW32)</f>
        <v>0.0754</v>
      </c>
      <c r="AX168" s="124">
        <f>SUM(AX26:AX32)</f>
        <v>0</v>
      </c>
      <c r="AY168" s="124">
        <f>SUM(AY26:AY32)</f>
        <v>0</v>
      </c>
      <c r="AZ168" s="124">
        <f>SUM(AZ26:AZ32)</f>
        <v>0</v>
      </c>
      <c r="BA168" s="144">
        <f>SUM(BA8:BA14)/7</f>
        <v>0</v>
      </c>
      <c r="BB168" s="144">
        <f>SUM(BB8:BB14)/7</f>
        <v>0</v>
      </c>
      <c r="BC168" s="124">
        <f>SUM(BC26:BC32)</f>
        <v>0</v>
      </c>
      <c r="BD168" s="124">
        <f>SUM(BD26:BD32)</f>
        <v>0</v>
      </c>
      <c r="BE168" s="144">
        <f>SUM(BE8:BE14)/7</f>
        <v>0</v>
      </c>
      <c r="BF168" s="144">
        <f>SUM(BF8:BF14)/7</f>
        <v>0</v>
      </c>
      <c r="BG168" s="124">
        <f>SUM(BG26:BG32)</f>
        <v>0</v>
      </c>
      <c r="BH168" s="124">
        <f>SUM(BH26:BH32)</f>
        <v>0</v>
      </c>
      <c r="BI168" s="145">
        <f>SUM(BI8:BI14)/7</f>
        <v>0</v>
      </c>
      <c r="BJ168" s="145">
        <f>SUM(BJ8:BJ14)/7</f>
        <v>0.571428571428571</v>
      </c>
      <c r="BK168" s="124">
        <f t="shared" ref="BK168:BR168" si="14">SUM(BK26:BK32)</f>
        <v>0</v>
      </c>
      <c r="BL168" s="124">
        <f t="shared" si="14"/>
        <v>1002</v>
      </c>
      <c r="BM168" s="124">
        <f t="shared" si="14"/>
        <v>3099</v>
      </c>
      <c r="BN168" s="124">
        <f t="shared" si="14"/>
        <v>5206</v>
      </c>
      <c r="BO168" s="124">
        <f t="shared" si="14"/>
        <v>0</v>
      </c>
      <c r="BP168" s="124">
        <f t="shared" si="14"/>
        <v>5213</v>
      </c>
      <c r="BQ168" s="124">
        <f t="shared" si="14"/>
        <v>970</v>
      </c>
      <c r="BR168" s="124">
        <f t="shared" si="14"/>
        <v>1269</v>
      </c>
      <c r="BS168" s="146" t="s">
        <v>1</v>
      </c>
      <c r="BT168" s="146" t="s">
        <v>1</v>
      </c>
      <c r="BU168" s="146" t="s">
        <v>1</v>
      </c>
      <c r="BV168" s="146" t="s">
        <v>1</v>
      </c>
      <c r="BW168" s="146" t="s">
        <v>1</v>
      </c>
      <c r="BX168" s="146" t="s">
        <v>1</v>
      </c>
      <c r="BY168" s="146" t="s">
        <v>1</v>
      </c>
      <c r="BZ168" s="146" t="s">
        <v>1</v>
      </c>
      <c r="CA168" s="146" t="s">
        <v>1</v>
      </c>
      <c r="CB168" s="146" t="s">
        <v>1</v>
      </c>
      <c r="CC168" s="146" t="s">
        <v>1</v>
      </c>
      <c r="CD168" s="146" t="s">
        <v>1</v>
      </c>
      <c r="CE168" s="146" t="s">
        <v>1</v>
      </c>
      <c r="CF168" s="146" t="s">
        <v>1</v>
      </c>
      <c r="CG168" s="146" t="s">
        <v>1</v>
      </c>
      <c r="CH168" s="228" t="s">
        <v>1</v>
      </c>
    </row>
    <row r="169" ht="25" customHeight="1" spans="1:86">
      <c r="A169" s="108" t="s">
        <v>139</v>
      </c>
      <c r="B169" s="124" t="s">
        <v>1</v>
      </c>
      <c r="C169" s="124" t="s">
        <v>1</v>
      </c>
      <c r="D169" s="124">
        <f>SUM(D33:D35)</f>
        <v>0</v>
      </c>
      <c r="E169" s="124">
        <f>SUM(E33:E35)</f>
        <v>0</v>
      </c>
      <c r="F169" s="124">
        <f>SUM(F33:F35)</f>
        <v>0.72</v>
      </c>
      <c r="G169" s="141">
        <f>D169/F169-1</f>
        <v>-1</v>
      </c>
      <c r="H169" s="124">
        <f>SUM(H33:H35)</f>
        <v>0</v>
      </c>
      <c r="I169" s="141" t="e">
        <f>D169/H169</f>
        <v>#DIV/0!</v>
      </c>
      <c r="J169" s="124">
        <f>SUM(J33:J35)</f>
        <v>0</v>
      </c>
      <c r="K169" s="124" t="s">
        <v>1</v>
      </c>
      <c r="L169" s="198" t="e">
        <f>J169/D169</f>
        <v>#DIV/0!</v>
      </c>
      <c r="M169" s="124" t="s">
        <v>1</v>
      </c>
      <c r="N169" s="124">
        <f>SUM(N33:N35)</f>
        <v>-0.403224787226145</v>
      </c>
      <c r="O169" s="124">
        <f>SUM(O33:O35)</f>
        <v>0</v>
      </c>
      <c r="P169" s="124">
        <f>SUM(P33:P35)</f>
        <v>109.6808</v>
      </c>
      <c r="Q169" s="124" t="s">
        <v>1</v>
      </c>
      <c r="R169" s="124">
        <f>SUM(R33:R35)</f>
        <v>0</v>
      </c>
      <c r="S169" s="124">
        <f>SUM(S33:S35)</f>
        <v>0.0104</v>
      </c>
      <c r="T169" s="124">
        <f>SUM(T33:T35)</f>
        <v>18396</v>
      </c>
      <c r="U169" s="124" t="s">
        <v>1</v>
      </c>
      <c r="V169" s="124">
        <f>SUM(V33:V35)</f>
        <v>0</v>
      </c>
      <c r="W169" s="124">
        <f>SUM(W33:W35)</f>
        <v>0</v>
      </c>
      <c r="X169" s="124">
        <f>SUM(X33:X35)</f>
        <v>0</v>
      </c>
      <c r="Y169" s="124" t="s">
        <v>1</v>
      </c>
      <c r="Z169" s="124">
        <f>SUM(Z33:Z35)</f>
        <v>0</v>
      </c>
      <c r="AA169" s="124">
        <f>SUM(AA33:AA35)</f>
        <v>7545</v>
      </c>
      <c r="AB169" s="124">
        <f>SUM(AB33:AB35)</f>
        <v>0</v>
      </c>
      <c r="AC169" s="124">
        <f>SUM(AC33:AC35)</f>
        <v>9</v>
      </c>
      <c r="AD169" s="142">
        <f>SUM(AD33:AD35)/2</f>
        <v>0</v>
      </c>
      <c r="AE169" s="142">
        <f>SUM(AE33:AE35)/2</f>
        <v>133</v>
      </c>
      <c r="AF169" s="143">
        <f>SUM(AF33:AF35)/2</f>
        <v>25.5</v>
      </c>
      <c r="AG169" s="143">
        <f>SUM(AG33:AG35)/2</f>
        <v>30.5</v>
      </c>
      <c r="AH169" s="124">
        <f t="shared" ref="AH169:AQ169" si="15">SUM(AH33:AH35)</f>
        <v>0</v>
      </c>
      <c r="AI169" s="143">
        <f t="shared" si="15"/>
        <v>290</v>
      </c>
      <c r="AJ169" s="143">
        <f t="shared" si="15"/>
        <v>6258</v>
      </c>
      <c r="AK169" s="143">
        <f t="shared" si="15"/>
        <v>6173</v>
      </c>
      <c r="AL169" s="143">
        <f t="shared" si="15"/>
        <v>2378</v>
      </c>
      <c r="AM169" s="143">
        <f t="shared" si="15"/>
        <v>1795</v>
      </c>
      <c r="AN169" s="143">
        <f t="shared" si="15"/>
        <v>320</v>
      </c>
      <c r="AO169" s="143">
        <f t="shared" si="15"/>
        <v>317</v>
      </c>
      <c r="AP169" s="143">
        <f t="shared" si="15"/>
        <v>6308</v>
      </c>
      <c r="AQ169" s="143">
        <f t="shared" si="15"/>
        <v>496</v>
      </c>
      <c r="AR169" s="141">
        <f>AP169/(AH169+AJ169+AL169+AN169)</f>
        <v>0.704332291201429</v>
      </c>
      <c r="AS169" s="124">
        <f>SUM(AS33:AS35)</f>
        <v>2947</v>
      </c>
      <c r="AT169" s="124">
        <f>SUM(AT33:AT35)</f>
        <v>455</v>
      </c>
      <c r="AU169" s="144">
        <f>SUM(AU33:AU35)/2</f>
        <v>305.5</v>
      </c>
      <c r="AV169" s="144">
        <f>SUM(AV33:AV35)/2</f>
        <v>0.0052</v>
      </c>
      <c r="AW169" s="124">
        <f>SUM(AW33:AW35)</f>
        <v>0.0289</v>
      </c>
      <c r="AX169" s="124">
        <f>SUM(AX33:AX35)</f>
        <v>0</v>
      </c>
      <c r="AY169" s="124">
        <f>SUM(AY33:AY35)</f>
        <v>139</v>
      </c>
      <c r="AZ169" s="124">
        <f>SUM(AZ33:AZ35)</f>
        <v>0</v>
      </c>
      <c r="BA169" s="144">
        <f>SUM(BA33:BA35)/2</f>
        <v>0</v>
      </c>
      <c r="BB169" s="144">
        <f>SUM(BB33:BB35)/2</f>
        <v>0</v>
      </c>
      <c r="BC169" s="124">
        <f>SUM(BC33:BC35)</f>
        <v>14</v>
      </c>
      <c r="BD169" s="124">
        <f>SUM(BD33:BD35)</f>
        <v>0</v>
      </c>
      <c r="BE169" s="144">
        <f>SUM(BE33:BE35)/2</f>
        <v>0.05035</v>
      </c>
      <c r="BF169" s="144">
        <f>SUM(BF33:BF35)/2</f>
        <v>0</v>
      </c>
      <c r="BG169" s="124">
        <f>SUM(BG33:BG35)</f>
        <v>0</v>
      </c>
      <c r="BH169" s="124">
        <f>SUM(BH33:BH35)</f>
        <v>0</v>
      </c>
      <c r="BI169" s="145">
        <f>SUM(BI33:BI35)/2</f>
        <v>0</v>
      </c>
      <c r="BJ169" s="145">
        <f>SUM(BJ33:BJ34)/2</f>
        <v>0.475</v>
      </c>
      <c r="BK169" s="124">
        <f t="shared" ref="BK169:BR169" si="16">SUM(BK33:BK35)</f>
        <v>0</v>
      </c>
      <c r="BL169" s="124">
        <f t="shared" si="16"/>
        <v>454</v>
      </c>
      <c r="BM169" s="124">
        <f t="shared" si="16"/>
        <v>1362</v>
      </c>
      <c r="BN169" s="124">
        <f t="shared" si="16"/>
        <v>1771</v>
      </c>
      <c r="BO169" s="124">
        <f t="shared" si="16"/>
        <v>0</v>
      </c>
      <c r="BP169" s="124">
        <f t="shared" si="16"/>
        <v>2574</v>
      </c>
      <c r="BQ169" s="124">
        <f t="shared" si="16"/>
        <v>353</v>
      </c>
      <c r="BR169" s="124">
        <f t="shared" si="16"/>
        <v>397</v>
      </c>
      <c r="BS169" s="92" t="s">
        <v>1</v>
      </c>
      <c r="BT169" s="92" t="s">
        <v>1</v>
      </c>
      <c r="BU169" s="92" t="s">
        <v>1</v>
      </c>
      <c r="BV169" s="92" t="s">
        <v>1</v>
      </c>
      <c r="BW169" s="92" t="s">
        <v>1</v>
      </c>
      <c r="BX169" s="92" t="s">
        <v>1</v>
      </c>
      <c r="BY169" s="92" t="s">
        <v>1</v>
      </c>
      <c r="BZ169" s="92" t="s">
        <v>1</v>
      </c>
      <c r="CA169" s="92" t="s">
        <v>1</v>
      </c>
      <c r="CB169" s="92" t="s">
        <v>1</v>
      </c>
      <c r="CC169" s="92" t="s">
        <v>1</v>
      </c>
      <c r="CD169" s="92" t="s">
        <v>1</v>
      </c>
      <c r="CE169" s="92" t="s">
        <v>1</v>
      </c>
      <c r="CF169" s="92" t="s">
        <v>1</v>
      </c>
      <c r="CG169" s="92" t="s">
        <v>1</v>
      </c>
      <c r="CH169" s="227" t="s">
        <v>1</v>
      </c>
    </row>
  </sheetData>
  <mergeCells count="186">
    <mergeCell ref="A1:C1"/>
    <mergeCell ref="D1:W1"/>
    <mergeCell ref="X1:AU1"/>
    <mergeCell ref="AV1:BI1"/>
    <mergeCell ref="BK1:BR1"/>
    <mergeCell ref="BS1:CG1"/>
    <mergeCell ref="B2:C2"/>
    <mergeCell ref="D2:K2"/>
    <mergeCell ref="L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K2:BN2"/>
    <mergeCell ref="BO2:BR2"/>
    <mergeCell ref="BS2:BW2"/>
    <mergeCell ref="BX2:CG2"/>
    <mergeCell ref="A161:C161"/>
    <mergeCell ref="D161:W161"/>
    <mergeCell ref="X161:AU161"/>
    <mergeCell ref="AV161:BI161"/>
    <mergeCell ref="BK161:BR161"/>
    <mergeCell ref="BS161:CG161"/>
    <mergeCell ref="B162:C162"/>
    <mergeCell ref="D162:K162"/>
    <mergeCell ref="L162:W162"/>
    <mergeCell ref="X162:Y162"/>
    <mergeCell ref="Z162:AA162"/>
    <mergeCell ref="AB162:AC162"/>
    <mergeCell ref="AD162:AE162"/>
    <mergeCell ref="AF162:AG162"/>
    <mergeCell ref="AH162:AI162"/>
    <mergeCell ref="AJ162:AK162"/>
    <mergeCell ref="AL162:AM162"/>
    <mergeCell ref="AN162:AO162"/>
    <mergeCell ref="AP162:AQ162"/>
    <mergeCell ref="AR162:AS162"/>
    <mergeCell ref="AT162:AU162"/>
    <mergeCell ref="AV162:AW162"/>
    <mergeCell ref="AX162:AY162"/>
    <mergeCell ref="AZ162:BA162"/>
    <mergeCell ref="BB162:BC162"/>
    <mergeCell ref="BD162:BE162"/>
    <mergeCell ref="BF162:BG162"/>
    <mergeCell ref="BH162:BI162"/>
    <mergeCell ref="BK162:BN162"/>
    <mergeCell ref="BO162:BR162"/>
    <mergeCell ref="BS162:BW162"/>
    <mergeCell ref="BX162:CG162"/>
    <mergeCell ref="A2:A3"/>
    <mergeCell ref="A162:A163"/>
    <mergeCell ref="B66:B67"/>
    <mergeCell ref="B73:B75"/>
    <mergeCell ref="B80:B81"/>
    <mergeCell ref="C16:C17"/>
    <mergeCell ref="C23:C24"/>
    <mergeCell ref="C28:C29"/>
    <mergeCell ref="BJ1:BJ3"/>
    <mergeCell ref="BJ161:BJ163"/>
    <mergeCell ref="BX7:BX13"/>
    <mergeCell ref="BX15:BX21"/>
    <mergeCell ref="BX22:BX28"/>
    <mergeCell ref="BX29:BX35"/>
    <mergeCell ref="BX36:BX42"/>
    <mergeCell ref="BX43:BX49"/>
    <mergeCell ref="BX50:BX56"/>
    <mergeCell ref="BX57:BX63"/>
    <mergeCell ref="BX64:BX70"/>
    <mergeCell ref="BX71:BX77"/>
    <mergeCell ref="BX78:BX84"/>
    <mergeCell ref="BY7:BY13"/>
    <mergeCell ref="BY15:BY21"/>
    <mergeCell ref="BY22:BY28"/>
    <mergeCell ref="BY29:BY35"/>
    <mergeCell ref="BY36:BY42"/>
    <mergeCell ref="BY43:BY49"/>
    <mergeCell ref="BY50:BY56"/>
    <mergeCell ref="BY57:BY63"/>
    <mergeCell ref="BY64:BY70"/>
    <mergeCell ref="BY71:BY77"/>
    <mergeCell ref="BY78:BY84"/>
    <mergeCell ref="BZ7:BZ13"/>
    <mergeCell ref="BZ15:BZ21"/>
    <mergeCell ref="BZ22:BZ28"/>
    <mergeCell ref="BZ29:BZ35"/>
    <mergeCell ref="BZ36:BZ42"/>
    <mergeCell ref="BZ43:BZ49"/>
    <mergeCell ref="BZ50:BZ56"/>
    <mergeCell ref="BZ57:BZ63"/>
    <mergeCell ref="BZ64:BZ70"/>
    <mergeCell ref="BZ71:BZ77"/>
    <mergeCell ref="BZ78:BZ84"/>
    <mergeCell ref="CA7:CA13"/>
    <mergeCell ref="CA15:CA21"/>
    <mergeCell ref="CA22:CA28"/>
    <mergeCell ref="CA29:CA35"/>
    <mergeCell ref="CA36:CA42"/>
    <mergeCell ref="CA43:CA49"/>
    <mergeCell ref="CA50:CA56"/>
    <mergeCell ref="CA57:CA63"/>
    <mergeCell ref="CA64:CA70"/>
    <mergeCell ref="CA71:CA77"/>
    <mergeCell ref="CA78:CA84"/>
    <mergeCell ref="CB7:CB13"/>
    <mergeCell ref="CB15:CB21"/>
    <mergeCell ref="CB22:CB28"/>
    <mergeCell ref="CB29:CB35"/>
    <mergeCell ref="CB36:CB42"/>
    <mergeCell ref="CB43:CB49"/>
    <mergeCell ref="CB50:CB56"/>
    <mergeCell ref="CB57:CB63"/>
    <mergeCell ref="CB64:CB70"/>
    <mergeCell ref="CB71:CB77"/>
    <mergeCell ref="CB78:CB84"/>
    <mergeCell ref="CC7:CC13"/>
    <mergeCell ref="CC15:CC21"/>
    <mergeCell ref="CC22:CC28"/>
    <mergeCell ref="CC29:CC35"/>
    <mergeCell ref="CC36:CC42"/>
    <mergeCell ref="CC43:CC49"/>
    <mergeCell ref="CC50:CC56"/>
    <mergeCell ref="CC57:CC63"/>
    <mergeCell ref="CC64:CC70"/>
    <mergeCell ref="CC71:CC77"/>
    <mergeCell ref="CC78:CC84"/>
    <mergeCell ref="CD7:CD13"/>
    <mergeCell ref="CD15:CD21"/>
    <mergeCell ref="CD22:CD28"/>
    <mergeCell ref="CD29:CD35"/>
    <mergeCell ref="CD36:CD42"/>
    <mergeCell ref="CD43:CD49"/>
    <mergeCell ref="CD50:CD56"/>
    <mergeCell ref="CD57:CD63"/>
    <mergeCell ref="CD64:CD70"/>
    <mergeCell ref="CD71:CD77"/>
    <mergeCell ref="CD78:CD84"/>
    <mergeCell ref="CE7:CE13"/>
    <mergeCell ref="CE15:CE21"/>
    <mergeCell ref="CE22:CE28"/>
    <mergeCell ref="CE29:CE35"/>
    <mergeCell ref="CE36:CE42"/>
    <mergeCell ref="CE43:CE49"/>
    <mergeCell ref="CE50:CE56"/>
    <mergeCell ref="CE57:CE63"/>
    <mergeCell ref="CE64:CE70"/>
    <mergeCell ref="CE71:CE77"/>
    <mergeCell ref="CE78:CE84"/>
    <mergeCell ref="CF7:CF13"/>
    <mergeCell ref="CF15:CF21"/>
    <mergeCell ref="CF22:CF28"/>
    <mergeCell ref="CF29:CF35"/>
    <mergeCell ref="CF36:CF42"/>
    <mergeCell ref="CF43:CF49"/>
    <mergeCell ref="CF50:CF56"/>
    <mergeCell ref="CF57:CF63"/>
    <mergeCell ref="CF64:CF70"/>
    <mergeCell ref="CF71:CF77"/>
    <mergeCell ref="CF78:CF84"/>
    <mergeCell ref="CG7:CG13"/>
    <mergeCell ref="CG15:CG21"/>
    <mergeCell ref="CG22:CG28"/>
    <mergeCell ref="CG29:CG35"/>
    <mergeCell ref="CG36:CG42"/>
    <mergeCell ref="CG43:CG49"/>
    <mergeCell ref="CG50:CG56"/>
    <mergeCell ref="CG57:CG63"/>
    <mergeCell ref="CG64:CG70"/>
    <mergeCell ref="CG71:CG77"/>
    <mergeCell ref="CG78:CG84"/>
    <mergeCell ref="CH1:CH3"/>
    <mergeCell ref="CH161:CH16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F62"/>
  <sheetViews>
    <sheetView workbookViewId="0">
      <selection activeCell="A1" sqref="A1:C1"/>
    </sheetView>
  </sheetViews>
  <sheetFormatPr defaultColWidth="14" defaultRowHeight="12.75"/>
  <cols>
    <col min="1" max="1" width="16" customWidth="1"/>
    <col min="2" max="11" width="11" customWidth="1"/>
    <col min="12" max="12" width="16" customWidth="1"/>
    <col min="13" max="13" width="20" customWidth="1"/>
    <col min="14" max="14" width="15" customWidth="1"/>
    <col min="15" max="17" width="14" customWidth="1"/>
    <col min="18" max="19" width="12" customWidth="1"/>
    <col min="20" max="21" width="11" customWidth="1"/>
    <col min="22" max="22" width="14" customWidth="1"/>
    <col min="23" max="23" width="11" customWidth="1"/>
    <col min="24" max="25" width="14" customWidth="1"/>
    <col min="26" max="27" width="13" customWidth="1"/>
    <col min="28" max="28" width="16" customWidth="1"/>
    <col min="29" max="29" width="12" customWidth="1"/>
    <col min="30" max="31" width="17" customWidth="1"/>
    <col min="32" max="32" width="16" customWidth="1"/>
    <col min="33" max="33" width="9" customWidth="1"/>
    <col min="34" max="34" width="14" customWidth="1"/>
    <col min="35" max="35" width="17" customWidth="1"/>
    <col min="36" max="36" width="14" customWidth="1"/>
    <col min="37" max="37" width="17" customWidth="1"/>
    <col min="38" max="38" width="15" customWidth="1"/>
    <col min="39" max="39" width="17" customWidth="1"/>
    <col min="40" max="40" width="15" customWidth="1"/>
    <col min="41" max="45" width="17" customWidth="1"/>
    <col min="46" max="46" width="15" customWidth="1"/>
    <col min="47" max="59" width="11" customWidth="1"/>
    <col min="60" max="60" width="15" customWidth="1"/>
    <col min="61" max="67" width="13" customWidth="1"/>
    <col min="68" max="68" width="11" customWidth="1"/>
    <col min="69" max="73" width="10" customWidth="1"/>
    <col min="74" max="74" width="31" customWidth="1"/>
    <col min="75" max="75" width="27" customWidth="1"/>
    <col min="76" max="76" width="23" customWidth="1"/>
    <col min="77" max="77" width="21" customWidth="1"/>
    <col min="78" max="78" width="23" customWidth="1"/>
    <col min="79" max="80" width="20" customWidth="1"/>
    <col min="81" max="81" width="27" customWidth="1"/>
    <col min="82" max="82" width="25" customWidth="1"/>
    <col min="83" max="83" width="21" customWidth="1"/>
    <col min="84" max="84" width="28" customWidth="1"/>
  </cols>
  <sheetData>
    <row r="1" ht="21" customHeight="1" spans="1:84">
      <c r="A1" s="148" t="s">
        <v>241</v>
      </c>
      <c r="B1" s="148" t="s">
        <v>1</v>
      </c>
      <c r="C1" s="148" t="s">
        <v>1</v>
      </c>
      <c r="D1" s="65" t="s">
        <v>2</v>
      </c>
      <c r="E1" s="65" t="s">
        <v>1</v>
      </c>
      <c r="F1" s="65" t="s">
        <v>1</v>
      </c>
      <c r="G1" s="65" t="s">
        <v>1</v>
      </c>
      <c r="H1" s="65" t="s">
        <v>1</v>
      </c>
      <c r="I1" s="65" t="s">
        <v>1</v>
      </c>
      <c r="J1" s="65" t="s">
        <v>1</v>
      </c>
      <c r="K1" s="65" t="s">
        <v>1</v>
      </c>
      <c r="L1" s="65" t="s">
        <v>1</v>
      </c>
      <c r="M1" s="65" t="s">
        <v>1</v>
      </c>
      <c r="N1" s="65" t="s">
        <v>1</v>
      </c>
      <c r="O1" s="65" t="s">
        <v>1</v>
      </c>
      <c r="P1" s="65" t="s">
        <v>1</v>
      </c>
      <c r="Q1" s="65" t="s">
        <v>1</v>
      </c>
      <c r="R1" s="65" t="s">
        <v>1</v>
      </c>
      <c r="S1" s="65" t="s">
        <v>1</v>
      </c>
      <c r="T1" s="65" t="s">
        <v>1</v>
      </c>
      <c r="U1" s="65" t="s">
        <v>1</v>
      </c>
      <c r="V1" s="66" t="s">
        <v>3</v>
      </c>
      <c r="W1" s="66" t="s">
        <v>1</v>
      </c>
      <c r="X1" s="66" t="s">
        <v>1</v>
      </c>
      <c r="Y1" s="66" t="s">
        <v>1</v>
      </c>
      <c r="Z1" s="66" t="s">
        <v>1</v>
      </c>
      <c r="AA1" s="66" t="s">
        <v>1</v>
      </c>
      <c r="AB1" s="66" t="s">
        <v>1</v>
      </c>
      <c r="AC1" s="66" t="s">
        <v>1</v>
      </c>
      <c r="AD1" s="66" t="s">
        <v>1</v>
      </c>
      <c r="AE1" s="66" t="s">
        <v>1</v>
      </c>
      <c r="AF1" s="66" t="s">
        <v>1</v>
      </c>
      <c r="AG1" s="66" t="s">
        <v>1</v>
      </c>
      <c r="AH1" s="66" t="s">
        <v>1</v>
      </c>
      <c r="AI1" s="66" t="s">
        <v>1</v>
      </c>
      <c r="AJ1" s="66" t="s">
        <v>1</v>
      </c>
      <c r="AK1" s="66" t="s">
        <v>1</v>
      </c>
      <c r="AL1" s="66" t="s">
        <v>1</v>
      </c>
      <c r="AM1" s="66" t="s">
        <v>1</v>
      </c>
      <c r="AN1" s="66" t="s">
        <v>1</v>
      </c>
      <c r="AO1" s="66" t="s">
        <v>1</v>
      </c>
      <c r="AP1" s="66" t="s">
        <v>1</v>
      </c>
      <c r="AQ1" s="66" t="s">
        <v>1</v>
      </c>
      <c r="AR1" s="66" t="s">
        <v>1</v>
      </c>
      <c r="AS1" s="66" t="s">
        <v>1</v>
      </c>
      <c r="AT1" s="68" t="s">
        <v>4</v>
      </c>
      <c r="AU1" s="68" t="s">
        <v>1</v>
      </c>
      <c r="AV1" s="68" t="s">
        <v>1</v>
      </c>
      <c r="AW1" s="68" t="s">
        <v>1</v>
      </c>
      <c r="AX1" s="68" t="s">
        <v>1</v>
      </c>
      <c r="AY1" s="68" t="s">
        <v>1</v>
      </c>
      <c r="AZ1" s="68" t="s">
        <v>1</v>
      </c>
      <c r="BA1" s="68" t="s">
        <v>1</v>
      </c>
      <c r="BB1" s="68" t="s">
        <v>1</v>
      </c>
      <c r="BC1" s="68" t="s">
        <v>1</v>
      </c>
      <c r="BD1" s="68" t="s">
        <v>1</v>
      </c>
      <c r="BE1" s="68" t="s">
        <v>1</v>
      </c>
      <c r="BF1" s="68" t="s">
        <v>1</v>
      </c>
      <c r="BG1" s="68" t="s">
        <v>1</v>
      </c>
      <c r="BH1" s="149" t="s">
        <v>5</v>
      </c>
      <c r="BI1" s="150" t="s">
        <v>6</v>
      </c>
      <c r="BJ1" s="150" t="s">
        <v>1</v>
      </c>
      <c r="BK1" s="150" t="s">
        <v>1</v>
      </c>
      <c r="BL1" s="150" t="s">
        <v>1</v>
      </c>
      <c r="BM1" s="150" t="s">
        <v>1</v>
      </c>
      <c r="BN1" s="150" t="s">
        <v>1</v>
      </c>
      <c r="BO1" s="150" t="s">
        <v>1</v>
      </c>
      <c r="BP1" s="150" t="s">
        <v>1</v>
      </c>
      <c r="BQ1" s="71" t="s">
        <v>7</v>
      </c>
      <c r="BR1" s="71" t="s">
        <v>1</v>
      </c>
      <c r="BS1" s="71" t="s">
        <v>1</v>
      </c>
      <c r="BT1" s="71" t="s">
        <v>1</v>
      </c>
      <c r="BU1" s="71" t="s">
        <v>1</v>
      </c>
      <c r="BV1" s="71" t="s">
        <v>1</v>
      </c>
      <c r="BW1" s="71" t="s">
        <v>1</v>
      </c>
      <c r="BX1" s="71" t="s">
        <v>1</v>
      </c>
      <c r="BY1" s="71" t="s">
        <v>1</v>
      </c>
      <c r="BZ1" s="71" t="s">
        <v>1</v>
      </c>
      <c r="CA1" s="71" t="s">
        <v>1</v>
      </c>
      <c r="CB1" s="71" t="s">
        <v>1</v>
      </c>
      <c r="CC1" s="71" t="s">
        <v>1</v>
      </c>
      <c r="CD1" s="71" t="s">
        <v>1</v>
      </c>
      <c r="CE1" s="71" t="s">
        <v>1</v>
      </c>
      <c r="CF1" s="72" t="s">
        <v>8</v>
      </c>
    </row>
    <row r="2" ht="19" customHeight="1" spans="1:84">
      <c r="A2" s="73" t="s">
        <v>9</v>
      </c>
      <c r="B2" s="74" t="s">
        <v>10</v>
      </c>
      <c r="C2" s="74" t="s">
        <v>1</v>
      </c>
      <c r="D2" s="76" t="s">
        <v>11</v>
      </c>
      <c r="E2" s="76" t="s">
        <v>1</v>
      </c>
      <c r="F2" s="76" t="s">
        <v>1</v>
      </c>
      <c r="G2" s="76" t="s">
        <v>1</v>
      </c>
      <c r="H2" s="76" t="s">
        <v>1</v>
      </c>
      <c r="I2" s="76" t="s">
        <v>1</v>
      </c>
      <c r="J2" s="76" t="s">
        <v>1</v>
      </c>
      <c r="K2" s="76" t="s">
        <v>1</v>
      </c>
      <c r="L2" s="76" t="s">
        <v>12</v>
      </c>
      <c r="M2" s="76" t="s">
        <v>1</v>
      </c>
      <c r="N2" s="76" t="s">
        <v>1</v>
      </c>
      <c r="O2" s="76" t="s">
        <v>1</v>
      </c>
      <c r="P2" s="76" t="s">
        <v>1</v>
      </c>
      <c r="Q2" s="76" t="s">
        <v>1</v>
      </c>
      <c r="R2" s="76" t="s">
        <v>1</v>
      </c>
      <c r="S2" s="76" t="s">
        <v>1</v>
      </c>
      <c r="T2" s="76" t="s">
        <v>1</v>
      </c>
      <c r="U2" s="76" t="s">
        <v>1</v>
      </c>
      <c r="V2" s="79" t="s">
        <v>13</v>
      </c>
      <c r="W2" s="79" t="s">
        <v>1</v>
      </c>
      <c r="X2" s="81" t="s">
        <v>14</v>
      </c>
      <c r="Y2" s="81" t="s">
        <v>1</v>
      </c>
      <c r="Z2" s="81" t="s">
        <v>15</v>
      </c>
      <c r="AA2" s="81" t="s">
        <v>1</v>
      </c>
      <c r="AB2" s="81" t="s">
        <v>16</v>
      </c>
      <c r="AC2" s="81" t="s">
        <v>1</v>
      </c>
      <c r="AD2" s="81" t="s">
        <v>17</v>
      </c>
      <c r="AE2" s="81" t="s">
        <v>1</v>
      </c>
      <c r="AF2" s="81" t="s">
        <v>18</v>
      </c>
      <c r="AG2" s="81" t="s">
        <v>1</v>
      </c>
      <c r="AH2" s="83" t="s">
        <v>19</v>
      </c>
      <c r="AI2" s="83" t="s">
        <v>1</v>
      </c>
      <c r="AJ2" s="83" t="s">
        <v>20</v>
      </c>
      <c r="AK2" s="83" t="s">
        <v>1</v>
      </c>
      <c r="AL2" s="83" t="s">
        <v>21</v>
      </c>
      <c r="AM2" s="83" t="s">
        <v>1</v>
      </c>
      <c r="AN2" s="83" t="s">
        <v>22</v>
      </c>
      <c r="AO2" s="83" t="s">
        <v>1</v>
      </c>
      <c r="AP2" s="85" t="s">
        <v>23</v>
      </c>
      <c r="AQ2" s="85" t="s">
        <v>1</v>
      </c>
      <c r="AR2" s="85" t="s">
        <v>24</v>
      </c>
      <c r="AS2" s="85" t="s">
        <v>1</v>
      </c>
      <c r="AT2" s="68" t="s">
        <v>242</v>
      </c>
      <c r="AU2" s="68" t="s">
        <v>1</v>
      </c>
      <c r="AV2" s="87" t="s">
        <v>26</v>
      </c>
      <c r="AW2" s="87" t="s">
        <v>1</v>
      </c>
      <c r="AX2" s="87" t="s">
        <v>27</v>
      </c>
      <c r="AY2" s="87" t="s">
        <v>1</v>
      </c>
      <c r="AZ2" s="88" t="s">
        <v>28</v>
      </c>
      <c r="BA2" s="88" t="s">
        <v>1</v>
      </c>
      <c r="BB2" s="87" t="s">
        <v>29</v>
      </c>
      <c r="BC2" s="87" t="s">
        <v>1</v>
      </c>
      <c r="BD2" s="89" t="s">
        <v>30</v>
      </c>
      <c r="BE2" s="89" t="s">
        <v>1</v>
      </c>
      <c r="BF2" s="89" t="s">
        <v>31</v>
      </c>
      <c r="BG2" s="89" t="s">
        <v>1</v>
      </c>
      <c r="BH2" s="149" t="s">
        <v>1</v>
      </c>
      <c r="BI2" s="150" t="s">
        <v>243</v>
      </c>
      <c r="BJ2" s="150" t="s">
        <v>1</v>
      </c>
      <c r="BK2" s="150" t="s">
        <v>1</v>
      </c>
      <c r="BL2" s="150" t="s">
        <v>1</v>
      </c>
      <c r="BM2" s="151" t="s">
        <v>244</v>
      </c>
      <c r="BN2" s="151" t="s">
        <v>1</v>
      </c>
      <c r="BO2" s="151" t="s">
        <v>1</v>
      </c>
      <c r="BP2" s="151" t="s">
        <v>1</v>
      </c>
      <c r="BQ2" s="71" t="s">
        <v>34</v>
      </c>
      <c r="BR2" s="71" t="s">
        <v>1</v>
      </c>
      <c r="BS2" s="71" t="s">
        <v>1</v>
      </c>
      <c r="BT2" s="71" t="s">
        <v>1</v>
      </c>
      <c r="BU2" s="71" t="s">
        <v>1</v>
      </c>
      <c r="BV2" s="71" t="s">
        <v>35</v>
      </c>
      <c r="BW2" s="71" t="s">
        <v>1</v>
      </c>
      <c r="BX2" s="71" t="s">
        <v>1</v>
      </c>
      <c r="BY2" s="71" t="s">
        <v>1</v>
      </c>
      <c r="BZ2" s="71" t="s">
        <v>1</v>
      </c>
      <c r="CA2" s="71" t="s">
        <v>1</v>
      </c>
      <c r="CB2" s="71" t="s">
        <v>1</v>
      </c>
      <c r="CC2" s="71" t="s">
        <v>1</v>
      </c>
      <c r="CD2" s="71" t="s">
        <v>1</v>
      </c>
      <c r="CE2" s="71" t="s">
        <v>1</v>
      </c>
      <c r="CF2" s="72" t="s">
        <v>1</v>
      </c>
    </row>
    <row r="3" ht="30" customHeight="1" spans="1:84">
      <c r="A3" s="73" t="s">
        <v>1</v>
      </c>
      <c r="B3" s="92" t="s">
        <v>36</v>
      </c>
      <c r="C3" s="92" t="s">
        <v>37</v>
      </c>
      <c r="D3" s="93" t="s">
        <v>38</v>
      </c>
      <c r="E3" s="93" t="s">
        <v>39</v>
      </c>
      <c r="F3" s="93" t="s">
        <v>40</v>
      </c>
      <c r="G3" s="65" t="s">
        <v>41</v>
      </c>
      <c r="H3" s="65" t="s">
        <v>42</v>
      </c>
      <c r="I3" s="65" t="s">
        <v>43</v>
      </c>
      <c r="J3" s="65" t="s">
        <v>44</v>
      </c>
      <c r="K3" s="65" t="s">
        <v>45</v>
      </c>
      <c r="L3" s="65" t="s">
        <v>46</v>
      </c>
      <c r="M3" s="65" t="s">
        <v>42</v>
      </c>
      <c r="N3" s="152" t="s">
        <v>47</v>
      </c>
      <c r="O3" s="65" t="s">
        <v>48</v>
      </c>
      <c r="P3" s="65" t="s">
        <v>42</v>
      </c>
      <c r="Q3" s="65" t="s">
        <v>47</v>
      </c>
      <c r="R3" s="65" t="s">
        <v>36</v>
      </c>
      <c r="S3" s="65" t="s">
        <v>37</v>
      </c>
      <c r="T3" s="65" t="s">
        <v>42</v>
      </c>
      <c r="U3" s="65" t="s">
        <v>47</v>
      </c>
      <c r="V3" s="94" t="s">
        <v>36</v>
      </c>
      <c r="W3" s="94" t="s">
        <v>37</v>
      </c>
      <c r="X3" s="95" t="s">
        <v>36</v>
      </c>
      <c r="Y3" s="95" t="s">
        <v>37</v>
      </c>
      <c r="Z3" s="95" t="s">
        <v>36</v>
      </c>
      <c r="AA3" s="95" t="s">
        <v>37</v>
      </c>
      <c r="AB3" s="95" t="s">
        <v>36</v>
      </c>
      <c r="AC3" s="95" t="s">
        <v>37</v>
      </c>
      <c r="AD3" s="95" t="s">
        <v>36</v>
      </c>
      <c r="AE3" s="95" t="s">
        <v>37</v>
      </c>
      <c r="AF3" s="95" t="s">
        <v>36</v>
      </c>
      <c r="AG3" s="95" t="s">
        <v>37</v>
      </c>
      <c r="AH3" s="96" t="s">
        <v>36</v>
      </c>
      <c r="AI3" s="96" t="s">
        <v>37</v>
      </c>
      <c r="AJ3" s="96" t="s">
        <v>36</v>
      </c>
      <c r="AK3" s="96" t="s">
        <v>37</v>
      </c>
      <c r="AL3" s="96" t="s">
        <v>36</v>
      </c>
      <c r="AM3" s="96" t="s">
        <v>37</v>
      </c>
      <c r="AN3" s="96" t="s">
        <v>36</v>
      </c>
      <c r="AO3" s="96" t="s">
        <v>37</v>
      </c>
      <c r="AP3" s="97" t="s">
        <v>36</v>
      </c>
      <c r="AQ3" s="97" t="s">
        <v>37</v>
      </c>
      <c r="AR3" s="97" t="s">
        <v>36</v>
      </c>
      <c r="AS3" s="97" t="s">
        <v>37</v>
      </c>
      <c r="AT3" s="68" t="s">
        <v>36</v>
      </c>
      <c r="AU3" s="68" t="s">
        <v>37</v>
      </c>
      <c r="AV3" s="98" t="s">
        <v>36</v>
      </c>
      <c r="AW3" s="98" t="s">
        <v>37</v>
      </c>
      <c r="AX3" s="98" t="s">
        <v>36</v>
      </c>
      <c r="AY3" s="98" t="s">
        <v>37</v>
      </c>
      <c r="AZ3" s="68" t="s">
        <v>36</v>
      </c>
      <c r="BA3" s="68" t="s">
        <v>37</v>
      </c>
      <c r="BB3" s="98" t="s">
        <v>36</v>
      </c>
      <c r="BC3" s="98" t="s">
        <v>37</v>
      </c>
      <c r="BD3" s="99" t="s">
        <v>36</v>
      </c>
      <c r="BE3" s="99" t="s">
        <v>37</v>
      </c>
      <c r="BF3" s="99" t="s">
        <v>36</v>
      </c>
      <c r="BG3" s="99" t="s">
        <v>37</v>
      </c>
      <c r="BH3" s="149" t="s">
        <v>1</v>
      </c>
      <c r="BI3" s="153" t="s">
        <v>49</v>
      </c>
      <c r="BJ3" s="100" t="s">
        <v>50</v>
      </c>
      <c r="BK3" s="100" t="s">
        <v>51</v>
      </c>
      <c r="BL3" s="101" t="s">
        <v>52</v>
      </c>
      <c r="BM3" s="100" t="s">
        <v>49</v>
      </c>
      <c r="BN3" s="100" t="s">
        <v>50</v>
      </c>
      <c r="BO3" s="100" t="s">
        <v>51</v>
      </c>
      <c r="BP3" s="101" t="s">
        <v>52</v>
      </c>
      <c r="BQ3" s="90" t="s">
        <v>53</v>
      </c>
      <c r="BR3" s="90" t="s">
        <v>54</v>
      </c>
      <c r="BS3" s="90" t="s">
        <v>55</v>
      </c>
      <c r="BT3" s="90" t="s">
        <v>56</v>
      </c>
      <c r="BU3" s="90" t="s">
        <v>57</v>
      </c>
      <c r="BV3" s="90" t="s">
        <v>53</v>
      </c>
      <c r="BW3" s="90" t="s">
        <v>54</v>
      </c>
      <c r="BX3" s="90" t="s">
        <v>55</v>
      </c>
      <c r="BY3" s="90" t="s">
        <v>56</v>
      </c>
      <c r="BZ3" s="90" t="s">
        <v>57</v>
      </c>
      <c r="CA3" s="90" t="s">
        <v>58</v>
      </c>
      <c r="CB3" s="90" t="s">
        <v>59</v>
      </c>
      <c r="CC3" s="90" t="s">
        <v>60</v>
      </c>
      <c r="CD3" s="90" t="s">
        <v>61</v>
      </c>
      <c r="CE3" s="90" t="s">
        <v>62</v>
      </c>
      <c r="CF3" s="72" t="s">
        <v>1</v>
      </c>
    </row>
    <row r="4" ht="19" customHeight="1" spans="1:84">
      <c r="A4" s="102" t="s">
        <v>63</v>
      </c>
      <c r="B4" s="103" t="s">
        <v>64</v>
      </c>
      <c r="C4" s="103" t="s">
        <v>64</v>
      </c>
      <c r="D4" s="103" t="s">
        <v>65</v>
      </c>
      <c r="E4" s="103" t="s">
        <v>65</v>
      </c>
      <c r="F4" s="103" t="s">
        <v>64</v>
      </c>
      <c r="G4" s="103" t="s">
        <v>65</v>
      </c>
      <c r="H4" s="103" t="s">
        <v>65</v>
      </c>
      <c r="I4" s="103" t="s">
        <v>65</v>
      </c>
      <c r="J4" s="103" t="s">
        <v>65</v>
      </c>
      <c r="K4" s="103" t="s">
        <v>65</v>
      </c>
      <c r="L4" s="103" t="s">
        <v>66</v>
      </c>
      <c r="M4" s="103" t="s">
        <v>66</v>
      </c>
      <c r="N4" s="154" t="s">
        <v>66</v>
      </c>
      <c r="O4" s="103" t="s">
        <v>67</v>
      </c>
      <c r="P4" s="103" t="s">
        <v>67</v>
      </c>
      <c r="Q4" s="103" t="s">
        <v>67</v>
      </c>
      <c r="R4" s="103" t="s">
        <v>68</v>
      </c>
      <c r="S4" s="103" t="s">
        <v>68</v>
      </c>
      <c r="T4" s="103" t="s">
        <v>68</v>
      </c>
      <c r="U4" s="103" t="s">
        <v>68</v>
      </c>
      <c r="V4" s="103" t="s">
        <v>64</v>
      </c>
      <c r="W4" s="103" t="s">
        <v>64</v>
      </c>
      <c r="X4" s="103" t="s">
        <v>64</v>
      </c>
      <c r="Y4" s="103" t="s">
        <v>64</v>
      </c>
      <c r="Z4" s="103" t="s">
        <v>64</v>
      </c>
      <c r="AA4" s="103" t="s">
        <v>64</v>
      </c>
      <c r="AB4" s="103" t="s">
        <v>64</v>
      </c>
      <c r="AC4" s="103" t="s">
        <v>64</v>
      </c>
      <c r="AD4" s="103" t="s">
        <v>64</v>
      </c>
      <c r="AE4" s="103" t="s">
        <v>64</v>
      </c>
      <c r="AF4" s="103" t="s">
        <v>64</v>
      </c>
      <c r="AG4" s="103" t="s">
        <v>64</v>
      </c>
      <c r="AH4" s="103" t="s">
        <v>64</v>
      </c>
      <c r="AI4" s="103" t="s">
        <v>64</v>
      </c>
      <c r="AJ4" s="103" t="s">
        <v>64</v>
      </c>
      <c r="AK4" s="103" t="s">
        <v>64</v>
      </c>
      <c r="AL4" s="103" t="s">
        <v>64</v>
      </c>
      <c r="AM4" s="103" t="s">
        <v>64</v>
      </c>
      <c r="AN4" s="103" t="s">
        <v>64</v>
      </c>
      <c r="AO4" s="103" t="s">
        <v>64</v>
      </c>
      <c r="AP4" s="103" t="s">
        <v>64</v>
      </c>
      <c r="AQ4" s="103" t="s">
        <v>64</v>
      </c>
      <c r="AR4" s="103" t="s">
        <v>64</v>
      </c>
      <c r="AS4" s="103" t="s">
        <v>64</v>
      </c>
      <c r="AT4" s="103" t="s">
        <v>67</v>
      </c>
      <c r="AU4" s="103" t="s">
        <v>67</v>
      </c>
      <c r="AV4" s="103" t="s">
        <v>67</v>
      </c>
      <c r="AW4" s="103" t="s">
        <v>67</v>
      </c>
      <c r="AX4" s="103" t="s">
        <v>67</v>
      </c>
      <c r="AY4" s="103" t="s">
        <v>67</v>
      </c>
      <c r="AZ4" s="103" t="s">
        <v>67</v>
      </c>
      <c r="BA4" s="103" t="s">
        <v>67</v>
      </c>
      <c r="BB4" s="103" t="s">
        <v>67</v>
      </c>
      <c r="BC4" s="103" t="s">
        <v>67</v>
      </c>
      <c r="BD4" s="103" t="s">
        <v>67</v>
      </c>
      <c r="BE4" s="103" t="s">
        <v>67</v>
      </c>
      <c r="BF4" s="103" t="s">
        <v>67</v>
      </c>
      <c r="BG4" s="103" t="s">
        <v>67</v>
      </c>
      <c r="BH4" s="103" t="s">
        <v>69</v>
      </c>
      <c r="BI4" s="103" t="s">
        <v>64</v>
      </c>
      <c r="BJ4" s="103" t="s">
        <v>64</v>
      </c>
      <c r="BK4" s="103" t="s">
        <v>64</v>
      </c>
      <c r="BL4" s="103" t="s">
        <v>64</v>
      </c>
      <c r="BM4" s="103" t="s">
        <v>64</v>
      </c>
      <c r="BN4" s="103" t="s">
        <v>64</v>
      </c>
      <c r="BO4" s="103" t="s">
        <v>64</v>
      </c>
      <c r="BP4" s="103" t="s">
        <v>64</v>
      </c>
      <c r="BQ4" s="103" t="s">
        <v>64</v>
      </c>
      <c r="BR4" s="103" t="s">
        <v>64</v>
      </c>
      <c r="BS4" s="103" t="s">
        <v>64</v>
      </c>
      <c r="BT4" s="103" t="s">
        <v>64</v>
      </c>
      <c r="BU4" s="103" t="s">
        <v>64</v>
      </c>
      <c r="BV4" s="103" t="s">
        <v>64</v>
      </c>
      <c r="BW4" s="103" t="s">
        <v>64</v>
      </c>
      <c r="BX4" s="103" t="s">
        <v>64</v>
      </c>
      <c r="BY4" s="103" t="s">
        <v>64</v>
      </c>
      <c r="BZ4" s="103" t="s">
        <v>64</v>
      </c>
      <c r="CA4" s="103" t="s">
        <v>64</v>
      </c>
      <c r="CB4" s="103" t="s">
        <v>64</v>
      </c>
      <c r="CC4" s="103" t="s">
        <v>64</v>
      </c>
      <c r="CD4" s="103" t="s">
        <v>64</v>
      </c>
      <c r="CE4" s="103" t="s">
        <v>64</v>
      </c>
      <c r="CF4" s="103" t="s">
        <v>64</v>
      </c>
    </row>
    <row r="5" ht="19" customHeight="1" spans="1:84">
      <c r="A5" s="107">
        <v>45184</v>
      </c>
      <c r="B5" s="30" t="s">
        <v>1</v>
      </c>
      <c r="C5" s="155" t="s">
        <v>1</v>
      </c>
      <c r="D5" s="30" t="s">
        <v>1</v>
      </c>
      <c r="E5" s="30" t="s">
        <v>1</v>
      </c>
      <c r="F5" s="30" t="s">
        <v>1</v>
      </c>
      <c r="G5" s="141" t="s">
        <v>1</v>
      </c>
      <c r="H5" s="141" t="e">
        <f t="shared" ref="H5:H51" si="0">(F5-G5)/G5</f>
        <v>#VALUE!</v>
      </c>
      <c r="I5" s="30" t="s">
        <v>1</v>
      </c>
      <c r="J5" s="30" t="s">
        <v>1</v>
      </c>
      <c r="K5" s="155" t="s">
        <v>1</v>
      </c>
      <c r="L5" s="116" t="s">
        <v>1</v>
      </c>
      <c r="M5" s="156" t="s">
        <v>1</v>
      </c>
      <c r="N5" s="31" t="s">
        <v>1</v>
      </c>
      <c r="O5" s="32" t="s">
        <v>1</v>
      </c>
      <c r="P5" s="141" t="s">
        <v>1</v>
      </c>
      <c r="Q5" s="30" t="s">
        <v>1</v>
      </c>
      <c r="R5" s="30" t="s">
        <v>1</v>
      </c>
      <c r="S5" s="155" t="s">
        <v>1</v>
      </c>
      <c r="T5" s="155" t="s">
        <v>1</v>
      </c>
      <c r="U5" s="108" t="s">
        <v>1</v>
      </c>
      <c r="V5" s="18" t="s">
        <v>1</v>
      </c>
      <c r="W5" s="157">
        <v>1158</v>
      </c>
      <c r="X5" s="18" t="s">
        <v>1</v>
      </c>
      <c r="Y5" s="157">
        <v>467</v>
      </c>
      <c r="Z5" s="18" t="s">
        <v>1</v>
      </c>
      <c r="AA5" s="158">
        <v>2.48</v>
      </c>
      <c r="AB5" s="18" t="s">
        <v>1</v>
      </c>
      <c r="AC5" s="158">
        <v>72.97</v>
      </c>
      <c r="AD5" s="159" t="s">
        <v>1</v>
      </c>
      <c r="AE5" s="160" t="s">
        <v>1</v>
      </c>
      <c r="AF5" s="18" t="s">
        <v>1</v>
      </c>
      <c r="AG5" s="38">
        <v>23</v>
      </c>
      <c r="AH5" s="18">
        <v>473</v>
      </c>
      <c r="AI5" s="18">
        <v>431</v>
      </c>
      <c r="AJ5" s="18">
        <v>106</v>
      </c>
      <c r="AK5" s="18">
        <v>193</v>
      </c>
      <c r="AL5" s="18">
        <v>8</v>
      </c>
      <c r="AM5" s="18">
        <v>5</v>
      </c>
      <c r="AN5" s="18">
        <v>17</v>
      </c>
      <c r="AO5" s="18">
        <v>16</v>
      </c>
      <c r="AP5" s="18">
        <v>245</v>
      </c>
      <c r="AQ5" s="18">
        <v>144</v>
      </c>
      <c r="AR5" s="18">
        <v>42</v>
      </c>
      <c r="AS5" s="19">
        <v>19</v>
      </c>
      <c r="AT5" s="30" t="s">
        <v>1</v>
      </c>
      <c r="AU5" s="155" t="s">
        <v>1</v>
      </c>
      <c r="AV5" s="108">
        <v>37</v>
      </c>
      <c r="AW5" s="108" t="s">
        <v>1</v>
      </c>
      <c r="AX5" s="31">
        <v>0.0669077757685353</v>
      </c>
      <c r="AY5" s="141" t="s">
        <v>1</v>
      </c>
      <c r="AZ5" s="108">
        <v>4</v>
      </c>
      <c r="BA5" s="30" t="s">
        <v>1</v>
      </c>
      <c r="BB5" s="31">
        <v>0.108108108108108</v>
      </c>
      <c r="BC5" s="155" t="s">
        <v>1</v>
      </c>
      <c r="BD5" s="108" t="s">
        <v>1</v>
      </c>
      <c r="BE5" s="108" t="s">
        <v>1</v>
      </c>
      <c r="BF5" s="30" t="s">
        <v>1</v>
      </c>
      <c r="BG5" s="141" t="s">
        <v>1</v>
      </c>
      <c r="BH5" s="141" t="s">
        <v>1</v>
      </c>
      <c r="BI5" s="92" t="s">
        <v>73</v>
      </c>
      <c r="BJ5" s="92">
        <v>76</v>
      </c>
      <c r="BK5" s="92">
        <v>662</v>
      </c>
      <c r="BL5" s="92">
        <v>143</v>
      </c>
      <c r="BM5" s="92">
        <v>0</v>
      </c>
      <c r="BN5" s="92">
        <v>0</v>
      </c>
      <c r="BO5" s="92">
        <v>0</v>
      </c>
      <c r="BP5" s="92">
        <v>0</v>
      </c>
      <c r="BQ5" s="30" t="s">
        <v>1</v>
      </c>
      <c r="BR5" s="30" t="s">
        <v>1</v>
      </c>
      <c r="BS5" s="155" t="s">
        <v>1</v>
      </c>
      <c r="BT5" s="108" t="s">
        <v>1</v>
      </c>
      <c r="BU5" s="108" t="s">
        <v>1</v>
      </c>
      <c r="BV5" s="30" t="s">
        <v>1</v>
      </c>
      <c r="BW5" s="141" t="s">
        <v>1</v>
      </c>
      <c r="BX5" s="141" t="s">
        <v>1</v>
      </c>
      <c r="BY5" s="30" t="s">
        <v>1</v>
      </c>
      <c r="BZ5" s="30" t="s">
        <v>1</v>
      </c>
      <c r="CA5" s="155" t="s">
        <v>1</v>
      </c>
      <c r="CB5" s="108" t="s">
        <v>1</v>
      </c>
      <c r="CC5" s="108" t="s">
        <v>1</v>
      </c>
      <c r="CD5" s="30" t="s">
        <v>1</v>
      </c>
      <c r="CE5" s="141" t="s">
        <v>1</v>
      </c>
      <c r="CF5" s="141" t="s">
        <v>1</v>
      </c>
    </row>
    <row r="6" ht="19" customHeight="1" spans="1:84">
      <c r="A6" s="107">
        <v>45185</v>
      </c>
      <c r="B6" s="30" t="s">
        <v>1</v>
      </c>
      <c r="C6" s="155" t="s">
        <v>1</v>
      </c>
      <c r="D6" s="30" t="s">
        <v>1</v>
      </c>
      <c r="E6" s="30" t="s">
        <v>1</v>
      </c>
      <c r="F6" s="30" t="s">
        <v>1</v>
      </c>
      <c r="G6" s="141" t="s">
        <v>1</v>
      </c>
      <c r="H6" s="141" t="e">
        <f t="shared" si="0"/>
        <v>#VALUE!</v>
      </c>
      <c r="I6" s="30" t="s">
        <v>1</v>
      </c>
      <c r="J6" s="30" t="s">
        <v>1</v>
      </c>
      <c r="K6" s="155" t="s">
        <v>1</v>
      </c>
      <c r="L6" s="116" t="s">
        <v>1</v>
      </c>
      <c r="M6" s="161" t="s">
        <v>1</v>
      </c>
      <c r="N6" s="31" t="s">
        <v>1</v>
      </c>
      <c r="O6" s="32" t="s">
        <v>1</v>
      </c>
      <c r="P6" s="141" t="s">
        <v>1</v>
      </c>
      <c r="Q6" s="30" t="s">
        <v>1</v>
      </c>
      <c r="R6" s="30" t="s">
        <v>1</v>
      </c>
      <c r="S6" s="155" t="s">
        <v>1</v>
      </c>
      <c r="T6" s="155" t="s">
        <v>1</v>
      </c>
      <c r="U6" s="108" t="s">
        <v>1</v>
      </c>
      <c r="V6" s="18" t="s">
        <v>1</v>
      </c>
      <c r="W6" s="157">
        <v>903</v>
      </c>
      <c r="X6" s="18" t="s">
        <v>1</v>
      </c>
      <c r="Y6" s="157">
        <v>340</v>
      </c>
      <c r="Z6" s="18" t="s">
        <v>1</v>
      </c>
      <c r="AA6" s="158">
        <v>2.66</v>
      </c>
      <c r="AB6" s="18" t="s">
        <v>1</v>
      </c>
      <c r="AC6" s="158">
        <v>89.42</v>
      </c>
      <c r="AD6" s="159" t="s">
        <v>1</v>
      </c>
      <c r="AE6" s="160" t="s">
        <v>1</v>
      </c>
      <c r="AF6" s="18" t="s">
        <v>1</v>
      </c>
      <c r="AG6" s="38">
        <v>23</v>
      </c>
      <c r="AH6" s="18">
        <v>558</v>
      </c>
      <c r="AI6" s="18">
        <v>323</v>
      </c>
      <c r="AJ6" s="18">
        <v>179</v>
      </c>
      <c r="AK6" s="18">
        <v>131</v>
      </c>
      <c r="AL6" s="18">
        <v>7</v>
      </c>
      <c r="AM6" s="18">
        <v>5</v>
      </c>
      <c r="AN6" s="18">
        <v>13</v>
      </c>
      <c r="AO6" s="18">
        <v>4</v>
      </c>
      <c r="AP6" s="18">
        <v>276</v>
      </c>
      <c r="AQ6" s="18">
        <v>89</v>
      </c>
      <c r="AR6" s="18">
        <v>61</v>
      </c>
      <c r="AS6" s="19">
        <v>18</v>
      </c>
      <c r="AT6" s="30" t="s">
        <v>1</v>
      </c>
      <c r="AU6" s="155" t="s">
        <v>1</v>
      </c>
      <c r="AV6" s="108">
        <v>37</v>
      </c>
      <c r="AW6" s="108" t="s">
        <v>1</v>
      </c>
      <c r="AX6" s="31">
        <v>0.0549777117384844</v>
      </c>
      <c r="AY6" s="141" t="s">
        <v>1</v>
      </c>
      <c r="AZ6" s="108">
        <v>2</v>
      </c>
      <c r="BA6" s="30" t="s">
        <v>1</v>
      </c>
      <c r="BB6" s="31">
        <v>0.0540540540540541</v>
      </c>
      <c r="BC6" s="155" t="s">
        <v>1</v>
      </c>
      <c r="BD6" s="108" t="s">
        <v>1</v>
      </c>
      <c r="BE6" s="108" t="s">
        <v>1</v>
      </c>
      <c r="BF6" s="30" t="s">
        <v>1</v>
      </c>
      <c r="BG6" s="141" t="s">
        <v>1</v>
      </c>
      <c r="BH6" s="141" t="s">
        <v>1</v>
      </c>
      <c r="BI6" s="92" t="s">
        <v>94</v>
      </c>
      <c r="BJ6" s="92">
        <v>39</v>
      </c>
      <c r="BK6" s="92">
        <v>1451</v>
      </c>
      <c r="BL6" s="92">
        <v>81</v>
      </c>
      <c r="BM6" s="92">
        <v>0</v>
      </c>
      <c r="BN6" s="92">
        <v>0</v>
      </c>
      <c r="BO6" s="92">
        <v>0</v>
      </c>
      <c r="BP6" s="92">
        <v>0</v>
      </c>
      <c r="BQ6" s="30" t="s">
        <v>1</v>
      </c>
      <c r="BR6" s="30" t="s">
        <v>1</v>
      </c>
      <c r="BS6" s="155" t="s">
        <v>1</v>
      </c>
      <c r="BT6" s="108" t="s">
        <v>1</v>
      </c>
      <c r="BU6" s="108" t="s">
        <v>1</v>
      </c>
      <c r="BV6" s="30" t="s">
        <v>1</v>
      </c>
      <c r="BW6" s="141" t="s">
        <v>1</v>
      </c>
      <c r="BX6" s="141" t="s">
        <v>1</v>
      </c>
      <c r="BY6" s="30" t="s">
        <v>1</v>
      </c>
      <c r="BZ6" s="30" t="s">
        <v>1</v>
      </c>
      <c r="CA6" s="155" t="s">
        <v>1</v>
      </c>
      <c r="CB6" s="108" t="s">
        <v>1</v>
      </c>
      <c r="CC6" s="108" t="s">
        <v>1</v>
      </c>
      <c r="CD6" s="30" t="s">
        <v>1</v>
      </c>
      <c r="CE6" s="141" t="s">
        <v>1</v>
      </c>
      <c r="CF6" s="141" t="s">
        <v>1</v>
      </c>
    </row>
    <row r="7" ht="19" customHeight="1" spans="1:84">
      <c r="A7" s="107">
        <v>45186</v>
      </c>
      <c r="B7" s="30" t="s">
        <v>1</v>
      </c>
      <c r="C7" s="155" t="s">
        <v>1</v>
      </c>
      <c r="D7" s="30" t="s">
        <v>1</v>
      </c>
      <c r="E7" s="30" t="s">
        <v>1</v>
      </c>
      <c r="F7" s="30" t="s">
        <v>1</v>
      </c>
      <c r="G7" s="141" t="s">
        <v>1</v>
      </c>
      <c r="H7" s="141" t="e">
        <f t="shared" si="0"/>
        <v>#VALUE!</v>
      </c>
      <c r="I7" s="30" t="s">
        <v>1</v>
      </c>
      <c r="J7" s="30" t="s">
        <v>1</v>
      </c>
      <c r="K7" s="155" t="s">
        <v>1</v>
      </c>
      <c r="L7" s="116" t="s">
        <v>1</v>
      </c>
      <c r="M7" s="161" t="s">
        <v>1</v>
      </c>
      <c r="N7" s="31" t="s">
        <v>1</v>
      </c>
      <c r="O7" s="32" t="s">
        <v>1</v>
      </c>
      <c r="P7" s="141" t="s">
        <v>1</v>
      </c>
      <c r="Q7" s="30" t="s">
        <v>1</v>
      </c>
      <c r="R7" s="30" t="s">
        <v>1</v>
      </c>
      <c r="S7" s="155" t="s">
        <v>1</v>
      </c>
      <c r="T7" s="155" t="s">
        <v>1</v>
      </c>
      <c r="U7" s="108" t="s">
        <v>1</v>
      </c>
      <c r="V7" s="18" t="s">
        <v>1</v>
      </c>
      <c r="W7" s="157">
        <v>1075</v>
      </c>
      <c r="X7" s="18" t="s">
        <v>1</v>
      </c>
      <c r="Y7" s="157">
        <v>366</v>
      </c>
      <c r="Z7" s="18" t="s">
        <v>1</v>
      </c>
      <c r="AA7" s="158">
        <v>2.94</v>
      </c>
      <c r="AB7" s="18" t="s">
        <v>1</v>
      </c>
      <c r="AC7" s="158">
        <v>85.15</v>
      </c>
      <c r="AD7" s="159" t="s">
        <v>1</v>
      </c>
      <c r="AE7" s="160" t="s">
        <v>1</v>
      </c>
      <c r="AF7" s="18" t="s">
        <v>1</v>
      </c>
      <c r="AG7" s="38">
        <v>29</v>
      </c>
      <c r="AH7" s="18">
        <v>509</v>
      </c>
      <c r="AI7" s="18">
        <v>406</v>
      </c>
      <c r="AJ7" s="18">
        <v>201</v>
      </c>
      <c r="AK7" s="18">
        <v>122</v>
      </c>
      <c r="AL7" s="18">
        <v>6</v>
      </c>
      <c r="AM7" s="18">
        <v>8</v>
      </c>
      <c r="AN7" s="18">
        <v>9</v>
      </c>
      <c r="AO7" s="18">
        <v>5</v>
      </c>
      <c r="AP7" s="18">
        <v>292</v>
      </c>
      <c r="AQ7" s="18">
        <v>102</v>
      </c>
      <c r="AR7" s="18">
        <v>53</v>
      </c>
      <c r="AS7" s="19">
        <v>22</v>
      </c>
      <c r="AT7" s="30" t="s">
        <v>1</v>
      </c>
      <c r="AU7" s="155" t="s">
        <v>1</v>
      </c>
      <c r="AV7" s="108">
        <v>30</v>
      </c>
      <c r="AW7" s="108" t="s">
        <v>1</v>
      </c>
      <c r="AX7" s="31">
        <v>0.0462249614791988</v>
      </c>
      <c r="AY7" s="141" t="s">
        <v>1</v>
      </c>
      <c r="AZ7" s="108">
        <v>1</v>
      </c>
      <c r="BA7" s="30" t="s">
        <v>1</v>
      </c>
      <c r="BB7" s="31">
        <v>0.0333333333333333</v>
      </c>
      <c r="BC7" s="155" t="s">
        <v>1</v>
      </c>
      <c r="BD7" s="108" t="s">
        <v>1</v>
      </c>
      <c r="BE7" s="108" t="s">
        <v>1</v>
      </c>
      <c r="BF7" s="30" t="s">
        <v>1</v>
      </c>
      <c r="BG7" s="141" t="s">
        <v>1</v>
      </c>
      <c r="BH7" s="141" t="s">
        <v>1</v>
      </c>
      <c r="BI7" s="92" t="s">
        <v>74</v>
      </c>
      <c r="BJ7" s="92">
        <v>124</v>
      </c>
      <c r="BK7" s="92">
        <v>513</v>
      </c>
      <c r="BL7" s="92">
        <v>115</v>
      </c>
      <c r="BM7" s="92">
        <v>0</v>
      </c>
      <c r="BN7" s="92">
        <v>0</v>
      </c>
      <c r="BO7" s="92">
        <v>0</v>
      </c>
      <c r="BP7" s="92">
        <v>0</v>
      </c>
      <c r="BQ7" s="30" t="s">
        <v>1</v>
      </c>
      <c r="BR7" s="30" t="s">
        <v>1</v>
      </c>
      <c r="BS7" s="155" t="s">
        <v>1</v>
      </c>
      <c r="BT7" s="108" t="s">
        <v>1</v>
      </c>
      <c r="BU7" s="108" t="s">
        <v>1</v>
      </c>
      <c r="BV7" s="30" t="s">
        <v>1</v>
      </c>
      <c r="BW7" s="141" t="s">
        <v>1</v>
      </c>
      <c r="BX7" s="141" t="s">
        <v>1</v>
      </c>
      <c r="BY7" s="30" t="s">
        <v>1</v>
      </c>
      <c r="BZ7" s="30" t="s">
        <v>1</v>
      </c>
      <c r="CA7" s="155" t="s">
        <v>1</v>
      </c>
      <c r="CB7" s="108" t="s">
        <v>1</v>
      </c>
      <c r="CC7" s="108" t="s">
        <v>1</v>
      </c>
      <c r="CD7" s="30" t="s">
        <v>1</v>
      </c>
      <c r="CE7" s="141" t="s">
        <v>1</v>
      </c>
      <c r="CF7" s="141" t="s">
        <v>1</v>
      </c>
    </row>
    <row r="8" ht="19" customHeight="1" spans="1:84">
      <c r="A8" s="107">
        <v>45187</v>
      </c>
      <c r="B8" s="30" t="s">
        <v>1</v>
      </c>
      <c r="C8" s="155" t="s">
        <v>1</v>
      </c>
      <c r="D8" s="30" t="s">
        <v>1</v>
      </c>
      <c r="E8" s="30" t="s">
        <v>1</v>
      </c>
      <c r="F8" s="30" t="s">
        <v>1</v>
      </c>
      <c r="G8" s="141" t="s">
        <v>1</v>
      </c>
      <c r="H8" s="141" t="e">
        <f t="shared" si="0"/>
        <v>#VALUE!</v>
      </c>
      <c r="I8" s="30" t="s">
        <v>1</v>
      </c>
      <c r="J8" s="30" t="s">
        <v>1</v>
      </c>
      <c r="K8" s="155" t="s">
        <v>1</v>
      </c>
      <c r="L8" s="116" t="s">
        <v>1</v>
      </c>
      <c r="M8" s="161" t="s">
        <v>1</v>
      </c>
      <c r="N8" s="31" t="s">
        <v>1</v>
      </c>
      <c r="O8" s="32" t="s">
        <v>1</v>
      </c>
      <c r="P8" s="141" t="s">
        <v>1</v>
      </c>
      <c r="Q8" s="30" t="s">
        <v>1</v>
      </c>
      <c r="R8" s="30" t="s">
        <v>1</v>
      </c>
      <c r="S8" s="155" t="s">
        <v>1</v>
      </c>
      <c r="T8" s="155" t="s">
        <v>1</v>
      </c>
      <c r="U8" s="108" t="s">
        <v>1</v>
      </c>
      <c r="V8" s="18" t="s">
        <v>1</v>
      </c>
      <c r="W8" s="157">
        <v>1070</v>
      </c>
      <c r="X8" s="18" t="s">
        <v>1</v>
      </c>
      <c r="Y8" s="157">
        <v>303</v>
      </c>
      <c r="Z8" s="18" t="s">
        <v>1</v>
      </c>
      <c r="AA8" s="158">
        <v>3.53</v>
      </c>
      <c r="AB8" s="18" t="s">
        <v>1</v>
      </c>
      <c r="AC8" s="158">
        <v>96.5</v>
      </c>
      <c r="AD8" s="159" t="s">
        <v>1</v>
      </c>
      <c r="AE8" s="160" t="s">
        <v>1</v>
      </c>
      <c r="AF8" s="18" t="s">
        <v>1</v>
      </c>
      <c r="AG8" s="38">
        <v>18</v>
      </c>
      <c r="AH8" s="18">
        <v>365</v>
      </c>
      <c r="AI8" s="18">
        <v>353</v>
      </c>
      <c r="AJ8" s="18">
        <v>182</v>
      </c>
      <c r="AK8" s="18">
        <v>77</v>
      </c>
      <c r="AL8" s="18">
        <v>2</v>
      </c>
      <c r="AM8" s="18">
        <v>6</v>
      </c>
      <c r="AN8" s="18">
        <v>8</v>
      </c>
      <c r="AO8" s="18">
        <v>6</v>
      </c>
      <c r="AP8" s="18">
        <v>132</v>
      </c>
      <c r="AQ8" s="18">
        <v>91</v>
      </c>
      <c r="AR8" s="18">
        <v>31</v>
      </c>
      <c r="AS8" s="19">
        <v>33</v>
      </c>
      <c r="AT8" s="30" t="s">
        <v>1</v>
      </c>
      <c r="AU8" s="155" t="s">
        <v>1</v>
      </c>
      <c r="AV8" s="108">
        <v>22</v>
      </c>
      <c r="AW8" s="108" t="s">
        <v>1</v>
      </c>
      <c r="AX8" s="31">
        <v>0.0446247464503043</v>
      </c>
      <c r="AY8" s="141" t="s">
        <v>1</v>
      </c>
      <c r="AZ8" s="108">
        <v>3</v>
      </c>
      <c r="BA8" s="30" t="s">
        <v>1</v>
      </c>
      <c r="BB8" s="31">
        <v>0.136363636363636</v>
      </c>
      <c r="BC8" s="155" t="s">
        <v>1</v>
      </c>
      <c r="BD8" s="108" t="s">
        <v>1</v>
      </c>
      <c r="BE8" s="108" t="s">
        <v>1</v>
      </c>
      <c r="BF8" s="30" t="s">
        <v>1</v>
      </c>
      <c r="BG8" s="141" t="s">
        <v>1</v>
      </c>
      <c r="BH8" s="141" t="s">
        <v>1</v>
      </c>
      <c r="BI8" s="92" t="s">
        <v>74</v>
      </c>
      <c r="BJ8" s="92">
        <v>118</v>
      </c>
      <c r="BK8" s="92">
        <v>458</v>
      </c>
      <c r="BL8" s="92">
        <v>86</v>
      </c>
      <c r="BM8" s="92">
        <v>0</v>
      </c>
      <c r="BN8" s="92">
        <v>0</v>
      </c>
      <c r="BO8" s="92">
        <v>0</v>
      </c>
      <c r="BP8" s="92">
        <v>0</v>
      </c>
      <c r="BQ8" s="30" t="s">
        <v>1</v>
      </c>
      <c r="BR8" s="30" t="s">
        <v>1</v>
      </c>
      <c r="BS8" s="155" t="s">
        <v>1</v>
      </c>
      <c r="BT8" s="108" t="s">
        <v>1</v>
      </c>
      <c r="BU8" s="108" t="s">
        <v>1</v>
      </c>
      <c r="BV8" s="30" t="s">
        <v>1</v>
      </c>
      <c r="BW8" s="141" t="s">
        <v>1</v>
      </c>
      <c r="BX8" s="141" t="s">
        <v>1</v>
      </c>
      <c r="BY8" s="30" t="s">
        <v>1</v>
      </c>
      <c r="BZ8" s="30" t="s">
        <v>1</v>
      </c>
      <c r="CA8" s="155" t="s">
        <v>1</v>
      </c>
      <c r="CB8" s="108" t="s">
        <v>1</v>
      </c>
      <c r="CC8" s="108" t="s">
        <v>1</v>
      </c>
      <c r="CD8" s="30" t="s">
        <v>1</v>
      </c>
      <c r="CE8" s="141" t="s">
        <v>1</v>
      </c>
      <c r="CF8" s="141" t="s">
        <v>1</v>
      </c>
    </row>
    <row r="9" ht="19" customHeight="1" spans="1:84">
      <c r="A9" s="107">
        <v>45188</v>
      </c>
      <c r="B9" s="30" t="s">
        <v>1</v>
      </c>
      <c r="C9" s="155" t="s">
        <v>1</v>
      </c>
      <c r="D9" s="30" t="s">
        <v>1</v>
      </c>
      <c r="E9" s="30" t="s">
        <v>1</v>
      </c>
      <c r="F9" s="30" t="s">
        <v>1</v>
      </c>
      <c r="G9" s="141" t="s">
        <v>1</v>
      </c>
      <c r="H9" s="141" t="e">
        <f t="shared" si="0"/>
        <v>#VALUE!</v>
      </c>
      <c r="I9" s="30" t="s">
        <v>1</v>
      </c>
      <c r="J9" s="30" t="s">
        <v>1</v>
      </c>
      <c r="K9" s="155" t="s">
        <v>1</v>
      </c>
      <c r="L9" s="116" t="s">
        <v>1</v>
      </c>
      <c r="M9" s="162" t="s">
        <v>1</v>
      </c>
      <c r="N9" s="31" t="s">
        <v>1</v>
      </c>
      <c r="O9" s="32" t="s">
        <v>1</v>
      </c>
      <c r="P9" s="141" t="s">
        <v>1</v>
      </c>
      <c r="Q9" s="30" t="s">
        <v>1</v>
      </c>
      <c r="R9" s="30" t="s">
        <v>1</v>
      </c>
      <c r="S9" s="155" t="s">
        <v>1</v>
      </c>
      <c r="T9" s="155" t="s">
        <v>1</v>
      </c>
      <c r="U9" s="108" t="s">
        <v>1</v>
      </c>
      <c r="V9" s="18" t="s">
        <v>1</v>
      </c>
      <c r="W9" s="157">
        <v>789</v>
      </c>
      <c r="X9" s="18" t="s">
        <v>1</v>
      </c>
      <c r="Y9" s="157">
        <v>339</v>
      </c>
      <c r="Z9" s="18" t="s">
        <v>1</v>
      </c>
      <c r="AA9" s="158">
        <v>2.33</v>
      </c>
      <c r="AB9" s="18" t="s">
        <v>1</v>
      </c>
      <c r="AC9" s="158">
        <v>75.05</v>
      </c>
      <c r="AD9" s="159" t="s">
        <v>1</v>
      </c>
      <c r="AE9" s="160" t="s">
        <v>1</v>
      </c>
      <c r="AF9" s="18" t="s">
        <v>1</v>
      </c>
      <c r="AG9" s="38">
        <v>16</v>
      </c>
      <c r="AH9" s="18">
        <v>457</v>
      </c>
      <c r="AI9" s="18">
        <v>296</v>
      </c>
      <c r="AJ9" s="18">
        <v>181</v>
      </c>
      <c r="AK9" s="18">
        <v>150</v>
      </c>
      <c r="AL9" s="18">
        <v>12</v>
      </c>
      <c r="AM9" s="18">
        <v>9</v>
      </c>
      <c r="AN9" s="18">
        <v>17</v>
      </c>
      <c r="AO9" s="18">
        <v>4</v>
      </c>
      <c r="AP9" s="18">
        <v>185</v>
      </c>
      <c r="AQ9" s="18">
        <v>76</v>
      </c>
      <c r="AR9" s="18">
        <v>47</v>
      </c>
      <c r="AS9" s="19">
        <v>22</v>
      </c>
      <c r="AT9" s="30" t="s">
        <v>1</v>
      </c>
      <c r="AU9" s="155" t="s">
        <v>1</v>
      </c>
      <c r="AV9" s="108">
        <v>33</v>
      </c>
      <c r="AW9" s="108" t="s">
        <v>1</v>
      </c>
      <c r="AX9" s="31">
        <v>0.0564102564102564</v>
      </c>
      <c r="AY9" s="141" t="s">
        <v>1</v>
      </c>
      <c r="AZ9" s="108">
        <v>6</v>
      </c>
      <c r="BA9" s="30" t="s">
        <v>1</v>
      </c>
      <c r="BB9" s="31">
        <v>0.181818181818182</v>
      </c>
      <c r="BC9" s="155" t="s">
        <v>1</v>
      </c>
      <c r="BD9" s="108" t="s">
        <v>1</v>
      </c>
      <c r="BE9" s="108" t="s">
        <v>1</v>
      </c>
      <c r="BF9" s="30" t="s">
        <v>1</v>
      </c>
      <c r="BG9" s="141" t="s">
        <v>1</v>
      </c>
      <c r="BH9" s="141" t="s">
        <v>1</v>
      </c>
      <c r="BI9" s="92" t="s">
        <v>73</v>
      </c>
      <c r="BJ9" s="92">
        <v>81</v>
      </c>
      <c r="BK9" s="92">
        <v>649</v>
      </c>
      <c r="BL9" s="92">
        <v>69</v>
      </c>
      <c r="BM9" s="92">
        <v>0</v>
      </c>
      <c r="BN9" s="92">
        <v>0</v>
      </c>
      <c r="BO9" s="92">
        <v>0</v>
      </c>
      <c r="BP9" s="92">
        <v>0</v>
      </c>
      <c r="BQ9" s="30" t="s">
        <v>1</v>
      </c>
      <c r="BR9" s="30" t="s">
        <v>1</v>
      </c>
      <c r="BS9" s="155" t="s">
        <v>1</v>
      </c>
      <c r="BT9" s="108" t="s">
        <v>1</v>
      </c>
      <c r="BU9" s="108" t="s">
        <v>1</v>
      </c>
      <c r="BV9" s="30" t="s">
        <v>1</v>
      </c>
      <c r="BW9" s="141" t="s">
        <v>1</v>
      </c>
      <c r="BX9" s="141" t="s">
        <v>1</v>
      </c>
      <c r="BY9" s="30" t="s">
        <v>1</v>
      </c>
      <c r="BZ9" s="30" t="s">
        <v>1</v>
      </c>
      <c r="CA9" s="155" t="s">
        <v>1</v>
      </c>
      <c r="CB9" s="108" t="s">
        <v>1</v>
      </c>
      <c r="CC9" s="108" t="s">
        <v>1</v>
      </c>
      <c r="CD9" s="30" t="s">
        <v>1</v>
      </c>
      <c r="CE9" s="141" t="s">
        <v>1</v>
      </c>
      <c r="CF9" s="141" t="s">
        <v>1</v>
      </c>
    </row>
    <row r="10" ht="19" customHeight="1" spans="1:84">
      <c r="A10" s="107">
        <v>45189</v>
      </c>
      <c r="B10" s="30" t="s">
        <v>1</v>
      </c>
      <c r="C10" s="155" t="s">
        <v>1</v>
      </c>
      <c r="D10" s="30" t="s">
        <v>1</v>
      </c>
      <c r="E10" s="30" t="s">
        <v>1</v>
      </c>
      <c r="F10" s="30" t="s">
        <v>1</v>
      </c>
      <c r="G10" s="141" t="s">
        <v>1</v>
      </c>
      <c r="H10" s="141" t="e">
        <f t="shared" si="0"/>
        <v>#VALUE!</v>
      </c>
      <c r="I10" s="30" t="s">
        <v>1</v>
      </c>
      <c r="J10" s="30" t="s">
        <v>1</v>
      </c>
      <c r="K10" s="155" t="s">
        <v>1</v>
      </c>
      <c r="L10" s="108" t="s">
        <v>1</v>
      </c>
      <c r="M10" s="161" t="s">
        <v>1</v>
      </c>
      <c r="N10" s="31" t="s">
        <v>1</v>
      </c>
      <c r="O10" s="32" t="s">
        <v>1</v>
      </c>
      <c r="P10" s="141" t="s">
        <v>1</v>
      </c>
      <c r="Q10" s="30" t="s">
        <v>1</v>
      </c>
      <c r="R10" s="30" t="s">
        <v>1</v>
      </c>
      <c r="S10" s="155" t="s">
        <v>1</v>
      </c>
      <c r="T10" s="155" t="s">
        <v>1</v>
      </c>
      <c r="U10" s="108" t="s">
        <v>1</v>
      </c>
      <c r="V10" s="18" t="s">
        <v>1</v>
      </c>
      <c r="W10" s="157">
        <v>1199</v>
      </c>
      <c r="X10" s="18" t="s">
        <v>1</v>
      </c>
      <c r="Y10" s="157">
        <v>390</v>
      </c>
      <c r="Z10" s="18" t="s">
        <v>1</v>
      </c>
      <c r="AA10" s="158">
        <v>3.07</v>
      </c>
      <c r="AB10" s="18" t="s">
        <v>1</v>
      </c>
      <c r="AC10" s="158">
        <v>102.72</v>
      </c>
      <c r="AD10" s="159" t="s">
        <v>1</v>
      </c>
      <c r="AE10" s="160" t="s">
        <v>1</v>
      </c>
      <c r="AF10" s="18" t="s">
        <v>1</v>
      </c>
      <c r="AG10" s="38">
        <v>16</v>
      </c>
      <c r="AH10" s="18">
        <v>1206</v>
      </c>
      <c r="AI10" s="18">
        <v>403</v>
      </c>
      <c r="AJ10" s="18">
        <v>194</v>
      </c>
      <c r="AK10" s="18">
        <v>160</v>
      </c>
      <c r="AL10" s="18">
        <v>15</v>
      </c>
      <c r="AM10" s="18">
        <v>14</v>
      </c>
      <c r="AN10" s="18">
        <v>32</v>
      </c>
      <c r="AO10" s="18">
        <v>7</v>
      </c>
      <c r="AP10" s="18">
        <v>407</v>
      </c>
      <c r="AQ10" s="18">
        <v>86</v>
      </c>
      <c r="AR10" s="18">
        <v>97</v>
      </c>
      <c r="AS10" s="19">
        <v>26</v>
      </c>
      <c r="AT10" s="30" t="s">
        <v>1</v>
      </c>
      <c r="AU10" s="155" t="s">
        <v>1</v>
      </c>
      <c r="AV10" s="108">
        <v>51</v>
      </c>
      <c r="AW10" s="108" t="s">
        <v>1</v>
      </c>
      <c r="AX10" s="31">
        <v>0.0376106194690266</v>
      </c>
      <c r="AY10" s="141" t="s">
        <v>1</v>
      </c>
      <c r="AZ10" s="108">
        <v>10</v>
      </c>
      <c r="BA10" s="30" t="s">
        <v>1</v>
      </c>
      <c r="BB10" s="31">
        <v>0.196078431372549</v>
      </c>
      <c r="BC10" s="155" t="s">
        <v>1</v>
      </c>
      <c r="BD10" s="108" t="s">
        <v>1</v>
      </c>
      <c r="BE10" s="108" t="s">
        <v>1</v>
      </c>
      <c r="BF10" s="30" t="s">
        <v>1</v>
      </c>
      <c r="BG10" s="141" t="s">
        <v>1</v>
      </c>
      <c r="BH10" s="141" t="s">
        <v>1</v>
      </c>
      <c r="BI10" s="92" t="s">
        <v>94</v>
      </c>
      <c r="BJ10" s="92">
        <v>28</v>
      </c>
      <c r="BK10" s="92">
        <v>1767</v>
      </c>
      <c r="BL10" s="92">
        <v>67</v>
      </c>
      <c r="BM10" s="92">
        <v>0</v>
      </c>
      <c r="BN10" s="92">
        <v>0</v>
      </c>
      <c r="BO10" s="92">
        <v>0</v>
      </c>
      <c r="BP10" s="92">
        <v>0</v>
      </c>
      <c r="BQ10" s="30" t="s">
        <v>1</v>
      </c>
      <c r="BR10" s="30" t="s">
        <v>1</v>
      </c>
      <c r="BS10" s="155" t="s">
        <v>1</v>
      </c>
      <c r="BT10" s="108" t="s">
        <v>1</v>
      </c>
      <c r="BU10" s="108" t="s">
        <v>1</v>
      </c>
      <c r="BV10" s="30" t="s">
        <v>1</v>
      </c>
      <c r="BW10" s="141" t="s">
        <v>1</v>
      </c>
      <c r="BX10" s="141" t="s">
        <v>1</v>
      </c>
      <c r="BY10" s="30" t="s">
        <v>1</v>
      </c>
      <c r="BZ10" s="30" t="s">
        <v>1</v>
      </c>
      <c r="CA10" s="155" t="s">
        <v>1</v>
      </c>
      <c r="CB10" s="108" t="s">
        <v>1</v>
      </c>
      <c r="CC10" s="108" t="s">
        <v>1</v>
      </c>
      <c r="CD10" s="30" t="s">
        <v>1</v>
      </c>
      <c r="CE10" s="141" t="s">
        <v>1</v>
      </c>
      <c r="CF10" s="141" t="s">
        <v>1</v>
      </c>
    </row>
    <row r="11" ht="19" customHeight="1" spans="1:84">
      <c r="A11" s="107">
        <v>45190</v>
      </c>
      <c r="B11" s="30" t="s">
        <v>1</v>
      </c>
      <c r="C11" s="155" t="s">
        <v>1</v>
      </c>
      <c r="D11" s="30" t="s">
        <v>1</v>
      </c>
      <c r="E11" s="30" t="s">
        <v>1</v>
      </c>
      <c r="F11" s="30" t="s">
        <v>1</v>
      </c>
      <c r="G11" s="141" t="s">
        <v>1</v>
      </c>
      <c r="H11" s="141" t="e">
        <f t="shared" si="0"/>
        <v>#VALUE!</v>
      </c>
      <c r="I11" s="30" t="s">
        <v>1</v>
      </c>
      <c r="J11" s="30" t="s">
        <v>1</v>
      </c>
      <c r="K11" s="155" t="s">
        <v>1</v>
      </c>
      <c r="L11" s="38" t="s">
        <v>1</v>
      </c>
      <c r="M11" s="161" t="s">
        <v>1</v>
      </c>
      <c r="N11" s="31" t="s">
        <v>1</v>
      </c>
      <c r="O11" s="32" t="s">
        <v>1</v>
      </c>
      <c r="P11" s="141" t="s">
        <v>1</v>
      </c>
      <c r="Q11" s="30" t="s">
        <v>1</v>
      </c>
      <c r="R11" s="30" t="s">
        <v>1</v>
      </c>
      <c r="S11" s="155" t="s">
        <v>1</v>
      </c>
      <c r="T11" s="155" t="s">
        <v>1</v>
      </c>
      <c r="U11" s="108" t="s">
        <v>1</v>
      </c>
      <c r="V11" s="18" t="s">
        <v>1</v>
      </c>
      <c r="W11" s="157">
        <v>935</v>
      </c>
      <c r="X11" s="18" t="s">
        <v>1</v>
      </c>
      <c r="Y11" s="157">
        <v>358</v>
      </c>
      <c r="Z11" s="18" t="s">
        <v>1</v>
      </c>
      <c r="AA11" s="158">
        <v>2.61</v>
      </c>
      <c r="AB11" s="18" t="s">
        <v>1</v>
      </c>
      <c r="AC11" s="158">
        <v>77.91</v>
      </c>
      <c r="AD11" s="159" t="s">
        <v>1</v>
      </c>
      <c r="AE11" s="160" t="s">
        <v>1</v>
      </c>
      <c r="AF11" s="18" t="s">
        <v>1</v>
      </c>
      <c r="AG11" s="38">
        <v>17</v>
      </c>
      <c r="AH11" s="18">
        <v>501</v>
      </c>
      <c r="AI11" s="18">
        <v>344</v>
      </c>
      <c r="AJ11" s="18">
        <v>168</v>
      </c>
      <c r="AK11" s="18">
        <v>121</v>
      </c>
      <c r="AL11" s="18">
        <v>16</v>
      </c>
      <c r="AM11" s="18">
        <v>7</v>
      </c>
      <c r="AN11" s="18">
        <v>9</v>
      </c>
      <c r="AO11" s="18">
        <v>8</v>
      </c>
      <c r="AP11" s="18">
        <v>253</v>
      </c>
      <c r="AQ11" s="18">
        <v>107</v>
      </c>
      <c r="AR11" s="18">
        <v>46</v>
      </c>
      <c r="AS11" s="19">
        <v>12</v>
      </c>
      <c r="AT11" s="30" t="s">
        <v>1</v>
      </c>
      <c r="AU11" s="155" t="s">
        <v>1</v>
      </c>
      <c r="AV11" s="108">
        <v>33</v>
      </c>
      <c r="AW11" s="108" t="s">
        <v>1</v>
      </c>
      <c r="AX11" s="31">
        <v>0.0533117932148627</v>
      </c>
      <c r="AY11" s="141" t="s">
        <v>1</v>
      </c>
      <c r="AZ11" s="108">
        <v>1</v>
      </c>
      <c r="BA11" s="30" t="s">
        <v>1</v>
      </c>
      <c r="BB11" s="31">
        <v>0.0303030303030303</v>
      </c>
      <c r="BC11" s="155" t="s">
        <v>1</v>
      </c>
      <c r="BD11" s="108" t="s">
        <v>1</v>
      </c>
      <c r="BE11" s="108" t="s">
        <v>1</v>
      </c>
      <c r="BF11" s="30" t="s">
        <v>1</v>
      </c>
      <c r="BG11" s="141" t="s">
        <v>1</v>
      </c>
      <c r="BH11" s="141" t="s">
        <v>1</v>
      </c>
      <c r="BI11" s="92" t="s">
        <v>94</v>
      </c>
      <c r="BJ11" s="92">
        <v>72</v>
      </c>
      <c r="BK11" s="92">
        <v>714</v>
      </c>
      <c r="BL11" s="92">
        <v>86</v>
      </c>
      <c r="BM11" s="92">
        <v>0</v>
      </c>
      <c r="BN11" s="92">
        <v>0</v>
      </c>
      <c r="BO11" s="92">
        <v>0</v>
      </c>
      <c r="BP11" s="92">
        <v>0</v>
      </c>
      <c r="BQ11" s="30" t="s">
        <v>1</v>
      </c>
      <c r="BR11" s="30" t="s">
        <v>1</v>
      </c>
      <c r="BS11" s="155" t="s">
        <v>1</v>
      </c>
      <c r="BT11" s="108" t="s">
        <v>1</v>
      </c>
      <c r="BU11" s="108" t="s">
        <v>1</v>
      </c>
      <c r="BV11" s="30" t="s">
        <v>1</v>
      </c>
      <c r="BW11" s="141" t="s">
        <v>1</v>
      </c>
      <c r="BX11" s="141" t="s">
        <v>1</v>
      </c>
      <c r="BY11" s="30" t="s">
        <v>1</v>
      </c>
      <c r="BZ11" s="30" t="s">
        <v>1</v>
      </c>
      <c r="CA11" s="155" t="s">
        <v>1</v>
      </c>
      <c r="CB11" s="108" t="s">
        <v>1</v>
      </c>
      <c r="CC11" s="108" t="s">
        <v>1</v>
      </c>
      <c r="CD11" s="30" t="s">
        <v>1</v>
      </c>
      <c r="CE11" s="141" t="s">
        <v>1</v>
      </c>
      <c r="CF11" s="141" t="s">
        <v>1</v>
      </c>
    </row>
    <row r="12" ht="19" customHeight="1" spans="1:84">
      <c r="A12" s="107">
        <v>45191</v>
      </c>
      <c r="B12" s="30" t="s">
        <v>1</v>
      </c>
      <c r="C12" s="155" t="s">
        <v>1</v>
      </c>
      <c r="D12" s="30" t="s">
        <v>1</v>
      </c>
      <c r="E12" s="30" t="s">
        <v>1</v>
      </c>
      <c r="F12" s="30" t="s">
        <v>1</v>
      </c>
      <c r="G12" s="141" t="s">
        <v>1</v>
      </c>
      <c r="H12" s="141" t="e">
        <f t="shared" si="0"/>
        <v>#VALUE!</v>
      </c>
      <c r="I12" s="30" t="s">
        <v>1</v>
      </c>
      <c r="J12" s="30" t="s">
        <v>1</v>
      </c>
      <c r="K12" s="163" t="s">
        <v>1</v>
      </c>
      <c r="L12" s="7" t="s">
        <v>1</v>
      </c>
      <c r="M12" s="160" t="s">
        <v>1</v>
      </c>
      <c r="N12" s="31" t="s">
        <v>1</v>
      </c>
      <c r="O12" s="32" t="s">
        <v>1</v>
      </c>
      <c r="P12" s="141" t="s">
        <v>1</v>
      </c>
      <c r="Q12" s="30" t="s">
        <v>1</v>
      </c>
      <c r="R12" s="30" t="s">
        <v>1</v>
      </c>
      <c r="S12" s="155" t="s">
        <v>1</v>
      </c>
      <c r="T12" s="155" t="s">
        <v>1</v>
      </c>
      <c r="U12" s="108" t="s">
        <v>1</v>
      </c>
      <c r="V12" s="18" t="s">
        <v>1</v>
      </c>
      <c r="W12" s="157">
        <v>865</v>
      </c>
      <c r="X12" s="18" t="s">
        <v>1</v>
      </c>
      <c r="Y12" s="157">
        <v>346</v>
      </c>
      <c r="Z12" s="18" t="s">
        <v>1</v>
      </c>
      <c r="AA12" s="158">
        <v>2.5</v>
      </c>
      <c r="AB12" s="18" t="s">
        <v>1</v>
      </c>
      <c r="AC12" s="158">
        <v>86.9</v>
      </c>
      <c r="AD12" s="159" t="s">
        <v>1</v>
      </c>
      <c r="AE12" s="160" t="s">
        <v>1</v>
      </c>
      <c r="AF12" s="18" t="s">
        <v>1</v>
      </c>
      <c r="AG12" s="38">
        <v>12</v>
      </c>
      <c r="AH12" s="18">
        <v>396</v>
      </c>
      <c r="AI12" s="18">
        <v>318</v>
      </c>
      <c r="AJ12" s="18">
        <v>167</v>
      </c>
      <c r="AK12" s="18">
        <v>142</v>
      </c>
      <c r="AL12" s="18">
        <v>12</v>
      </c>
      <c r="AM12" s="18">
        <v>5</v>
      </c>
      <c r="AN12" s="18">
        <v>19</v>
      </c>
      <c r="AO12" s="18">
        <v>5</v>
      </c>
      <c r="AP12" s="18">
        <v>162</v>
      </c>
      <c r="AQ12" s="18">
        <v>82</v>
      </c>
      <c r="AR12" s="18">
        <v>42</v>
      </c>
      <c r="AS12" s="19">
        <v>21</v>
      </c>
      <c r="AT12" s="30" t="s">
        <v>1</v>
      </c>
      <c r="AU12" s="155" t="s">
        <v>1</v>
      </c>
      <c r="AV12" s="108">
        <v>27</v>
      </c>
      <c r="AW12" s="108" t="s">
        <v>1</v>
      </c>
      <c r="AX12" s="31">
        <v>0.0509433962264151</v>
      </c>
      <c r="AY12" s="141" t="s">
        <v>1</v>
      </c>
      <c r="AZ12" s="108">
        <v>2</v>
      </c>
      <c r="BA12" s="30" t="s">
        <v>1</v>
      </c>
      <c r="BB12" s="31">
        <v>0.0740740740740741</v>
      </c>
      <c r="BC12" s="155" t="s">
        <v>1</v>
      </c>
      <c r="BD12" s="108" t="s">
        <v>1</v>
      </c>
      <c r="BE12" s="108" t="s">
        <v>1</v>
      </c>
      <c r="BF12" s="30" t="s">
        <v>1</v>
      </c>
      <c r="BG12" s="141" t="s">
        <v>1</v>
      </c>
      <c r="BH12" s="141" t="s">
        <v>1</v>
      </c>
      <c r="BI12" s="92" t="s">
        <v>73</v>
      </c>
      <c r="BJ12" s="92">
        <v>51</v>
      </c>
      <c r="BK12" s="92">
        <v>861</v>
      </c>
      <c r="BL12" s="92">
        <v>56</v>
      </c>
      <c r="BM12" s="92">
        <v>0</v>
      </c>
      <c r="BN12" s="92">
        <v>0</v>
      </c>
      <c r="BO12" s="92">
        <v>0</v>
      </c>
      <c r="BP12" s="92">
        <v>0</v>
      </c>
      <c r="BQ12" s="30" t="s">
        <v>1</v>
      </c>
      <c r="BR12" s="30" t="s">
        <v>1</v>
      </c>
      <c r="BS12" s="155" t="s">
        <v>1</v>
      </c>
      <c r="BT12" s="108" t="s">
        <v>1</v>
      </c>
      <c r="BU12" s="108" t="s">
        <v>1</v>
      </c>
      <c r="BV12" s="30" t="s">
        <v>1</v>
      </c>
      <c r="BW12" s="141" t="s">
        <v>1</v>
      </c>
      <c r="BX12" s="141" t="s">
        <v>1</v>
      </c>
      <c r="BY12" s="30" t="s">
        <v>1</v>
      </c>
      <c r="BZ12" s="30" t="s">
        <v>1</v>
      </c>
      <c r="CA12" s="155" t="s">
        <v>1</v>
      </c>
      <c r="CB12" s="108" t="s">
        <v>1</v>
      </c>
      <c r="CC12" s="108" t="s">
        <v>1</v>
      </c>
      <c r="CD12" s="30" t="s">
        <v>1</v>
      </c>
      <c r="CE12" s="141" t="s">
        <v>1</v>
      </c>
      <c r="CF12" s="141" t="s">
        <v>1</v>
      </c>
    </row>
    <row r="13" ht="19" customHeight="1" spans="1:84">
      <c r="A13" s="107">
        <v>45192</v>
      </c>
      <c r="B13" s="30" t="s">
        <v>1</v>
      </c>
      <c r="C13" s="155" t="s">
        <v>1</v>
      </c>
      <c r="D13" s="30" t="s">
        <v>1</v>
      </c>
      <c r="E13" s="30" t="s">
        <v>1</v>
      </c>
      <c r="F13" s="30" t="s">
        <v>1</v>
      </c>
      <c r="G13" s="141" t="s">
        <v>1</v>
      </c>
      <c r="H13" s="141" t="e">
        <f t="shared" si="0"/>
        <v>#VALUE!</v>
      </c>
      <c r="I13" s="30" t="s">
        <v>1</v>
      </c>
      <c r="J13" s="30" t="s">
        <v>1</v>
      </c>
      <c r="K13" s="163" t="s">
        <v>1</v>
      </c>
      <c r="L13" s="7" t="s">
        <v>1</v>
      </c>
      <c r="M13" s="164" t="s">
        <v>1</v>
      </c>
      <c r="N13" s="31" t="s">
        <v>1</v>
      </c>
      <c r="O13" s="32" t="s">
        <v>1</v>
      </c>
      <c r="P13" s="141" t="s">
        <v>1</v>
      </c>
      <c r="Q13" s="30" t="s">
        <v>1</v>
      </c>
      <c r="R13" s="30" t="s">
        <v>1</v>
      </c>
      <c r="S13" s="155" t="s">
        <v>1</v>
      </c>
      <c r="T13" s="155" t="s">
        <v>1</v>
      </c>
      <c r="U13" s="108" t="s">
        <v>1</v>
      </c>
      <c r="V13" s="18" t="s">
        <v>1</v>
      </c>
      <c r="W13" s="157">
        <v>826</v>
      </c>
      <c r="X13" s="18" t="s">
        <v>1</v>
      </c>
      <c r="Y13" s="157">
        <v>332</v>
      </c>
      <c r="Z13" s="18" t="s">
        <v>1</v>
      </c>
      <c r="AA13" s="158">
        <v>2.49</v>
      </c>
      <c r="AB13" s="18" t="s">
        <v>1</v>
      </c>
      <c r="AC13" s="158">
        <v>92.7</v>
      </c>
      <c r="AD13" s="159" t="s">
        <v>1</v>
      </c>
      <c r="AE13" s="160" t="s">
        <v>1</v>
      </c>
      <c r="AF13" s="18" t="s">
        <v>1</v>
      </c>
      <c r="AG13" s="38">
        <v>19</v>
      </c>
      <c r="AH13" s="18">
        <v>432</v>
      </c>
      <c r="AI13" s="18">
        <v>315</v>
      </c>
      <c r="AJ13" s="18">
        <v>154</v>
      </c>
      <c r="AK13" s="18">
        <v>142</v>
      </c>
      <c r="AL13" s="18">
        <v>13</v>
      </c>
      <c r="AM13" s="18">
        <v>10</v>
      </c>
      <c r="AN13" s="18">
        <v>22</v>
      </c>
      <c r="AO13" s="18">
        <v>15</v>
      </c>
      <c r="AP13" s="18">
        <v>188</v>
      </c>
      <c r="AQ13" s="18">
        <v>90</v>
      </c>
      <c r="AR13" s="18">
        <v>51</v>
      </c>
      <c r="AS13" s="19">
        <v>25</v>
      </c>
      <c r="AT13" s="30" t="s">
        <v>1</v>
      </c>
      <c r="AU13" s="155" t="s">
        <v>1</v>
      </c>
      <c r="AV13" s="108">
        <v>40</v>
      </c>
      <c r="AW13" s="108" t="s">
        <v>1</v>
      </c>
      <c r="AX13" s="31">
        <v>0.0723327305605787</v>
      </c>
      <c r="AY13" s="141" t="s">
        <v>1</v>
      </c>
      <c r="AZ13" s="108">
        <v>4</v>
      </c>
      <c r="BA13" s="30" t="s">
        <v>1</v>
      </c>
      <c r="BB13" s="31">
        <v>0.1</v>
      </c>
      <c r="BC13" s="155" t="s">
        <v>1</v>
      </c>
      <c r="BD13" s="108" t="s">
        <v>1</v>
      </c>
      <c r="BE13" s="108" t="s">
        <v>1</v>
      </c>
      <c r="BF13" s="30" t="s">
        <v>1</v>
      </c>
      <c r="BG13" s="141" t="s">
        <v>1</v>
      </c>
      <c r="BH13" s="141" t="s">
        <v>1</v>
      </c>
      <c r="BI13" s="92" t="s">
        <v>94</v>
      </c>
      <c r="BJ13" s="92">
        <v>47</v>
      </c>
      <c r="BK13" s="92">
        <v>1081</v>
      </c>
      <c r="BL13" s="92">
        <v>71</v>
      </c>
      <c r="BM13" s="92">
        <v>0</v>
      </c>
      <c r="BN13" s="92">
        <v>0</v>
      </c>
      <c r="BO13" s="92">
        <v>0</v>
      </c>
      <c r="BP13" s="92">
        <v>0</v>
      </c>
      <c r="BQ13" s="30" t="s">
        <v>1</v>
      </c>
      <c r="BR13" s="30" t="s">
        <v>1</v>
      </c>
      <c r="BS13" s="155" t="s">
        <v>1</v>
      </c>
      <c r="BT13" s="108" t="s">
        <v>1</v>
      </c>
      <c r="BU13" s="108" t="s">
        <v>1</v>
      </c>
      <c r="BV13" s="30" t="s">
        <v>1</v>
      </c>
      <c r="BW13" s="141" t="s">
        <v>1</v>
      </c>
      <c r="BX13" s="141" t="s">
        <v>1</v>
      </c>
      <c r="BY13" s="30" t="s">
        <v>1</v>
      </c>
      <c r="BZ13" s="30" t="s">
        <v>1</v>
      </c>
      <c r="CA13" s="155" t="s">
        <v>1</v>
      </c>
      <c r="CB13" s="108" t="s">
        <v>1</v>
      </c>
      <c r="CC13" s="108" t="s">
        <v>1</v>
      </c>
      <c r="CD13" s="30" t="s">
        <v>1</v>
      </c>
      <c r="CE13" s="141" t="s">
        <v>1</v>
      </c>
      <c r="CF13" s="141" t="s">
        <v>1</v>
      </c>
    </row>
    <row r="14" ht="19" customHeight="1" spans="1:84">
      <c r="A14" s="107">
        <v>45193</v>
      </c>
      <c r="B14" s="30" t="s">
        <v>1</v>
      </c>
      <c r="C14" s="155" t="s">
        <v>1</v>
      </c>
      <c r="D14" s="30" t="s">
        <v>1</v>
      </c>
      <c r="E14" s="30" t="s">
        <v>1</v>
      </c>
      <c r="F14" s="30" t="s">
        <v>1</v>
      </c>
      <c r="G14" s="141" t="s">
        <v>1</v>
      </c>
      <c r="H14" s="141" t="e">
        <f t="shared" si="0"/>
        <v>#VALUE!</v>
      </c>
      <c r="I14" s="30" t="s">
        <v>1</v>
      </c>
      <c r="J14" s="30" t="s">
        <v>1</v>
      </c>
      <c r="K14" s="163" t="s">
        <v>1</v>
      </c>
      <c r="L14" s="30" t="s">
        <v>1</v>
      </c>
      <c r="M14" s="164" t="s">
        <v>1</v>
      </c>
      <c r="N14" s="31" t="s">
        <v>1</v>
      </c>
      <c r="O14" s="32" t="s">
        <v>1</v>
      </c>
      <c r="P14" s="141" t="s">
        <v>1</v>
      </c>
      <c r="Q14" s="30" t="s">
        <v>1</v>
      </c>
      <c r="R14" s="30" t="s">
        <v>1</v>
      </c>
      <c r="S14" s="155" t="s">
        <v>1</v>
      </c>
      <c r="T14" s="155" t="s">
        <v>1</v>
      </c>
      <c r="U14" s="108" t="s">
        <v>1</v>
      </c>
      <c r="V14" s="18" t="s">
        <v>1</v>
      </c>
      <c r="W14" s="157">
        <v>942</v>
      </c>
      <c r="X14" s="18" t="s">
        <v>1</v>
      </c>
      <c r="Y14" s="157">
        <v>355</v>
      </c>
      <c r="Z14" s="18" t="s">
        <v>1</v>
      </c>
      <c r="AA14" s="158">
        <v>2.65</v>
      </c>
      <c r="AB14" s="18" t="s">
        <v>1</v>
      </c>
      <c r="AC14" s="158">
        <v>78.98</v>
      </c>
      <c r="AD14" s="159" t="s">
        <v>1</v>
      </c>
      <c r="AE14" s="160" t="s">
        <v>1</v>
      </c>
      <c r="AF14" s="18" t="s">
        <v>1</v>
      </c>
      <c r="AG14" s="38">
        <v>17</v>
      </c>
      <c r="AH14" s="18">
        <v>498</v>
      </c>
      <c r="AI14" s="18">
        <v>342</v>
      </c>
      <c r="AJ14" s="18">
        <v>139</v>
      </c>
      <c r="AK14" s="18">
        <v>141</v>
      </c>
      <c r="AL14" s="18">
        <v>10</v>
      </c>
      <c r="AM14" s="18">
        <v>2</v>
      </c>
      <c r="AN14" s="18">
        <v>18</v>
      </c>
      <c r="AO14" s="18">
        <v>10</v>
      </c>
      <c r="AP14" s="18">
        <v>203</v>
      </c>
      <c r="AQ14" s="18">
        <v>100</v>
      </c>
      <c r="AR14" s="18">
        <v>41</v>
      </c>
      <c r="AS14" s="19">
        <v>14</v>
      </c>
      <c r="AT14" s="30" t="s">
        <v>1</v>
      </c>
      <c r="AU14" s="155" t="s">
        <v>1</v>
      </c>
      <c r="AV14" s="108">
        <v>35</v>
      </c>
      <c r="AW14" s="108" t="s">
        <v>1</v>
      </c>
      <c r="AX14" s="31">
        <v>0.0581395348837209</v>
      </c>
      <c r="AY14" s="141" t="s">
        <v>1</v>
      </c>
      <c r="AZ14" s="108">
        <v>3</v>
      </c>
      <c r="BA14" s="30" t="s">
        <v>1</v>
      </c>
      <c r="BB14" s="31">
        <v>0.0857142857142857</v>
      </c>
      <c r="BC14" s="155" t="s">
        <v>1</v>
      </c>
      <c r="BD14" s="108" t="s">
        <v>1</v>
      </c>
      <c r="BE14" s="108" t="s">
        <v>1</v>
      </c>
      <c r="BF14" s="30" t="s">
        <v>1</v>
      </c>
      <c r="BG14" s="141" t="s">
        <v>1</v>
      </c>
      <c r="BH14" s="141" t="s">
        <v>1</v>
      </c>
      <c r="BI14" s="92" t="s">
        <v>74</v>
      </c>
      <c r="BJ14" s="92">
        <v>165</v>
      </c>
      <c r="BK14" s="92">
        <v>398</v>
      </c>
      <c r="BL14" s="92">
        <v>111</v>
      </c>
      <c r="BM14" s="92">
        <v>0</v>
      </c>
      <c r="BN14" s="92">
        <v>0</v>
      </c>
      <c r="BO14" s="92">
        <v>0</v>
      </c>
      <c r="BP14" s="92">
        <v>0</v>
      </c>
      <c r="BQ14" s="30" t="s">
        <v>1</v>
      </c>
      <c r="BR14" s="30" t="s">
        <v>1</v>
      </c>
      <c r="BS14" s="155" t="s">
        <v>1</v>
      </c>
      <c r="BT14" s="108" t="s">
        <v>1</v>
      </c>
      <c r="BU14" s="108" t="s">
        <v>1</v>
      </c>
      <c r="BV14" s="30" t="s">
        <v>1</v>
      </c>
      <c r="BW14" s="141" t="s">
        <v>1</v>
      </c>
      <c r="BX14" s="141" t="s">
        <v>1</v>
      </c>
      <c r="BY14" s="30" t="s">
        <v>1</v>
      </c>
      <c r="BZ14" s="30" t="s">
        <v>1</v>
      </c>
      <c r="CA14" s="155" t="s">
        <v>1</v>
      </c>
      <c r="CB14" s="108" t="s">
        <v>1</v>
      </c>
      <c r="CC14" s="108" t="s">
        <v>1</v>
      </c>
      <c r="CD14" s="30" t="s">
        <v>1</v>
      </c>
      <c r="CE14" s="141" t="s">
        <v>1</v>
      </c>
      <c r="CF14" s="141" t="s">
        <v>1</v>
      </c>
    </row>
    <row r="15" ht="19" customHeight="1" spans="1:84">
      <c r="A15" s="107">
        <v>45194</v>
      </c>
      <c r="B15" s="30" t="s">
        <v>1</v>
      </c>
      <c r="C15" s="155" t="s">
        <v>1</v>
      </c>
      <c r="D15" s="30" t="s">
        <v>1</v>
      </c>
      <c r="E15" s="30" t="s">
        <v>1</v>
      </c>
      <c r="F15" s="30" t="s">
        <v>1</v>
      </c>
      <c r="G15" s="141" t="s">
        <v>1</v>
      </c>
      <c r="H15" s="141" t="e">
        <f t="shared" si="0"/>
        <v>#VALUE!</v>
      </c>
      <c r="I15" s="30" t="s">
        <v>1</v>
      </c>
      <c r="J15" s="30" t="s">
        <v>1</v>
      </c>
      <c r="K15" s="155" t="s">
        <v>1</v>
      </c>
      <c r="L15" s="162" t="s">
        <v>1</v>
      </c>
      <c r="M15" s="161" t="s">
        <v>1</v>
      </c>
      <c r="N15" s="31" t="s">
        <v>1</v>
      </c>
      <c r="O15" s="32" t="s">
        <v>1</v>
      </c>
      <c r="P15" s="141" t="s">
        <v>1</v>
      </c>
      <c r="Q15" s="30" t="s">
        <v>1</v>
      </c>
      <c r="R15" s="30" t="s">
        <v>1</v>
      </c>
      <c r="S15" s="155" t="s">
        <v>1</v>
      </c>
      <c r="T15" s="155" t="s">
        <v>1</v>
      </c>
      <c r="U15" s="108" t="s">
        <v>1</v>
      </c>
      <c r="V15" s="18" t="s">
        <v>1</v>
      </c>
      <c r="W15" s="157">
        <v>1098</v>
      </c>
      <c r="X15" s="18" t="s">
        <v>1</v>
      </c>
      <c r="Y15" s="157">
        <v>415</v>
      </c>
      <c r="Z15" s="18" t="s">
        <v>1</v>
      </c>
      <c r="AA15" s="158">
        <v>2.65</v>
      </c>
      <c r="AB15" s="18" t="s">
        <v>1</v>
      </c>
      <c r="AC15" s="158">
        <v>79.41</v>
      </c>
      <c r="AD15" s="159" t="s">
        <v>1</v>
      </c>
      <c r="AE15" s="160" t="s">
        <v>1</v>
      </c>
      <c r="AF15" s="18" t="s">
        <v>1</v>
      </c>
      <c r="AG15" s="38">
        <v>25</v>
      </c>
      <c r="AH15" s="18">
        <v>606</v>
      </c>
      <c r="AI15" s="18">
        <v>429</v>
      </c>
      <c r="AJ15" s="18">
        <v>156</v>
      </c>
      <c r="AK15" s="18">
        <v>146</v>
      </c>
      <c r="AL15" s="18">
        <v>12</v>
      </c>
      <c r="AM15" s="18">
        <v>9</v>
      </c>
      <c r="AN15" s="18">
        <v>8</v>
      </c>
      <c r="AO15" s="18">
        <v>9</v>
      </c>
      <c r="AP15" s="18">
        <v>242</v>
      </c>
      <c r="AQ15" s="18">
        <v>120</v>
      </c>
      <c r="AR15" s="18">
        <v>45</v>
      </c>
      <c r="AS15" s="19">
        <v>24</v>
      </c>
      <c r="AT15" s="30" t="s">
        <v>1</v>
      </c>
      <c r="AU15" s="155" t="s">
        <v>1</v>
      </c>
      <c r="AV15" s="108">
        <v>41</v>
      </c>
      <c r="AW15" s="108" t="s">
        <v>1</v>
      </c>
      <c r="AX15" s="31">
        <v>0.0584045584045584</v>
      </c>
      <c r="AY15" s="141" t="s">
        <v>1</v>
      </c>
      <c r="AZ15" s="108">
        <v>4</v>
      </c>
      <c r="BA15" s="30" t="s">
        <v>1</v>
      </c>
      <c r="BB15" s="31">
        <v>0.0975609756097561</v>
      </c>
      <c r="BC15" s="155" t="s">
        <v>1</v>
      </c>
      <c r="BD15" s="108" t="s">
        <v>1</v>
      </c>
      <c r="BE15" s="108" t="s">
        <v>1</v>
      </c>
      <c r="BF15" s="30" t="s">
        <v>1</v>
      </c>
      <c r="BG15" s="141" t="s">
        <v>1</v>
      </c>
      <c r="BH15" s="141" t="s">
        <v>1</v>
      </c>
      <c r="BI15" s="92" t="s">
        <v>94</v>
      </c>
      <c r="BJ15" s="92">
        <v>46</v>
      </c>
      <c r="BK15" s="92">
        <v>980</v>
      </c>
      <c r="BL15" s="92">
        <v>109</v>
      </c>
      <c r="BM15" s="92">
        <v>0</v>
      </c>
      <c r="BN15" s="92">
        <v>0</v>
      </c>
      <c r="BO15" s="92">
        <v>0</v>
      </c>
      <c r="BP15" s="92">
        <v>0</v>
      </c>
      <c r="BQ15" s="30" t="s">
        <v>1</v>
      </c>
      <c r="BR15" s="30" t="s">
        <v>1</v>
      </c>
      <c r="BS15" s="155" t="s">
        <v>1</v>
      </c>
      <c r="BT15" s="108" t="s">
        <v>1</v>
      </c>
      <c r="BU15" s="108" t="s">
        <v>1</v>
      </c>
      <c r="BV15" s="30" t="s">
        <v>1</v>
      </c>
      <c r="BW15" s="141" t="s">
        <v>1</v>
      </c>
      <c r="BX15" s="141" t="s">
        <v>1</v>
      </c>
      <c r="BY15" s="30" t="s">
        <v>1</v>
      </c>
      <c r="BZ15" s="30" t="s">
        <v>1</v>
      </c>
      <c r="CA15" s="155" t="s">
        <v>1</v>
      </c>
      <c r="CB15" s="108" t="s">
        <v>1</v>
      </c>
      <c r="CC15" s="108" t="s">
        <v>1</v>
      </c>
      <c r="CD15" s="30" t="s">
        <v>1</v>
      </c>
      <c r="CE15" s="141" t="s">
        <v>1</v>
      </c>
      <c r="CF15" s="141" t="s">
        <v>1</v>
      </c>
    </row>
    <row r="16" ht="19" customHeight="1" spans="1:84">
      <c r="A16" s="107">
        <v>45195</v>
      </c>
      <c r="B16" s="30" t="s">
        <v>1</v>
      </c>
      <c r="C16" s="155" t="s">
        <v>1</v>
      </c>
      <c r="D16" s="30" t="s">
        <v>1</v>
      </c>
      <c r="E16" s="30" t="s">
        <v>1</v>
      </c>
      <c r="F16" s="30" t="s">
        <v>1</v>
      </c>
      <c r="G16" s="141" t="s">
        <v>1</v>
      </c>
      <c r="H16" s="141" t="e">
        <f t="shared" si="0"/>
        <v>#VALUE!</v>
      </c>
      <c r="I16" s="30" t="s">
        <v>1</v>
      </c>
      <c r="J16" s="30" t="s">
        <v>1</v>
      </c>
      <c r="K16" s="155" t="s">
        <v>1</v>
      </c>
      <c r="L16" s="108" t="s">
        <v>1</v>
      </c>
      <c r="M16" s="165" t="s">
        <v>1</v>
      </c>
      <c r="N16" s="31" t="s">
        <v>1</v>
      </c>
      <c r="O16" s="32" t="s">
        <v>1</v>
      </c>
      <c r="P16" s="141" t="s">
        <v>1</v>
      </c>
      <c r="Q16" s="30" t="s">
        <v>1</v>
      </c>
      <c r="R16" s="30" t="s">
        <v>1</v>
      </c>
      <c r="S16" s="155" t="s">
        <v>1</v>
      </c>
      <c r="T16" s="155" t="s">
        <v>1</v>
      </c>
      <c r="U16" s="108" t="s">
        <v>1</v>
      </c>
      <c r="V16" s="18" t="s">
        <v>1</v>
      </c>
      <c r="W16" s="157">
        <v>1081</v>
      </c>
      <c r="X16" s="18" t="s">
        <v>1</v>
      </c>
      <c r="Y16" s="157">
        <v>352</v>
      </c>
      <c r="Z16" s="18" t="s">
        <v>1</v>
      </c>
      <c r="AA16" s="158">
        <v>3.07</v>
      </c>
      <c r="AB16" s="18" t="s">
        <v>1</v>
      </c>
      <c r="AC16" s="158">
        <v>87.74</v>
      </c>
      <c r="AD16" s="159" t="s">
        <v>1</v>
      </c>
      <c r="AE16" s="160" t="s">
        <v>1</v>
      </c>
      <c r="AF16" s="18" t="s">
        <v>1</v>
      </c>
      <c r="AG16" s="38">
        <v>19</v>
      </c>
      <c r="AH16" s="18">
        <v>295</v>
      </c>
      <c r="AI16" s="18">
        <v>380</v>
      </c>
      <c r="AJ16" s="18">
        <v>134</v>
      </c>
      <c r="AK16" s="18">
        <v>126</v>
      </c>
      <c r="AL16" s="18">
        <v>3</v>
      </c>
      <c r="AM16" s="18">
        <v>4</v>
      </c>
      <c r="AN16" s="18">
        <v>7</v>
      </c>
      <c r="AO16" s="18">
        <v>3</v>
      </c>
      <c r="AP16" s="18">
        <v>119</v>
      </c>
      <c r="AQ16" s="18">
        <v>101</v>
      </c>
      <c r="AR16" s="18">
        <v>27</v>
      </c>
      <c r="AS16" s="19">
        <v>15</v>
      </c>
      <c r="AT16" s="30" t="s">
        <v>1</v>
      </c>
      <c r="AU16" s="155" t="s">
        <v>1</v>
      </c>
      <c r="AV16" s="108">
        <v>28</v>
      </c>
      <c r="AW16" s="108" t="s">
        <v>1</v>
      </c>
      <c r="AX16" s="31">
        <v>0.0714285714285714</v>
      </c>
      <c r="AY16" s="141" t="s">
        <v>1</v>
      </c>
      <c r="AZ16" s="108">
        <v>0</v>
      </c>
      <c r="BA16" s="30" t="s">
        <v>1</v>
      </c>
      <c r="BB16" s="31">
        <v>0</v>
      </c>
      <c r="BC16" s="155" t="s">
        <v>1</v>
      </c>
      <c r="BD16" s="108" t="s">
        <v>1</v>
      </c>
      <c r="BE16" s="108" t="s">
        <v>1</v>
      </c>
      <c r="BF16" s="30" t="s">
        <v>1</v>
      </c>
      <c r="BG16" s="141" t="s">
        <v>1</v>
      </c>
      <c r="BH16" s="141" t="s">
        <v>1</v>
      </c>
      <c r="BI16" s="92" t="s">
        <v>74</v>
      </c>
      <c r="BJ16" s="92">
        <v>221</v>
      </c>
      <c r="BK16" s="92">
        <v>259</v>
      </c>
      <c r="BL16" s="92">
        <v>64</v>
      </c>
      <c r="BM16" s="92">
        <v>0</v>
      </c>
      <c r="BN16" s="92">
        <v>0</v>
      </c>
      <c r="BO16" s="92">
        <v>0</v>
      </c>
      <c r="BP16" s="92">
        <v>0</v>
      </c>
      <c r="BQ16" s="30" t="s">
        <v>1</v>
      </c>
      <c r="BR16" s="30" t="s">
        <v>1</v>
      </c>
      <c r="BS16" s="155" t="s">
        <v>1</v>
      </c>
      <c r="BT16" s="108" t="s">
        <v>1</v>
      </c>
      <c r="BU16" s="108" t="s">
        <v>1</v>
      </c>
      <c r="BV16" s="30" t="s">
        <v>1</v>
      </c>
      <c r="BW16" s="141" t="s">
        <v>1</v>
      </c>
      <c r="BX16" s="141" t="s">
        <v>1</v>
      </c>
      <c r="BY16" s="30" t="s">
        <v>1</v>
      </c>
      <c r="BZ16" s="30" t="s">
        <v>1</v>
      </c>
      <c r="CA16" s="155" t="s">
        <v>1</v>
      </c>
      <c r="CB16" s="108" t="s">
        <v>1</v>
      </c>
      <c r="CC16" s="108" t="s">
        <v>1</v>
      </c>
      <c r="CD16" s="30" t="s">
        <v>1</v>
      </c>
      <c r="CE16" s="141" t="s">
        <v>1</v>
      </c>
      <c r="CF16" s="141" t="s">
        <v>1</v>
      </c>
    </row>
    <row r="17" ht="19" customHeight="1" spans="1:84">
      <c r="A17" s="107">
        <v>45196</v>
      </c>
      <c r="B17" s="30" t="s">
        <v>1</v>
      </c>
      <c r="C17" s="155" t="s">
        <v>1</v>
      </c>
      <c r="D17" s="30" t="s">
        <v>1</v>
      </c>
      <c r="E17" s="30" t="s">
        <v>1</v>
      </c>
      <c r="F17" s="30" t="s">
        <v>1</v>
      </c>
      <c r="G17" s="141" t="s">
        <v>1</v>
      </c>
      <c r="H17" s="141" t="e">
        <f t="shared" si="0"/>
        <v>#VALUE!</v>
      </c>
      <c r="I17" s="30" t="s">
        <v>1</v>
      </c>
      <c r="J17" s="30" t="s">
        <v>1</v>
      </c>
      <c r="K17" s="155" t="s">
        <v>1</v>
      </c>
      <c r="L17" s="166" t="s">
        <v>1</v>
      </c>
      <c r="M17" s="7" t="s">
        <v>1</v>
      </c>
      <c r="N17" s="167" t="s">
        <v>1</v>
      </c>
      <c r="O17" s="32" t="s">
        <v>1</v>
      </c>
      <c r="P17" s="141" t="s">
        <v>1</v>
      </c>
      <c r="Q17" s="30" t="s">
        <v>1</v>
      </c>
      <c r="R17" s="30" t="s">
        <v>1</v>
      </c>
      <c r="S17" s="155" t="s">
        <v>1</v>
      </c>
      <c r="T17" s="155" t="s">
        <v>1</v>
      </c>
      <c r="U17" s="108" t="s">
        <v>1</v>
      </c>
      <c r="V17" s="18" t="s">
        <v>1</v>
      </c>
      <c r="W17" s="157">
        <v>954</v>
      </c>
      <c r="X17" s="18" t="s">
        <v>1</v>
      </c>
      <c r="Y17" s="157">
        <v>338</v>
      </c>
      <c r="Z17" s="18" t="s">
        <v>1</v>
      </c>
      <c r="AA17" s="158">
        <v>2.82</v>
      </c>
      <c r="AB17" s="18" t="s">
        <v>1</v>
      </c>
      <c r="AC17" s="158">
        <v>73.32</v>
      </c>
      <c r="AD17" s="159" t="s">
        <v>1</v>
      </c>
      <c r="AE17" s="160" t="s">
        <v>1</v>
      </c>
      <c r="AF17" s="18" t="s">
        <v>1</v>
      </c>
      <c r="AG17" s="38">
        <v>10</v>
      </c>
      <c r="AH17" s="18">
        <v>378</v>
      </c>
      <c r="AI17" s="18">
        <v>314</v>
      </c>
      <c r="AJ17" s="18">
        <v>156</v>
      </c>
      <c r="AK17" s="18">
        <v>151</v>
      </c>
      <c r="AL17" s="18">
        <v>3</v>
      </c>
      <c r="AM17" s="18">
        <v>2</v>
      </c>
      <c r="AN17" s="18">
        <v>7</v>
      </c>
      <c r="AO17" s="18">
        <v>6</v>
      </c>
      <c r="AP17" s="18">
        <v>156</v>
      </c>
      <c r="AQ17" s="18">
        <v>88</v>
      </c>
      <c r="AR17" s="18">
        <v>26</v>
      </c>
      <c r="AS17" s="19">
        <v>16</v>
      </c>
      <c r="AT17" s="30" t="s">
        <v>1</v>
      </c>
      <c r="AU17" s="155" t="s">
        <v>1</v>
      </c>
      <c r="AV17" s="108">
        <v>27</v>
      </c>
      <c r="AW17" s="108" t="s">
        <v>1</v>
      </c>
      <c r="AX17" s="31" t="s">
        <v>103</v>
      </c>
      <c r="AY17" s="141" t="s">
        <v>1</v>
      </c>
      <c r="AZ17" s="108">
        <v>2</v>
      </c>
      <c r="BA17" s="30" t="s">
        <v>1</v>
      </c>
      <c r="BB17" s="31">
        <v>0.0740740740740741</v>
      </c>
      <c r="BC17" s="155" t="s">
        <v>1</v>
      </c>
      <c r="BD17" s="108" t="s">
        <v>1</v>
      </c>
      <c r="BE17" s="108" t="s">
        <v>1</v>
      </c>
      <c r="BF17" s="30" t="s">
        <v>1</v>
      </c>
      <c r="BG17" s="141" t="s">
        <v>1</v>
      </c>
      <c r="BH17" s="141" t="s">
        <v>1</v>
      </c>
      <c r="BI17" s="92" t="s">
        <v>74</v>
      </c>
      <c r="BJ17" s="92">
        <v>158</v>
      </c>
      <c r="BK17" s="92">
        <v>344</v>
      </c>
      <c r="BL17" s="92">
        <v>84</v>
      </c>
      <c r="BM17" s="92">
        <v>0</v>
      </c>
      <c r="BN17" s="92">
        <v>0</v>
      </c>
      <c r="BO17" s="92">
        <v>0</v>
      </c>
      <c r="BP17" s="92">
        <v>0</v>
      </c>
      <c r="BQ17" s="30" t="s">
        <v>1</v>
      </c>
      <c r="BR17" s="30" t="s">
        <v>1</v>
      </c>
      <c r="BS17" s="155" t="s">
        <v>1</v>
      </c>
      <c r="BT17" s="108" t="s">
        <v>1</v>
      </c>
      <c r="BU17" s="108" t="s">
        <v>1</v>
      </c>
      <c r="BV17" s="30" t="s">
        <v>1</v>
      </c>
      <c r="BW17" s="141" t="s">
        <v>1</v>
      </c>
      <c r="BX17" s="141" t="s">
        <v>1</v>
      </c>
      <c r="BY17" s="30" t="s">
        <v>1</v>
      </c>
      <c r="BZ17" s="30" t="s">
        <v>1</v>
      </c>
      <c r="CA17" s="155" t="s">
        <v>1</v>
      </c>
      <c r="CB17" s="108" t="s">
        <v>1</v>
      </c>
      <c r="CC17" s="108" t="s">
        <v>1</v>
      </c>
      <c r="CD17" s="30" t="s">
        <v>1</v>
      </c>
      <c r="CE17" s="141" t="s">
        <v>1</v>
      </c>
      <c r="CF17" s="141" t="s">
        <v>1</v>
      </c>
    </row>
    <row r="18" ht="19" customHeight="1" spans="1:84">
      <c r="A18" s="107">
        <v>45197</v>
      </c>
      <c r="B18" s="30" t="s">
        <v>1</v>
      </c>
      <c r="C18" s="155" t="s">
        <v>1</v>
      </c>
      <c r="D18" s="30" t="s">
        <v>1</v>
      </c>
      <c r="E18" s="30" t="s">
        <v>1</v>
      </c>
      <c r="F18" s="30" t="s">
        <v>1</v>
      </c>
      <c r="G18" s="141" t="s">
        <v>1</v>
      </c>
      <c r="H18" s="141" t="e">
        <f t="shared" si="0"/>
        <v>#VALUE!</v>
      </c>
      <c r="I18" s="30" t="s">
        <v>1</v>
      </c>
      <c r="J18" s="30" t="s">
        <v>1</v>
      </c>
      <c r="K18" s="163" t="s">
        <v>1</v>
      </c>
      <c r="L18" s="168" t="s">
        <v>1</v>
      </c>
      <c r="M18" s="7" t="s">
        <v>1</v>
      </c>
      <c r="N18" s="167" t="s">
        <v>1</v>
      </c>
      <c r="O18" s="32" t="s">
        <v>1</v>
      </c>
      <c r="P18" s="141" t="s">
        <v>1</v>
      </c>
      <c r="Q18" s="30" t="s">
        <v>1</v>
      </c>
      <c r="R18" s="30" t="s">
        <v>1</v>
      </c>
      <c r="S18" s="155" t="s">
        <v>1</v>
      </c>
      <c r="T18" s="155" t="s">
        <v>1</v>
      </c>
      <c r="U18" s="108" t="s">
        <v>1</v>
      </c>
      <c r="V18" s="18" t="s">
        <v>1</v>
      </c>
      <c r="W18" s="157">
        <v>810</v>
      </c>
      <c r="X18" s="18" t="s">
        <v>1</v>
      </c>
      <c r="Y18" s="157">
        <v>260</v>
      </c>
      <c r="Z18" s="18" t="s">
        <v>1</v>
      </c>
      <c r="AA18" s="158">
        <v>3.12</v>
      </c>
      <c r="AB18" s="18" t="s">
        <v>1</v>
      </c>
      <c r="AC18" s="158">
        <v>87.78</v>
      </c>
      <c r="AD18" s="159" t="s">
        <v>1</v>
      </c>
      <c r="AE18" s="160" t="s">
        <v>1</v>
      </c>
      <c r="AF18" s="18" t="s">
        <v>1</v>
      </c>
      <c r="AG18" s="38">
        <v>10</v>
      </c>
      <c r="AH18" s="18">
        <v>348</v>
      </c>
      <c r="AI18" s="18">
        <v>290</v>
      </c>
      <c r="AJ18" s="18">
        <v>128</v>
      </c>
      <c r="AK18" s="18">
        <v>86</v>
      </c>
      <c r="AL18" s="18">
        <v>8</v>
      </c>
      <c r="AM18" s="18">
        <v>1</v>
      </c>
      <c r="AN18" s="18">
        <v>6</v>
      </c>
      <c r="AO18" s="18">
        <v>10</v>
      </c>
      <c r="AP18" s="18">
        <v>156</v>
      </c>
      <c r="AQ18" s="18">
        <v>61</v>
      </c>
      <c r="AR18" s="18">
        <v>36</v>
      </c>
      <c r="AS18" s="19">
        <v>17</v>
      </c>
      <c r="AT18" s="30" t="s">
        <v>1</v>
      </c>
      <c r="AU18" s="155" t="s">
        <v>1</v>
      </c>
      <c r="AV18" s="108">
        <v>19</v>
      </c>
      <c r="AW18" s="108" t="s">
        <v>1</v>
      </c>
      <c r="AX18" s="31">
        <v>0.0441860465116279</v>
      </c>
      <c r="AY18" s="141" t="s">
        <v>1</v>
      </c>
      <c r="AZ18" s="108">
        <v>2</v>
      </c>
      <c r="BA18" s="30" t="s">
        <v>1</v>
      </c>
      <c r="BB18" s="31">
        <v>0.105263157894737</v>
      </c>
      <c r="BC18" s="155" t="s">
        <v>1</v>
      </c>
      <c r="BD18" s="108" t="s">
        <v>1</v>
      </c>
      <c r="BE18" s="108" t="s">
        <v>1</v>
      </c>
      <c r="BF18" s="30" t="s">
        <v>1</v>
      </c>
      <c r="BG18" s="141" t="s">
        <v>1</v>
      </c>
      <c r="BH18" s="141" t="s">
        <v>1</v>
      </c>
      <c r="BI18" s="92" t="s">
        <v>94</v>
      </c>
      <c r="BJ18" s="92">
        <v>43</v>
      </c>
      <c r="BK18" s="92">
        <v>1011</v>
      </c>
      <c r="BL18" s="92">
        <v>61</v>
      </c>
      <c r="BM18" s="92">
        <v>0</v>
      </c>
      <c r="BN18" s="92">
        <v>0</v>
      </c>
      <c r="BO18" s="92">
        <v>0</v>
      </c>
      <c r="BP18" s="92">
        <v>0</v>
      </c>
      <c r="BQ18" s="30" t="s">
        <v>1</v>
      </c>
      <c r="BR18" s="30" t="s">
        <v>1</v>
      </c>
      <c r="BS18" s="155" t="s">
        <v>1</v>
      </c>
      <c r="BT18" s="108" t="s">
        <v>1</v>
      </c>
      <c r="BU18" s="108" t="s">
        <v>1</v>
      </c>
      <c r="BV18" s="30" t="s">
        <v>1</v>
      </c>
      <c r="BW18" s="141" t="s">
        <v>1</v>
      </c>
      <c r="BX18" s="141" t="s">
        <v>1</v>
      </c>
      <c r="BY18" s="30" t="s">
        <v>1</v>
      </c>
      <c r="BZ18" s="30" t="s">
        <v>1</v>
      </c>
      <c r="CA18" s="155" t="s">
        <v>1</v>
      </c>
      <c r="CB18" s="108" t="s">
        <v>1</v>
      </c>
      <c r="CC18" s="108" t="s">
        <v>1</v>
      </c>
      <c r="CD18" s="30" t="s">
        <v>1</v>
      </c>
      <c r="CE18" s="141" t="s">
        <v>1</v>
      </c>
      <c r="CF18" s="141" t="s">
        <v>1</v>
      </c>
    </row>
    <row r="19" ht="19" customHeight="1" spans="1:84">
      <c r="A19" s="107">
        <v>45198</v>
      </c>
      <c r="B19" s="30" t="s">
        <v>1</v>
      </c>
      <c r="C19" s="155" t="s">
        <v>1</v>
      </c>
      <c r="D19" s="30" t="s">
        <v>1</v>
      </c>
      <c r="E19" s="30" t="s">
        <v>1</v>
      </c>
      <c r="F19" s="30" t="s">
        <v>1</v>
      </c>
      <c r="G19" s="141" t="s">
        <v>1</v>
      </c>
      <c r="H19" s="141" t="e">
        <f t="shared" si="0"/>
        <v>#VALUE!</v>
      </c>
      <c r="I19" s="30" t="s">
        <v>1</v>
      </c>
      <c r="J19" s="30" t="s">
        <v>1</v>
      </c>
      <c r="K19" s="163" t="s">
        <v>1</v>
      </c>
      <c r="L19" s="168" t="s">
        <v>1</v>
      </c>
      <c r="M19" s="165" t="s">
        <v>1</v>
      </c>
      <c r="N19" s="167" t="s">
        <v>1</v>
      </c>
      <c r="O19" s="32" t="s">
        <v>1</v>
      </c>
      <c r="P19" s="141" t="s">
        <v>1</v>
      </c>
      <c r="Q19" s="30" t="s">
        <v>1</v>
      </c>
      <c r="R19" s="30" t="s">
        <v>1</v>
      </c>
      <c r="S19" s="155" t="s">
        <v>1</v>
      </c>
      <c r="T19" s="155" t="s">
        <v>1</v>
      </c>
      <c r="U19" s="108" t="s">
        <v>1</v>
      </c>
      <c r="V19" s="18" t="s">
        <v>1</v>
      </c>
      <c r="W19" s="157">
        <v>871</v>
      </c>
      <c r="X19" s="18" t="s">
        <v>1</v>
      </c>
      <c r="Y19" s="157">
        <v>289</v>
      </c>
      <c r="Z19" s="18" t="s">
        <v>1</v>
      </c>
      <c r="AA19" s="158">
        <v>3.01</v>
      </c>
      <c r="AB19" s="18" t="s">
        <v>1</v>
      </c>
      <c r="AC19" s="158">
        <v>95.1</v>
      </c>
      <c r="AD19" s="159" t="s">
        <v>1</v>
      </c>
      <c r="AE19" s="160" t="s">
        <v>1</v>
      </c>
      <c r="AF19" s="18" t="s">
        <v>1</v>
      </c>
      <c r="AG19" s="38">
        <v>8</v>
      </c>
      <c r="AH19" s="18">
        <v>711</v>
      </c>
      <c r="AI19" s="18">
        <v>282</v>
      </c>
      <c r="AJ19" s="18">
        <v>181</v>
      </c>
      <c r="AK19" s="18">
        <v>111</v>
      </c>
      <c r="AL19" s="18">
        <v>8</v>
      </c>
      <c r="AM19" s="18">
        <v>6</v>
      </c>
      <c r="AN19" s="18">
        <v>23</v>
      </c>
      <c r="AO19" s="18">
        <v>9</v>
      </c>
      <c r="AP19" s="18">
        <v>263</v>
      </c>
      <c r="AQ19" s="18">
        <v>87</v>
      </c>
      <c r="AR19" s="18">
        <v>44</v>
      </c>
      <c r="AS19" s="19">
        <v>14</v>
      </c>
      <c r="AT19" s="30" t="s">
        <v>1</v>
      </c>
      <c r="AU19" s="155" t="s">
        <v>1</v>
      </c>
      <c r="AV19" s="108">
        <v>35</v>
      </c>
      <c r="AW19" s="108" t="s">
        <v>1</v>
      </c>
      <c r="AX19" s="31">
        <v>0.0420168067226891</v>
      </c>
      <c r="AY19" s="141" t="s">
        <v>1</v>
      </c>
      <c r="AZ19" s="108">
        <v>7</v>
      </c>
      <c r="BA19" s="30" t="s">
        <v>1</v>
      </c>
      <c r="BB19" s="31">
        <v>0.2</v>
      </c>
      <c r="BC19" s="155" t="s">
        <v>1</v>
      </c>
      <c r="BD19" s="108" t="s">
        <v>1</v>
      </c>
      <c r="BE19" s="108" t="s">
        <v>1</v>
      </c>
      <c r="BF19" s="30" t="s">
        <v>1</v>
      </c>
      <c r="BG19" s="141" t="s">
        <v>1</v>
      </c>
      <c r="BH19" s="141" t="s">
        <v>1</v>
      </c>
      <c r="BI19" s="92" t="s">
        <v>73</v>
      </c>
      <c r="BJ19" s="92">
        <v>92</v>
      </c>
      <c r="BK19" s="92">
        <v>672</v>
      </c>
      <c r="BL19" s="92">
        <v>88</v>
      </c>
      <c r="BM19" s="92">
        <v>0</v>
      </c>
      <c r="BN19" s="92">
        <v>0</v>
      </c>
      <c r="BO19" s="92">
        <v>0</v>
      </c>
      <c r="BP19" s="92">
        <v>0</v>
      </c>
      <c r="BQ19" s="30" t="s">
        <v>1</v>
      </c>
      <c r="BR19" s="30" t="s">
        <v>1</v>
      </c>
      <c r="BS19" s="155" t="s">
        <v>1</v>
      </c>
      <c r="BT19" s="108" t="s">
        <v>1</v>
      </c>
      <c r="BU19" s="108" t="s">
        <v>1</v>
      </c>
      <c r="BV19" s="30" t="s">
        <v>1</v>
      </c>
      <c r="BW19" s="141" t="s">
        <v>1</v>
      </c>
      <c r="BX19" s="141" t="s">
        <v>1</v>
      </c>
      <c r="BY19" s="30" t="s">
        <v>1</v>
      </c>
      <c r="BZ19" s="30" t="s">
        <v>1</v>
      </c>
      <c r="CA19" s="155" t="s">
        <v>1</v>
      </c>
      <c r="CB19" s="108" t="s">
        <v>1</v>
      </c>
      <c r="CC19" s="108" t="s">
        <v>1</v>
      </c>
      <c r="CD19" s="30" t="s">
        <v>1</v>
      </c>
      <c r="CE19" s="141" t="s">
        <v>1</v>
      </c>
      <c r="CF19" s="141" t="s">
        <v>1</v>
      </c>
    </row>
    <row r="20" ht="19" customHeight="1" spans="1:84">
      <c r="A20" s="107">
        <v>45199</v>
      </c>
      <c r="B20" s="30" t="s">
        <v>1</v>
      </c>
      <c r="C20" s="155" t="s">
        <v>1</v>
      </c>
      <c r="D20" s="30" t="s">
        <v>1</v>
      </c>
      <c r="E20" s="30" t="s">
        <v>1</v>
      </c>
      <c r="F20" s="30" t="s">
        <v>1</v>
      </c>
      <c r="G20" s="141" t="s">
        <v>1</v>
      </c>
      <c r="H20" s="141" t="e">
        <f t="shared" si="0"/>
        <v>#VALUE!</v>
      </c>
      <c r="I20" s="30" t="s">
        <v>1</v>
      </c>
      <c r="J20" s="30" t="s">
        <v>1</v>
      </c>
      <c r="K20" s="163" t="s">
        <v>1</v>
      </c>
      <c r="L20" s="168" t="s">
        <v>1</v>
      </c>
      <c r="M20" s="31" t="s">
        <v>1</v>
      </c>
      <c r="N20" s="167" t="s">
        <v>1</v>
      </c>
      <c r="O20" s="32" t="s">
        <v>1</v>
      </c>
      <c r="P20" s="141" t="s">
        <v>1</v>
      </c>
      <c r="Q20" s="30" t="s">
        <v>1</v>
      </c>
      <c r="R20" s="30" t="s">
        <v>1</v>
      </c>
      <c r="S20" s="155" t="s">
        <v>1</v>
      </c>
      <c r="T20" s="155" t="s">
        <v>1</v>
      </c>
      <c r="U20" s="108" t="s">
        <v>1</v>
      </c>
      <c r="V20" s="18" t="s">
        <v>1</v>
      </c>
      <c r="W20" s="157">
        <v>1133</v>
      </c>
      <c r="X20" s="18" t="s">
        <v>1</v>
      </c>
      <c r="Y20" s="157">
        <v>339</v>
      </c>
      <c r="Z20" s="18" t="s">
        <v>1</v>
      </c>
      <c r="AA20" s="158">
        <v>3.34</v>
      </c>
      <c r="AB20" s="18" t="s">
        <v>1</v>
      </c>
      <c r="AC20" s="158">
        <v>92.52</v>
      </c>
      <c r="AD20" s="159" t="s">
        <v>1</v>
      </c>
      <c r="AE20" s="160" t="s">
        <v>1</v>
      </c>
      <c r="AF20" s="18" t="s">
        <v>1</v>
      </c>
      <c r="AG20" s="38">
        <v>10</v>
      </c>
      <c r="AH20" s="18">
        <v>665</v>
      </c>
      <c r="AI20" s="18">
        <v>364</v>
      </c>
      <c r="AJ20" s="18">
        <v>208</v>
      </c>
      <c r="AK20" s="18">
        <v>134</v>
      </c>
      <c r="AL20" s="18">
        <v>8</v>
      </c>
      <c r="AM20" s="18">
        <v>6</v>
      </c>
      <c r="AN20" s="18">
        <v>17</v>
      </c>
      <c r="AO20" s="18">
        <v>9</v>
      </c>
      <c r="AP20" s="18">
        <v>310</v>
      </c>
      <c r="AQ20" s="18">
        <v>77</v>
      </c>
      <c r="AR20" s="18">
        <v>58</v>
      </c>
      <c r="AS20" s="19">
        <v>27</v>
      </c>
      <c r="AT20" s="30" t="s">
        <v>1</v>
      </c>
      <c r="AU20" s="155" t="s">
        <v>1</v>
      </c>
      <c r="AV20" s="108">
        <v>44</v>
      </c>
      <c r="AW20" s="108" t="s">
        <v>1</v>
      </c>
      <c r="AX20" s="31">
        <v>0.0549313358302122</v>
      </c>
      <c r="AY20" s="141" t="s">
        <v>1</v>
      </c>
      <c r="AZ20" s="108">
        <v>8</v>
      </c>
      <c r="BA20" s="30" t="s">
        <v>1</v>
      </c>
      <c r="BB20" s="31">
        <v>0.181818181818182</v>
      </c>
      <c r="BC20" s="155" t="s">
        <v>1</v>
      </c>
      <c r="BD20" s="108" t="s">
        <v>1</v>
      </c>
      <c r="BE20" s="108" t="s">
        <v>1</v>
      </c>
      <c r="BF20" s="30" t="s">
        <v>1</v>
      </c>
      <c r="BG20" s="141" t="s">
        <v>1</v>
      </c>
      <c r="BH20" s="141" t="s">
        <v>1</v>
      </c>
      <c r="BI20" s="92" t="s">
        <v>74</v>
      </c>
      <c r="BJ20" s="92">
        <v>108</v>
      </c>
      <c r="BK20" s="92">
        <v>669</v>
      </c>
      <c r="BL20" s="92">
        <v>103</v>
      </c>
      <c r="BM20" s="92">
        <v>0</v>
      </c>
      <c r="BN20" s="92">
        <v>0</v>
      </c>
      <c r="BO20" s="92">
        <v>0</v>
      </c>
      <c r="BP20" s="92">
        <v>0</v>
      </c>
      <c r="BQ20" s="30" t="s">
        <v>1</v>
      </c>
      <c r="BR20" s="30" t="s">
        <v>1</v>
      </c>
      <c r="BS20" s="155" t="s">
        <v>1</v>
      </c>
      <c r="BT20" s="108" t="s">
        <v>1</v>
      </c>
      <c r="BU20" s="108" t="s">
        <v>1</v>
      </c>
      <c r="BV20" s="30" t="s">
        <v>1</v>
      </c>
      <c r="BW20" s="141" t="s">
        <v>1</v>
      </c>
      <c r="BX20" s="141" t="s">
        <v>1</v>
      </c>
      <c r="BY20" s="30" t="s">
        <v>1</v>
      </c>
      <c r="BZ20" s="30" t="s">
        <v>1</v>
      </c>
      <c r="CA20" s="155" t="s">
        <v>1</v>
      </c>
      <c r="CB20" s="108" t="s">
        <v>1</v>
      </c>
      <c r="CC20" s="108" t="s">
        <v>1</v>
      </c>
      <c r="CD20" s="30" t="s">
        <v>1</v>
      </c>
      <c r="CE20" s="141" t="s">
        <v>1</v>
      </c>
      <c r="CF20" s="141" t="s">
        <v>1</v>
      </c>
    </row>
    <row r="21" ht="19" customHeight="1" spans="1:84">
      <c r="A21" s="107">
        <v>45200</v>
      </c>
      <c r="B21" s="30" t="s">
        <v>1</v>
      </c>
      <c r="C21" s="155" t="s">
        <v>1</v>
      </c>
      <c r="D21" s="30" t="s">
        <v>1</v>
      </c>
      <c r="E21" s="30" t="s">
        <v>1</v>
      </c>
      <c r="F21" s="30" t="s">
        <v>1</v>
      </c>
      <c r="G21" s="141" t="s">
        <v>1</v>
      </c>
      <c r="H21" s="141" t="e">
        <f t="shared" si="0"/>
        <v>#VALUE!</v>
      </c>
      <c r="I21" s="30" t="s">
        <v>1</v>
      </c>
      <c r="J21" s="30" t="s">
        <v>1</v>
      </c>
      <c r="K21" s="163" t="s">
        <v>1</v>
      </c>
      <c r="L21" s="168" t="s">
        <v>1</v>
      </c>
      <c r="M21" s="31" t="s">
        <v>1</v>
      </c>
      <c r="N21" s="167" t="s">
        <v>1</v>
      </c>
      <c r="O21" s="32" t="s">
        <v>1</v>
      </c>
      <c r="P21" s="141" t="s">
        <v>1</v>
      </c>
      <c r="Q21" s="30" t="s">
        <v>1</v>
      </c>
      <c r="R21" s="30" t="s">
        <v>1</v>
      </c>
      <c r="S21" s="155" t="s">
        <v>1</v>
      </c>
      <c r="T21" s="155" t="s">
        <v>1</v>
      </c>
      <c r="U21" s="108" t="s">
        <v>1</v>
      </c>
      <c r="V21" s="18" t="s">
        <v>1</v>
      </c>
      <c r="W21" s="157">
        <v>1230</v>
      </c>
      <c r="X21" s="18" t="s">
        <v>1</v>
      </c>
      <c r="Y21" s="157">
        <v>358</v>
      </c>
      <c r="Z21" s="18" t="s">
        <v>1</v>
      </c>
      <c r="AA21" s="158">
        <v>3.44</v>
      </c>
      <c r="AB21" s="18" t="s">
        <v>1</v>
      </c>
      <c r="AC21" s="158">
        <v>102.61</v>
      </c>
      <c r="AD21" s="159" t="s">
        <v>1</v>
      </c>
      <c r="AE21" s="160" t="s">
        <v>1</v>
      </c>
      <c r="AF21" s="18" t="s">
        <v>1</v>
      </c>
      <c r="AG21" s="38">
        <v>20</v>
      </c>
      <c r="AH21" s="18">
        <v>563</v>
      </c>
      <c r="AI21" s="18">
        <v>247</v>
      </c>
      <c r="AJ21" s="18">
        <v>184</v>
      </c>
      <c r="AK21" s="18">
        <v>154</v>
      </c>
      <c r="AL21" s="18">
        <v>7</v>
      </c>
      <c r="AM21" s="18">
        <v>6</v>
      </c>
      <c r="AN21" s="18">
        <v>6</v>
      </c>
      <c r="AO21" s="18">
        <v>6</v>
      </c>
      <c r="AP21" s="18">
        <v>262</v>
      </c>
      <c r="AQ21" s="18">
        <v>112</v>
      </c>
      <c r="AR21" s="18">
        <v>52</v>
      </c>
      <c r="AS21" s="19">
        <v>16</v>
      </c>
      <c r="AT21" s="30" t="s">
        <v>1</v>
      </c>
      <c r="AU21" s="155" t="s">
        <v>1</v>
      </c>
      <c r="AV21" s="108">
        <v>0</v>
      </c>
      <c r="AW21" s="108" t="s">
        <v>1</v>
      </c>
      <c r="AX21" s="31">
        <v>0</v>
      </c>
      <c r="AY21" s="141" t="s">
        <v>1</v>
      </c>
      <c r="AZ21" s="108">
        <v>0</v>
      </c>
      <c r="BA21" s="30" t="s">
        <v>1</v>
      </c>
      <c r="BB21" s="31" t="s">
        <v>103</v>
      </c>
      <c r="BC21" s="155" t="s">
        <v>1</v>
      </c>
      <c r="BD21" s="108" t="s">
        <v>1</v>
      </c>
      <c r="BE21" s="108" t="s">
        <v>1</v>
      </c>
      <c r="BF21" s="30" t="s">
        <v>1</v>
      </c>
      <c r="BG21" s="141" t="s">
        <v>1</v>
      </c>
      <c r="BH21" s="141" t="s">
        <v>1</v>
      </c>
      <c r="BI21" s="92" t="s">
        <v>74</v>
      </c>
      <c r="BJ21" s="92">
        <v>115</v>
      </c>
      <c r="BK21" s="92">
        <v>540</v>
      </c>
      <c r="BL21" s="92">
        <v>112</v>
      </c>
      <c r="BM21" s="92">
        <v>0</v>
      </c>
      <c r="BN21" s="92">
        <v>0</v>
      </c>
      <c r="BO21" s="92">
        <v>0</v>
      </c>
      <c r="BP21" s="92">
        <v>0</v>
      </c>
      <c r="BQ21" s="30" t="s">
        <v>1</v>
      </c>
      <c r="BR21" s="30" t="s">
        <v>1</v>
      </c>
      <c r="BS21" s="155" t="s">
        <v>1</v>
      </c>
      <c r="BT21" s="108" t="s">
        <v>1</v>
      </c>
      <c r="BU21" s="108" t="s">
        <v>1</v>
      </c>
      <c r="BV21" s="30" t="s">
        <v>1</v>
      </c>
      <c r="BW21" s="141" t="s">
        <v>1</v>
      </c>
      <c r="BX21" s="141" t="s">
        <v>1</v>
      </c>
      <c r="BY21" s="30" t="s">
        <v>1</v>
      </c>
      <c r="BZ21" s="30" t="s">
        <v>1</v>
      </c>
      <c r="CA21" s="155" t="s">
        <v>1</v>
      </c>
      <c r="CB21" s="108" t="s">
        <v>1</v>
      </c>
      <c r="CC21" s="108" t="s">
        <v>1</v>
      </c>
      <c r="CD21" s="30" t="s">
        <v>1</v>
      </c>
      <c r="CE21" s="141" t="s">
        <v>1</v>
      </c>
      <c r="CF21" s="141" t="s">
        <v>1</v>
      </c>
    </row>
    <row r="22" ht="19" customHeight="1" spans="1:84">
      <c r="A22" s="107">
        <v>45201</v>
      </c>
      <c r="B22" s="30" t="s">
        <v>1</v>
      </c>
      <c r="C22" s="155" t="s">
        <v>1</v>
      </c>
      <c r="D22" s="30" t="s">
        <v>1</v>
      </c>
      <c r="E22" s="30" t="s">
        <v>1</v>
      </c>
      <c r="F22" s="30" t="s">
        <v>1</v>
      </c>
      <c r="G22" s="141" t="s">
        <v>1</v>
      </c>
      <c r="H22" s="141" t="e">
        <f t="shared" si="0"/>
        <v>#VALUE!</v>
      </c>
      <c r="I22" s="30" t="s">
        <v>1</v>
      </c>
      <c r="J22" s="30" t="s">
        <v>1</v>
      </c>
      <c r="K22" s="163" t="s">
        <v>1</v>
      </c>
      <c r="L22" s="168" t="s">
        <v>1</v>
      </c>
      <c r="M22" s="31" t="s">
        <v>1</v>
      </c>
      <c r="N22" s="167" t="s">
        <v>1</v>
      </c>
      <c r="O22" s="32" t="s">
        <v>1</v>
      </c>
      <c r="P22" s="141" t="s">
        <v>1</v>
      </c>
      <c r="Q22" s="30" t="s">
        <v>1</v>
      </c>
      <c r="R22" s="30" t="s">
        <v>1</v>
      </c>
      <c r="S22" s="155" t="s">
        <v>1</v>
      </c>
      <c r="T22" s="155" t="s">
        <v>1</v>
      </c>
      <c r="U22" s="108" t="s">
        <v>1</v>
      </c>
      <c r="V22" s="18" t="s">
        <v>1</v>
      </c>
      <c r="W22" s="157">
        <v>1145</v>
      </c>
      <c r="X22" s="18" t="s">
        <v>1</v>
      </c>
      <c r="Y22" s="157">
        <v>325</v>
      </c>
      <c r="Z22" s="18" t="s">
        <v>1</v>
      </c>
      <c r="AA22" s="158">
        <v>3.52</v>
      </c>
      <c r="AB22" s="18" t="s">
        <v>1</v>
      </c>
      <c r="AC22" s="158">
        <v>95.2</v>
      </c>
      <c r="AD22" s="159" t="s">
        <v>1</v>
      </c>
      <c r="AE22" s="160" t="s">
        <v>1</v>
      </c>
      <c r="AF22" s="18" t="s">
        <v>1</v>
      </c>
      <c r="AG22" s="38">
        <v>18</v>
      </c>
      <c r="AH22" s="18">
        <v>650</v>
      </c>
      <c r="AI22" s="18">
        <v>244</v>
      </c>
      <c r="AJ22" s="18">
        <v>198</v>
      </c>
      <c r="AK22" s="18">
        <v>123</v>
      </c>
      <c r="AL22" s="18">
        <v>12</v>
      </c>
      <c r="AM22" s="18">
        <v>7</v>
      </c>
      <c r="AN22" s="18">
        <v>11</v>
      </c>
      <c r="AO22" s="18">
        <v>10</v>
      </c>
      <c r="AP22" s="18">
        <v>323</v>
      </c>
      <c r="AQ22" s="18">
        <v>93</v>
      </c>
      <c r="AR22" s="18">
        <v>44</v>
      </c>
      <c r="AS22" s="19">
        <v>26</v>
      </c>
      <c r="AT22" s="30" t="s">
        <v>1</v>
      </c>
      <c r="AU22" s="155" t="s">
        <v>1</v>
      </c>
      <c r="AV22" s="108">
        <v>0</v>
      </c>
      <c r="AW22" s="108" t="s">
        <v>1</v>
      </c>
      <c r="AX22" s="31">
        <v>0</v>
      </c>
      <c r="AY22" s="141" t="s">
        <v>1</v>
      </c>
      <c r="AZ22" s="108">
        <v>0</v>
      </c>
      <c r="BA22" s="30" t="s">
        <v>1</v>
      </c>
      <c r="BB22" s="31" t="s">
        <v>103</v>
      </c>
      <c r="BC22" s="155" t="s">
        <v>1</v>
      </c>
      <c r="BD22" s="108" t="s">
        <v>1</v>
      </c>
      <c r="BE22" s="108" t="s">
        <v>1</v>
      </c>
      <c r="BF22" s="30" t="s">
        <v>1</v>
      </c>
      <c r="BG22" s="141" t="s">
        <v>1</v>
      </c>
      <c r="BH22" s="141" t="s">
        <v>1</v>
      </c>
      <c r="BI22" s="92" t="s">
        <v>74</v>
      </c>
      <c r="BJ22" s="92">
        <v>105</v>
      </c>
      <c r="BK22" s="92">
        <v>625</v>
      </c>
      <c r="BL22" s="92">
        <v>92</v>
      </c>
      <c r="BM22" s="92">
        <v>0</v>
      </c>
      <c r="BN22" s="92">
        <v>0</v>
      </c>
      <c r="BO22" s="92">
        <v>0</v>
      </c>
      <c r="BP22" s="92">
        <v>0</v>
      </c>
      <c r="BQ22" s="30" t="s">
        <v>1</v>
      </c>
      <c r="BR22" s="30" t="s">
        <v>1</v>
      </c>
      <c r="BS22" s="155" t="s">
        <v>1</v>
      </c>
      <c r="BT22" s="108" t="s">
        <v>1</v>
      </c>
      <c r="BU22" s="108" t="s">
        <v>1</v>
      </c>
      <c r="BV22" s="30" t="s">
        <v>1</v>
      </c>
      <c r="BW22" s="141" t="s">
        <v>1</v>
      </c>
      <c r="BX22" s="141" t="s">
        <v>1</v>
      </c>
      <c r="BY22" s="30" t="s">
        <v>1</v>
      </c>
      <c r="BZ22" s="30" t="s">
        <v>1</v>
      </c>
      <c r="CA22" s="155" t="s">
        <v>1</v>
      </c>
      <c r="CB22" s="108" t="s">
        <v>1</v>
      </c>
      <c r="CC22" s="108" t="s">
        <v>1</v>
      </c>
      <c r="CD22" s="30" t="s">
        <v>1</v>
      </c>
      <c r="CE22" s="141" t="s">
        <v>1</v>
      </c>
      <c r="CF22" s="141" t="s">
        <v>1</v>
      </c>
    </row>
    <row r="23" ht="19" customHeight="1" spans="1:84">
      <c r="A23" s="107">
        <v>45202</v>
      </c>
      <c r="B23" s="30" t="s">
        <v>1</v>
      </c>
      <c r="C23" s="155" t="s">
        <v>1</v>
      </c>
      <c r="D23" s="30" t="s">
        <v>1</v>
      </c>
      <c r="E23" s="30" t="s">
        <v>1</v>
      </c>
      <c r="F23" s="30" t="s">
        <v>1</v>
      </c>
      <c r="G23" s="141" t="s">
        <v>1</v>
      </c>
      <c r="H23" s="141" t="e">
        <f t="shared" si="0"/>
        <v>#VALUE!</v>
      </c>
      <c r="I23" s="30" t="s">
        <v>1</v>
      </c>
      <c r="J23" s="30" t="s">
        <v>1</v>
      </c>
      <c r="K23" s="163" t="s">
        <v>1</v>
      </c>
      <c r="L23" s="168" t="s">
        <v>1</v>
      </c>
      <c r="M23" s="31" t="s">
        <v>1</v>
      </c>
      <c r="N23" s="167" t="s">
        <v>1</v>
      </c>
      <c r="O23" s="32" t="s">
        <v>1</v>
      </c>
      <c r="P23" s="141" t="s">
        <v>1</v>
      </c>
      <c r="Q23" s="30" t="s">
        <v>1</v>
      </c>
      <c r="R23" s="30" t="s">
        <v>1</v>
      </c>
      <c r="S23" s="155" t="s">
        <v>1</v>
      </c>
      <c r="T23" s="155" t="s">
        <v>1</v>
      </c>
      <c r="U23" s="108" t="s">
        <v>1</v>
      </c>
      <c r="V23" s="18" t="s">
        <v>1</v>
      </c>
      <c r="W23" s="157">
        <v>1419</v>
      </c>
      <c r="X23" s="18" t="s">
        <v>1</v>
      </c>
      <c r="Y23" s="157">
        <v>350</v>
      </c>
      <c r="Z23" s="18" t="s">
        <v>1</v>
      </c>
      <c r="AA23" s="158">
        <v>4.05</v>
      </c>
      <c r="AB23" s="18" t="s">
        <v>1</v>
      </c>
      <c r="AC23" s="158">
        <v>111.85</v>
      </c>
      <c r="AD23" s="159" t="s">
        <v>1</v>
      </c>
      <c r="AE23" s="160" t="s">
        <v>1</v>
      </c>
      <c r="AF23" s="18" t="s">
        <v>1</v>
      </c>
      <c r="AG23" s="38">
        <v>22</v>
      </c>
      <c r="AH23" s="18">
        <v>601</v>
      </c>
      <c r="AI23" s="18">
        <v>271</v>
      </c>
      <c r="AJ23" s="18">
        <v>210</v>
      </c>
      <c r="AK23" s="18">
        <v>142</v>
      </c>
      <c r="AL23" s="18">
        <v>5</v>
      </c>
      <c r="AM23" s="18">
        <v>3</v>
      </c>
      <c r="AN23" s="18">
        <v>22</v>
      </c>
      <c r="AO23" s="18">
        <v>8</v>
      </c>
      <c r="AP23" s="18">
        <v>323</v>
      </c>
      <c r="AQ23" s="18">
        <v>116</v>
      </c>
      <c r="AR23" s="18">
        <v>44</v>
      </c>
      <c r="AS23" s="19">
        <v>25</v>
      </c>
      <c r="AT23" s="30" t="s">
        <v>1</v>
      </c>
      <c r="AU23" s="155" t="s">
        <v>1</v>
      </c>
      <c r="AV23" s="108">
        <v>0</v>
      </c>
      <c r="AW23" s="108" t="s">
        <v>1</v>
      </c>
      <c r="AX23" s="31">
        <v>0</v>
      </c>
      <c r="AY23" s="141" t="s">
        <v>1</v>
      </c>
      <c r="AZ23" s="108">
        <v>0</v>
      </c>
      <c r="BA23" s="30" t="s">
        <v>1</v>
      </c>
      <c r="BB23" s="31" t="s">
        <v>103</v>
      </c>
      <c r="BC23" s="155" t="s">
        <v>1</v>
      </c>
      <c r="BD23" s="108" t="s">
        <v>1</v>
      </c>
      <c r="BE23" s="108" t="s">
        <v>1</v>
      </c>
      <c r="BF23" s="30" t="s">
        <v>1</v>
      </c>
      <c r="BG23" s="141" t="s">
        <v>1</v>
      </c>
      <c r="BH23" s="141" t="s">
        <v>1</v>
      </c>
      <c r="BI23" s="92" t="s">
        <v>74</v>
      </c>
      <c r="BJ23" s="92">
        <v>113</v>
      </c>
      <c r="BK23" s="92">
        <v>582</v>
      </c>
      <c r="BL23" s="92">
        <v>98</v>
      </c>
      <c r="BM23" s="92">
        <v>0</v>
      </c>
      <c r="BN23" s="92">
        <v>0</v>
      </c>
      <c r="BO23" s="92">
        <v>0</v>
      </c>
      <c r="BP23" s="92">
        <v>0</v>
      </c>
      <c r="BQ23" s="30" t="s">
        <v>1</v>
      </c>
      <c r="BR23" s="30" t="s">
        <v>1</v>
      </c>
      <c r="BS23" s="155" t="s">
        <v>1</v>
      </c>
      <c r="BT23" s="108" t="s">
        <v>1</v>
      </c>
      <c r="BU23" s="108" t="s">
        <v>1</v>
      </c>
      <c r="BV23" s="30" t="s">
        <v>1</v>
      </c>
      <c r="BW23" s="141" t="s">
        <v>1</v>
      </c>
      <c r="BX23" s="141" t="s">
        <v>1</v>
      </c>
      <c r="BY23" s="30" t="s">
        <v>1</v>
      </c>
      <c r="BZ23" s="30" t="s">
        <v>1</v>
      </c>
      <c r="CA23" s="155" t="s">
        <v>1</v>
      </c>
      <c r="CB23" s="108" t="s">
        <v>1</v>
      </c>
      <c r="CC23" s="108" t="s">
        <v>1</v>
      </c>
      <c r="CD23" s="30" t="s">
        <v>1</v>
      </c>
      <c r="CE23" s="141" t="s">
        <v>1</v>
      </c>
      <c r="CF23" s="141" t="s">
        <v>1</v>
      </c>
    </row>
    <row r="24" ht="19" customHeight="1" spans="1:84">
      <c r="A24" s="107">
        <v>45203</v>
      </c>
      <c r="B24" s="30" t="s">
        <v>1</v>
      </c>
      <c r="C24" s="155" t="s">
        <v>1</v>
      </c>
      <c r="D24" s="30" t="s">
        <v>1</v>
      </c>
      <c r="E24" s="30" t="s">
        <v>1</v>
      </c>
      <c r="F24" s="30" t="s">
        <v>1</v>
      </c>
      <c r="G24" s="141" t="s">
        <v>1</v>
      </c>
      <c r="H24" s="141" t="e">
        <f t="shared" si="0"/>
        <v>#VALUE!</v>
      </c>
      <c r="I24" s="30" t="s">
        <v>1</v>
      </c>
      <c r="J24" s="30" t="s">
        <v>1</v>
      </c>
      <c r="K24" s="163" t="s">
        <v>1</v>
      </c>
      <c r="L24" s="168" t="s">
        <v>1</v>
      </c>
      <c r="M24" s="31" t="s">
        <v>1</v>
      </c>
      <c r="N24" s="167" t="s">
        <v>1</v>
      </c>
      <c r="O24" s="32" t="s">
        <v>1</v>
      </c>
      <c r="P24" s="141" t="s">
        <v>1</v>
      </c>
      <c r="Q24" s="30" t="s">
        <v>1</v>
      </c>
      <c r="R24" s="30" t="s">
        <v>1</v>
      </c>
      <c r="S24" s="155" t="s">
        <v>1</v>
      </c>
      <c r="T24" s="155" t="s">
        <v>1</v>
      </c>
      <c r="U24" s="108" t="s">
        <v>1</v>
      </c>
      <c r="V24" s="18" t="s">
        <v>1</v>
      </c>
      <c r="W24" s="157">
        <v>1038</v>
      </c>
      <c r="X24" s="18" t="s">
        <v>1</v>
      </c>
      <c r="Y24" s="157">
        <v>344</v>
      </c>
      <c r="Z24" s="18" t="s">
        <v>1</v>
      </c>
      <c r="AA24" s="158">
        <v>3.02</v>
      </c>
      <c r="AB24" s="18" t="s">
        <v>1</v>
      </c>
      <c r="AC24" s="158">
        <v>80.36</v>
      </c>
      <c r="AD24" s="159" t="s">
        <v>1</v>
      </c>
      <c r="AE24" s="160" t="s">
        <v>1</v>
      </c>
      <c r="AF24" s="18" t="s">
        <v>1</v>
      </c>
      <c r="AG24" s="38">
        <v>9</v>
      </c>
      <c r="AH24" s="18">
        <v>776</v>
      </c>
      <c r="AI24" s="18">
        <v>281</v>
      </c>
      <c r="AJ24" s="18">
        <v>201</v>
      </c>
      <c r="AK24" s="18">
        <v>124</v>
      </c>
      <c r="AL24" s="18">
        <v>7</v>
      </c>
      <c r="AM24" s="18">
        <v>7</v>
      </c>
      <c r="AN24" s="18">
        <v>14</v>
      </c>
      <c r="AO24" s="18">
        <v>7</v>
      </c>
      <c r="AP24" s="18">
        <v>345</v>
      </c>
      <c r="AQ24" s="18">
        <v>116</v>
      </c>
      <c r="AR24" s="18">
        <v>56</v>
      </c>
      <c r="AS24" s="19">
        <v>25</v>
      </c>
      <c r="AT24" s="30" t="s">
        <v>1</v>
      </c>
      <c r="AU24" s="155" t="s">
        <v>1</v>
      </c>
      <c r="AV24" s="108">
        <v>0</v>
      </c>
      <c r="AW24" s="108" t="s">
        <v>1</v>
      </c>
      <c r="AX24" s="31">
        <v>0</v>
      </c>
      <c r="AY24" s="141" t="s">
        <v>1</v>
      </c>
      <c r="AZ24" s="108">
        <v>0</v>
      </c>
      <c r="BA24" s="30" t="s">
        <v>1</v>
      </c>
      <c r="BB24" s="31" t="s">
        <v>103</v>
      </c>
      <c r="BC24" s="155" t="s">
        <v>1</v>
      </c>
      <c r="BD24" s="108" t="s">
        <v>1</v>
      </c>
      <c r="BE24" s="108" t="s">
        <v>1</v>
      </c>
      <c r="BF24" s="30" t="s">
        <v>1</v>
      </c>
      <c r="BG24" s="141" t="s">
        <v>1</v>
      </c>
      <c r="BH24" s="141" t="s">
        <v>1</v>
      </c>
      <c r="BI24" s="92" t="s">
        <v>73</v>
      </c>
      <c r="BJ24" s="92">
        <v>87</v>
      </c>
      <c r="BK24" s="92">
        <v>727</v>
      </c>
      <c r="BL24" s="92">
        <v>97</v>
      </c>
      <c r="BM24" s="92">
        <v>0</v>
      </c>
      <c r="BN24" s="92">
        <v>0</v>
      </c>
      <c r="BO24" s="92">
        <v>0</v>
      </c>
      <c r="BP24" s="92">
        <v>0</v>
      </c>
      <c r="BQ24" s="30" t="s">
        <v>1</v>
      </c>
      <c r="BR24" s="30" t="s">
        <v>1</v>
      </c>
      <c r="BS24" s="155" t="s">
        <v>1</v>
      </c>
      <c r="BT24" s="108" t="s">
        <v>1</v>
      </c>
      <c r="BU24" s="108" t="s">
        <v>1</v>
      </c>
      <c r="BV24" s="30" t="s">
        <v>1</v>
      </c>
      <c r="BW24" s="141" t="s">
        <v>1</v>
      </c>
      <c r="BX24" s="141" t="s">
        <v>1</v>
      </c>
      <c r="BY24" s="30" t="s">
        <v>1</v>
      </c>
      <c r="BZ24" s="30" t="s">
        <v>1</v>
      </c>
      <c r="CA24" s="155" t="s">
        <v>1</v>
      </c>
      <c r="CB24" s="108" t="s">
        <v>1</v>
      </c>
      <c r="CC24" s="108" t="s">
        <v>1</v>
      </c>
      <c r="CD24" s="30" t="s">
        <v>1</v>
      </c>
      <c r="CE24" s="141" t="s">
        <v>1</v>
      </c>
      <c r="CF24" s="141" t="s">
        <v>1</v>
      </c>
    </row>
    <row r="25" ht="19" customHeight="1" spans="1:84">
      <c r="A25" s="107">
        <v>45204</v>
      </c>
      <c r="B25" s="30" t="s">
        <v>1</v>
      </c>
      <c r="C25" s="155" t="s">
        <v>1</v>
      </c>
      <c r="D25" s="30" t="s">
        <v>1</v>
      </c>
      <c r="E25" s="30" t="s">
        <v>1</v>
      </c>
      <c r="F25" s="30" t="s">
        <v>1</v>
      </c>
      <c r="G25" s="141" t="s">
        <v>1</v>
      </c>
      <c r="H25" s="141" t="e">
        <f t="shared" si="0"/>
        <v>#VALUE!</v>
      </c>
      <c r="I25" s="30" t="s">
        <v>1</v>
      </c>
      <c r="J25" s="30" t="s">
        <v>1</v>
      </c>
      <c r="K25" s="163" t="s">
        <v>1</v>
      </c>
      <c r="L25" s="168" t="s">
        <v>1</v>
      </c>
      <c r="M25" s="31" t="s">
        <v>1</v>
      </c>
      <c r="N25" s="167" t="s">
        <v>1</v>
      </c>
      <c r="O25" s="32" t="s">
        <v>1</v>
      </c>
      <c r="P25" s="141" t="s">
        <v>1</v>
      </c>
      <c r="Q25" s="30" t="s">
        <v>1</v>
      </c>
      <c r="R25" s="30" t="s">
        <v>1</v>
      </c>
      <c r="S25" s="155" t="s">
        <v>1</v>
      </c>
      <c r="T25" s="155" t="s">
        <v>1</v>
      </c>
      <c r="U25" s="108" t="s">
        <v>1</v>
      </c>
      <c r="V25" s="18" t="s">
        <v>1</v>
      </c>
      <c r="W25" s="157">
        <v>775</v>
      </c>
      <c r="X25" s="18" t="s">
        <v>1</v>
      </c>
      <c r="Y25" s="157">
        <v>329</v>
      </c>
      <c r="Z25" s="18" t="s">
        <v>1</v>
      </c>
      <c r="AA25" s="158">
        <v>2.36</v>
      </c>
      <c r="AB25" s="18" t="s">
        <v>1</v>
      </c>
      <c r="AC25" s="158">
        <v>74.54</v>
      </c>
      <c r="AD25" s="159" t="s">
        <v>1</v>
      </c>
      <c r="AE25" s="160" t="s">
        <v>1</v>
      </c>
      <c r="AF25" s="18" t="s">
        <v>1</v>
      </c>
      <c r="AG25" s="38">
        <v>15</v>
      </c>
      <c r="AH25" s="18">
        <v>758</v>
      </c>
      <c r="AI25" s="18">
        <v>257</v>
      </c>
      <c r="AJ25" s="18">
        <v>201</v>
      </c>
      <c r="AK25" s="18">
        <v>100</v>
      </c>
      <c r="AL25" s="18">
        <v>15</v>
      </c>
      <c r="AM25" s="18">
        <v>1</v>
      </c>
      <c r="AN25" s="18">
        <v>10</v>
      </c>
      <c r="AO25" s="18">
        <v>12</v>
      </c>
      <c r="AP25" s="18">
        <v>304</v>
      </c>
      <c r="AQ25" s="18">
        <v>98</v>
      </c>
      <c r="AR25" s="18">
        <v>57</v>
      </c>
      <c r="AS25" s="19">
        <v>19</v>
      </c>
      <c r="AT25" s="30" t="s">
        <v>1</v>
      </c>
      <c r="AU25" s="155" t="s">
        <v>1</v>
      </c>
      <c r="AV25" s="108">
        <v>0</v>
      </c>
      <c r="AW25" s="108" t="s">
        <v>1</v>
      </c>
      <c r="AX25" s="31">
        <v>0</v>
      </c>
      <c r="AY25" s="141" t="s">
        <v>1</v>
      </c>
      <c r="AZ25" s="108">
        <v>0</v>
      </c>
      <c r="BA25" s="30" t="s">
        <v>1</v>
      </c>
      <c r="BB25" s="31" t="s">
        <v>103</v>
      </c>
      <c r="BC25" s="155" t="s">
        <v>1</v>
      </c>
      <c r="BD25" s="108" t="s">
        <v>1</v>
      </c>
      <c r="BE25" s="108" t="s">
        <v>1</v>
      </c>
      <c r="BF25" s="30" t="s">
        <v>1</v>
      </c>
      <c r="BG25" s="141" t="s">
        <v>1</v>
      </c>
      <c r="BH25" s="141" t="s">
        <v>1</v>
      </c>
      <c r="BI25" s="92" t="s">
        <v>73</v>
      </c>
      <c r="BJ25" s="92">
        <v>100</v>
      </c>
      <c r="BK25" s="92">
        <v>647</v>
      </c>
      <c r="BL25" s="92">
        <v>94</v>
      </c>
      <c r="BM25" s="92">
        <v>0</v>
      </c>
      <c r="BN25" s="92">
        <v>0</v>
      </c>
      <c r="BO25" s="92">
        <v>0</v>
      </c>
      <c r="BP25" s="92">
        <v>0</v>
      </c>
      <c r="BQ25" s="30" t="s">
        <v>1</v>
      </c>
      <c r="BR25" s="30" t="s">
        <v>1</v>
      </c>
      <c r="BS25" s="155" t="s">
        <v>1</v>
      </c>
      <c r="BT25" s="108" t="s">
        <v>1</v>
      </c>
      <c r="BU25" s="108" t="s">
        <v>1</v>
      </c>
      <c r="BV25" s="30" t="s">
        <v>1</v>
      </c>
      <c r="BW25" s="141" t="s">
        <v>1</v>
      </c>
      <c r="BX25" s="141" t="s">
        <v>1</v>
      </c>
      <c r="BY25" s="30" t="s">
        <v>1</v>
      </c>
      <c r="BZ25" s="30" t="s">
        <v>1</v>
      </c>
      <c r="CA25" s="155" t="s">
        <v>1</v>
      </c>
      <c r="CB25" s="108" t="s">
        <v>1</v>
      </c>
      <c r="CC25" s="108" t="s">
        <v>1</v>
      </c>
      <c r="CD25" s="30" t="s">
        <v>1</v>
      </c>
      <c r="CE25" s="141" t="s">
        <v>1</v>
      </c>
      <c r="CF25" s="141" t="s">
        <v>1</v>
      </c>
    </row>
    <row r="26" ht="19" customHeight="1" spans="1:84">
      <c r="A26" s="107">
        <v>45205</v>
      </c>
      <c r="B26" s="30" t="s">
        <v>1</v>
      </c>
      <c r="C26" s="155" t="s">
        <v>1</v>
      </c>
      <c r="D26" s="30" t="s">
        <v>1</v>
      </c>
      <c r="E26" s="30" t="s">
        <v>1</v>
      </c>
      <c r="F26" s="30" t="s">
        <v>1</v>
      </c>
      <c r="G26" s="141" t="s">
        <v>1</v>
      </c>
      <c r="H26" s="141" t="e">
        <f t="shared" si="0"/>
        <v>#VALUE!</v>
      </c>
      <c r="I26" s="30" t="s">
        <v>1</v>
      </c>
      <c r="J26" s="30" t="s">
        <v>1</v>
      </c>
      <c r="K26" s="163" t="s">
        <v>1</v>
      </c>
      <c r="L26" s="168" t="s">
        <v>1</v>
      </c>
      <c r="M26" s="31" t="s">
        <v>1</v>
      </c>
      <c r="N26" s="167" t="s">
        <v>1</v>
      </c>
      <c r="O26" s="32" t="s">
        <v>1</v>
      </c>
      <c r="P26" s="141" t="s">
        <v>1</v>
      </c>
      <c r="Q26" s="30" t="s">
        <v>1</v>
      </c>
      <c r="R26" s="30" t="s">
        <v>1</v>
      </c>
      <c r="S26" s="155" t="s">
        <v>1</v>
      </c>
      <c r="T26" s="155" t="s">
        <v>1</v>
      </c>
      <c r="U26" s="108" t="s">
        <v>1</v>
      </c>
      <c r="V26" s="18" t="s">
        <v>1</v>
      </c>
      <c r="W26" s="157">
        <v>1208</v>
      </c>
      <c r="X26" s="18" t="s">
        <v>1</v>
      </c>
      <c r="Y26" s="157">
        <v>360</v>
      </c>
      <c r="Z26" s="18" t="s">
        <v>1</v>
      </c>
      <c r="AA26" s="158">
        <v>3.36</v>
      </c>
      <c r="AB26" s="18" t="s">
        <v>1</v>
      </c>
      <c r="AC26" s="158">
        <v>88.66</v>
      </c>
      <c r="AD26" s="159" t="s">
        <v>1</v>
      </c>
      <c r="AE26" s="160" t="s">
        <v>1</v>
      </c>
      <c r="AF26" s="18" t="s">
        <v>1</v>
      </c>
      <c r="AG26" s="38">
        <v>14</v>
      </c>
      <c r="AH26" s="18">
        <v>643</v>
      </c>
      <c r="AI26" s="18">
        <v>271</v>
      </c>
      <c r="AJ26" s="18">
        <v>195</v>
      </c>
      <c r="AK26" s="18">
        <v>141</v>
      </c>
      <c r="AL26" s="18">
        <v>8</v>
      </c>
      <c r="AM26" s="18">
        <v>6</v>
      </c>
      <c r="AN26" s="18">
        <v>13</v>
      </c>
      <c r="AO26" s="18">
        <v>8</v>
      </c>
      <c r="AP26" s="18">
        <v>299</v>
      </c>
      <c r="AQ26" s="18">
        <v>118</v>
      </c>
      <c r="AR26" s="18">
        <v>51</v>
      </c>
      <c r="AS26" s="19">
        <v>32</v>
      </c>
      <c r="AT26" s="30" t="s">
        <v>1</v>
      </c>
      <c r="AU26" s="155" t="s">
        <v>1</v>
      </c>
      <c r="AV26" s="108">
        <v>0</v>
      </c>
      <c r="AW26" s="108" t="s">
        <v>1</v>
      </c>
      <c r="AX26" s="31">
        <v>0</v>
      </c>
      <c r="AY26" s="141" t="s">
        <v>1</v>
      </c>
      <c r="AZ26" s="108">
        <v>0</v>
      </c>
      <c r="BA26" s="30" t="s">
        <v>1</v>
      </c>
      <c r="BB26" s="31" t="s">
        <v>103</v>
      </c>
      <c r="BC26" s="155" t="s">
        <v>1</v>
      </c>
      <c r="BD26" s="108" t="s">
        <v>1</v>
      </c>
      <c r="BE26" s="108" t="s">
        <v>1</v>
      </c>
      <c r="BF26" s="30" t="s">
        <v>1</v>
      </c>
      <c r="BG26" s="141" t="s">
        <v>1</v>
      </c>
      <c r="BH26" s="141" t="s">
        <v>1</v>
      </c>
      <c r="BI26" s="92" t="s">
        <v>74</v>
      </c>
      <c r="BJ26" s="92">
        <v>127</v>
      </c>
      <c r="BK26" s="92">
        <v>551</v>
      </c>
      <c r="BL26" s="92">
        <v>156</v>
      </c>
      <c r="BM26" s="92">
        <v>0</v>
      </c>
      <c r="BN26" s="92">
        <v>0</v>
      </c>
      <c r="BO26" s="92">
        <v>0</v>
      </c>
      <c r="BP26" s="92">
        <v>0</v>
      </c>
      <c r="BQ26" s="30" t="s">
        <v>1</v>
      </c>
      <c r="BR26" s="30" t="s">
        <v>1</v>
      </c>
      <c r="BS26" s="155" t="s">
        <v>1</v>
      </c>
      <c r="BT26" s="108" t="s">
        <v>1</v>
      </c>
      <c r="BU26" s="108" t="s">
        <v>1</v>
      </c>
      <c r="BV26" s="30" t="s">
        <v>1</v>
      </c>
      <c r="BW26" s="141" t="s">
        <v>1</v>
      </c>
      <c r="BX26" s="141" t="s">
        <v>1</v>
      </c>
      <c r="BY26" s="30" t="s">
        <v>1</v>
      </c>
      <c r="BZ26" s="30" t="s">
        <v>1</v>
      </c>
      <c r="CA26" s="155" t="s">
        <v>1</v>
      </c>
      <c r="CB26" s="108" t="s">
        <v>1</v>
      </c>
      <c r="CC26" s="108" t="s">
        <v>1</v>
      </c>
      <c r="CD26" s="30" t="s">
        <v>1</v>
      </c>
      <c r="CE26" s="141" t="s">
        <v>1</v>
      </c>
      <c r="CF26" s="141" t="s">
        <v>1</v>
      </c>
    </row>
    <row r="27" ht="19" customHeight="1" spans="1:84">
      <c r="A27" s="107">
        <v>45206</v>
      </c>
      <c r="B27" s="30" t="s">
        <v>1</v>
      </c>
      <c r="C27" s="155" t="s">
        <v>1</v>
      </c>
      <c r="D27" s="30" t="s">
        <v>1</v>
      </c>
      <c r="E27" s="30" t="s">
        <v>1</v>
      </c>
      <c r="F27" s="30" t="s">
        <v>1</v>
      </c>
      <c r="G27" s="141" t="s">
        <v>1</v>
      </c>
      <c r="H27" s="141" t="e">
        <f t="shared" si="0"/>
        <v>#VALUE!</v>
      </c>
      <c r="I27" s="30" t="s">
        <v>1</v>
      </c>
      <c r="J27" s="30" t="s">
        <v>1</v>
      </c>
      <c r="K27" s="155" t="s">
        <v>1</v>
      </c>
      <c r="L27" s="162" t="s">
        <v>1</v>
      </c>
      <c r="M27" s="169" t="s">
        <v>1</v>
      </c>
      <c r="N27" s="31" t="s">
        <v>1</v>
      </c>
      <c r="O27" s="32" t="s">
        <v>1</v>
      </c>
      <c r="P27" s="141" t="s">
        <v>1</v>
      </c>
      <c r="Q27" s="30" t="s">
        <v>1</v>
      </c>
      <c r="R27" s="30" t="s">
        <v>1</v>
      </c>
      <c r="S27" s="155" t="s">
        <v>1</v>
      </c>
      <c r="T27" s="155" t="s">
        <v>1</v>
      </c>
      <c r="U27" s="108" t="s">
        <v>1</v>
      </c>
      <c r="V27" s="18" t="s">
        <v>1</v>
      </c>
      <c r="W27" s="157">
        <v>1276</v>
      </c>
      <c r="X27" s="18" t="s">
        <v>1</v>
      </c>
      <c r="Y27" s="157">
        <v>346</v>
      </c>
      <c r="Z27" s="18" t="s">
        <v>1</v>
      </c>
      <c r="AA27" s="158">
        <v>3.69</v>
      </c>
      <c r="AB27" s="18" t="s">
        <v>1</v>
      </c>
      <c r="AC27" s="158">
        <v>104.6</v>
      </c>
      <c r="AD27" s="159" t="s">
        <v>1</v>
      </c>
      <c r="AE27" s="160" t="s">
        <v>1</v>
      </c>
      <c r="AF27" s="18" t="s">
        <v>1</v>
      </c>
      <c r="AG27" s="38">
        <v>21</v>
      </c>
      <c r="AH27" s="18">
        <v>500</v>
      </c>
      <c r="AI27" s="18">
        <v>279</v>
      </c>
      <c r="AJ27" s="18">
        <v>68</v>
      </c>
      <c r="AK27" s="18">
        <v>111</v>
      </c>
      <c r="AL27" s="18">
        <v>10</v>
      </c>
      <c r="AM27" s="18">
        <v>5</v>
      </c>
      <c r="AN27" s="18">
        <v>8</v>
      </c>
      <c r="AO27" s="18">
        <v>11</v>
      </c>
      <c r="AP27" s="18">
        <v>284</v>
      </c>
      <c r="AQ27" s="18">
        <v>129</v>
      </c>
      <c r="AR27" s="18">
        <v>35</v>
      </c>
      <c r="AS27" s="19">
        <v>29</v>
      </c>
      <c r="AT27" s="30" t="s">
        <v>1</v>
      </c>
      <c r="AU27" s="155" t="s">
        <v>1</v>
      </c>
      <c r="AV27" s="108">
        <v>0</v>
      </c>
      <c r="AW27" s="108" t="s">
        <v>1</v>
      </c>
      <c r="AX27" s="31">
        <v>0</v>
      </c>
      <c r="AY27" s="141" t="s">
        <v>1</v>
      </c>
      <c r="AZ27" s="108">
        <v>0</v>
      </c>
      <c r="BA27" s="30" t="s">
        <v>1</v>
      </c>
      <c r="BB27" s="31" t="s">
        <v>103</v>
      </c>
      <c r="BC27" s="155" t="s">
        <v>1</v>
      </c>
      <c r="BD27" s="108" t="s">
        <v>1</v>
      </c>
      <c r="BE27" s="108" t="s">
        <v>1</v>
      </c>
      <c r="BF27" s="30" t="s">
        <v>1</v>
      </c>
      <c r="BG27" s="141" t="s">
        <v>1</v>
      </c>
      <c r="BH27" s="141" t="s">
        <v>1</v>
      </c>
      <c r="BI27" s="92" t="s">
        <v>74</v>
      </c>
      <c r="BJ27" s="30">
        <v>144</v>
      </c>
      <c r="BK27" s="155">
        <v>444</v>
      </c>
      <c r="BL27" s="92">
        <v>116</v>
      </c>
      <c r="BM27" s="92">
        <v>0</v>
      </c>
      <c r="BN27" s="92">
        <v>0</v>
      </c>
      <c r="BO27" s="92">
        <v>0</v>
      </c>
      <c r="BP27" s="92">
        <v>0</v>
      </c>
      <c r="BQ27" s="30" t="s">
        <v>1</v>
      </c>
      <c r="BR27" s="30" t="s">
        <v>1</v>
      </c>
      <c r="BS27" s="155" t="s">
        <v>1</v>
      </c>
      <c r="BT27" s="108" t="s">
        <v>1</v>
      </c>
      <c r="BU27" s="108" t="s">
        <v>1</v>
      </c>
      <c r="BV27" s="30" t="s">
        <v>1</v>
      </c>
      <c r="BW27" s="141" t="s">
        <v>1</v>
      </c>
      <c r="BX27" s="141" t="s">
        <v>1</v>
      </c>
      <c r="BY27" s="30" t="s">
        <v>1</v>
      </c>
      <c r="BZ27" s="30" t="s">
        <v>1</v>
      </c>
      <c r="CA27" s="155" t="s">
        <v>1</v>
      </c>
      <c r="CB27" s="108" t="s">
        <v>1</v>
      </c>
      <c r="CC27" s="108" t="s">
        <v>1</v>
      </c>
      <c r="CD27" s="30" t="s">
        <v>1</v>
      </c>
      <c r="CE27" s="141" t="s">
        <v>1</v>
      </c>
      <c r="CF27" s="141" t="s">
        <v>1</v>
      </c>
    </row>
    <row r="28" ht="19" customHeight="1" spans="1:84">
      <c r="A28" s="107">
        <v>45207</v>
      </c>
      <c r="B28" s="30" t="s">
        <v>1</v>
      </c>
      <c r="C28" s="155" t="s">
        <v>1</v>
      </c>
      <c r="D28" s="30" t="s">
        <v>1</v>
      </c>
      <c r="E28" s="30" t="s">
        <v>1</v>
      </c>
      <c r="F28" s="30" t="s">
        <v>1</v>
      </c>
      <c r="G28" s="141" t="s">
        <v>1</v>
      </c>
      <c r="H28" s="141" t="e">
        <f t="shared" si="0"/>
        <v>#VALUE!</v>
      </c>
      <c r="I28" s="30" t="s">
        <v>1</v>
      </c>
      <c r="J28" s="30" t="s">
        <v>1</v>
      </c>
      <c r="K28" s="155" t="s">
        <v>1</v>
      </c>
      <c r="L28" s="124" t="s">
        <v>1</v>
      </c>
      <c r="M28" s="170" t="s">
        <v>1</v>
      </c>
      <c r="N28" s="167" t="s">
        <v>1</v>
      </c>
      <c r="O28" s="32" t="s">
        <v>1</v>
      </c>
      <c r="P28" s="141" t="s">
        <v>1</v>
      </c>
      <c r="Q28" s="30" t="s">
        <v>1</v>
      </c>
      <c r="R28" s="30" t="s">
        <v>1</v>
      </c>
      <c r="S28" s="155" t="s">
        <v>1</v>
      </c>
      <c r="T28" s="155" t="s">
        <v>1</v>
      </c>
      <c r="U28" s="108" t="s">
        <v>1</v>
      </c>
      <c r="V28" s="18" t="s">
        <v>1</v>
      </c>
      <c r="W28" s="157">
        <v>1065</v>
      </c>
      <c r="X28" s="18" t="s">
        <v>1</v>
      </c>
      <c r="Y28" s="157">
        <v>371</v>
      </c>
      <c r="Z28" s="18" t="s">
        <v>1</v>
      </c>
      <c r="AA28" s="158">
        <v>2.87</v>
      </c>
      <c r="AB28" s="18" t="s">
        <v>1</v>
      </c>
      <c r="AC28" s="158">
        <v>67.54</v>
      </c>
      <c r="AD28" s="159" t="s">
        <v>1</v>
      </c>
      <c r="AE28" s="160" t="s">
        <v>1</v>
      </c>
      <c r="AF28" s="18" t="s">
        <v>1</v>
      </c>
      <c r="AG28" s="38">
        <v>14</v>
      </c>
      <c r="AH28" s="18">
        <v>593</v>
      </c>
      <c r="AI28" s="18">
        <v>309</v>
      </c>
      <c r="AJ28" s="18">
        <v>65</v>
      </c>
      <c r="AK28" s="18">
        <v>98</v>
      </c>
      <c r="AL28" s="18">
        <v>12</v>
      </c>
      <c r="AM28" s="18">
        <v>1</v>
      </c>
      <c r="AN28" s="18">
        <v>5</v>
      </c>
      <c r="AO28" s="18">
        <v>9</v>
      </c>
      <c r="AP28" s="18">
        <v>313</v>
      </c>
      <c r="AQ28" s="18">
        <v>98</v>
      </c>
      <c r="AR28" s="18">
        <v>47</v>
      </c>
      <c r="AS28" s="19">
        <v>24</v>
      </c>
      <c r="AT28" s="30" t="s">
        <v>1</v>
      </c>
      <c r="AU28" s="155" t="s">
        <v>1</v>
      </c>
      <c r="AV28" s="108">
        <v>0</v>
      </c>
      <c r="AW28" s="108" t="s">
        <v>1</v>
      </c>
      <c r="AX28" s="31">
        <v>0</v>
      </c>
      <c r="AY28" s="141" t="s">
        <v>1</v>
      </c>
      <c r="AZ28" s="108">
        <v>0</v>
      </c>
      <c r="BA28" s="30" t="s">
        <v>1</v>
      </c>
      <c r="BB28" s="31" t="s">
        <v>103</v>
      </c>
      <c r="BC28" s="155" t="s">
        <v>1</v>
      </c>
      <c r="BD28" s="108" t="s">
        <v>1</v>
      </c>
      <c r="BE28" s="108" t="s">
        <v>1</v>
      </c>
      <c r="BF28" s="30" t="s">
        <v>1</v>
      </c>
      <c r="BG28" s="141" t="s">
        <v>1</v>
      </c>
      <c r="BH28" s="141" t="s">
        <v>1</v>
      </c>
      <c r="BI28" s="30" t="s">
        <v>1</v>
      </c>
      <c r="BJ28" s="30" t="s">
        <v>1</v>
      </c>
      <c r="BK28" s="155" t="s">
        <v>1</v>
      </c>
      <c r="BL28" s="92">
        <v>141</v>
      </c>
      <c r="BM28" s="108" t="s">
        <v>1</v>
      </c>
      <c r="BN28" s="30" t="s">
        <v>1</v>
      </c>
      <c r="BO28" s="141" t="s">
        <v>1</v>
      </c>
      <c r="BP28" s="92">
        <v>0</v>
      </c>
      <c r="BQ28" s="30" t="s">
        <v>1</v>
      </c>
      <c r="BR28" s="30" t="s">
        <v>1</v>
      </c>
      <c r="BS28" s="155" t="s">
        <v>1</v>
      </c>
      <c r="BT28" s="108" t="s">
        <v>1</v>
      </c>
      <c r="BU28" s="108" t="s">
        <v>1</v>
      </c>
      <c r="BV28" s="30" t="s">
        <v>1</v>
      </c>
      <c r="BW28" s="141" t="s">
        <v>1</v>
      </c>
      <c r="BX28" s="141" t="s">
        <v>1</v>
      </c>
      <c r="BY28" s="30" t="s">
        <v>1</v>
      </c>
      <c r="BZ28" s="30" t="s">
        <v>1</v>
      </c>
      <c r="CA28" s="155" t="s">
        <v>1</v>
      </c>
      <c r="CB28" s="108" t="s">
        <v>1</v>
      </c>
      <c r="CC28" s="108" t="s">
        <v>1</v>
      </c>
      <c r="CD28" s="30" t="s">
        <v>1</v>
      </c>
      <c r="CE28" s="141" t="s">
        <v>1</v>
      </c>
      <c r="CF28" s="141" t="s">
        <v>1</v>
      </c>
    </row>
    <row r="29" ht="19" customHeight="1" spans="1:84">
      <c r="A29" s="107">
        <v>45208</v>
      </c>
      <c r="B29" s="30" t="s">
        <v>1</v>
      </c>
      <c r="C29" s="155" t="s">
        <v>1</v>
      </c>
      <c r="D29" s="30" t="s">
        <v>1</v>
      </c>
      <c r="E29" s="30" t="s">
        <v>1</v>
      </c>
      <c r="F29" s="30" t="s">
        <v>1</v>
      </c>
      <c r="G29" s="141" t="s">
        <v>1</v>
      </c>
      <c r="H29" s="141" t="e">
        <f t="shared" si="0"/>
        <v>#VALUE!</v>
      </c>
      <c r="I29" s="30" t="s">
        <v>1</v>
      </c>
      <c r="J29" s="30" t="s">
        <v>1</v>
      </c>
      <c r="K29" s="155" t="s">
        <v>1</v>
      </c>
      <c r="L29" s="124" t="s">
        <v>1</v>
      </c>
      <c r="M29" s="170" t="s">
        <v>1</v>
      </c>
      <c r="N29" s="167" t="s">
        <v>1</v>
      </c>
      <c r="O29" s="32" t="s">
        <v>1</v>
      </c>
      <c r="P29" s="141" t="s">
        <v>1</v>
      </c>
      <c r="Q29" s="30" t="s">
        <v>1</v>
      </c>
      <c r="R29" s="30" t="s">
        <v>1</v>
      </c>
      <c r="S29" s="155" t="s">
        <v>1</v>
      </c>
      <c r="T29" s="155" t="s">
        <v>1</v>
      </c>
      <c r="U29" s="108" t="s">
        <v>1</v>
      </c>
      <c r="V29" s="18" t="s">
        <v>1</v>
      </c>
      <c r="W29" s="157">
        <v>1291</v>
      </c>
      <c r="X29" s="18" t="s">
        <v>1</v>
      </c>
      <c r="Y29" s="157">
        <v>357</v>
      </c>
      <c r="Z29" s="18" t="s">
        <v>1</v>
      </c>
      <c r="AA29" s="158">
        <v>3.62</v>
      </c>
      <c r="AB29" s="18" t="s">
        <v>1</v>
      </c>
      <c r="AC29" s="158">
        <v>95.08</v>
      </c>
      <c r="AD29" s="159" t="s">
        <v>1</v>
      </c>
      <c r="AE29" s="160" t="s">
        <v>1</v>
      </c>
      <c r="AF29" s="18" t="s">
        <v>1</v>
      </c>
      <c r="AG29" s="38">
        <v>18</v>
      </c>
      <c r="AH29" s="18" t="s">
        <v>1</v>
      </c>
      <c r="AI29" s="18">
        <v>278</v>
      </c>
      <c r="AJ29" s="18" t="s">
        <v>1</v>
      </c>
      <c r="AK29" s="18">
        <v>143</v>
      </c>
      <c r="AL29" s="18" t="s">
        <v>1</v>
      </c>
      <c r="AM29" s="18">
        <v>5</v>
      </c>
      <c r="AN29" s="18" t="s">
        <v>1</v>
      </c>
      <c r="AO29" s="18">
        <v>11</v>
      </c>
      <c r="AP29" s="18" t="s">
        <v>1</v>
      </c>
      <c r="AQ29" s="18">
        <v>121</v>
      </c>
      <c r="AR29" s="18" t="s">
        <v>1</v>
      </c>
      <c r="AS29" s="19">
        <v>29</v>
      </c>
      <c r="AT29" s="30" t="s">
        <v>1</v>
      </c>
      <c r="AU29" s="155" t="s">
        <v>1</v>
      </c>
      <c r="AV29" s="108">
        <v>0</v>
      </c>
      <c r="AW29" s="108" t="s">
        <v>1</v>
      </c>
      <c r="AX29" s="31">
        <v>0</v>
      </c>
      <c r="AY29" s="141" t="s">
        <v>1</v>
      </c>
      <c r="AZ29" s="108">
        <v>0</v>
      </c>
      <c r="BA29" s="30" t="s">
        <v>1</v>
      </c>
      <c r="BB29" s="31" t="s">
        <v>103</v>
      </c>
      <c r="BC29" s="155" t="s">
        <v>1</v>
      </c>
      <c r="BD29" s="108" t="s">
        <v>1</v>
      </c>
      <c r="BE29" s="108" t="s">
        <v>1</v>
      </c>
      <c r="BF29" s="30" t="s">
        <v>1</v>
      </c>
      <c r="BG29" s="141" t="s">
        <v>1</v>
      </c>
      <c r="BH29" s="141" t="s">
        <v>1</v>
      </c>
      <c r="BI29" s="30" t="s">
        <v>1</v>
      </c>
      <c r="BJ29" s="30" t="s">
        <v>1</v>
      </c>
      <c r="BK29" s="155" t="s">
        <v>1</v>
      </c>
      <c r="BL29" s="92">
        <v>58</v>
      </c>
      <c r="BM29" s="108" t="s">
        <v>1</v>
      </c>
      <c r="BN29" s="30" t="s">
        <v>1</v>
      </c>
      <c r="BO29" s="141" t="s">
        <v>1</v>
      </c>
      <c r="BP29" s="92">
        <v>0</v>
      </c>
      <c r="BQ29" s="30" t="s">
        <v>1</v>
      </c>
      <c r="BR29" s="30" t="s">
        <v>1</v>
      </c>
      <c r="BS29" s="155" t="s">
        <v>1</v>
      </c>
      <c r="BT29" s="108" t="s">
        <v>1</v>
      </c>
      <c r="BU29" s="108" t="s">
        <v>1</v>
      </c>
      <c r="BV29" s="30" t="s">
        <v>1</v>
      </c>
      <c r="BW29" s="141" t="s">
        <v>1</v>
      </c>
      <c r="BX29" s="141" t="s">
        <v>1</v>
      </c>
      <c r="BY29" s="30" t="s">
        <v>1</v>
      </c>
      <c r="BZ29" s="30" t="s">
        <v>1</v>
      </c>
      <c r="CA29" s="155" t="s">
        <v>1</v>
      </c>
      <c r="CB29" s="108" t="s">
        <v>1</v>
      </c>
      <c r="CC29" s="108" t="s">
        <v>1</v>
      </c>
      <c r="CD29" s="30" t="s">
        <v>1</v>
      </c>
      <c r="CE29" s="141" t="s">
        <v>1</v>
      </c>
      <c r="CF29" s="141" t="s">
        <v>1</v>
      </c>
    </row>
    <row r="30" ht="19" customHeight="1" spans="1:84">
      <c r="A30" s="107">
        <v>45209</v>
      </c>
      <c r="B30" s="30" t="s">
        <v>1</v>
      </c>
      <c r="C30" s="155" t="s">
        <v>1</v>
      </c>
      <c r="D30" s="30" t="s">
        <v>1</v>
      </c>
      <c r="E30" s="30" t="s">
        <v>1</v>
      </c>
      <c r="F30" s="30" t="s">
        <v>1</v>
      </c>
      <c r="G30" s="141" t="s">
        <v>1</v>
      </c>
      <c r="H30" s="141" t="e">
        <f t="shared" si="0"/>
        <v>#VALUE!</v>
      </c>
      <c r="I30" s="30" t="s">
        <v>1</v>
      </c>
      <c r="J30" s="30" t="s">
        <v>1</v>
      </c>
      <c r="K30" s="155" t="s">
        <v>1</v>
      </c>
      <c r="L30" s="124" t="s">
        <v>1</v>
      </c>
      <c r="M30" s="31" t="s">
        <v>1</v>
      </c>
      <c r="N30" s="167" t="s">
        <v>1</v>
      </c>
      <c r="O30" s="32" t="s">
        <v>1</v>
      </c>
      <c r="P30" s="141" t="s">
        <v>1</v>
      </c>
      <c r="Q30" s="30" t="s">
        <v>1</v>
      </c>
      <c r="R30" s="30" t="s">
        <v>1</v>
      </c>
      <c r="S30" s="155" t="s">
        <v>1</v>
      </c>
      <c r="T30" s="155" t="s">
        <v>1</v>
      </c>
      <c r="U30" s="108" t="s">
        <v>1</v>
      </c>
      <c r="V30" s="18" t="s">
        <v>1</v>
      </c>
      <c r="W30" s="157">
        <v>1141</v>
      </c>
      <c r="X30" s="18" t="s">
        <v>1</v>
      </c>
      <c r="Y30" s="157">
        <v>369</v>
      </c>
      <c r="Z30" s="18" t="s">
        <v>1</v>
      </c>
      <c r="AA30" s="158">
        <v>3.09</v>
      </c>
      <c r="AB30" s="18" t="s">
        <v>1</v>
      </c>
      <c r="AC30" s="158">
        <v>81.06</v>
      </c>
      <c r="AD30" s="159" t="s">
        <v>1</v>
      </c>
      <c r="AE30" s="160" t="s">
        <v>1</v>
      </c>
      <c r="AF30" s="18" t="s">
        <v>1</v>
      </c>
      <c r="AG30" s="38">
        <v>16</v>
      </c>
      <c r="AH30" s="18" t="s">
        <v>1</v>
      </c>
      <c r="AI30" s="18">
        <v>286</v>
      </c>
      <c r="AJ30" s="18" t="s">
        <v>1</v>
      </c>
      <c r="AK30" s="18">
        <v>146</v>
      </c>
      <c r="AL30" s="18" t="s">
        <v>1</v>
      </c>
      <c r="AM30" s="18">
        <v>4</v>
      </c>
      <c r="AN30" s="18" t="s">
        <v>1</v>
      </c>
      <c r="AO30" s="18">
        <v>10</v>
      </c>
      <c r="AP30" s="18" t="s">
        <v>1</v>
      </c>
      <c r="AQ30" s="18">
        <v>108</v>
      </c>
      <c r="AR30" s="18" t="s">
        <v>1</v>
      </c>
      <c r="AS30" s="19">
        <v>24</v>
      </c>
      <c r="AT30" s="30" t="s">
        <v>1</v>
      </c>
      <c r="AU30" s="155" t="s">
        <v>1</v>
      </c>
      <c r="AV30" s="108">
        <v>0</v>
      </c>
      <c r="AW30" s="108" t="s">
        <v>1</v>
      </c>
      <c r="AX30" s="31">
        <v>0</v>
      </c>
      <c r="AY30" s="141" t="s">
        <v>1</v>
      </c>
      <c r="AZ30" s="108">
        <v>0</v>
      </c>
      <c r="BA30" s="30" t="s">
        <v>1</v>
      </c>
      <c r="BB30" s="31" t="s">
        <v>103</v>
      </c>
      <c r="BC30" s="155" t="s">
        <v>1</v>
      </c>
      <c r="BD30" s="108" t="s">
        <v>1</v>
      </c>
      <c r="BE30" s="108" t="s">
        <v>1</v>
      </c>
      <c r="BF30" s="30" t="s">
        <v>1</v>
      </c>
      <c r="BG30" s="141" t="s">
        <v>1</v>
      </c>
      <c r="BH30" s="141" t="s">
        <v>1</v>
      </c>
      <c r="BI30" s="30" t="s">
        <v>1</v>
      </c>
      <c r="BJ30" s="30" t="s">
        <v>1</v>
      </c>
      <c r="BK30" s="155" t="s">
        <v>1</v>
      </c>
      <c r="BL30" s="92">
        <v>103</v>
      </c>
      <c r="BM30" s="108" t="s">
        <v>1</v>
      </c>
      <c r="BN30" s="30" t="s">
        <v>1</v>
      </c>
      <c r="BO30" s="141" t="s">
        <v>1</v>
      </c>
      <c r="BP30" s="92">
        <v>0</v>
      </c>
      <c r="BQ30" s="30" t="s">
        <v>1</v>
      </c>
      <c r="BR30" s="30" t="s">
        <v>1</v>
      </c>
      <c r="BS30" s="155" t="s">
        <v>1</v>
      </c>
      <c r="BT30" s="108" t="s">
        <v>1</v>
      </c>
      <c r="BU30" s="108" t="s">
        <v>1</v>
      </c>
      <c r="BV30" s="30" t="s">
        <v>1</v>
      </c>
      <c r="BW30" s="141" t="s">
        <v>1</v>
      </c>
      <c r="BX30" s="141" t="s">
        <v>1</v>
      </c>
      <c r="BY30" s="30" t="s">
        <v>1</v>
      </c>
      <c r="BZ30" s="30" t="s">
        <v>1</v>
      </c>
      <c r="CA30" s="155" t="s">
        <v>1</v>
      </c>
      <c r="CB30" s="108" t="s">
        <v>1</v>
      </c>
      <c r="CC30" s="108" t="s">
        <v>1</v>
      </c>
      <c r="CD30" s="30" t="s">
        <v>1</v>
      </c>
      <c r="CE30" s="141" t="s">
        <v>1</v>
      </c>
      <c r="CF30" s="141" t="s">
        <v>1</v>
      </c>
    </row>
    <row r="31" ht="19" customHeight="1" spans="1:84">
      <c r="A31" s="107">
        <v>45210</v>
      </c>
      <c r="B31" s="30" t="s">
        <v>1</v>
      </c>
      <c r="C31" s="155" t="s">
        <v>1</v>
      </c>
      <c r="D31" s="30" t="s">
        <v>1</v>
      </c>
      <c r="E31" s="30" t="s">
        <v>1</v>
      </c>
      <c r="F31" s="30" t="s">
        <v>1</v>
      </c>
      <c r="G31" s="141" t="s">
        <v>1</v>
      </c>
      <c r="H31" s="141" t="e">
        <f t="shared" si="0"/>
        <v>#VALUE!</v>
      </c>
      <c r="I31" s="30" t="s">
        <v>1</v>
      </c>
      <c r="J31" s="30" t="s">
        <v>1</v>
      </c>
      <c r="K31" s="155" t="s">
        <v>1</v>
      </c>
      <c r="L31" s="108" t="s">
        <v>1</v>
      </c>
      <c r="M31" s="31" t="s">
        <v>1</v>
      </c>
      <c r="N31" s="31" t="s">
        <v>1</v>
      </c>
      <c r="O31" s="32" t="s">
        <v>1</v>
      </c>
      <c r="P31" s="141" t="s">
        <v>1</v>
      </c>
      <c r="Q31" s="30" t="s">
        <v>1</v>
      </c>
      <c r="R31" s="30" t="s">
        <v>1</v>
      </c>
      <c r="S31" s="155" t="s">
        <v>1</v>
      </c>
      <c r="T31" s="155" t="s">
        <v>1</v>
      </c>
      <c r="U31" s="108" t="s">
        <v>1</v>
      </c>
      <c r="V31" s="18" t="s">
        <v>1</v>
      </c>
      <c r="W31" s="157">
        <v>1224</v>
      </c>
      <c r="X31" s="18" t="s">
        <v>1</v>
      </c>
      <c r="Y31" s="157">
        <v>385</v>
      </c>
      <c r="Z31" s="18" t="s">
        <v>1</v>
      </c>
      <c r="AA31" s="158">
        <v>3.18</v>
      </c>
      <c r="AB31" s="18" t="s">
        <v>1</v>
      </c>
      <c r="AC31" s="158">
        <v>86.26</v>
      </c>
      <c r="AD31" s="159" t="s">
        <v>1</v>
      </c>
      <c r="AE31" s="160" t="s">
        <v>1</v>
      </c>
      <c r="AF31" s="18" t="s">
        <v>1</v>
      </c>
      <c r="AG31" s="38">
        <v>22</v>
      </c>
      <c r="AH31" s="18" t="s">
        <v>1</v>
      </c>
      <c r="AI31" s="18">
        <v>265</v>
      </c>
      <c r="AJ31" s="18" t="s">
        <v>1</v>
      </c>
      <c r="AK31" s="18">
        <v>166</v>
      </c>
      <c r="AL31" s="18" t="s">
        <v>1</v>
      </c>
      <c r="AM31" s="18" t="s">
        <v>1</v>
      </c>
      <c r="AN31" s="18" t="s">
        <v>1</v>
      </c>
      <c r="AO31" s="18">
        <v>12</v>
      </c>
      <c r="AP31" s="18" t="s">
        <v>1</v>
      </c>
      <c r="AQ31" s="18">
        <v>105</v>
      </c>
      <c r="AR31" s="18" t="s">
        <v>1</v>
      </c>
      <c r="AS31" s="19">
        <v>33</v>
      </c>
      <c r="AT31" s="30" t="s">
        <v>1</v>
      </c>
      <c r="AU31" s="155" t="s">
        <v>1</v>
      </c>
      <c r="AV31" s="108">
        <v>0</v>
      </c>
      <c r="AW31" s="108" t="s">
        <v>1</v>
      </c>
      <c r="AX31" s="31">
        <v>0</v>
      </c>
      <c r="AY31" s="141" t="s">
        <v>1</v>
      </c>
      <c r="AZ31" s="108">
        <v>0</v>
      </c>
      <c r="BA31" s="30" t="s">
        <v>1</v>
      </c>
      <c r="BB31" s="31" t="s">
        <v>103</v>
      </c>
      <c r="BC31" s="155" t="s">
        <v>1</v>
      </c>
      <c r="BD31" s="108" t="s">
        <v>1</v>
      </c>
      <c r="BE31" s="108" t="s">
        <v>1</v>
      </c>
      <c r="BF31" s="30" t="s">
        <v>1</v>
      </c>
      <c r="BG31" s="141" t="s">
        <v>1</v>
      </c>
      <c r="BH31" s="141" t="s">
        <v>1</v>
      </c>
      <c r="BI31" s="30" t="s">
        <v>1</v>
      </c>
      <c r="BJ31" s="30" t="s">
        <v>1</v>
      </c>
      <c r="BK31" s="155" t="s">
        <v>1</v>
      </c>
      <c r="BL31" s="92">
        <v>156</v>
      </c>
      <c r="BM31" s="108" t="s">
        <v>1</v>
      </c>
      <c r="BN31" s="30" t="s">
        <v>1</v>
      </c>
      <c r="BO31" s="141" t="s">
        <v>1</v>
      </c>
      <c r="BP31" s="92">
        <v>0</v>
      </c>
      <c r="BQ31" s="30" t="s">
        <v>1</v>
      </c>
      <c r="BR31" s="30" t="s">
        <v>1</v>
      </c>
      <c r="BS31" s="155" t="s">
        <v>1</v>
      </c>
      <c r="BT31" s="108" t="s">
        <v>1</v>
      </c>
      <c r="BU31" s="108" t="s">
        <v>1</v>
      </c>
      <c r="BV31" s="30" t="s">
        <v>1</v>
      </c>
      <c r="BW31" s="141" t="s">
        <v>1</v>
      </c>
      <c r="BX31" s="141" t="s">
        <v>1</v>
      </c>
      <c r="BY31" s="30" t="s">
        <v>1</v>
      </c>
      <c r="BZ31" s="30" t="s">
        <v>1</v>
      </c>
      <c r="CA31" s="155" t="s">
        <v>1</v>
      </c>
      <c r="CB31" s="108" t="s">
        <v>1</v>
      </c>
      <c r="CC31" s="108" t="s">
        <v>1</v>
      </c>
      <c r="CD31" s="30" t="s">
        <v>1</v>
      </c>
      <c r="CE31" s="141" t="s">
        <v>1</v>
      </c>
      <c r="CF31" s="141" t="s">
        <v>1</v>
      </c>
    </row>
    <row r="32" ht="19" customHeight="1" spans="1:84">
      <c r="A32" s="107">
        <v>45211</v>
      </c>
      <c r="B32" s="30" t="s">
        <v>1</v>
      </c>
      <c r="C32" s="155" t="s">
        <v>1</v>
      </c>
      <c r="D32" s="30" t="s">
        <v>1</v>
      </c>
      <c r="E32" s="30" t="s">
        <v>1</v>
      </c>
      <c r="F32" s="30" t="s">
        <v>1</v>
      </c>
      <c r="G32" s="141" t="s">
        <v>1</v>
      </c>
      <c r="H32" s="141" t="e">
        <f t="shared" si="0"/>
        <v>#VALUE!</v>
      </c>
      <c r="I32" s="30" t="s">
        <v>1</v>
      </c>
      <c r="J32" s="30" t="s">
        <v>1</v>
      </c>
      <c r="K32" s="155" t="s">
        <v>1</v>
      </c>
      <c r="L32" s="108" t="s">
        <v>1</v>
      </c>
      <c r="M32" s="165" t="s">
        <v>1</v>
      </c>
      <c r="N32" s="31" t="s">
        <v>1</v>
      </c>
      <c r="O32" s="32" t="s">
        <v>1</v>
      </c>
      <c r="P32" s="141" t="s">
        <v>1</v>
      </c>
      <c r="Q32" s="30" t="s">
        <v>1</v>
      </c>
      <c r="R32" s="30" t="s">
        <v>1</v>
      </c>
      <c r="S32" s="155" t="s">
        <v>1</v>
      </c>
      <c r="T32" s="155" t="s">
        <v>1</v>
      </c>
      <c r="U32" s="108" t="s">
        <v>1</v>
      </c>
      <c r="V32" s="18" t="s">
        <v>1</v>
      </c>
      <c r="W32" s="157">
        <v>1105</v>
      </c>
      <c r="X32" s="18" t="s">
        <v>1</v>
      </c>
      <c r="Y32" s="157">
        <v>341</v>
      </c>
      <c r="Z32" s="18" t="s">
        <v>1</v>
      </c>
      <c r="AA32" s="158">
        <v>3.24</v>
      </c>
      <c r="AB32" s="18" t="s">
        <v>1</v>
      </c>
      <c r="AC32" s="158">
        <v>79.09</v>
      </c>
      <c r="AD32" s="159" t="s">
        <v>1</v>
      </c>
      <c r="AE32" s="160" t="s">
        <v>1</v>
      </c>
      <c r="AF32" s="18" t="s">
        <v>1</v>
      </c>
      <c r="AG32" s="38">
        <v>11</v>
      </c>
      <c r="AH32" s="18" t="s">
        <v>1</v>
      </c>
      <c r="AI32" s="18">
        <v>246</v>
      </c>
      <c r="AJ32" s="18" t="s">
        <v>1</v>
      </c>
      <c r="AK32" s="18">
        <v>148</v>
      </c>
      <c r="AL32" s="18" t="s">
        <v>1</v>
      </c>
      <c r="AM32" s="18">
        <v>3</v>
      </c>
      <c r="AN32" s="18" t="s">
        <v>1</v>
      </c>
      <c r="AO32" s="18">
        <v>6</v>
      </c>
      <c r="AP32" s="18" t="s">
        <v>1</v>
      </c>
      <c r="AQ32" s="18">
        <v>96</v>
      </c>
      <c r="AR32" s="18" t="s">
        <v>1</v>
      </c>
      <c r="AS32" s="19">
        <v>26</v>
      </c>
      <c r="AT32" s="30" t="s">
        <v>1</v>
      </c>
      <c r="AU32" s="155" t="s">
        <v>1</v>
      </c>
      <c r="AV32" s="108">
        <v>0</v>
      </c>
      <c r="AW32" s="108" t="s">
        <v>1</v>
      </c>
      <c r="AX32" s="31">
        <v>0</v>
      </c>
      <c r="AY32" s="141" t="s">
        <v>1</v>
      </c>
      <c r="AZ32" s="108">
        <v>0</v>
      </c>
      <c r="BA32" s="30" t="s">
        <v>1</v>
      </c>
      <c r="BB32" s="31" t="s">
        <v>103</v>
      </c>
      <c r="BC32" s="155" t="s">
        <v>1</v>
      </c>
      <c r="BD32" s="108" t="s">
        <v>1</v>
      </c>
      <c r="BE32" s="108" t="s">
        <v>1</v>
      </c>
      <c r="BF32" s="30" t="s">
        <v>1</v>
      </c>
      <c r="BG32" s="141" t="s">
        <v>1</v>
      </c>
      <c r="BH32" s="141" t="s">
        <v>1</v>
      </c>
      <c r="BI32" s="30" t="s">
        <v>1</v>
      </c>
      <c r="BJ32" s="30" t="s">
        <v>1</v>
      </c>
      <c r="BK32" s="155" t="s">
        <v>1</v>
      </c>
      <c r="BL32" s="92">
        <v>75</v>
      </c>
      <c r="BM32" s="108" t="s">
        <v>1</v>
      </c>
      <c r="BN32" s="30" t="s">
        <v>1</v>
      </c>
      <c r="BO32" s="141" t="s">
        <v>1</v>
      </c>
      <c r="BP32" s="92">
        <v>0</v>
      </c>
      <c r="BQ32" s="30" t="s">
        <v>1</v>
      </c>
      <c r="BR32" s="30" t="s">
        <v>1</v>
      </c>
      <c r="BS32" s="155" t="s">
        <v>1</v>
      </c>
      <c r="BT32" s="108" t="s">
        <v>1</v>
      </c>
      <c r="BU32" s="108" t="s">
        <v>1</v>
      </c>
      <c r="BV32" s="30" t="s">
        <v>1</v>
      </c>
      <c r="BW32" s="141" t="s">
        <v>1</v>
      </c>
      <c r="BX32" s="141" t="s">
        <v>1</v>
      </c>
      <c r="BY32" s="30" t="s">
        <v>1</v>
      </c>
      <c r="BZ32" s="30" t="s">
        <v>1</v>
      </c>
      <c r="CA32" s="155" t="s">
        <v>1</v>
      </c>
      <c r="CB32" s="108" t="s">
        <v>1</v>
      </c>
      <c r="CC32" s="108" t="s">
        <v>1</v>
      </c>
      <c r="CD32" s="30" t="s">
        <v>1</v>
      </c>
      <c r="CE32" s="141" t="s">
        <v>1</v>
      </c>
      <c r="CF32" s="141" t="s">
        <v>1</v>
      </c>
    </row>
    <row r="33" ht="19" customHeight="1" spans="1:84">
      <c r="A33" s="107">
        <v>45212</v>
      </c>
      <c r="B33" s="30" t="s">
        <v>1</v>
      </c>
      <c r="C33" s="155" t="s">
        <v>1</v>
      </c>
      <c r="D33" s="30" t="s">
        <v>1</v>
      </c>
      <c r="E33" s="30" t="s">
        <v>1</v>
      </c>
      <c r="F33" s="30" t="s">
        <v>1</v>
      </c>
      <c r="G33" s="141" t="s">
        <v>1</v>
      </c>
      <c r="H33" s="141" t="e">
        <f t="shared" si="0"/>
        <v>#VALUE!</v>
      </c>
      <c r="I33" s="30" t="s">
        <v>1</v>
      </c>
      <c r="J33" s="30" t="s">
        <v>1</v>
      </c>
      <c r="K33" s="155" t="s">
        <v>1</v>
      </c>
      <c r="L33" s="124" t="s">
        <v>1</v>
      </c>
      <c r="M33" s="7" t="s">
        <v>1</v>
      </c>
      <c r="N33" s="167" t="s">
        <v>1</v>
      </c>
      <c r="O33" s="32" t="s">
        <v>1</v>
      </c>
      <c r="P33" s="141" t="s">
        <v>1</v>
      </c>
      <c r="Q33" s="30" t="s">
        <v>1</v>
      </c>
      <c r="R33" s="30" t="s">
        <v>1</v>
      </c>
      <c r="S33" s="155" t="s">
        <v>1</v>
      </c>
      <c r="T33" s="155" t="s">
        <v>1</v>
      </c>
      <c r="U33" s="108" t="s">
        <v>1</v>
      </c>
      <c r="V33" s="18" t="s">
        <v>1</v>
      </c>
      <c r="W33" s="157">
        <v>1144</v>
      </c>
      <c r="X33" s="18" t="s">
        <v>1</v>
      </c>
      <c r="Y33" s="157">
        <v>354</v>
      </c>
      <c r="Z33" s="18" t="s">
        <v>1</v>
      </c>
      <c r="AA33" s="158">
        <v>3.23</v>
      </c>
      <c r="AB33" s="18" t="s">
        <v>1</v>
      </c>
      <c r="AC33" s="158">
        <v>93.82</v>
      </c>
      <c r="AD33" s="159" t="s">
        <v>1</v>
      </c>
      <c r="AE33" s="160" t="s">
        <v>1</v>
      </c>
      <c r="AF33" s="18" t="s">
        <v>1</v>
      </c>
      <c r="AG33" s="38">
        <v>17</v>
      </c>
      <c r="AH33" s="18" t="s">
        <v>1</v>
      </c>
      <c r="AI33" s="18">
        <v>271</v>
      </c>
      <c r="AJ33" s="18" t="s">
        <v>1</v>
      </c>
      <c r="AK33" s="18">
        <v>150</v>
      </c>
      <c r="AL33" s="18" t="s">
        <v>1</v>
      </c>
      <c r="AM33" s="18">
        <v>4</v>
      </c>
      <c r="AN33" s="18" t="s">
        <v>1</v>
      </c>
      <c r="AO33" s="18">
        <v>5</v>
      </c>
      <c r="AP33" s="18" t="s">
        <v>1</v>
      </c>
      <c r="AQ33" s="18">
        <v>102</v>
      </c>
      <c r="AR33" s="18" t="s">
        <v>1</v>
      </c>
      <c r="AS33" s="19">
        <v>29</v>
      </c>
      <c r="AT33" s="30" t="s">
        <v>1</v>
      </c>
      <c r="AU33" s="155" t="s">
        <v>1</v>
      </c>
      <c r="AV33" s="108">
        <v>0</v>
      </c>
      <c r="AW33" s="108" t="s">
        <v>1</v>
      </c>
      <c r="AX33" s="31">
        <v>0</v>
      </c>
      <c r="AY33" s="141" t="s">
        <v>1</v>
      </c>
      <c r="AZ33" s="108">
        <v>0</v>
      </c>
      <c r="BA33" s="30" t="s">
        <v>1</v>
      </c>
      <c r="BB33" s="31" t="s">
        <v>103</v>
      </c>
      <c r="BC33" s="155" t="s">
        <v>1</v>
      </c>
      <c r="BD33" s="108" t="s">
        <v>1</v>
      </c>
      <c r="BE33" s="108" t="s">
        <v>1</v>
      </c>
      <c r="BF33" s="30" t="s">
        <v>1</v>
      </c>
      <c r="BG33" s="141" t="s">
        <v>1</v>
      </c>
      <c r="BH33" s="141" t="s">
        <v>1</v>
      </c>
      <c r="BI33" s="30" t="s">
        <v>1</v>
      </c>
      <c r="BJ33" s="30" t="s">
        <v>1</v>
      </c>
      <c r="BK33" s="155" t="s">
        <v>1</v>
      </c>
      <c r="BL33" s="92">
        <v>40</v>
      </c>
      <c r="BM33" s="108" t="s">
        <v>1</v>
      </c>
      <c r="BN33" s="30" t="s">
        <v>1</v>
      </c>
      <c r="BO33" s="141" t="s">
        <v>1</v>
      </c>
      <c r="BP33" s="92">
        <v>0</v>
      </c>
      <c r="BQ33" s="30" t="s">
        <v>1</v>
      </c>
      <c r="BR33" s="30" t="s">
        <v>1</v>
      </c>
      <c r="BS33" s="155" t="s">
        <v>1</v>
      </c>
      <c r="BT33" s="108" t="s">
        <v>1</v>
      </c>
      <c r="BU33" s="108" t="s">
        <v>1</v>
      </c>
      <c r="BV33" s="30" t="s">
        <v>1</v>
      </c>
      <c r="BW33" s="141" t="s">
        <v>1</v>
      </c>
      <c r="BX33" s="141" t="s">
        <v>1</v>
      </c>
      <c r="BY33" s="30" t="s">
        <v>1</v>
      </c>
      <c r="BZ33" s="30" t="s">
        <v>1</v>
      </c>
      <c r="CA33" s="155" t="s">
        <v>1</v>
      </c>
      <c r="CB33" s="108" t="s">
        <v>1</v>
      </c>
      <c r="CC33" s="108" t="s">
        <v>1</v>
      </c>
      <c r="CD33" s="30" t="s">
        <v>1</v>
      </c>
      <c r="CE33" s="141" t="s">
        <v>1</v>
      </c>
      <c r="CF33" s="141" t="s">
        <v>1</v>
      </c>
    </row>
    <row r="34" ht="19" customHeight="1" spans="1:84">
      <c r="A34" s="107">
        <v>45213</v>
      </c>
      <c r="B34" s="30" t="s">
        <v>1</v>
      </c>
      <c r="C34" s="155" t="s">
        <v>1</v>
      </c>
      <c r="D34" s="30" t="s">
        <v>1</v>
      </c>
      <c r="E34" s="30" t="s">
        <v>1</v>
      </c>
      <c r="F34" s="30" t="s">
        <v>1</v>
      </c>
      <c r="G34" s="141" t="s">
        <v>1</v>
      </c>
      <c r="H34" s="141" t="e">
        <f t="shared" si="0"/>
        <v>#VALUE!</v>
      </c>
      <c r="I34" s="30" t="s">
        <v>1</v>
      </c>
      <c r="J34" s="30" t="s">
        <v>1</v>
      </c>
      <c r="K34" s="155" t="s">
        <v>1</v>
      </c>
      <c r="L34" s="124" t="s">
        <v>1</v>
      </c>
      <c r="M34" s="31" t="s">
        <v>1</v>
      </c>
      <c r="N34" s="167" t="s">
        <v>1</v>
      </c>
      <c r="O34" s="32" t="s">
        <v>1</v>
      </c>
      <c r="P34" s="141" t="s">
        <v>1</v>
      </c>
      <c r="Q34" s="30" t="s">
        <v>1</v>
      </c>
      <c r="R34" s="30" t="s">
        <v>1</v>
      </c>
      <c r="S34" s="155" t="s">
        <v>1</v>
      </c>
      <c r="T34" s="155" t="s">
        <v>1</v>
      </c>
      <c r="U34" s="108" t="s">
        <v>1</v>
      </c>
      <c r="V34" s="18" t="s">
        <v>1</v>
      </c>
      <c r="W34" s="157">
        <v>984</v>
      </c>
      <c r="X34" s="18" t="s">
        <v>1</v>
      </c>
      <c r="Y34" s="157">
        <v>319</v>
      </c>
      <c r="Z34" s="18" t="s">
        <v>1</v>
      </c>
      <c r="AA34" s="158">
        <v>3.08</v>
      </c>
      <c r="AB34" s="18" t="s">
        <v>1</v>
      </c>
      <c r="AC34" s="158">
        <v>88.85</v>
      </c>
      <c r="AD34" s="159" t="s">
        <v>1</v>
      </c>
      <c r="AE34" s="160" t="s">
        <v>1</v>
      </c>
      <c r="AF34" s="18" t="s">
        <v>1</v>
      </c>
      <c r="AG34" s="38">
        <v>12</v>
      </c>
      <c r="AH34" s="18" t="s">
        <v>1</v>
      </c>
      <c r="AI34" s="18">
        <v>225</v>
      </c>
      <c r="AJ34" s="18" t="s">
        <v>1</v>
      </c>
      <c r="AK34" s="18">
        <v>144</v>
      </c>
      <c r="AL34" s="18" t="s">
        <v>1</v>
      </c>
      <c r="AM34" s="18">
        <v>2</v>
      </c>
      <c r="AN34" s="18" t="s">
        <v>1</v>
      </c>
      <c r="AO34" s="18">
        <v>17</v>
      </c>
      <c r="AP34" s="18" t="s">
        <v>1</v>
      </c>
      <c r="AQ34" s="18">
        <v>75</v>
      </c>
      <c r="AR34" s="18" t="s">
        <v>1</v>
      </c>
      <c r="AS34" s="19">
        <v>27</v>
      </c>
      <c r="AT34" s="30" t="s">
        <v>1</v>
      </c>
      <c r="AU34" s="155" t="s">
        <v>1</v>
      </c>
      <c r="AV34" s="108">
        <v>0</v>
      </c>
      <c r="AW34" s="108" t="s">
        <v>1</v>
      </c>
      <c r="AX34" s="31">
        <v>0</v>
      </c>
      <c r="AY34" s="141" t="s">
        <v>1</v>
      </c>
      <c r="AZ34" s="108">
        <v>0</v>
      </c>
      <c r="BA34" s="30" t="s">
        <v>1</v>
      </c>
      <c r="BB34" s="31" t="s">
        <v>103</v>
      </c>
      <c r="BC34" s="155" t="s">
        <v>1</v>
      </c>
      <c r="BD34" s="108" t="s">
        <v>1</v>
      </c>
      <c r="BE34" s="108" t="s">
        <v>1</v>
      </c>
      <c r="BF34" s="30" t="s">
        <v>1</v>
      </c>
      <c r="BG34" s="141" t="s">
        <v>1</v>
      </c>
      <c r="BH34" s="141" t="s">
        <v>1</v>
      </c>
      <c r="BI34" s="30" t="s">
        <v>1</v>
      </c>
      <c r="BJ34" s="30" t="s">
        <v>1</v>
      </c>
      <c r="BK34" s="155" t="s">
        <v>1</v>
      </c>
      <c r="BL34" s="92">
        <v>43</v>
      </c>
      <c r="BM34" s="108" t="s">
        <v>1</v>
      </c>
      <c r="BN34" s="30" t="s">
        <v>1</v>
      </c>
      <c r="BO34" s="141" t="s">
        <v>1</v>
      </c>
      <c r="BP34" s="92">
        <v>0</v>
      </c>
      <c r="BQ34" s="30" t="s">
        <v>1</v>
      </c>
      <c r="BR34" s="30" t="s">
        <v>1</v>
      </c>
      <c r="BS34" s="155" t="s">
        <v>1</v>
      </c>
      <c r="BT34" s="108" t="s">
        <v>1</v>
      </c>
      <c r="BU34" s="108" t="s">
        <v>1</v>
      </c>
      <c r="BV34" s="30" t="s">
        <v>1</v>
      </c>
      <c r="BW34" s="141" t="s">
        <v>1</v>
      </c>
      <c r="BX34" s="141" t="s">
        <v>1</v>
      </c>
      <c r="BY34" s="30" t="s">
        <v>1</v>
      </c>
      <c r="BZ34" s="30" t="s">
        <v>1</v>
      </c>
      <c r="CA34" s="155" t="s">
        <v>1</v>
      </c>
      <c r="CB34" s="108" t="s">
        <v>1</v>
      </c>
      <c r="CC34" s="108" t="s">
        <v>1</v>
      </c>
      <c r="CD34" s="30" t="s">
        <v>1</v>
      </c>
      <c r="CE34" s="141" t="s">
        <v>1</v>
      </c>
      <c r="CF34" s="141" t="s">
        <v>1</v>
      </c>
    </row>
    <row r="35" ht="19" customHeight="1" spans="1:84">
      <c r="A35" s="107">
        <v>45214</v>
      </c>
      <c r="B35" s="30" t="s">
        <v>1</v>
      </c>
      <c r="C35" s="155" t="s">
        <v>1</v>
      </c>
      <c r="D35" s="30" t="s">
        <v>1</v>
      </c>
      <c r="E35" s="30" t="s">
        <v>1</v>
      </c>
      <c r="F35" s="30" t="s">
        <v>1</v>
      </c>
      <c r="G35" s="141" t="s">
        <v>1</v>
      </c>
      <c r="H35" s="141" t="e">
        <f t="shared" si="0"/>
        <v>#VALUE!</v>
      </c>
      <c r="I35" s="30" t="s">
        <v>1</v>
      </c>
      <c r="J35" s="30" t="s">
        <v>1</v>
      </c>
      <c r="K35" s="155" t="s">
        <v>1</v>
      </c>
      <c r="L35" s="124" t="s">
        <v>1</v>
      </c>
      <c r="M35" s="31" t="s">
        <v>1</v>
      </c>
      <c r="N35" s="167" t="s">
        <v>1</v>
      </c>
      <c r="O35" s="32" t="s">
        <v>1</v>
      </c>
      <c r="P35" s="141" t="s">
        <v>1</v>
      </c>
      <c r="Q35" s="30" t="s">
        <v>1</v>
      </c>
      <c r="R35" s="30" t="s">
        <v>1</v>
      </c>
      <c r="S35" s="155" t="s">
        <v>1</v>
      </c>
      <c r="T35" s="155" t="s">
        <v>1</v>
      </c>
      <c r="U35" s="108" t="s">
        <v>1</v>
      </c>
      <c r="V35" s="18" t="s">
        <v>1</v>
      </c>
      <c r="W35" s="157">
        <v>1288</v>
      </c>
      <c r="X35" s="18" t="s">
        <v>1</v>
      </c>
      <c r="Y35" s="157">
        <v>392</v>
      </c>
      <c r="Z35" s="18" t="s">
        <v>1</v>
      </c>
      <c r="AA35" s="158">
        <v>3.29</v>
      </c>
      <c r="AB35" s="18" t="s">
        <v>1</v>
      </c>
      <c r="AC35" s="158">
        <v>84.47</v>
      </c>
      <c r="AD35" s="159" t="s">
        <v>1</v>
      </c>
      <c r="AE35" s="160" t="s">
        <v>1</v>
      </c>
      <c r="AF35" s="18" t="s">
        <v>1</v>
      </c>
      <c r="AG35" s="38">
        <v>20</v>
      </c>
      <c r="AH35" s="18" t="s">
        <v>1</v>
      </c>
      <c r="AI35" s="18">
        <v>297</v>
      </c>
      <c r="AJ35" s="18" t="s">
        <v>1</v>
      </c>
      <c r="AK35" s="18">
        <v>158</v>
      </c>
      <c r="AL35" s="18" t="s">
        <v>1</v>
      </c>
      <c r="AM35" s="18">
        <v>4</v>
      </c>
      <c r="AN35" s="18" t="s">
        <v>1</v>
      </c>
      <c r="AO35" s="18">
        <v>14</v>
      </c>
      <c r="AP35" s="18" t="s">
        <v>1</v>
      </c>
      <c r="AQ35" s="18">
        <v>119</v>
      </c>
      <c r="AR35" s="18" t="s">
        <v>1</v>
      </c>
      <c r="AS35" s="19">
        <v>30</v>
      </c>
      <c r="AT35" s="30" t="s">
        <v>1</v>
      </c>
      <c r="AU35" s="155" t="s">
        <v>1</v>
      </c>
      <c r="AV35" s="108">
        <v>0</v>
      </c>
      <c r="AW35" s="108" t="s">
        <v>1</v>
      </c>
      <c r="AX35" s="31">
        <v>0</v>
      </c>
      <c r="AY35" s="141" t="s">
        <v>1</v>
      </c>
      <c r="AZ35" s="108">
        <v>0</v>
      </c>
      <c r="BA35" s="30" t="s">
        <v>1</v>
      </c>
      <c r="BB35" s="31" t="s">
        <v>103</v>
      </c>
      <c r="BC35" s="155" t="s">
        <v>1</v>
      </c>
      <c r="BD35" s="108" t="s">
        <v>1</v>
      </c>
      <c r="BE35" s="108" t="s">
        <v>1</v>
      </c>
      <c r="BF35" s="30" t="s">
        <v>1</v>
      </c>
      <c r="BG35" s="141" t="s">
        <v>1</v>
      </c>
      <c r="BH35" s="141" t="s">
        <v>1</v>
      </c>
      <c r="BI35" s="30" t="s">
        <v>1</v>
      </c>
      <c r="BJ35" s="30" t="s">
        <v>1</v>
      </c>
      <c r="BK35" s="155" t="s">
        <v>1</v>
      </c>
      <c r="BL35" s="92">
        <v>108</v>
      </c>
      <c r="BM35" s="108" t="s">
        <v>1</v>
      </c>
      <c r="BN35" s="30" t="s">
        <v>1</v>
      </c>
      <c r="BO35" s="141" t="s">
        <v>1</v>
      </c>
      <c r="BP35" s="92">
        <v>0</v>
      </c>
      <c r="BQ35" s="30" t="s">
        <v>1</v>
      </c>
      <c r="BR35" s="30" t="s">
        <v>1</v>
      </c>
      <c r="BS35" s="155" t="s">
        <v>1</v>
      </c>
      <c r="BT35" s="108" t="s">
        <v>1</v>
      </c>
      <c r="BU35" s="108" t="s">
        <v>1</v>
      </c>
      <c r="BV35" s="30" t="s">
        <v>1</v>
      </c>
      <c r="BW35" s="141" t="s">
        <v>1</v>
      </c>
      <c r="BX35" s="141" t="s">
        <v>1</v>
      </c>
      <c r="BY35" s="30" t="s">
        <v>1</v>
      </c>
      <c r="BZ35" s="30" t="s">
        <v>1</v>
      </c>
      <c r="CA35" s="155" t="s">
        <v>1</v>
      </c>
      <c r="CB35" s="108" t="s">
        <v>1</v>
      </c>
      <c r="CC35" s="108" t="s">
        <v>1</v>
      </c>
      <c r="CD35" s="30" t="s">
        <v>1</v>
      </c>
      <c r="CE35" s="141" t="s">
        <v>1</v>
      </c>
      <c r="CF35" s="141" t="s">
        <v>1</v>
      </c>
    </row>
    <row r="36" ht="19" customHeight="1" spans="1:84">
      <c r="A36" s="107">
        <v>45215</v>
      </c>
      <c r="B36" s="30" t="s">
        <v>1</v>
      </c>
      <c r="C36" s="155" t="s">
        <v>1</v>
      </c>
      <c r="D36" s="30" t="s">
        <v>1</v>
      </c>
      <c r="E36" s="30" t="s">
        <v>1</v>
      </c>
      <c r="F36" s="30" t="s">
        <v>1</v>
      </c>
      <c r="G36" s="141" t="s">
        <v>1</v>
      </c>
      <c r="H36" s="141" t="e">
        <f t="shared" si="0"/>
        <v>#VALUE!</v>
      </c>
      <c r="I36" s="30" t="s">
        <v>1</v>
      </c>
      <c r="J36" s="30" t="s">
        <v>1</v>
      </c>
      <c r="K36" s="155" t="s">
        <v>1</v>
      </c>
      <c r="L36" s="108" t="s">
        <v>1</v>
      </c>
      <c r="M36" s="31" t="s">
        <v>1</v>
      </c>
      <c r="N36" s="31" t="s">
        <v>1</v>
      </c>
      <c r="O36" s="32" t="s">
        <v>1</v>
      </c>
      <c r="P36" s="141" t="s">
        <v>1</v>
      </c>
      <c r="Q36" s="30" t="s">
        <v>1</v>
      </c>
      <c r="R36" s="30" t="s">
        <v>1</v>
      </c>
      <c r="S36" s="155" t="s">
        <v>1</v>
      </c>
      <c r="T36" s="155" t="s">
        <v>1</v>
      </c>
      <c r="U36" s="108" t="s">
        <v>1</v>
      </c>
      <c r="V36" s="18" t="s">
        <v>1</v>
      </c>
      <c r="W36" s="157">
        <v>872</v>
      </c>
      <c r="X36" s="18" t="s">
        <v>1</v>
      </c>
      <c r="Y36" s="157">
        <v>375</v>
      </c>
      <c r="Z36" s="18" t="s">
        <v>1</v>
      </c>
      <c r="AA36" s="158">
        <v>2.33</v>
      </c>
      <c r="AB36" s="18" t="s">
        <v>1</v>
      </c>
      <c r="AC36" s="158">
        <v>71.29</v>
      </c>
      <c r="AD36" s="159" t="s">
        <v>1</v>
      </c>
      <c r="AE36" s="160" t="s">
        <v>1</v>
      </c>
      <c r="AF36" s="18" t="s">
        <v>1</v>
      </c>
      <c r="AG36" s="38">
        <v>18</v>
      </c>
      <c r="AH36" s="18" t="s">
        <v>1</v>
      </c>
      <c r="AI36" s="18">
        <v>279</v>
      </c>
      <c r="AJ36" s="18" t="s">
        <v>1</v>
      </c>
      <c r="AK36" s="18">
        <v>146</v>
      </c>
      <c r="AL36" s="18" t="s">
        <v>1</v>
      </c>
      <c r="AM36" s="18">
        <v>1</v>
      </c>
      <c r="AN36" s="18" t="s">
        <v>1</v>
      </c>
      <c r="AO36" s="18">
        <v>8</v>
      </c>
      <c r="AP36" s="18" t="s">
        <v>1</v>
      </c>
      <c r="AQ36" s="18">
        <v>95</v>
      </c>
      <c r="AR36" s="18" t="s">
        <v>1</v>
      </c>
      <c r="AS36" s="19">
        <v>19</v>
      </c>
      <c r="AT36" s="30" t="s">
        <v>1</v>
      </c>
      <c r="AU36" s="155" t="s">
        <v>1</v>
      </c>
      <c r="AV36" s="108">
        <v>0</v>
      </c>
      <c r="AW36" s="108" t="s">
        <v>1</v>
      </c>
      <c r="AX36" s="31">
        <v>0</v>
      </c>
      <c r="AY36" s="141" t="s">
        <v>1</v>
      </c>
      <c r="AZ36" s="108">
        <v>0</v>
      </c>
      <c r="BA36" s="30" t="s">
        <v>1</v>
      </c>
      <c r="BB36" s="31" t="s">
        <v>103</v>
      </c>
      <c r="BC36" s="155" t="s">
        <v>1</v>
      </c>
      <c r="BD36" s="108" t="s">
        <v>1</v>
      </c>
      <c r="BE36" s="108" t="s">
        <v>1</v>
      </c>
      <c r="BF36" s="30" t="s">
        <v>1</v>
      </c>
      <c r="BG36" s="141" t="s">
        <v>1</v>
      </c>
      <c r="BH36" s="141" t="s">
        <v>1</v>
      </c>
      <c r="BI36" s="30" t="s">
        <v>1</v>
      </c>
      <c r="BJ36" s="30" t="s">
        <v>1</v>
      </c>
      <c r="BK36" s="155" t="s">
        <v>1</v>
      </c>
      <c r="BL36" s="92">
        <v>94</v>
      </c>
      <c r="BM36" s="108" t="s">
        <v>1</v>
      </c>
      <c r="BN36" s="30" t="s">
        <v>1</v>
      </c>
      <c r="BO36" s="141" t="s">
        <v>1</v>
      </c>
      <c r="BP36" s="92">
        <v>0</v>
      </c>
      <c r="BQ36" s="30" t="s">
        <v>1</v>
      </c>
      <c r="BR36" s="30" t="s">
        <v>1</v>
      </c>
      <c r="BS36" s="155" t="s">
        <v>1</v>
      </c>
      <c r="BT36" s="108" t="s">
        <v>1</v>
      </c>
      <c r="BU36" s="108" t="s">
        <v>1</v>
      </c>
      <c r="BV36" s="30" t="s">
        <v>1</v>
      </c>
      <c r="BW36" s="141" t="s">
        <v>1</v>
      </c>
      <c r="BX36" s="141" t="s">
        <v>1</v>
      </c>
      <c r="BY36" s="30" t="s">
        <v>1</v>
      </c>
      <c r="BZ36" s="30" t="s">
        <v>1</v>
      </c>
      <c r="CA36" s="155" t="s">
        <v>1</v>
      </c>
      <c r="CB36" s="108" t="s">
        <v>1</v>
      </c>
      <c r="CC36" s="108" t="s">
        <v>1</v>
      </c>
      <c r="CD36" s="30" t="s">
        <v>1</v>
      </c>
      <c r="CE36" s="141" t="s">
        <v>1</v>
      </c>
      <c r="CF36" s="141" t="s">
        <v>1</v>
      </c>
    </row>
    <row r="37" ht="19" customHeight="1" spans="1:84">
      <c r="A37" s="107">
        <v>45216</v>
      </c>
      <c r="B37" s="30" t="s">
        <v>1</v>
      </c>
      <c r="C37" s="155" t="s">
        <v>1</v>
      </c>
      <c r="D37" s="30" t="s">
        <v>1</v>
      </c>
      <c r="E37" s="30" t="s">
        <v>1</v>
      </c>
      <c r="F37" s="30" t="s">
        <v>1</v>
      </c>
      <c r="G37" s="141" t="s">
        <v>1</v>
      </c>
      <c r="H37" s="141" t="e">
        <f t="shared" si="0"/>
        <v>#VALUE!</v>
      </c>
      <c r="I37" s="30" t="s">
        <v>1</v>
      </c>
      <c r="J37" s="30" t="s">
        <v>1</v>
      </c>
      <c r="K37" s="155" t="s">
        <v>1</v>
      </c>
      <c r="L37" s="108" t="s">
        <v>1</v>
      </c>
      <c r="M37" s="161" t="s">
        <v>1</v>
      </c>
      <c r="N37" s="31" t="s">
        <v>1</v>
      </c>
      <c r="O37" s="32" t="s">
        <v>1</v>
      </c>
      <c r="P37" s="141" t="s">
        <v>1</v>
      </c>
      <c r="Q37" s="30" t="s">
        <v>1</v>
      </c>
      <c r="R37" s="30" t="s">
        <v>1</v>
      </c>
      <c r="S37" s="155" t="s">
        <v>1</v>
      </c>
      <c r="T37" s="155" t="s">
        <v>1</v>
      </c>
      <c r="U37" s="108" t="s">
        <v>1</v>
      </c>
      <c r="V37" s="18" t="s">
        <v>1</v>
      </c>
      <c r="W37" s="157">
        <v>1076</v>
      </c>
      <c r="X37" s="18" t="s">
        <v>1</v>
      </c>
      <c r="Y37" s="157">
        <v>374</v>
      </c>
      <c r="Z37" s="18" t="s">
        <v>1</v>
      </c>
      <c r="AA37" s="158">
        <v>2.88</v>
      </c>
      <c r="AB37" s="18" t="s">
        <v>1</v>
      </c>
      <c r="AC37" s="158">
        <v>81.98</v>
      </c>
      <c r="AD37" s="159" t="s">
        <v>1</v>
      </c>
      <c r="AE37" s="160" t="s">
        <v>1</v>
      </c>
      <c r="AF37" s="18" t="s">
        <v>1</v>
      </c>
      <c r="AG37" s="38">
        <v>12</v>
      </c>
      <c r="AH37" s="18" t="s">
        <v>1</v>
      </c>
      <c r="AI37" s="18">
        <v>288</v>
      </c>
      <c r="AJ37" s="18" t="s">
        <v>1</v>
      </c>
      <c r="AK37" s="18">
        <v>133</v>
      </c>
      <c r="AL37" s="18" t="s">
        <v>1</v>
      </c>
      <c r="AM37" s="18">
        <v>5</v>
      </c>
      <c r="AN37" s="18" t="s">
        <v>1</v>
      </c>
      <c r="AO37" s="18">
        <v>6</v>
      </c>
      <c r="AP37" s="18" t="s">
        <v>1</v>
      </c>
      <c r="AQ37" s="18">
        <v>96</v>
      </c>
      <c r="AR37" s="18" t="s">
        <v>1</v>
      </c>
      <c r="AS37" s="19">
        <v>26</v>
      </c>
      <c r="AT37" s="30" t="s">
        <v>1</v>
      </c>
      <c r="AU37" s="155" t="s">
        <v>1</v>
      </c>
      <c r="AV37" s="108">
        <v>0</v>
      </c>
      <c r="AW37" s="108" t="s">
        <v>1</v>
      </c>
      <c r="AX37" s="31">
        <v>0</v>
      </c>
      <c r="AY37" s="141" t="s">
        <v>1</v>
      </c>
      <c r="AZ37" s="108">
        <v>0</v>
      </c>
      <c r="BA37" s="30" t="s">
        <v>1</v>
      </c>
      <c r="BB37" s="31" t="s">
        <v>103</v>
      </c>
      <c r="BC37" s="155" t="s">
        <v>1</v>
      </c>
      <c r="BD37" s="108" t="s">
        <v>1</v>
      </c>
      <c r="BE37" s="108" t="s">
        <v>1</v>
      </c>
      <c r="BF37" s="30" t="s">
        <v>1</v>
      </c>
      <c r="BG37" s="141" t="s">
        <v>1</v>
      </c>
      <c r="BH37" s="141" t="s">
        <v>1</v>
      </c>
      <c r="BI37" s="30" t="s">
        <v>1</v>
      </c>
      <c r="BJ37" s="30" t="s">
        <v>1</v>
      </c>
      <c r="BK37" s="155" t="s">
        <v>1</v>
      </c>
      <c r="BL37" s="92">
        <v>88</v>
      </c>
      <c r="BM37" s="108" t="s">
        <v>1</v>
      </c>
      <c r="BN37" s="30" t="s">
        <v>1</v>
      </c>
      <c r="BO37" s="141" t="s">
        <v>1</v>
      </c>
      <c r="BP37" s="92">
        <v>0</v>
      </c>
      <c r="BQ37" s="30" t="s">
        <v>1</v>
      </c>
      <c r="BR37" s="30" t="s">
        <v>1</v>
      </c>
      <c r="BS37" s="155" t="s">
        <v>1</v>
      </c>
      <c r="BT37" s="108" t="s">
        <v>1</v>
      </c>
      <c r="BU37" s="108" t="s">
        <v>1</v>
      </c>
      <c r="BV37" s="30" t="s">
        <v>1</v>
      </c>
      <c r="BW37" s="141" t="s">
        <v>1</v>
      </c>
      <c r="BX37" s="141" t="s">
        <v>1</v>
      </c>
      <c r="BY37" s="30" t="s">
        <v>1</v>
      </c>
      <c r="BZ37" s="30" t="s">
        <v>1</v>
      </c>
      <c r="CA37" s="155" t="s">
        <v>1</v>
      </c>
      <c r="CB37" s="108" t="s">
        <v>1</v>
      </c>
      <c r="CC37" s="108" t="s">
        <v>1</v>
      </c>
      <c r="CD37" s="30" t="s">
        <v>1</v>
      </c>
      <c r="CE37" s="141" t="s">
        <v>1</v>
      </c>
      <c r="CF37" s="141" t="s">
        <v>1</v>
      </c>
    </row>
    <row r="38" ht="19" customHeight="1" spans="1:84">
      <c r="A38" s="171">
        <v>45217</v>
      </c>
      <c r="B38" s="172" t="s">
        <v>1</v>
      </c>
      <c r="C38" s="173" t="s">
        <v>1</v>
      </c>
      <c r="D38" s="30" t="s">
        <v>1</v>
      </c>
      <c r="E38" s="30" t="s">
        <v>1</v>
      </c>
      <c r="F38" s="172" t="s">
        <v>1</v>
      </c>
      <c r="G38" s="174" t="s">
        <v>1</v>
      </c>
      <c r="H38" s="141" t="e">
        <f t="shared" si="0"/>
        <v>#VALUE!</v>
      </c>
      <c r="I38" s="172" t="s">
        <v>1</v>
      </c>
      <c r="J38" s="172" t="s">
        <v>1</v>
      </c>
      <c r="K38" s="173" t="s">
        <v>1</v>
      </c>
      <c r="L38" s="38" t="s">
        <v>1</v>
      </c>
      <c r="M38" s="165" t="s">
        <v>1</v>
      </c>
      <c r="N38" s="170" t="s">
        <v>1</v>
      </c>
      <c r="O38" s="175" t="s">
        <v>1</v>
      </c>
      <c r="P38" s="174" t="s">
        <v>1</v>
      </c>
      <c r="Q38" s="172" t="s">
        <v>1</v>
      </c>
      <c r="R38" s="172" t="s">
        <v>1</v>
      </c>
      <c r="S38" s="173" t="s">
        <v>1</v>
      </c>
      <c r="T38" s="173" t="s">
        <v>1</v>
      </c>
      <c r="U38" s="38" t="s">
        <v>1</v>
      </c>
      <c r="V38" s="18" t="s">
        <v>1</v>
      </c>
      <c r="W38" s="157">
        <v>1225</v>
      </c>
      <c r="X38" s="18" t="s">
        <v>1</v>
      </c>
      <c r="Y38" s="157">
        <v>392</v>
      </c>
      <c r="Z38" s="18" t="s">
        <v>1</v>
      </c>
      <c r="AA38" s="158">
        <v>3.13</v>
      </c>
      <c r="AB38" s="18" t="s">
        <v>1</v>
      </c>
      <c r="AC38" s="158">
        <v>88.26</v>
      </c>
      <c r="AD38" s="159" t="s">
        <v>1</v>
      </c>
      <c r="AE38" s="160" t="s">
        <v>1</v>
      </c>
      <c r="AF38" s="18" t="s">
        <v>1</v>
      </c>
      <c r="AG38" s="38">
        <v>15</v>
      </c>
      <c r="AH38" s="18" t="s">
        <v>1</v>
      </c>
      <c r="AI38" s="18">
        <v>291</v>
      </c>
      <c r="AJ38" s="18" t="s">
        <v>1</v>
      </c>
      <c r="AK38" s="18">
        <v>153</v>
      </c>
      <c r="AL38" s="18" t="s">
        <v>1</v>
      </c>
      <c r="AM38" s="18">
        <v>6</v>
      </c>
      <c r="AN38" s="18" t="s">
        <v>1</v>
      </c>
      <c r="AO38" s="18">
        <v>10</v>
      </c>
      <c r="AP38" s="18" t="s">
        <v>1</v>
      </c>
      <c r="AQ38" s="18">
        <v>95</v>
      </c>
      <c r="AR38" s="18" t="s">
        <v>1</v>
      </c>
      <c r="AS38" s="19">
        <v>41</v>
      </c>
      <c r="AT38" s="172" t="s">
        <v>1</v>
      </c>
      <c r="AU38" s="173" t="s">
        <v>1</v>
      </c>
      <c r="AV38" s="108">
        <v>0</v>
      </c>
      <c r="AW38" s="38" t="s">
        <v>1</v>
      </c>
      <c r="AX38" s="31" t="s">
        <v>103</v>
      </c>
      <c r="AY38" s="174" t="s">
        <v>1</v>
      </c>
      <c r="AZ38" s="108">
        <v>3</v>
      </c>
      <c r="BA38" s="172" t="s">
        <v>1</v>
      </c>
      <c r="BB38" s="31" t="s">
        <v>103</v>
      </c>
      <c r="BC38" s="173" t="s">
        <v>1</v>
      </c>
      <c r="BD38" s="38" t="s">
        <v>1</v>
      </c>
      <c r="BE38" s="38" t="s">
        <v>1</v>
      </c>
      <c r="BF38" s="172" t="s">
        <v>1</v>
      </c>
      <c r="BG38" s="174" t="s">
        <v>1</v>
      </c>
      <c r="BH38" s="174" t="s">
        <v>1</v>
      </c>
      <c r="BI38" s="172" t="s">
        <v>1</v>
      </c>
      <c r="BJ38" s="172" t="s">
        <v>1</v>
      </c>
      <c r="BK38" s="173" t="s">
        <v>1</v>
      </c>
      <c r="BL38" s="92">
        <v>56</v>
      </c>
      <c r="BM38" s="38" t="s">
        <v>1</v>
      </c>
      <c r="BN38" s="172" t="s">
        <v>1</v>
      </c>
      <c r="BO38" s="174" t="s">
        <v>1</v>
      </c>
      <c r="BP38" s="92">
        <v>0</v>
      </c>
      <c r="BQ38" s="172" t="s">
        <v>1</v>
      </c>
      <c r="BR38" s="172" t="s">
        <v>1</v>
      </c>
      <c r="BS38" s="173" t="s">
        <v>1</v>
      </c>
      <c r="BT38" s="38" t="s">
        <v>1</v>
      </c>
      <c r="BU38" s="38" t="s">
        <v>1</v>
      </c>
      <c r="BV38" s="172" t="s">
        <v>1</v>
      </c>
      <c r="BW38" s="174" t="s">
        <v>1</v>
      </c>
      <c r="BX38" s="174" t="s">
        <v>1</v>
      </c>
      <c r="BY38" s="172" t="s">
        <v>1</v>
      </c>
      <c r="BZ38" s="172" t="s">
        <v>1</v>
      </c>
      <c r="CA38" s="173" t="s">
        <v>1</v>
      </c>
      <c r="CB38" s="38" t="s">
        <v>1</v>
      </c>
      <c r="CC38" s="38" t="s">
        <v>1</v>
      </c>
      <c r="CD38" s="172" t="s">
        <v>1</v>
      </c>
      <c r="CE38" s="174" t="s">
        <v>1</v>
      </c>
      <c r="CF38" s="174" t="s">
        <v>1</v>
      </c>
    </row>
    <row r="39" ht="19" customHeight="1" spans="1:84">
      <c r="A39" s="29">
        <v>45218</v>
      </c>
      <c r="B39" s="30" t="s">
        <v>1</v>
      </c>
      <c r="C39" s="7" t="s">
        <v>1</v>
      </c>
      <c r="D39" s="30" t="s">
        <v>1</v>
      </c>
      <c r="E39" s="30" t="s">
        <v>1</v>
      </c>
      <c r="F39" s="30" t="s">
        <v>1</v>
      </c>
      <c r="G39" s="31" t="s">
        <v>1</v>
      </c>
      <c r="H39" s="141" t="e">
        <f t="shared" si="0"/>
        <v>#VALUE!</v>
      </c>
      <c r="I39" s="30" t="s">
        <v>1</v>
      </c>
      <c r="J39" s="30" t="s">
        <v>1</v>
      </c>
      <c r="K39" s="7" t="s">
        <v>1</v>
      </c>
      <c r="L39" s="7" t="s">
        <v>1</v>
      </c>
      <c r="M39" s="31" t="s">
        <v>1</v>
      </c>
      <c r="N39" s="31" t="s">
        <v>1</v>
      </c>
      <c r="O39" s="32" t="s">
        <v>1</v>
      </c>
      <c r="P39" s="31" t="s">
        <v>1</v>
      </c>
      <c r="Q39" s="30" t="s">
        <v>1</v>
      </c>
      <c r="R39" s="30" t="s">
        <v>1</v>
      </c>
      <c r="S39" s="7" t="s">
        <v>1</v>
      </c>
      <c r="T39" s="7" t="s">
        <v>1</v>
      </c>
      <c r="U39" s="7" t="s">
        <v>1</v>
      </c>
      <c r="V39" s="18" t="s">
        <v>1</v>
      </c>
      <c r="W39" s="157">
        <v>1341</v>
      </c>
      <c r="X39" s="18" t="s">
        <v>1</v>
      </c>
      <c r="Y39" s="157">
        <v>424</v>
      </c>
      <c r="Z39" s="18" t="s">
        <v>1</v>
      </c>
      <c r="AA39" s="158">
        <v>3.16</v>
      </c>
      <c r="AB39" s="18" t="s">
        <v>1</v>
      </c>
      <c r="AC39" s="158">
        <v>85.64</v>
      </c>
      <c r="AD39" s="159" t="s">
        <v>1</v>
      </c>
      <c r="AE39" s="160" t="s">
        <v>1</v>
      </c>
      <c r="AF39" s="18" t="s">
        <v>1</v>
      </c>
      <c r="AG39" s="38">
        <v>24</v>
      </c>
      <c r="AH39" s="18" t="s">
        <v>1</v>
      </c>
      <c r="AI39" s="18">
        <v>302</v>
      </c>
      <c r="AJ39" s="18" t="s">
        <v>1</v>
      </c>
      <c r="AK39" s="18">
        <v>176</v>
      </c>
      <c r="AL39" s="18" t="s">
        <v>1</v>
      </c>
      <c r="AM39" s="18">
        <v>11</v>
      </c>
      <c r="AN39" s="18" t="s">
        <v>1</v>
      </c>
      <c r="AO39" s="18">
        <v>9</v>
      </c>
      <c r="AP39" s="18" t="s">
        <v>1</v>
      </c>
      <c r="AQ39" s="18">
        <v>77</v>
      </c>
      <c r="AR39" s="18" t="s">
        <v>1</v>
      </c>
      <c r="AS39" s="19">
        <v>25</v>
      </c>
      <c r="AT39" s="30" t="s">
        <v>1</v>
      </c>
      <c r="AU39" s="7" t="s">
        <v>1</v>
      </c>
      <c r="AV39" s="108">
        <v>0</v>
      </c>
      <c r="AW39" s="7" t="s">
        <v>1</v>
      </c>
      <c r="AX39" s="31" t="s">
        <v>103</v>
      </c>
      <c r="AY39" s="31" t="s">
        <v>1</v>
      </c>
      <c r="AZ39" s="108">
        <v>3</v>
      </c>
      <c r="BA39" s="30" t="s">
        <v>1</v>
      </c>
      <c r="BB39" s="31" t="s">
        <v>103</v>
      </c>
      <c r="BC39" s="7" t="s">
        <v>1</v>
      </c>
      <c r="BD39" s="7" t="s">
        <v>1</v>
      </c>
      <c r="BE39" s="7" t="s">
        <v>1</v>
      </c>
      <c r="BF39" s="30" t="s">
        <v>1</v>
      </c>
      <c r="BG39" s="31" t="s">
        <v>1</v>
      </c>
      <c r="BH39" s="31" t="s">
        <v>1</v>
      </c>
      <c r="BI39" s="30" t="s">
        <v>1</v>
      </c>
      <c r="BJ39" s="30" t="s">
        <v>1</v>
      </c>
      <c r="BK39" s="7" t="s">
        <v>1</v>
      </c>
      <c r="BL39" s="92">
        <v>57</v>
      </c>
      <c r="BM39" s="7" t="s">
        <v>1</v>
      </c>
      <c r="BN39" s="30" t="s">
        <v>1</v>
      </c>
      <c r="BO39" s="31" t="s">
        <v>1</v>
      </c>
      <c r="BP39" s="92">
        <v>0</v>
      </c>
      <c r="BQ39" s="30" t="s">
        <v>1</v>
      </c>
      <c r="BR39" s="30" t="s">
        <v>1</v>
      </c>
      <c r="BS39" s="7" t="s">
        <v>1</v>
      </c>
      <c r="BT39" s="7" t="s">
        <v>1</v>
      </c>
      <c r="BU39" s="7" t="s">
        <v>1</v>
      </c>
      <c r="BV39" s="30" t="s">
        <v>1</v>
      </c>
      <c r="BW39" s="31" t="s">
        <v>1</v>
      </c>
      <c r="BX39" s="31" t="s">
        <v>1</v>
      </c>
      <c r="BY39" s="30" t="s">
        <v>1</v>
      </c>
      <c r="BZ39" s="30" t="s">
        <v>1</v>
      </c>
      <c r="CA39" s="7" t="s">
        <v>1</v>
      </c>
      <c r="CB39" s="7" t="s">
        <v>1</v>
      </c>
      <c r="CC39" s="7" t="s">
        <v>1</v>
      </c>
      <c r="CD39" s="30" t="s">
        <v>1</v>
      </c>
      <c r="CE39" s="31" t="s">
        <v>1</v>
      </c>
      <c r="CF39" s="31" t="s">
        <v>1</v>
      </c>
    </row>
    <row r="40" ht="19" customHeight="1" spans="1:84">
      <c r="A40" s="29">
        <v>45219</v>
      </c>
      <c r="B40" s="30" t="s">
        <v>1</v>
      </c>
      <c r="C40" s="7" t="s">
        <v>1</v>
      </c>
      <c r="D40" s="30" t="s">
        <v>1</v>
      </c>
      <c r="E40" s="30" t="s">
        <v>1</v>
      </c>
      <c r="F40" s="30" t="s">
        <v>1</v>
      </c>
      <c r="G40" s="31" t="s">
        <v>1</v>
      </c>
      <c r="H40" s="141" t="e">
        <f t="shared" si="0"/>
        <v>#VALUE!</v>
      </c>
      <c r="I40" s="30" t="s">
        <v>1</v>
      </c>
      <c r="J40" s="30" t="s">
        <v>1</v>
      </c>
      <c r="K40" s="7" t="s">
        <v>1</v>
      </c>
      <c r="L40" s="7" t="s">
        <v>1</v>
      </c>
      <c r="M40" s="7" t="s">
        <v>1</v>
      </c>
      <c r="N40" s="31" t="s">
        <v>1</v>
      </c>
      <c r="O40" s="32" t="s">
        <v>1</v>
      </c>
      <c r="P40" s="31" t="s">
        <v>1</v>
      </c>
      <c r="Q40" s="30" t="s">
        <v>1</v>
      </c>
      <c r="R40" s="30" t="s">
        <v>1</v>
      </c>
      <c r="S40" s="7" t="s">
        <v>1</v>
      </c>
      <c r="T40" s="7" t="s">
        <v>1</v>
      </c>
      <c r="U40" s="7" t="s">
        <v>1</v>
      </c>
      <c r="V40" s="18" t="s">
        <v>1</v>
      </c>
      <c r="W40" s="157">
        <v>2210</v>
      </c>
      <c r="X40" s="18" t="s">
        <v>1</v>
      </c>
      <c r="Y40" s="157">
        <v>815</v>
      </c>
      <c r="Z40" s="18" t="s">
        <v>1</v>
      </c>
      <c r="AA40" s="158">
        <v>2.71</v>
      </c>
      <c r="AB40" s="18" t="s">
        <v>1</v>
      </c>
      <c r="AC40" s="158">
        <v>86.79</v>
      </c>
      <c r="AD40" s="159" t="s">
        <v>1</v>
      </c>
      <c r="AE40" s="160" t="s">
        <v>1</v>
      </c>
      <c r="AF40" s="18" t="s">
        <v>1</v>
      </c>
      <c r="AG40" s="38">
        <v>28</v>
      </c>
      <c r="AH40" s="18" t="s">
        <v>1</v>
      </c>
      <c r="AI40" s="18">
        <v>505</v>
      </c>
      <c r="AJ40" s="18" t="s">
        <v>1</v>
      </c>
      <c r="AK40" s="18">
        <v>465</v>
      </c>
      <c r="AL40" s="18" t="s">
        <v>1</v>
      </c>
      <c r="AM40" s="18">
        <v>7</v>
      </c>
      <c r="AN40" s="18" t="s">
        <v>1</v>
      </c>
      <c r="AO40" s="18">
        <v>12</v>
      </c>
      <c r="AP40" s="18" t="s">
        <v>1</v>
      </c>
      <c r="AQ40" s="18">
        <v>157</v>
      </c>
      <c r="AR40" s="18" t="s">
        <v>1</v>
      </c>
      <c r="AS40" s="19">
        <v>46</v>
      </c>
      <c r="AT40" s="30" t="s">
        <v>1</v>
      </c>
      <c r="AU40" s="7" t="s">
        <v>1</v>
      </c>
      <c r="AV40" s="108">
        <v>36</v>
      </c>
      <c r="AW40" s="7" t="s">
        <v>1</v>
      </c>
      <c r="AX40" s="31" t="s">
        <v>103</v>
      </c>
      <c r="AY40" s="31" t="s">
        <v>1</v>
      </c>
      <c r="AZ40" s="108">
        <v>3</v>
      </c>
      <c r="BA40" s="30" t="s">
        <v>1</v>
      </c>
      <c r="BB40" s="31">
        <v>0.0833333333333333</v>
      </c>
      <c r="BC40" s="7" t="s">
        <v>1</v>
      </c>
      <c r="BD40" s="7" t="s">
        <v>1</v>
      </c>
      <c r="BE40" s="7" t="s">
        <v>1</v>
      </c>
      <c r="BF40" s="30" t="s">
        <v>1</v>
      </c>
      <c r="BG40" s="31" t="s">
        <v>1</v>
      </c>
      <c r="BH40" s="31" t="s">
        <v>1</v>
      </c>
      <c r="BI40" s="30" t="s">
        <v>1</v>
      </c>
      <c r="BJ40" s="30" t="s">
        <v>1</v>
      </c>
      <c r="BK40" s="7" t="s">
        <v>1</v>
      </c>
      <c r="BL40" s="92">
        <v>109</v>
      </c>
      <c r="BM40" s="7" t="s">
        <v>1</v>
      </c>
      <c r="BN40" s="30" t="s">
        <v>1</v>
      </c>
      <c r="BO40" s="31" t="s">
        <v>1</v>
      </c>
      <c r="BP40" s="92">
        <v>0</v>
      </c>
      <c r="BQ40" s="30" t="s">
        <v>1</v>
      </c>
      <c r="BR40" s="30" t="s">
        <v>1</v>
      </c>
      <c r="BS40" s="7" t="s">
        <v>1</v>
      </c>
      <c r="BT40" s="7" t="s">
        <v>1</v>
      </c>
      <c r="BU40" s="7" t="s">
        <v>1</v>
      </c>
      <c r="BV40" s="30" t="s">
        <v>1</v>
      </c>
      <c r="BW40" s="31" t="s">
        <v>1</v>
      </c>
      <c r="BX40" s="31" t="s">
        <v>1</v>
      </c>
      <c r="BY40" s="30" t="s">
        <v>1</v>
      </c>
      <c r="BZ40" s="30" t="s">
        <v>1</v>
      </c>
      <c r="CA40" s="7" t="s">
        <v>1</v>
      </c>
      <c r="CB40" s="7" t="s">
        <v>1</v>
      </c>
      <c r="CC40" s="7" t="s">
        <v>1</v>
      </c>
      <c r="CD40" s="30" t="s">
        <v>1</v>
      </c>
      <c r="CE40" s="31" t="s">
        <v>1</v>
      </c>
      <c r="CF40" s="31" t="s">
        <v>1</v>
      </c>
    </row>
    <row r="41" ht="19" customHeight="1" spans="1:84">
      <c r="A41" s="29">
        <v>45220</v>
      </c>
      <c r="B41" s="30" t="s">
        <v>1</v>
      </c>
      <c r="C41" s="7" t="s">
        <v>1</v>
      </c>
      <c r="D41" s="30" t="s">
        <v>1</v>
      </c>
      <c r="E41" s="30" t="s">
        <v>1</v>
      </c>
      <c r="F41" s="30" t="s">
        <v>1</v>
      </c>
      <c r="G41" s="31" t="s">
        <v>1</v>
      </c>
      <c r="H41" s="141" t="e">
        <f t="shared" si="0"/>
        <v>#VALUE!</v>
      </c>
      <c r="I41" s="30" t="s">
        <v>1</v>
      </c>
      <c r="J41" s="30" t="s">
        <v>1</v>
      </c>
      <c r="K41" s="7" t="s">
        <v>1</v>
      </c>
      <c r="L41" s="7" t="s">
        <v>1</v>
      </c>
      <c r="M41" s="7" t="s">
        <v>1</v>
      </c>
      <c r="N41" s="31" t="s">
        <v>1</v>
      </c>
      <c r="O41" s="32" t="s">
        <v>1</v>
      </c>
      <c r="P41" s="31" t="s">
        <v>1</v>
      </c>
      <c r="Q41" s="30" t="s">
        <v>1</v>
      </c>
      <c r="R41" s="30" t="s">
        <v>1</v>
      </c>
      <c r="S41" s="7" t="s">
        <v>1</v>
      </c>
      <c r="T41" s="7" t="s">
        <v>1</v>
      </c>
      <c r="U41" s="7" t="s">
        <v>1</v>
      </c>
      <c r="V41" s="18" t="s">
        <v>1</v>
      </c>
      <c r="W41" s="157">
        <v>1435</v>
      </c>
      <c r="X41" s="18" t="s">
        <v>1</v>
      </c>
      <c r="Y41" s="157">
        <v>582</v>
      </c>
      <c r="Z41" s="18" t="s">
        <v>1</v>
      </c>
      <c r="AA41" s="158">
        <v>2.47</v>
      </c>
      <c r="AB41" s="18" t="s">
        <v>1</v>
      </c>
      <c r="AC41" s="158">
        <v>78.88</v>
      </c>
      <c r="AD41" s="159" t="s">
        <v>1</v>
      </c>
      <c r="AE41" s="160" t="s">
        <v>1</v>
      </c>
      <c r="AF41" s="18" t="s">
        <v>1</v>
      </c>
      <c r="AG41" s="38">
        <v>27</v>
      </c>
      <c r="AH41" s="18" t="s">
        <v>1</v>
      </c>
      <c r="AI41" s="18">
        <v>346</v>
      </c>
      <c r="AJ41" s="18" t="s">
        <v>1</v>
      </c>
      <c r="AK41" s="18">
        <v>336</v>
      </c>
      <c r="AL41" s="18" t="s">
        <v>1</v>
      </c>
      <c r="AM41" s="18">
        <v>1</v>
      </c>
      <c r="AN41" s="18" t="s">
        <v>1</v>
      </c>
      <c r="AO41" s="18">
        <v>12</v>
      </c>
      <c r="AP41" s="18" t="s">
        <v>1</v>
      </c>
      <c r="AQ41" s="18">
        <v>99</v>
      </c>
      <c r="AR41" s="18" t="s">
        <v>1</v>
      </c>
      <c r="AS41" s="19">
        <v>42</v>
      </c>
      <c r="AT41" s="30" t="s">
        <v>1</v>
      </c>
      <c r="AU41" s="7" t="s">
        <v>1</v>
      </c>
      <c r="AV41" s="108">
        <v>27</v>
      </c>
      <c r="AW41" s="7" t="s">
        <v>1</v>
      </c>
      <c r="AX41" s="31" t="s">
        <v>103</v>
      </c>
      <c r="AY41" s="31" t="s">
        <v>1</v>
      </c>
      <c r="AZ41" s="108">
        <v>2</v>
      </c>
      <c r="BA41" s="30" t="s">
        <v>1</v>
      </c>
      <c r="BB41" s="31">
        <v>0.0740740740740741</v>
      </c>
      <c r="BC41" s="7" t="s">
        <v>1</v>
      </c>
      <c r="BD41" s="7" t="s">
        <v>1</v>
      </c>
      <c r="BE41" s="7" t="s">
        <v>1</v>
      </c>
      <c r="BF41" s="30" t="s">
        <v>1</v>
      </c>
      <c r="BG41" s="31" t="s">
        <v>1</v>
      </c>
      <c r="BH41" s="31" t="s">
        <v>1</v>
      </c>
      <c r="BI41" s="30" t="s">
        <v>1</v>
      </c>
      <c r="BJ41" s="30" t="s">
        <v>1</v>
      </c>
      <c r="BK41" s="7" t="s">
        <v>1</v>
      </c>
      <c r="BL41" s="92">
        <v>99</v>
      </c>
      <c r="BM41" s="7" t="s">
        <v>1</v>
      </c>
      <c r="BN41" s="30" t="s">
        <v>1</v>
      </c>
      <c r="BO41" s="31" t="s">
        <v>1</v>
      </c>
      <c r="BP41" s="92">
        <v>0</v>
      </c>
      <c r="BQ41" s="30" t="s">
        <v>1</v>
      </c>
      <c r="BR41" s="30" t="s">
        <v>1</v>
      </c>
      <c r="BS41" s="7" t="s">
        <v>1</v>
      </c>
      <c r="BT41" s="7" t="s">
        <v>1</v>
      </c>
      <c r="BU41" s="7" t="s">
        <v>1</v>
      </c>
      <c r="BV41" s="30" t="s">
        <v>1</v>
      </c>
      <c r="BW41" s="31" t="s">
        <v>1</v>
      </c>
      <c r="BX41" s="31" t="s">
        <v>1</v>
      </c>
      <c r="BY41" s="30" t="s">
        <v>1</v>
      </c>
      <c r="BZ41" s="30" t="s">
        <v>1</v>
      </c>
      <c r="CA41" s="7" t="s">
        <v>1</v>
      </c>
      <c r="CB41" s="7" t="s">
        <v>1</v>
      </c>
      <c r="CC41" s="7" t="s">
        <v>1</v>
      </c>
      <c r="CD41" s="30" t="s">
        <v>1</v>
      </c>
      <c r="CE41" s="31" t="s">
        <v>1</v>
      </c>
      <c r="CF41" s="31" t="s">
        <v>1</v>
      </c>
    </row>
    <row r="42" ht="19" customHeight="1" spans="1:84">
      <c r="A42" s="29">
        <v>45221</v>
      </c>
      <c r="B42" s="30" t="s">
        <v>1</v>
      </c>
      <c r="C42" s="7" t="s">
        <v>1</v>
      </c>
      <c r="D42" s="30" t="s">
        <v>1</v>
      </c>
      <c r="E42" s="30" t="s">
        <v>1</v>
      </c>
      <c r="F42" s="30" t="s">
        <v>1</v>
      </c>
      <c r="G42" s="31" t="s">
        <v>1</v>
      </c>
      <c r="H42" s="141" t="e">
        <f t="shared" si="0"/>
        <v>#VALUE!</v>
      </c>
      <c r="I42" s="30" t="s">
        <v>1</v>
      </c>
      <c r="J42" s="30" t="s">
        <v>1</v>
      </c>
      <c r="K42" s="7" t="s">
        <v>1</v>
      </c>
      <c r="L42" s="7" t="s">
        <v>1</v>
      </c>
      <c r="M42" s="7" t="s">
        <v>1</v>
      </c>
      <c r="N42" s="31" t="s">
        <v>1</v>
      </c>
      <c r="O42" s="32" t="s">
        <v>1</v>
      </c>
      <c r="P42" s="31" t="s">
        <v>1</v>
      </c>
      <c r="Q42" s="30" t="s">
        <v>1</v>
      </c>
      <c r="R42" s="30" t="s">
        <v>1</v>
      </c>
      <c r="S42" s="7" t="s">
        <v>1</v>
      </c>
      <c r="T42" s="7" t="s">
        <v>1</v>
      </c>
      <c r="U42" s="7" t="s">
        <v>1</v>
      </c>
      <c r="V42" s="18" t="s">
        <v>1</v>
      </c>
      <c r="W42" s="157">
        <v>1730</v>
      </c>
      <c r="X42" s="18" t="s">
        <v>1</v>
      </c>
      <c r="Y42" s="157">
        <v>564</v>
      </c>
      <c r="Z42" s="18" t="s">
        <v>1</v>
      </c>
      <c r="AA42" s="158">
        <v>3.07</v>
      </c>
      <c r="AB42" s="18" t="s">
        <v>1</v>
      </c>
      <c r="AC42" s="158">
        <v>94.7</v>
      </c>
      <c r="AD42" s="159" t="s">
        <v>1</v>
      </c>
      <c r="AE42" s="160" t="s">
        <v>1</v>
      </c>
      <c r="AF42" s="18" t="s">
        <v>1</v>
      </c>
      <c r="AG42" s="38">
        <v>28</v>
      </c>
      <c r="AH42" s="18" t="s">
        <v>1</v>
      </c>
      <c r="AI42" s="18">
        <v>375</v>
      </c>
      <c r="AJ42" s="18" t="s">
        <v>1</v>
      </c>
      <c r="AK42" s="18">
        <v>302</v>
      </c>
      <c r="AL42" s="18" t="s">
        <v>1</v>
      </c>
      <c r="AM42" s="18">
        <v>5</v>
      </c>
      <c r="AN42" s="18" t="s">
        <v>1</v>
      </c>
      <c r="AO42" s="18">
        <v>15</v>
      </c>
      <c r="AP42" s="18" t="s">
        <v>1</v>
      </c>
      <c r="AQ42" s="18">
        <v>132</v>
      </c>
      <c r="AR42" s="18" t="s">
        <v>1</v>
      </c>
      <c r="AS42" s="19">
        <v>44</v>
      </c>
      <c r="AT42" s="30" t="s">
        <v>1</v>
      </c>
      <c r="AU42" s="7" t="s">
        <v>1</v>
      </c>
      <c r="AV42" s="108">
        <v>45</v>
      </c>
      <c r="AW42" s="7" t="s">
        <v>1</v>
      </c>
      <c r="AX42" s="31" t="s">
        <v>103</v>
      </c>
      <c r="AY42" s="31" t="s">
        <v>1</v>
      </c>
      <c r="AZ42" s="108">
        <v>10</v>
      </c>
      <c r="BA42" s="30" t="s">
        <v>1</v>
      </c>
      <c r="BB42" s="31">
        <v>0.222222222222222</v>
      </c>
      <c r="BC42" s="7" t="s">
        <v>1</v>
      </c>
      <c r="BD42" s="7" t="s">
        <v>1</v>
      </c>
      <c r="BE42" s="7" t="s">
        <v>1</v>
      </c>
      <c r="BF42" s="30" t="s">
        <v>1</v>
      </c>
      <c r="BG42" s="31" t="s">
        <v>1</v>
      </c>
      <c r="BH42" s="31" t="s">
        <v>1</v>
      </c>
      <c r="BI42" s="30" t="s">
        <v>1</v>
      </c>
      <c r="BJ42" s="30" t="s">
        <v>1</v>
      </c>
      <c r="BK42" s="7" t="s">
        <v>1</v>
      </c>
      <c r="BL42" s="92">
        <v>88</v>
      </c>
      <c r="BM42" s="7" t="s">
        <v>1</v>
      </c>
      <c r="BN42" s="30" t="s">
        <v>1</v>
      </c>
      <c r="BO42" s="31" t="s">
        <v>1</v>
      </c>
      <c r="BP42" s="92">
        <v>0</v>
      </c>
      <c r="BQ42" s="30" t="s">
        <v>1</v>
      </c>
      <c r="BR42" s="30" t="s">
        <v>1</v>
      </c>
      <c r="BS42" s="7" t="s">
        <v>1</v>
      </c>
      <c r="BT42" s="7" t="s">
        <v>1</v>
      </c>
      <c r="BU42" s="7" t="s">
        <v>1</v>
      </c>
      <c r="BV42" s="30" t="s">
        <v>1</v>
      </c>
      <c r="BW42" s="31" t="s">
        <v>1</v>
      </c>
      <c r="BX42" s="31" t="s">
        <v>1</v>
      </c>
      <c r="BY42" s="30" t="s">
        <v>1</v>
      </c>
      <c r="BZ42" s="30" t="s">
        <v>1</v>
      </c>
      <c r="CA42" s="7" t="s">
        <v>1</v>
      </c>
      <c r="CB42" s="7" t="s">
        <v>1</v>
      </c>
      <c r="CC42" s="7" t="s">
        <v>1</v>
      </c>
      <c r="CD42" s="30" t="s">
        <v>1</v>
      </c>
      <c r="CE42" s="31" t="s">
        <v>1</v>
      </c>
      <c r="CF42" s="31" t="s">
        <v>1</v>
      </c>
    </row>
    <row r="43" ht="19" customHeight="1" spans="1:84">
      <c r="A43" s="29">
        <v>45222</v>
      </c>
      <c r="B43" s="30" t="s">
        <v>1</v>
      </c>
      <c r="C43" s="7" t="s">
        <v>1</v>
      </c>
      <c r="D43" s="30" t="s">
        <v>1</v>
      </c>
      <c r="E43" s="30" t="s">
        <v>1</v>
      </c>
      <c r="F43" s="30" t="s">
        <v>1</v>
      </c>
      <c r="G43" s="31" t="s">
        <v>1</v>
      </c>
      <c r="H43" s="141" t="e">
        <f t="shared" si="0"/>
        <v>#VALUE!</v>
      </c>
      <c r="I43" s="30" t="s">
        <v>1</v>
      </c>
      <c r="J43" s="30" t="s">
        <v>1</v>
      </c>
      <c r="K43" s="7" t="s">
        <v>1</v>
      </c>
      <c r="L43" s="7" t="s">
        <v>1</v>
      </c>
      <c r="M43" s="7" t="s">
        <v>1</v>
      </c>
      <c r="N43" s="31" t="s">
        <v>1</v>
      </c>
      <c r="O43" s="32" t="s">
        <v>1</v>
      </c>
      <c r="P43" s="31" t="s">
        <v>1</v>
      </c>
      <c r="Q43" s="30" t="s">
        <v>1</v>
      </c>
      <c r="R43" s="30" t="s">
        <v>1</v>
      </c>
      <c r="S43" s="7" t="s">
        <v>1</v>
      </c>
      <c r="T43" s="7" t="s">
        <v>1</v>
      </c>
      <c r="U43" s="7" t="s">
        <v>1</v>
      </c>
      <c r="V43" s="18" t="s">
        <v>1</v>
      </c>
      <c r="W43" s="157">
        <v>2537</v>
      </c>
      <c r="X43" s="18" t="s">
        <v>1</v>
      </c>
      <c r="Y43" s="157">
        <v>1005</v>
      </c>
      <c r="Z43" s="18" t="s">
        <v>1</v>
      </c>
      <c r="AA43" s="158">
        <v>2.52</v>
      </c>
      <c r="AB43" s="18" t="s">
        <v>1</v>
      </c>
      <c r="AC43" s="158">
        <v>63.77</v>
      </c>
      <c r="AD43" s="159" t="s">
        <v>1</v>
      </c>
      <c r="AE43" s="160" t="s">
        <v>1</v>
      </c>
      <c r="AF43" s="18" t="s">
        <v>1</v>
      </c>
      <c r="AG43" s="38">
        <v>15</v>
      </c>
      <c r="AH43" s="18" t="s">
        <v>1</v>
      </c>
      <c r="AI43" s="18">
        <v>748</v>
      </c>
      <c r="AJ43" s="18" t="s">
        <v>1</v>
      </c>
      <c r="AK43" s="18">
        <v>358</v>
      </c>
      <c r="AL43" s="18" t="s">
        <v>1</v>
      </c>
      <c r="AM43" s="18">
        <v>8</v>
      </c>
      <c r="AN43" s="18" t="s">
        <v>1</v>
      </c>
      <c r="AO43" s="18">
        <v>11</v>
      </c>
      <c r="AP43" s="18" t="s">
        <v>1</v>
      </c>
      <c r="AQ43" s="18">
        <v>144</v>
      </c>
      <c r="AR43" s="18" t="s">
        <v>1</v>
      </c>
      <c r="AS43" s="19">
        <v>68</v>
      </c>
      <c r="AT43" s="30" t="s">
        <v>1</v>
      </c>
      <c r="AU43" s="7" t="s">
        <v>1</v>
      </c>
      <c r="AV43" s="108">
        <v>84</v>
      </c>
      <c r="AW43" s="7" t="s">
        <v>1</v>
      </c>
      <c r="AX43" s="31">
        <v>0.0734265734265734</v>
      </c>
      <c r="AY43" s="31" t="s">
        <v>1</v>
      </c>
      <c r="AZ43" s="108">
        <v>23</v>
      </c>
      <c r="BA43" s="30" t="s">
        <v>1</v>
      </c>
      <c r="BB43" s="31">
        <v>0.273809523809524</v>
      </c>
      <c r="BC43" s="7" t="s">
        <v>1</v>
      </c>
      <c r="BD43" s="7" t="s">
        <v>1</v>
      </c>
      <c r="BE43" s="7" t="s">
        <v>1</v>
      </c>
      <c r="BF43" s="30" t="s">
        <v>1</v>
      </c>
      <c r="BG43" s="31" t="s">
        <v>1</v>
      </c>
      <c r="BH43" s="31" t="s">
        <v>1</v>
      </c>
      <c r="BI43" s="30" t="s">
        <v>1</v>
      </c>
      <c r="BJ43" s="30" t="s">
        <v>1</v>
      </c>
      <c r="BK43" s="7" t="s">
        <v>1</v>
      </c>
      <c r="BL43" s="92">
        <v>117</v>
      </c>
      <c r="BM43" s="7" t="s">
        <v>1</v>
      </c>
      <c r="BN43" s="30" t="s">
        <v>1</v>
      </c>
      <c r="BO43" s="31" t="s">
        <v>1</v>
      </c>
      <c r="BP43" s="92">
        <v>0</v>
      </c>
      <c r="BQ43" s="30" t="s">
        <v>1</v>
      </c>
      <c r="BR43" s="30" t="s">
        <v>1</v>
      </c>
      <c r="BS43" s="7" t="s">
        <v>1</v>
      </c>
      <c r="BT43" s="7" t="s">
        <v>1</v>
      </c>
      <c r="BU43" s="7" t="s">
        <v>1</v>
      </c>
      <c r="BV43" s="30" t="s">
        <v>1</v>
      </c>
      <c r="BW43" s="31" t="s">
        <v>1</v>
      </c>
      <c r="BX43" s="31" t="s">
        <v>1</v>
      </c>
      <c r="BY43" s="30" t="s">
        <v>1</v>
      </c>
      <c r="BZ43" s="30" t="s">
        <v>1</v>
      </c>
      <c r="CA43" s="7" t="s">
        <v>1</v>
      </c>
      <c r="CB43" s="7" t="s">
        <v>1</v>
      </c>
      <c r="CC43" s="7" t="s">
        <v>1</v>
      </c>
      <c r="CD43" s="30" t="s">
        <v>1</v>
      </c>
      <c r="CE43" s="31" t="s">
        <v>1</v>
      </c>
      <c r="CF43" s="31" t="s">
        <v>1</v>
      </c>
    </row>
    <row r="44" ht="19" customHeight="1" spans="1:84">
      <c r="A44" s="29">
        <v>45223</v>
      </c>
      <c r="B44" s="30" t="s">
        <v>1</v>
      </c>
      <c r="C44" s="7" t="s">
        <v>1</v>
      </c>
      <c r="D44" s="30" t="s">
        <v>1</v>
      </c>
      <c r="E44" s="30" t="s">
        <v>1</v>
      </c>
      <c r="F44" s="30" t="s">
        <v>1</v>
      </c>
      <c r="G44" s="31" t="s">
        <v>1</v>
      </c>
      <c r="H44" s="141" t="e">
        <f t="shared" si="0"/>
        <v>#VALUE!</v>
      </c>
      <c r="I44" s="30" t="s">
        <v>1</v>
      </c>
      <c r="J44" s="30" t="s">
        <v>1</v>
      </c>
      <c r="K44" s="7" t="s">
        <v>1</v>
      </c>
      <c r="L44" s="7" t="s">
        <v>1</v>
      </c>
      <c r="M44" s="7" t="s">
        <v>1</v>
      </c>
      <c r="N44" s="31" t="s">
        <v>1</v>
      </c>
      <c r="O44" s="32" t="s">
        <v>1</v>
      </c>
      <c r="P44" s="31" t="s">
        <v>1</v>
      </c>
      <c r="Q44" s="30" t="s">
        <v>1</v>
      </c>
      <c r="R44" s="30" t="s">
        <v>1</v>
      </c>
      <c r="S44" s="7" t="s">
        <v>1</v>
      </c>
      <c r="T44" s="7" t="s">
        <v>1</v>
      </c>
      <c r="U44" s="7" t="s">
        <v>1</v>
      </c>
      <c r="V44" s="18" t="s">
        <v>1</v>
      </c>
      <c r="W44" s="176">
        <v>3399</v>
      </c>
      <c r="X44" s="177" t="s">
        <v>1</v>
      </c>
      <c r="Y44" s="176">
        <v>1135</v>
      </c>
      <c r="Z44" s="177" t="s">
        <v>1</v>
      </c>
      <c r="AA44" s="158">
        <v>2.99</v>
      </c>
      <c r="AB44" s="177" t="s">
        <v>1</v>
      </c>
      <c r="AC44" s="158">
        <v>75.41</v>
      </c>
      <c r="AD44" s="178" t="s">
        <v>1</v>
      </c>
      <c r="AE44" s="179" t="s">
        <v>1</v>
      </c>
      <c r="AF44" s="177" t="s">
        <v>1</v>
      </c>
      <c r="AG44" s="38">
        <v>36</v>
      </c>
      <c r="AH44" s="177" t="s">
        <v>1</v>
      </c>
      <c r="AI44" s="177">
        <v>831</v>
      </c>
      <c r="AJ44" s="177" t="s">
        <v>1</v>
      </c>
      <c r="AK44" s="177">
        <v>452</v>
      </c>
      <c r="AL44" s="177" t="s">
        <v>1</v>
      </c>
      <c r="AM44" s="177">
        <v>26</v>
      </c>
      <c r="AN44" s="177" t="s">
        <v>1</v>
      </c>
      <c r="AO44" s="177">
        <v>33</v>
      </c>
      <c r="AP44" s="18" t="s">
        <v>1</v>
      </c>
      <c r="AQ44" s="18">
        <v>164</v>
      </c>
      <c r="AR44" s="18" t="s">
        <v>1</v>
      </c>
      <c r="AS44" s="19">
        <v>94</v>
      </c>
      <c r="AT44" s="30" t="s">
        <v>1</v>
      </c>
      <c r="AU44" s="7" t="s">
        <v>1</v>
      </c>
      <c r="AV44" s="108">
        <v>66</v>
      </c>
      <c r="AW44" s="7" t="s">
        <v>1</v>
      </c>
      <c r="AX44" s="31">
        <v>0.0647058823529412</v>
      </c>
      <c r="AY44" s="31" t="s">
        <v>1</v>
      </c>
      <c r="AZ44" s="108">
        <v>15</v>
      </c>
      <c r="BA44" s="30" t="s">
        <v>1</v>
      </c>
      <c r="BB44" s="31">
        <v>0.227272727272727</v>
      </c>
      <c r="BC44" s="7" t="s">
        <v>1</v>
      </c>
      <c r="BD44" s="7" t="s">
        <v>1</v>
      </c>
      <c r="BE44" s="7" t="s">
        <v>1</v>
      </c>
      <c r="BF44" s="30" t="s">
        <v>1</v>
      </c>
      <c r="BG44" s="31" t="s">
        <v>1</v>
      </c>
      <c r="BH44" s="31" t="s">
        <v>1</v>
      </c>
      <c r="BI44" s="30" t="s">
        <v>1</v>
      </c>
      <c r="BJ44" s="30" t="s">
        <v>1</v>
      </c>
      <c r="BK44" s="7" t="s">
        <v>1</v>
      </c>
      <c r="BL44" s="92">
        <v>113</v>
      </c>
      <c r="BM44" s="7" t="s">
        <v>1</v>
      </c>
      <c r="BN44" s="30" t="s">
        <v>1</v>
      </c>
      <c r="BO44" s="31" t="s">
        <v>1</v>
      </c>
      <c r="BP44" s="92">
        <v>0</v>
      </c>
      <c r="BQ44" s="30" t="s">
        <v>1</v>
      </c>
      <c r="BR44" s="30" t="s">
        <v>1</v>
      </c>
      <c r="BS44" s="7" t="s">
        <v>1</v>
      </c>
      <c r="BT44" s="7" t="s">
        <v>1</v>
      </c>
      <c r="BU44" s="7" t="s">
        <v>1</v>
      </c>
      <c r="BV44" s="30" t="s">
        <v>1</v>
      </c>
      <c r="BW44" s="31" t="s">
        <v>1</v>
      </c>
      <c r="BX44" s="31" t="s">
        <v>1</v>
      </c>
      <c r="BY44" s="30" t="s">
        <v>1</v>
      </c>
      <c r="BZ44" s="30" t="s">
        <v>1</v>
      </c>
      <c r="CA44" s="7" t="s">
        <v>1</v>
      </c>
      <c r="CB44" s="7" t="s">
        <v>1</v>
      </c>
      <c r="CC44" s="7" t="s">
        <v>1</v>
      </c>
      <c r="CD44" s="30" t="s">
        <v>1</v>
      </c>
      <c r="CE44" s="31" t="s">
        <v>1</v>
      </c>
      <c r="CF44" s="31" t="s">
        <v>1</v>
      </c>
    </row>
    <row r="45" ht="19" customHeight="1" spans="1:84">
      <c r="A45" s="29">
        <v>45224</v>
      </c>
      <c r="B45" s="30" t="s">
        <v>1</v>
      </c>
      <c r="C45" s="7" t="s">
        <v>1</v>
      </c>
      <c r="D45" s="30" t="s">
        <v>1</v>
      </c>
      <c r="E45" s="30" t="s">
        <v>1</v>
      </c>
      <c r="F45" s="30" t="s">
        <v>1</v>
      </c>
      <c r="G45" s="31" t="s">
        <v>1</v>
      </c>
      <c r="H45" s="141" t="e">
        <f t="shared" si="0"/>
        <v>#VALUE!</v>
      </c>
      <c r="I45" s="30" t="s">
        <v>1</v>
      </c>
      <c r="J45" s="30" t="s">
        <v>1</v>
      </c>
      <c r="K45" s="7" t="s">
        <v>1</v>
      </c>
      <c r="L45" s="7" t="s">
        <v>1</v>
      </c>
      <c r="M45" s="7" t="s">
        <v>1</v>
      </c>
      <c r="N45" s="31" t="s">
        <v>1</v>
      </c>
      <c r="O45" s="32" t="s">
        <v>1</v>
      </c>
      <c r="P45" s="31" t="s">
        <v>1</v>
      </c>
      <c r="Q45" s="30" t="s">
        <v>1</v>
      </c>
      <c r="R45" s="30" t="s">
        <v>1</v>
      </c>
      <c r="S45" s="7" t="s">
        <v>1</v>
      </c>
      <c r="T45" s="7" t="s">
        <v>1</v>
      </c>
      <c r="U45" s="7" t="s">
        <v>1</v>
      </c>
      <c r="V45" s="180" t="s">
        <v>1</v>
      </c>
      <c r="W45" s="157">
        <v>3361</v>
      </c>
      <c r="X45" s="18" t="s">
        <v>1</v>
      </c>
      <c r="Y45" s="157">
        <v>1242</v>
      </c>
      <c r="Z45" s="18" t="s">
        <v>1</v>
      </c>
      <c r="AA45" s="32">
        <v>2.71</v>
      </c>
      <c r="AB45" s="18" t="s">
        <v>1</v>
      </c>
      <c r="AC45" s="32">
        <v>60.5</v>
      </c>
      <c r="AD45" s="30" t="s">
        <v>1</v>
      </c>
      <c r="AE45" s="7" t="s">
        <v>1</v>
      </c>
      <c r="AF45" s="18" t="s">
        <v>1</v>
      </c>
      <c r="AG45" s="7">
        <v>32</v>
      </c>
      <c r="AH45" s="18" t="s">
        <v>1</v>
      </c>
      <c r="AI45" s="18">
        <v>941</v>
      </c>
      <c r="AJ45" s="18" t="s">
        <v>1</v>
      </c>
      <c r="AK45" s="18">
        <v>460</v>
      </c>
      <c r="AL45" s="18" t="s">
        <v>1</v>
      </c>
      <c r="AM45" s="18">
        <v>13</v>
      </c>
      <c r="AN45" s="18" t="s">
        <v>1</v>
      </c>
      <c r="AO45" s="18">
        <v>21</v>
      </c>
      <c r="AP45" s="18" t="s">
        <v>1</v>
      </c>
      <c r="AQ45" s="18">
        <v>194</v>
      </c>
      <c r="AR45" s="18" t="s">
        <v>1</v>
      </c>
      <c r="AS45" s="19">
        <v>105</v>
      </c>
      <c r="AT45" s="30" t="s">
        <v>1</v>
      </c>
      <c r="AU45" s="7" t="s">
        <v>1</v>
      </c>
      <c r="AV45" s="108">
        <v>57</v>
      </c>
      <c r="AW45" s="7" t="s">
        <v>1</v>
      </c>
      <c r="AX45" s="31" t="s">
        <v>103</v>
      </c>
      <c r="AY45" s="31" t="s">
        <v>1</v>
      </c>
      <c r="AZ45" s="108">
        <v>4</v>
      </c>
      <c r="BA45" s="30" t="s">
        <v>1</v>
      </c>
      <c r="BB45" s="31">
        <v>0.0701754385964912</v>
      </c>
      <c r="BC45" s="7" t="s">
        <v>1</v>
      </c>
      <c r="BD45" s="7" t="s">
        <v>1</v>
      </c>
      <c r="BE45" s="7" t="s">
        <v>1</v>
      </c>
      <c r="BF45" s="30" t="s">
        <v>1</v>
      </c>
      <c r="BG45" s="31" t="s">
        <v>1</v>
      </c>
      <c r="BH45" s="31" t="s">
        <v>1</v>
      </c>
      <c r="BI45" s="30" t="s">
        <v>1</v>
      </c>
      <c r="BJ45" s="30" t="s">
        <v>1</v>
      </c>
      <c r="BK45" s="7" t="s">
        <v>1</v>
      </c>
      <c r="BL45" s="92">
        <v>176</v>
      </c>
      <c r="BM45" s="7" t="s">
        <v>1</v>
      </c>
      <c r="BN45" s="30" t="s">
        <v>1</v>
      </c>
      <c r="BO45" s="31" t="s">
        <v>1</v>
      </c>
      <c r="BP45" s="92">
        <v>0</v>
      </c>
      <c r="BQ45" s="30" t="s">
        <v>1</v>
      </c>
      <c r="BR45" s="30" t="s">
        <v>1</v>
      </c>
      <c r="BS45" s="7" t="s">
        <v>1</v>
      </c>
      <c r="BT45" s="7" t="s">
        <v>1</v>
      </c>
      <c r="BU45" s="7" t="s">
        <v>1</v>
      </c>
      <c r="BV45" s="30" t="s">
        <v>1</v>
      </c>
      <c r="BW45" s="31" t="s">
        <v>1</v>
      </c>
      <c r="BX45" s="31" t="s">
        <v>1</v>
      </c>
      <c r="BY45" s="30" t="s">
        <v>1</v>
      </c>
      <c r="BZ45" s="30" t="s">
        <v>1</v>
      </c>
      <c r="CA45" s="7" t="s">
        <v>1</v>
      </c>
      <c r="CB45" s="7" t="s">
        <v>1</v>
      </c>
      <c r="CC45" s="7" t="s">
        <v>1</v>
      </c>
      <c r="CD45" s="30" t="s">
        <v>1</v>
      </c>
      <c r="CE45" s="31" t="s">
        <v>1</v>
      </c>
      <c r="CF45" s="31" t="s">
        <v>1</v>
      </c>
    </row>
    <row r="46" ht="19" customHeight="1" spans="1:84">
      <c r="A46" s="29">
        <v>45225</v>
      </c>
      <c r="B46" s="30" t="s">
        <v>1</v>
      </c>
      <c r="C46" s="7" t="s">
        <v>1</v>
      </c>
      <c r="D46" s="30" t="s">
        <v>1</v>
      </c>
      <c r="E46" s="30" t="s">
        <v>1</v>
      </c>
      <c r="F46" s="30" t="s">
        <v>1</v>
      </c>
      <c r="G46" s="31" t="s">
        <v>1</v>
      </c>
      <c r="H46" s="141" t="e">
        <f t="shared" si="0"/>
        <v>#VALUE!</v>
      </c>
      <c r="I46" s="30" t="s">
        <v>1</v>
      </c>
      <c r="J46" s="30" t="s">
        <v>1</v>
      </c>
      <c r="K46" s="7" t="s">
        <v>1</v>
      </c>
      <c r="L46" s="7" t="s">
        <v>1</v>
      </c>
      <c r="M46" s="7" t="s">
        <v>1</v>
      </c>
      <c r="N46" s="31" t="s">
        <v>1</v>
      </c>
      <c r="O46" s="32" t="s">
        <v>1</v>
      </c>
      <c r="P46" s="31" t="s">
        <v>1</v>
      </c>
      <c r="Q46" s="30" t="s">
        <v>1</v>
      </c>
      <c r="R46" s="30" t="s">
        <v>1</v>
      </c>
      <c r="S46" s="7" t="s">
        <v>1</v>
      </c>
      <c r="T46" s="7" t="s">
        <v>1</v>
      </c>
      <c r="U46" s="7" t="s">
        <v>1</v>
      </c>
      <c r="V46" s="180" t="s">
        <v>1</v>
      </c>
      <c r="W46" s="157">
        <v>2702</v>
      </c>
      <c r="X46" s="18" t="s">
        <v>1</v>
      </c>
      <c r="Y46" s="157">
        <v>1140</v>
      </c>
      <c r="Z46" s="18" t="s">
        <v>1</v>
      </c>
      <c r="AA46" s="32">
        <v>2.37</v>
      </c>
      <c r="AB46" s="18" t="s">
        <v>1</v>
      </c>
      <c r="AC46" s="32">
        <v>47.55</v>
      </c>
      <c r="AD46" s="30" t="s">
        <v>1</v>
      </c>
      <c r="AE46" s="7" t="s">
        <v>1</v>
      </c>
      <c r="AF46" s="18" t="s">
        <v>1</v>
      </c>
      <c r="AG46" s="7">
        <v>23</v>
      </c>
      <c r="AH46" s="18" t="s">
        <v>1</v>
      </c>
      <c r="AI46" s="18">
        <v>824</v>
      </c>
      <c r="AJ46" s="18" t="s">
        <v>1</v>
      </c>
      <c r="AK46" s="18">
        <v>434</v>
      </c>
      <c r="AL46" s="18" t="s">
        <v>1</v>
      </c>
      <c r="AM46" s="18">
        <v>10</v>
      </c>
      <c r="AN46" s="18" t="s">
        <v>1</v>
      </c>
      <c r="AO46" s="18">
        <v>19</v>
      </c>
      <c r="AP46" s="18" t="s">
        <v>1</v>
      </c>
      <c r="AQ46" s="18">
        <v>136</v>
      </c>
      <c r="AR46" s="18" t="s">
        <v>1</v>
      </c>
      <c r="AS46" s="19">
        <v>71</v>
      </c>
      <c r="AT46" s="30" t="s">
        <v>1</v>
      </c>
      <c r="AU46" s="7" t="s">
        <v>1</v>
      </c>
      <c r="AV46" s="108">
        <v>51</v>
      </c>
      <c r="AW46" s="7" t="s">
        <v>1</v>
      </c>
      <c r="AX46" s="31" t="s">
        <v>103</v>
      </c>
      <c r="AY46" s="31" t="s">
        <v>1</v>
      </c>
      <c r="AZ46" s="108">
        <v>8</v>
      </c>
      <c r="BA46" s="30" t="s">
        <v>1</v>
      </c>
      <c r="BB46" s="31">
        <v>0.156862745098039</v>
      </c>
      <c r="BC46" s="7" t="s">
        <v>1</v>
      </c>
      <c r="BD46" s="7" t="s">
        <v>1</v>
      </c>
      <c r="BE46" s="7" t="s">
        <v>1</v>
      </c>
      <c r="BF46" s="30" t="s">
        <v>1</v>
      </c>
      <c r="BG46" s="31" t="s">
        <v>1</v>
      </c>
      <c r="BH46" s="31" t="s">
        <v>1</v>
      </c>
      <c r="BI46" s="30" t="s">
        <v>1</v>
      </c>
      <c r="BJ46" s="30" t="s">
        <v>1</v>
      </c>
      <c r="BK46" s="7" t="s">
        <v>1</v>
      </c>
      <c r="BL46" s="92">
        <v>107</v>
      </c>
      <c r="BM46" s="7" t="s">
        <v>1</v>
      </c>
      <c r="BN46" s="30" t="s">
        <v>1</v>
      </c>
      <c r="BO46" s="31" t="s">
        <v>1</v>
      </c>
      <c r="BP46" s="92">
        <v>0</v>
      </c>
      <c r="BQ46" s="30" t="s">
        <v>1</v>
      </c>
      <c r="BR46" s="30" t="s">
        <v>1</v>
      </c>
      <c r="BS46" s="7" t="s">
        <v>1</v>
      </c>
      <c r="BT46" s="7" t="s">
        <v>1</v>
      </c>
      <c r="BU46" s="7" t="s">
        <v>1</v>
      </c>
      <c r="BV46" s="30" t="s">
        <v>1</v>
      </c>
      <c r="BW46" s="31" t="s">
        <v>1</v>
      </c>
      <c r="BX46" s="31" t="s">
        <v>1</v>
      </c>
      <c r="BY46" s="30" t="s">
        <v>1</v>
      </c>
      <c r="BZ46" s="30" t="s">
        <v>1</v>
      </c>
      <c r="CA46" s="7" t="s">
        <v>1</v>
      </c>
      <c r="CB46" s="7" t="s">
        <v>1</v>
      </c>
      <c r="CC46" s="7" t="s">
        <v>1</v>
      </c>
      <c r="CD46" s="30" t="s">
        <v>1</v>
      </c>
      <c r="CE46" s="31" t="s">
        <v>1</v>
      </c>
      <c r="CF46" s="31" t="s">
        <v>1</v>
      </c>
    </row>
    <row r="47" ht="19" customHeight="1" spans="1:84">
      <c r="A47" s="29">
        <v>45226</v>
      </c>
      <c r="B47" s="30" t="s">
        <v>1</v>
      </c>
      <c r="C47" s="7" t="s">
        <v>1</v>
      </c>
      <c r="D47" s="30" t="s">
        <v>1</v>
      </c>
      <c r="E47" s="30" t="s">
        <v>1</v>
      </c>
      <c r="F47" s="30" t="s">
        <v>1</v>
      </c>
      <c r="G47" s="31" t="s">
        <v>1</v>
      </c>
      <c r="H47" s="141" t="e">
        <f t="shared" si="0"/>
        <v>#VALUE!</v>
      </c>
      <c r="I47" s="30" t="s">
        <v>1</v>
      </c>
      <c r="J47" s="30" t="s">
        <v>1</v>
      </c>
      <c r="K47" s="7" t="s">
        <v>1</v>
      </c>
      <c r="L47" s="7" t="s">
        <v>1</v>
      </c>
      <c r="M47" s="7" t="s">
        <v>1</v>
      </c>
      <c r="N47" s="31" t="s">
        <v>1</v>
      </c>
      <c r="O47" s="32" t="s">
        <v>1</v>
      </c>
      <c r="P47" s="31" t="s">
        <v>1</v>
      </c>
      <c r="Q47" s="30" t="s">
        <v>1</v>
      </c>
      <c r="R47" s="30" t="s">
        <v>1</v>
      </c>
      <c r="S47" s="7" t="s">
        <v>1</v>
      </c>
      <c r="T47" s="7" t="s">
        <v>1</v>
      </c>
      <c r="U47" s="7" t="s">
        <v>1</v>
      </c>
      <c r="V47" s="180" t="s">
        <v>1</v>
      </c>
      <c r="W47" s="157">
        <v>2690</v>
      </c>
      <c r="X47" s="18" t="s">
        <v>1</v>
      </c>
      <c r="Y47" s="157">
        <v>967</v>
      </c>
      <c r="Z47" s="18" t="s">
        <v>1</v>
      </c>
      <c r="AA47" s="32">
        <v>2.78</v>
      </c>
      <c r="AB47" s="18" t="s">
        <v>1</v>
      </c>
      <c r="AC47" s="32">
        <v>67.27</v>
      </c>
      <c r="AD47" s="30" t="s">
        <v>1</v>
      </c>
      <c r="AE47" s="7" t="s">
        <v>1</v>
      </c>
      <c r="AF47" s="18" t="s">
        <v>1</v>
      </c>
      <c r="AG47" s="7">
        <v>24</v>
      </c>
      <c r="AH47" s="18" t="s">
        <v>1</v>
      </c>
      <c r="AI47" s="18">
        <v>675</v>
      </c>
      <c r="AJ47" s="18" t="s">
        <v>1</v>
      </c>
      <c r="AK47" s="18">
        <v>432</v>
      </c>
      <c r="AL47" s="18" t="s">
        <v>1</v>
      </c>
      <c r="AM47" s="18">
        <v>9</v>
      </c>
      <c r="AN47" s="18" t="s">
        <v>1</v>
      </c>
      <c r="AO47" s="18">
        <v>23</v>
      </c>
      <c r="AP47" s="18" t="s">
        <v>1</v>
      </c>
      <c r="AQ47" s="18">
        <v>153</v>
      </c>
      <c r="AR47" s="18" t="s">
        <v>1</v>
      </c>
      <c r="AS47" s="19">
        <v>51</v>
      </c>
      <c r="AT47" s="30" t="s">
        <v>1</v>
      </c>
      <c r="AU47" s="7" t="s">
        <v>1</v>
      </c>
      <c r="AV47" s="108">
        <v>48</v>
      </c>
      <c r="AW47" s="7" t="s">
        <v>1</v>
      </c>
      <c r="AX47" s="31" t="s">
        <v>103</v>
      </c>
      <c r="AY47" s="31" t="s">
        <v>1</v>
      </c>
      <c r="AZ47" s="108">
        <v>7</v>
      </c>
      <c r="BA47" s="30" t="s">
        <v>1</v>
      </c>
      <c r="BB47" s="31">
        <v>0.145833333333333</v>
      </c>
      <c r="BC47" s="7" t="s">
        <v>1</v>
      </c>
      <c r="BD47" s="7" t="s">
        <v>1</v>
      </c>
      <c r="BE47" s="7" t="s">
        <v>1</v>
      </c>
      <c r="BF47" s="30" t="s">
        <v>1</v>
      </c>
      <c r="BG47" s="31" t="s">
        <v>1</v>
      </c>
      <c r="BH47" s="31" t="s">
        <v>1</v>
      </c>
      <c r="BI47" s="30" t="s">
        <v>1</v>
      </c>
      <c r="BJ47" s="30" t="s">
        <v>1</v>
      </c>
      <c r="BK47" s="7" t="s">
        <v>1</v>
      </c>
      <c r="BL47" s="92">
        <v>81</v>
      </c>
      <c r="BM47" s="7" t="s">
        <v>1</v>
      </c>
      <c r="BN47" s="30" t="s">
        <v>1</v>
      </c>
      <c r="BO47" s="31" t="s">
        <v>1</v>
      </c>
      <c r="BP47" s="92">
        <v>0</v>
      </c>
      <c r="BQ47" s="30" t="s">
        <v>1</v>
      </c>
      <c r="BR47" s="30" t="s">
        <v>1</v>
      </c>
      <c r="BS47" s="7" t="s">
        <v>1</v>
      </c>
      <c r="BT47" s="7" t="s">
        <v>1</v>
      </c>
      <c r="BU47" s="7" t="s">
        <v>1</v>
      </c>
      <c r="BV47" s="30" t="s">
        <v>1</v>
      </c>
      <c r="BW47" s="31" t="s">
        <v>1</v>
      </c>
      <c r="BX47" s="31" t="s">
        <v>1</v>
      </c>
      <c r="BY47" s="30" t="s">
        <v>1</v>
      </c>
      <c r="BZ47" s="30" t="s">
        <v>1</v>
      </c>
      <c r="CA47" s="7" t="s">
        <v>1</v>
      </c>
      <c r="CB47" s="7" t="s">
        <v>1</v>
      </c>
      <c r="CC47" s="7" t="s">
        <v>1</v>
      </c>
      <c r="CD47" s="30" t="s">
        <v>1</v>
      </c>
      <c r="CE47" s="31" t="s">
        <v>1</v>
      </c>
      <c r="CF47" s="31" t="s">
        <v>1</v>
      </c>
    </row>
    <row r="48" ht="19" customHeight="1" spans="1:84">
      <c r="A48" s="29">
        <v>45227</v>
      </c>
      <c r="B48" s="30" t="s">
        <v>1</v>
      </c>
      <c r="C48" s="7" t="s">
        <v>1</v>
      </c>
      <c r="D48" s="30" t="s">
        <v>1</v>
      </c>
      <c r="E48" s="30" t="s">
        <v>1</v>
      </c>
      <c r="F48" s="30" t="s">
        <v>1</v>
      </c>
      <c r="G48" s="31" t="s">
        <v>1</v>
      </c>
      <c r="H48" s="141" t="e">
        <f t="shared" si="0"/>
        <v>#VALUE!</v>
      </c>
      <c r="I48" s="30" t="s">
        <v>1</v>
      </c>
      <c r="J48" s="30" t="s">
        <v>1</v>
      </c>
      <c r="K48" s="7" t="s">
        <v>1</v>
      </c>
      <c r="L48" s="7" t="s">
        <v>1</v>
      </c>
      <c r="M48" s="7" t="s">
        <v>1</v>
      </c>
      <c r="N48" s="31" t="s">
        <v>1</v>
      </c>
      <c r="O48" s="32" t="s">
        <v>1</v>
      </c>
      <c r="P48" s="31" t="s">
        <v>1</v>
      </c>
      <c r="Q48" s="30" t="s">
        <v>1</v>
      </c>
      <c r="R48" s="30" t="s">
        <v>1</v>
      </c>
      <c r="S48" s="7" t="s">
        <v>1</v>
      </c>
      <c r="T48" s="7" t="s">
        <v>1</v>
      </c>
      <c r="U48" s="7" t="s">
        <v>1</v>
      </c>
      <c r="V48" s="180" t="s">
        <v>1</v>
      </c>
      <c r="W48" s="157">
        <v>2796</v>
      </c>
      <c r="X48" s="18" t="s">
        <v>1</v>
      </c>
      <c r="Y48" s="157">
        <v>1151</v>
      </c>
      <c r="Z48" s="18" t="s">
        <v>1</v>
      </c>
      <c r="AA48" s="32">
        <v>2.43</v>
      </c>
      <c r="AB48" s="18" t="s">
        <v>1</v>
      </c>
      <c r="AC48" s="32">
        <v>51.26</v>
      </c>
      <c r="AD48" s="30" t="s">
        <v>1</v>
      </c>
      <c r="AE48" s="7" t="s">
        <v>1</v>
      </c>
      <c r="AF48" s="18" t="s">
        <v>1</v>
      </c>
      <c r="AG48" s="7">
        <v>27</v>
      </c>
      <c r="AH48" s="18" t="s">
        <v>1</v>
      </c>
      <c r="AI48" s="18">
        <v>862</v>
      </c>
      <c r="AJ48" s="18" t="s">
        <v>1</v>
      </c>
      <c r="AK48" s="18">
        <v>437</v>
      </c>
      <c r="AL48" s="18" t="s">
        <v>1</v>
      </c>
      <c r="AM48" s="18">
        <v>5</v>
      </c>
      <c r="AN48" s="18" t="s">
        <v>1</v>
      </c>
      <c r="AO48" s="18">
        <v>16</v>
      </c>
      <c r="AP48" s="18" t="s">
        <v>1</v>
      </c>
      <c r="AQ48" s="18">
        <v>144</v>
      </c>
      <c r="AR48" s="18" t="s">
        <v>1</v>
      </c>
      <c r="AS48" s="19">
        <v>120</v>
      </c>
      <c r="AT48" s="30" t="s">
        <v>1</v>
      </c>
      <c r="AU48" s="7" t="s">
        <v>1</v>
      </c>
      <c r="AV48" s="108">
        <v>45</v>
      </c>
      <c r="AW48" s="7" t="s">
        <v>1</v>
      </c>
      <c r="AX48" s="31" t="s">
        <v>103</v>
      </c>
      <c r="AY48" s="31" t="s">
        <v>1</v>
      </c>
      <c r="AZ48" s="108">
        <v>7</v>
      </c>
      <c r="BA48" s="30" t="s">
        <v>1</v>
      </c>
      <c r="BB48" s="31">
        <v>0.155555555555556</v>
      </c>
      <c r="BC48" s="7" t="s">
        <v>1</v>
      </c>
      <c r="BD48" s="7" t="s">
        <v>1</v>
      </c>
      <c r="BE48" s="7" t="s">
        <v>1</v>
      </c>
      <c r="BF48" s="30" t="s">
        <v>1</v>
      </c>
      <c r="BG48" s="31" t="s">
        <v>1</v>
      </c>
      <c r="BH48" s="31" t="s">
        <v>1</v>
      </c>
      <c r="BI48" s="30" t="s">
        <v>1</v>
      </c>
      <c r="BJ48" s="30" t="s">
        <v>1</v>
      </c>
      <c r="BK48" s="7" t="s">
        <v>1</v>
      </c>
      <c r="BL48" s="92">
        <v>125</v>
      </c>
      <c r="BM48" s="7" t="s">
        <v>1</v>
      </c>
      <c r="BN48" s="30" t="s">
        <v>1</v>
      </c>
      <c r="BO48" s="31" t="s">
        <v>1</v>
      </c>
      <c r="BP48" s="92">
        <v>0</v>
      </c>
      <c r="BQ48" s="30" t="s">
        <v>1</v>
      </c>
      <c r="BR48" s="30" t="s">
        <v>1</v>
      </c>
      <c r="BS48" s="7" t="s">
        <v>1</v>
      </c>
      <c r="BT48" s="7" t="s">
        <v>1</v>
      </c>
      <c r="BU48" s="7" t="s">
        <v>1</v>
      </c>
      <c r="BV48" s="30" t="s">
        <v>1</v>
      </c>
      <c r="BW48" s="31" t="s">
        <v>1</v>
      </c>
      <c r="BX48" s="31" t="s">
        <v>1</v>
      </c>
      <c r="BY48" s="30" t="s">
        <v>1</v>
      </c>
      <c r="BZ48" s="30" t="s">
        <v>1</v>
      </c>
      <c r="CA48" s="7" t="s">
        <v>1</v>
      </c>
      <c r="CB48" s="7" t="s">
        <v>1</v>
      </c>
      <c r="CC48" s="7" t="s">
        <v>1</v>
      </c>
      <c r="CD48" s="30" t="s">
        <v>1</v>
      </c>
      <c r="CE48" s="31" t="s">
        <v>1</v>
      </c>
      <c r="CF48" s="31" t="s">
        <v>1</v>
      </c>
    </row>
    <row r="49" ht="19" customHeight="1" spans="1:84">
      <c r="A49" s="29">
        <v>45228</v>
      </c>
      <c r="B49" s="30" t="s">
        <v>1</v>
      </c>
      <c r="C49" s="7" t="s">
        <v>1</v>
      </c>
      <c r="D49" s="30" t="s">
        <v>1</v>
      </c>
      <c r="E49" s="30" t="s">
        <v>1</v>
      </c>
      <c r="F49" s="30" t="s">
        <v>1</v>
      </c>
      <c r="G49" s="31" t="s">
        <v>1</v>
      </c>
      <c r="H49" s="141" t="e">
        <f t="shared" si="0"/>
        <v>#VALUE!</v>
      </c>
      <c r="I49" s="30" t="s">
        <v>1</v>
      </c>
      <c r="J49" s="30" t="s">
        <v>1</v>
      </c>
      <c r="K49" s="7" t="s">
        <v>1</v>
      </c>
      <c r="L49" s="7" t="s">
        <v>1</v>
      </c>
      <c r="M49" s="7" t="s">
        <v>1</v>
      </c>
      <c r="N49" s="31" t="s">
        <v>1</v>
      </c>
      <c r="O49" s="32" t="s">
        <v>1</v>
      </c>
      <c r="P49" s="31" t="s">
        <v>1</v>
      </c>
      <c r="Q49" s="30" t="s">
        <v>1</v>
      </c>
      <c r="R49" s="30" t="s">
        <v>1</v>
      </c>
      <c r="S49" s="7" t="s">
        <v>1</v>
      </c>
      <c r="T49" s="7" t="s">
        <v>1</v>
      </c>
      <c r="U49" s="7" t="s">
        <v>1</v>
      </c>
      <c r="V49" s="180" t="s">
        <v>1</v>
      </c>
      <c r="W49" s="157">
        <v>3146</v>
      </c>
      <c r="X49" s="18" t="s">
        <v>1</v>
      </c>
      <c r="Y49" s="157">
        <v>1252</v>
      </c>
      <c r="Z49" s="18" t="s">
        <v>1</v>
      </c>
      <c r="AA49" s="32">
        <v>2.51</v>
      </c>
      <c r="AB49" s="18" t="s">
        <v>1</v>
      </c>
      <c r="AC49" s="32">
        <v>54.88</v>
      </c>
      <c r="AD49" s="30" t="s">
        <v>1</v>
      </c>
      <c r="AE49" s="7" t="s">
        <v>1</v>
      </c>
      <c r="AF49" s="18" t="s">
        <v>1</v>
      </c>
      <c r="AG49" s="7">
        <v>25</v>
      </c>
      <c r="AH49" s="18" t="s">
        <v>1</v>
      </c>
      <c r="AI49" s="18">
        <v>921</v>
      </c>
      <c r="AJ49" s="18" t="s">
        <v>1</v>
      </c>
      <c r="AK49" s="18">
        <v>473</v>
      </c>
      <c r="AL49" s="18" t="s">
        <v>1</v>
      </c>
      <c r="AM49" s="18">
        <v>9</v>
      </c>
      <c r="AN49" s="18" t="s">
        <v>1</v>
      </c>
      <c r="AO49" s="18">
        <v>16</v>
      </c>
      <c r="AP49" s="18" t="s">
        <v>1</v>
      </c>
      <c r="AQ49" s="18">
        <v>152</v>
      </c>
      <c r="AR49" s="18" t="s">
        <v>1</v>
      </c>
      <c r="AS49" s="19">
        <v>89</v>
      </c>
      <c r="AT49" s="30" t="s">
        <v>1</v>
      </c>
      <c r="AU49" s="7" t="s">
        <v>1</v>
      </c>
      <c r="AV49" s="108" t="s">
        <v>1</v>
      </c>
      <c r="AW49" s="7" t="s">
        <v>1</v>
      </c>
      <c r="AX49" s="31" t="e">
        <f>AV49/X49</f>
        <v>#VALUE!</v>
      </c>
      <c r="AY49" s="31" t="s">
        <v>1</v>
      </c>
      <c r="AZ49" s="108" t="s">
        <v>1</v>
      </c>
      <c r="BA49" s="30" t="s">
        <v>1</v>
      </c>
      <c r="BB49" s="31" t="e">
        <f>AZ49/AV49</f>
        <v>#VALUE!</v>
      </c>
      <c r="BC49" s="7" t="s">
        <v>1</v>
      </c>
      <c r="BD49" s="7" t="s">
        <v>1</v>
      </c>
      <c r="BE49" s="7" t="s">
        <v>1</v>
      </c>
      <c r="BF49" s="30" t="s">
        <v>1</v>
      </c>
      <c r="BG49" s="31" t="s">
        <v>1</v>
      </c>
      <c r="BH49" s="31" t="s">
        <v>1</v>
      </c>
      <c r="BI49" s="30" t="s">
        <v>1</v>
      </c>
      <c r="BJ49" s="30" t="s">
        <v>1</v>
      </c>
      <c r="BK49" s="7" t="s">
        <v>1</v>
      </c>
      <c r="BL49" s="92">
        <v>99</v>
      </c>
      <c r="BM49" s="7" t="s">
        <v>1</v>
      </c>
      <c r="BN49" s="30" t="s">
        <v>1</v>
      </c>
      <c r="BO49" s="31" t="s">
        <v>1</v>
      </c>
      <c r="BP49" s="92">
        <v>0</v>
      </c>
      <c r="BQ49" s="30" t="s">
        <v>1</v>
      </c>
      <c r="BR49" s="30" t="s">
        <v>1</v>
      </c>
      <c r="BS49" s="7" t="s">
        <v>1</v>
      </c>
      <c r="BT49" s="7" t="s">
        <v>1</v>
      </c>
      <c r="BU49" s="7" t="s">
        <v>1</v>
      </c>
      <c r="BV49" s="30" t="s">
        <v>1</v>
      </c>
      <c r="BW49" s="31" t="s">
        <v>1</v>
      </c>
      <c r="BX49" s="31" t="s">
        <v>1</v>
      </c>
      <c r="BY49" s="30" t="s">
        <v>1</v>
      </c>
      <c r="BZ49" s="30" t="s">
        <v>1</v>
      </c>
      <c r="CA49" s="7" t="s">
        <v>1</v>
      </c>
      <c r="CB49" s="7" t="s">
        <v>1</v>
      </c>
      <c r="CC49" s="7" t="s">
        <v>1</v>
      </c>
      <c r="CD49" s="30" t="s">
        <v>1</v>
      </c>
      <c r="CE49" s="31" t="s">
        <v>1</v>
      </c>
      <c r="CF49" s="31" t="s">
        <v>1</v>
      </c>
    </row>
    <row r="50" ht="19" customHeight="1" spans="1:84">
      <c r="A50" s="29">
        <v>45229</v>
      </c>
      <c r="B50" s="30" t="s">
        <v>1</v>
      </c>
      <c r="C50" s="7" t="s">
        <v>1</v>
      </c>
      <c r="D50" s="30" t="s">
        <v>1</v>
      </c>
      <c r="E50" s="30" t="s">
        <v>1</v>
      </c>
      <c r="F50" s="30" t="s">
        <v>1</v>
      </c>
      <c r="G50" s="31" t="s">
        <v>1</v>
      </c>
      <c r="H50" s="141" t="e">
        <f t="shared" si="0"/>
        <v>#VALUE!</v>
      </c>
      <c r="I50" s="30" t="s">
        <v>1</v>
      </c>
      <c r="J50" s="30" t="s">
        <v>1</v>
      </c>
      <c r="K50" s="7" t="s">
        <v>1</v>
      </c>
      <c r="L50" s="7" t="s">
        <v>1</v>
      </c>
      <c r="M50" s="7" t="s">
        <v>1</v>
      </c>
      <c r="N50" s="31" t="s">
        <v>1</v>
      </c>
      <c r="O50" s="32" t="s">
        <v>1</v>
      </c>
      <c r="P50" s="31" t="s">
        <v>1</v>
      </c>
      <c r="Q50" s="30" t="s">
        <v>1</v>
      </c>
      <c r="R50" s="30" t="s">
        <v>1</v>
      </c>
      <c r="S50" s="7" t="s">
        <v>1</v>
      </c>
      <c r="T50" s="7" t="s">
        <v>1</v>
      </c>
      <c r="U50" s="7" t="s">
        <v>1</v>
      </c>
      <c r="V50" s="180" t="s">
        <v>1</v>
      </c>
      <c r="W50" s="157">
        <v>3557</v>
      </c>
      <c r="X50" s="18" t="s">
        <v>1</v>
      </c>
      <c r="Y50" s="157">
        <v>1299</v>
      </c>
      <c r="Z50" s="18" t="s">
        <v>1</v>
      </c>
      <c r="AA50" s="32">
        <v>2.74</v>
      </c>
      <c r="AB50" s="18" t="s">
        <v>1</v>
      </c>
      <c r="AC50" s="32">
        <v>68.24</v>
      </c>
      <c r="AD50" s="30" t="s">
        <v>1</v>
      </c>
      <c r="AE50" s="7" t="s">
        <v>1</v>
      </c>
      <c r="AF50" s="18" t="s">
        <v>1</v>
      </c>
      <c r="AG50" s="7">
        <v>31</v>
      </c>
      <c r="AH50" s="18" t="s">
        <v>1</v>
      </c>
      <c r="AI50" s="18">
        <v>924</v>
      </c>
      <c r="AJ50" s="18" t="s">
        <v>1</v>
      </c>
      <c r="AK50" s="18">
        <v>558</v>
      </c>
      <c r="AL50" s="18" t="s">
        <v>1</v>
      </c>
      <c r="AM50" s="18">
        <v>6</v>
      </c>
      <c r="AN50" s="18" t="s">
        <v>1</v>
      </c>
      <c r="AO50" s="18">
        <v>25</v>
      </c>
      <c r="AP50" s="18" t="s">
        <v>1</v>
      </c>
      <c r="AQ50" s="18">
        <v>171</v>
      </c>
      <c r="AR50" s="18" t="s">
        <v>1</v>
      </c>
      <c r="AS50" s="19">
        <v>55</v>
      </c>
      <c r="AT50" s="30" t="s">
        <v>1</v>
      </c>
      <c r="AU50" s="7" t="s">
        <v>1</v>
      </c>
      <c r="AV50" s="108" t="s">
        <v>1</v>
      </c>
      <c r="AW50" s="7" t="s">
        <v>1</v>
      </c>
      <c r="AX50" s="31" t="e">
        <f>AV50/X50</f>
        <v>#VALUE!</v>
      </c>
      <c r="AY50" s="31" t="s">
        <v>1</v>
      </c>
      <c r="AZ50" s="108" t="s">
        <v>1</v>
      </c>
      <c r="BA50" s="30" t="s">
        <v>1</v>
      </c>
      <c r="BB50" s="31" t="e">
        <f>AZ50/AV50</f>
        <v>#VALUE!</v>
      </c>
      <c r="BC50" s="7" t="s">
        <v>1</v>
      </c>
      <c r="BD50" s="7" t="s">
        <v>1</v>
      </c>
      <c r="BE50" s="7" t="s">
        <v>1</v>
      </c>
      <c r="BF50" s="30" t="s">
        <v>1</v>
      </c>
      <c r="BG50" s="31" t="s">
        <v>1</v>
      </c>
      <c r="BH50" s="31" t="s">
        <v>1</v>
      </c>
      <c r="BI50" s="30" t="s">
        <v>1</v>
      </c>
      <c r="BJ50" s="30" t="s">
        <v>1</v>
      </c>
      <c r="BK50" s="7" t="s">
        <v>1</v>
      </c>
      <c r="BL50" s="92">
        <v>148</v>
      </c>
      <c r="BM50" s="7" t="s">
        <v>1</v>
      </c>
      <c r="BN50" s="30" t="s">
        <v>1</v>
      </c>
      <c r="BO50" s="31" t="s">
        <v>1</v>
      </c>
      <c r="BP50" s="92">
        <v>0</v>
      </c>
      <c r="BQ50" s="30" t="s">
        <v>1</v>
      </c>
      <c r="BR50" s="30" t="s">
        <v>1</v>
      </c>
      <c r="BS50" s="7" t="s">
        <v>1</v>
      </c>
      <c r="BT50" s="7" t="s">
        <v>1</v>
      </c>
      <c r="BU50" s="7" t="s">
        <v>1</v>
      </c>
      <c r="BV50" s="30" t="s">
        <v>1</v>
      </c>
      <c r="BW50" s="31" t="s">
        <v>1</v>
      </c>
      <c r="BX50" s="31" t="s">
        <v>1</v>
      </c>
      <c r="BY50" s="30" t="s">
        <v>1</v>
      </c>
      <c r="BZ50" s="30" t="s">
        <v>1</v>
      </c>
      <c r="CA50" s="7" t="s">
        <v>1</v>
      </c>
      <c r="CB50" s="7" t="s">
        <v>1</v>
      </c>
      <c r="CC50" s="7" t="s">
        <v>1</v>
      </c>
      <c r="CD50" s="30" t="s">
        <v>1</v>
      </c>
      <c r="CE50" s="31" t="s">
        <v>1</v>
      </c>
      <c r="CF50" s="31" t="s">
        <v>1</v>
      </c>
    </row>
    <row r="51" ht="19" customHeight="1" spans="1:84">
      <c r="A51" s="29">
        <v>45230</v>
      </c>
      <c r="B51" s="30" t="s">
        <v>1</v>
      </c>
      <c r="C51" s="7" t="s">
        <v>1</v>
      </c>
      <c r="D51" s="30" t="s">
        <v>1</v>
      </c>
      <c r="E51" s="30" t="s">
        <v>1</v>
      </c>
      <c r="F51" s="30" t="s">
        <v>1</v>
      </c>
      <c r="G51" s="31" t="s">
        <v>1</v>
      </c>
      <c r="H51" s="141" t="e">
        <f t="shared" si="0"/>
        <v>#VALUE!</v>
      </c>
      <c r="I51" s="30" t="s">
        <v>1</v>
      </c>
      <c r="J51" s="30" t="s">
        <v>1</v>
      </c>
      <c r="K51" s="7" t="s">
        <v>1</v>
      </c>
      <c r="L51" s="7" t="s">
        <v>1</v>
      </c>
      <c r="M51" s="7" t="s">
        <v>1</v>
      </c>
      <c r="N51" s="31" t="s">
        <v>1</v>
      </c>
      <c r="O51" s="32" t="s">
        <v>1</v>
      </c>
      <c r="P51" s="31" t="s">
        <v>1</v>
      </c>
      <c r="Q51" s="30" t="s">
        <v>1</v>
      </c>
      <c r="R51" s="30" t="s">
        <v>1</v>
      </c>
      <c r="S51" s="7" t="s">
        <v>1</v>
      </c>
      <c r="T51" s="7" t="s">
        <v>1</v>
      </c>
      <c r="U51" s="7" t="s">
        <v>1</v>
      </c>
      <c r="V51" s="180" t="s">
        <v>1</v>
      </c>
      <c r="W51" s="157">
        <v>4679</v>
      </c>
      <c r="X51" s="18" t="s">
        <v>1</v>
      </c>
      <c r="Y51" s="157">
        <v>1560</v>
      </c>
      <c r="Z51" s="18" t="s">
        <v>1</v>
      </c>
      <c r="AA51" s="32">
        <v>3</v>
      </c>
      <c r="AB51" s="18" t="s">
        <v>1</v>
      </c>
      <c r="AC51" s="32">
        <v>84.51</v>
      </c>
      <c r="AD51" s="30" t="s">
        <v>1</v>
      </c>
      <c r="AE51" s="7" t="s">
        <v>1</v>
      </c>
      <c r="AF51" s="18" t="s">
        <v>1</v>
      </c>
      <c r="AG51" s="7">
        <v>64</v>
      </c>
      <c r="AH51" s="18" t="s">
        <v>1</v>
      </c>
      <c r="AI51" s="18">
        <v>1185</v>
      </c>
      <c r="AJ51" s="18" t="s">
        <v>1</v>
      </c>
      <c r="AK51" s="18">
        <v>535</v>
      </c>
      <c r="AL51" s="18" t="s">
        <v>1</v>
      </c>
      <c r="AM51" s="18">
        <v>25</v>
      </c>
      <c r="AN51" s="18" t="s">
        <v>1</v>
      </c>
      <c r="AO51" s="18">
        <v>48</v>
      </c>
      <c r="AP51" s="18" t="s">
        <v>1</v>
      </c>
      <c r="AQ51" s="18">
        <v>243</v>
      </c>
      <c r="AR51" s="18" t="s">
        <v>1</v>
      </c>
      <c r="AS51" s="19">
        <v>99</v>
      </c>
      <c r="AT51" s="30" t="s">
        <v>1</v>
      </c>
      <c r="AU51" s="7" t="s">
        <v>1</v>
      </c>
      <c r="AV51" s="108" t="s">
        <v>1</v>
      </c>
      <c r="AW51" s="7" t="s">
        <v>1</v>
      </c>
      <c r="AX51" s="31" t="e">
        <f>AV51/X51</f>
        <v>#VALUE!</v>
      </c>
      <c r="AY51" s="31" t="s">
        <v>1</v>
      </c>
      <c r="AZ51" s="108" t="s">
        <v>1</v>
      </c>
      <c r="BA51" s="30" t="s">
        <v>1</v>
      </c>
      <c r="BB51" s="31" t="e">
        <f>AZ51/AV51</f>
        <v>#VALUE!</v>
      </c>
      <c r="BC51" s="7" t="s">
        <v>1</v>
      </c>
      <c r="BD51" s="7" t="s">
        <v>1</v>
      </c>
      <c r="BE51" s="7" t="s">
        <v>1</v>
      </c>
      <c r="BF51" s="30" t="s">
        <v>1</v>
      </c>
      <c r="BG51" s="31" t="s">
        <v>1</v>
      </c>
      <c r="BH51" s="31" t="s">
        <v>1</v>
      </c>
      <c r="BI51" s="30" t="s">
        <v>1</v>
      </c>
      <c r="BJ51" s="30" t="s">
        <v>1</v>
      </c>
      <c r="BK51" s="7" t="s">
        <v>1</v>
      </c>
      <c r="BL51" s="92">
        <v>168</v>
      </c>
      <c r="BM51" s="7" t="s">
        <v>1</v>
      </c>
      <c r="BN51" s="30" t="s">
        <v>1</v>
      </c>
      <c r="BO51" s="31" t="s">
        <v>1</v>
      </c>
      <c r="BP51" s="92">
        <v>0</v>
      </c>
      <c r="BQ51" s="30" t="s">
        <v>1</v>
      </c>
      <c r="BR51" s="30" t="s">
        <v>1</v>
      </c>
      <c r="BS51" s="7" t="s">
        <v>1</v>
      </c>
      <c r="BT51" s="7" t="s">
        <v>1</v>
      </c>
      <c r="BU51" s="7" t="s">
        <v>1</v>
      </c>
      <c r="BV51" s="30" t="s">
        <v>1</v>
      </c>
      <c r="BW51" s="31" t="s">
        <v>1</v>
      </c>
      <c r="BX51" s="31" t="s">
        <v>1</v>
      </c>
      <c r="BY51" s="30" t="s">
        <v>1</v>
      </c>
      <c r="BZ51" s="30" t="s">
        <v>1</v>
      </c>
      <c r="CA51" s="7" t="s">
        <v>1</v>
      </c>
      <c r="CB51" s="7" t="s">
        <v>1</v>
      </c>
      <c r="CC51" s="7" t="s">
        <v>1</v>
      </c>
      <c r="CD51" s="30" t="s">
        <v>1</v>
      </c>
      <c r="CE51" s="31" t="s">
        <v>1</v>
      </c>
      <c r="CF51" s="31" t="s">
        <v>1</v>
      </c>
    </row>
    <row r="52" ht="19" customHeight="1" spans="1:84">
      <c r="A52" s="181" t="s">
        <v>1</v>
      </c>
      <c r="B52" s="181" t="s">
        <v>1</v>
      </c>
      <c r="C52" s="1" t="s">
        <v>1</v>
      </c>
      <c r="D52" s="1" t="s">
        <v>1</v>
      </c>
      <c r="E52" s="1" t="s">
        <v>1</v>
      </c>
      <c r="F52" s="181" t="s">
        <v>1</v>
      </c>
      <c r="G52" s="169" t="s">
        <v>1</v>
      </c>
      <c r="H52" s="169" t="s">
        <v>1</v>
      </c>
      <c r="I52" s="181" t="s">
        <v>1</v>
      </c>
      <c r="J52" s="181" t="s">
        <v>1</v>
      </c>
      <c r="K52" s="1" t="s">
        <v>1</v>
      </c>
      <c r="L52" s="1" t="s">
        <v>1</v>
      </c>
      <c r="M52" s="1" t="s">
        <v>1</v>
      </c>
      <c r="N52" s="169" t="s">
        <v>1</v>
      </c>
      <c r="O52" s="169" t="s">
        <v>1</v>
      </c>
      <c r="P52" s="169" t="s">
        <v>1</v>
      </c>
      <c r="Q52" s="181" t="s">
        <v>1</v>
      </c>
      <c r="R52" s="181" t="s">
        <v>1</v>
      </c>
      <c r="S52" s="1" t="s">
        <v>1</v>
      </c>
      <c r="T52" s="1" t="s">
        <v>1</v>
      </c>
      <c r="U52" s="1" t="s">
        <v>1</v>
      </c>
      <c r="V52" s="181" t="s">
        <v>1</v>
      </c>
      <c r="W52" s="1" t="s">
        <v>1</v>
      </c>
      <c r="X52" s="1" t="s">
        <v>1</v>
      </c>
      <c r="Y52" s="1" t="s">
        <v>1</v>
      </c>
      <c r="Z52" s="181" t="s">
        <v>1</v>
      </c>
      <c r="AA52" s="169" t="s">
        <v>1</v>
      </c>
      <c r="AB52" s="169" t="s">
        <v>1</v>
      </c>
      <c r="AC52" s="181" t="s">
        <v>1</v>
      </c>
      <c r="AD52" s="181" t="s">
        <v>1</v>
      </c>
      <c r="AE52" s="1" t="s">
        <v>1</v>
      </c>
      <c r="AF52" s="1" t="s">
        <v>1</v>
      </c>
      <c r="AG52" s="1" t="s">
        <v>1</v>
      </c>
      <c r="AH52" s="181" t="s">
        <v>1</v>
      </c>
      <c r="AI52" s="169" t="s">
        <v>1</v>
      </c>
      <c r="AJ52" s="169" t="s">
        <v>1</v>
      </c>
      <c r="AK52" s="181" t="s">
        <v>1</v>
      </c>
      <c r="AL52" s="181" t="s">
        <v>1</v>
      </c>
      <c r="AM52" s="1" t="s">
        <v>1</v>
      </c>
      <c r="AN52" s="1" t="s">
        <v>1</v>
      </c>
      <c r="AO52" s="1" t="s">
        <v>1</v>
      </c>
      <c r="AP52" s="181" t="s">
        <v>1</v>
      </c>
      <c r="AQ52" s="169" t="s">
        <v>1</v>
      </c>
      <c r="AR52" s="169" t="s">
        <v>1</v>
      </c>
      <c r="AS52" s="181" t="s">
        <v>1</v>
      </c>
      <c r="AT52" s="181" t="s">
        <v>1</v>
      </c>
      <c r="AU52" s="1" t="s">
        <v>1</v>
      </c>
      <c r="AV52" s="1" t="s">
        <v>1</v>
      </c>
      <c r="AW52" s="1" t="s">
        <v>1</v>
      </c>
      <c r="AX52" s="181" t="s">
        <v>1</v>
      </c>
      <c r="AY52" s="169" t="s">
        <v>1</v>
      </c>
      <c r="AZ52" s="169" t="s">
        <v>1</v>
      </c>
      <c r="BA52" s="181" t="s">
        <v>1</v>
      </c>
      <c r="BB52" s="181" t="s">
        <v>1</v>
      </c>
      <c r="BC52" s="1" t="s">
        <v>1</v>
      </c>
      <c r="BD52" s="1" t="s">
        <v>1</v>
      </c>
      <c r="BE52" s="1" t="s">
        <v>1</v>
      </c>
      <c r="BF52" s="181" t="s">
        <v>1</v>
      </c>
      <c r="BG52" s="169" t="s">
        <v>1</v>
      </c>
      <c r="BH52" s="169" t="s">
        <v>1</v>
      </c>
      <c r="BI52" s="181" t="s">
        <v>1</v>
      </c>
      <c r="BJ52" s="181" t="s">
        <v>1</v>
      </c>
      <c r="BK52" s="1" t="s">
        <v>1</v>
      </c>
      <c r="BL52" s="1" t="s">
        <v>1</v>
      </c>
      <c r="BM52" s="1" t="s">
        <v>1</v>
      </c>
      <c r="BN52" s="181" t="s">
        <v>1</v>
      </c>
      <c r="BO52" s="169" t="s">
        <v>1</v>
      </c>
      <c r="BP52" s="169" t="s">
        <v>1</v>
      </c>
      <c r="BQ52" s="181" t="s">
        <v>1</v>
      </c>
      <c r="BR52" s="181" t="s">
        <v>1</v>
      </c>
      <c r="BS52" s="1" t="s">
        <v>1</v>
      </c>
      <c r="BT52" s="1" t="s">
        <v>1</v>
      </c>
      <c r="BU52" s="1" t="s">
        <v>1</v>
      </c>
      <c r="BV52" s="181" t="s">
        <v>1</v>
      </c>
      <c r="BW52" s="169" t="s">
        <v>1</v>
      </c>
      <c r="BX52" s="169" t="s">
        <v>1</v>
      </c>
      <c r="BY52" s="181" t="s">
        <v>1</v>
      </c>
      <c r="BZ52" s="181" t="s">
        <v>1</v>
      </c>
      <c r="CA52" s="1" t="s">
        <v>1</v>
      </c>
      <c r="CB52" s="1" t="s">
        <v>1</v>
      </c>
      <c r="CC52" s="1" t="s">
        <v>1</v>
      </c>
      <c r="CD52" s="181" t="s">
        <v>1</v>
      </c>
      <c r="CE52" s="169" t="s">
        <v>1</v>
      </c>
      <c r="CF52" s="169" t="s">
        <v>1</v>
      </c>
    </row>
    <row r="53" ht="19" customHeight="1" spans="1:84">
      <c r="A53" s="181" t="s">
        <v>1</v>
      </c>
      <c r="B53" s="181" t="s">
        <v>1</v>
      </c>
      <c r="C53" s="1" t="s">
        <v>1</v>
      </c>
      <c r="D53" s="1" t="s">
        <v>1</v>
      </c>
      <c r="E53" s="1" t="s">
        <v>1</v>
      </c>
      <c r="F53" s="181" t="s">
        <v>1</v>
      </c>
      <c r="G53" s="169" t="s">
        <v>1</v>
      </c>
      <c r="H53" s="169" t="s">
        <v>1</v>
      </c>
      <c r="I53" s="181" t="s">
        <v>1</v>
      </c>
      <c r="J53" s="181" t="s">
        <v>1</v>
      </c>
      <c r="K53" s="1" t="s">
        <v>1</v>
      </c>
      <c r="L53" s="1" t="s">
        <v>1</v>
      </c>
      <c r="M53" s="1" t="s">
        <v>1</v>
      </c>
      <c r="N53" s="169" t="s">
        <v>1</v>
      </c>
      <c r="O53" s="169" t="s">
        <v>1</v>
      </c>
      <c r="P53" s="169" t="s">
        <v>1</v>
      </c>
      <c r="Q53" s="181" t="s">
        <v>1</v>
      </c>
      <c r="R53" s="181" t="s">
        <v>1</v>
      </c>
      <c r="S53" s="1" t="s">
        <v>1</v>
      </c>
      <c r="T53" s="1" t="s">
        <v>1</v>
      </c>
      <c r="U53" s="1" t="s">
        <v>1</v>
      </c>
      <c r="V53" s="181" t="s">
        <v>1</v>
      </c>
      <c r="W53" s="1" t="s">
        <v>1</v>
      </c>
      <c r="X53" s="1" t="s">
        <v>1</v>
      </c>
      <c r="Y53" s="1" t="s">
        <v>1</v>
      </c>
      <c r="Z53" s="181" t="s">
        <v>1</v>
      </c>
      <c r="AA53" s="169" t="s">
        <v>1</v>
      </c>
      <c r="AB53" s="169" t="s">
        <v>1</v>
      </c>
      <c r="AC53" s="181" t="s">
        <v>1</v>
      </c>
      <c r="AD53" s="181" t="s">
        <v>1</v>
      </c>
      <c r="AE53" s="1" t="s">
        <v>1</v>
      </c>
      <c r="AF53" s="1" t="s">
        <v>1</v>
      </c>
      <c r="AG53" s="1" t="s">
        <v>1</v>
      </c>
      <c r="AH53" s="181" t="s">
        <v>1</v>
      </c>
      <c r="AI53" s="169" t="s">
        <v>1</v>
      </c>
      <c r="AJ53" s="169" t="s">
        <v>1</v>
      </c>
      <c r="AK53" s="181" t="s">
        <v>1</v>
      </c>
      <c r="AL53" s="181" t="s">
        <v>1</v>
      </c>
      <c r="AM53" s="1" t="s">
        <v>1</v>
      </c>
      <c r="AN53" s="1" t="s">
        <v>1</v>
      </c>
      <c r="AO53" s="1" t="s">
        <v>1</v>
      </c>
      <c r="AP53" s="181" t="s">
        <v>1</v>
      </c>
      <c r="AQ53" s="169" t="s">
        <v>1</v>
      </c>
      <c r="AR53" s="169" t="s">
        <v>1</v>
      </c>
      <c r="AS53" s="181" t="s">
        <v>1</v>
      </c>
      <c r="AT53" s="181" t="s">
        <v>1</v>
      </c>
      <c r="AU53" s="1" t="s">
        <v>1</v>
      </c>
      <c r="AV53" s="1" t="s">
        <v>1</v>
      </c>
      <c r="AW53" s="1" t="s">
        <v>1</v>
      </c>
      <c r="AX53" s="181" t="s">
        <v>1</v>
      </c>
      <c r="AY53" s="169" t="s">
        <v>1</v>
      </c>
      <c r="AZ53" s="169" t="s">
        <v>1</v>
      </c>
      <c r="BA53" s="181" t="s">
        <v>1</v>
      </c>
      <c r="BB53" s="181" t="s">
        <v>1</v>
      </c>
      <c r="BC53" s="1" t="s">
        <v>1</v>
      </c>
      <c r="BD53" s="1" t="s">
        <v>1</v>
      </c>
      <c r="BE53" s="1" t="s">
        <v>1</v>
      </c>
      <c r="BF53" s="181" t="s">
        <v>1</v>
      </c>
      <c r="BG53" s="169" t="s">
        <v>1</v>
      </c>
      <c r="BH53" s="169" t="s">
        <v>1</v>
      </c>
      <c r="BI53" s="181" t="s">
        <v>1</v>
      </c>
      <c r="BJ53" s="181" t="s">
        <v>1</v>
      </c>
      <c r="BK53" s="1" t="s">
        <v>1</v>
      </c>
      <c r="BL53" s="1" t="s">
        <v>1</v>
      </c>
      <c r="BM53" s="1" t="s">
        <v>1</v>
      </c>
      <c r="BN53" s="181" t="s">
        <v>1</v>
      </c>
      <c r="BO53" s="169" t="s">
        <v>1</v>
      </c>
      <c r="BP53" s="169" t="s">
        <v>1</v>
      </c>
      <c r="BQ53" s="181" t="s">
        <v>1</v>
      </c>
      <c r="BR53" s="181" t="s">
        <v>1</v>
      </c>
      <c r="BS53" s="1" t="s">
        <v>1</v>
      </c>
      <c r="BT53" s="1" t="s">
        <v>1</v>
      </c>
      <c r="BU53" s="1" t="s">
        <v>1</v>
      </c>
      <c r="BV53" s="181" t="s">
        <v>1</v>
      </c>
      <c r="BW53" s="169" t="s">
        <v>1</v>
      </c>
      <c r="BX53" s="169" t="s">
        <v>1</v>
      </c>
      <c r="BY53" s="181" t="s">
        <v>1</v>
      </c>
      <c r="BZ53" s="181" t="s">
        <v>1</v>
      </c>
      <c r="CA53" s="1" t="s">
        <v>1</v>
      </c>
      <c r="CB53" s="1" t="s">
        <v>1</v>
      </c>
      <c r="CC53" s="1" t="s">
        <v>1</v>
      </c>
      <c r="CD53" s="181" t="s">
        <v>1</v>
      </c>
      <c r="CE53" s="169" t="s">
        <v>1</v>
      </c>
      <c r="CF53" s="169" t="s">
        <v>1</v>
      </c>
    </row>
    <row r="54" ht="19" customHeight="1" spans="1:84">
      <c r="A54" s="159" t="s">
        <v>245</v>
      </c>
      <c r="B54" s="159" t="s">
        <v>1</v>
      </c>
      <c r="C54" s="159" t="s">
        <v>1</v>
      </c>
      <c r="D54" s="162" t="s">
        <v>2</v>
      </c>
      <c r="E54" s="162" t="s">
        <v>1</v>
      </c>
      <c r="F54" s="162" t="s">
        <v>1</v>
      </c>
      <c r="G54" s="162" t="s">
        <v>1</v>
      </c>
      <c r="H54" s="162" t="s">
        <v>1</v>
      </c>
      <c r="I54" s="162" t="s">
        <v>1</v>
      </c>
      <c r="J54" s="162" t="s">
        <v>1</v>
      </c>
      <c r="K54" s="162" t="s">
        <v>1</v>
      </c>
      <c r="L54" s="162" t="s">
        <v>1</v>
      </c>
      <c r="M54" s="162" t="s">
        <v>1</v>
      </c>
      <c r="N54" s="162" t="s">
        <v>1</v>
      </c>
      <c r="O54" s="162" t="s">
        <v>1</v>
      </c>
      <c r="P54" s="162" t="s">
        <v>1</v>
      </c>
      <c r="Q54" s="162" t="s">
        <v>1</v>
      </c>
      <c r="R54" s="162" t="s">
        <v>1</v>
      </c>
      <c r="S54" s="162" t="s">
        <v>1</v>
      </c>
      <c r="T54" s="162" t="s">
        <v>1</v>
      </c>
      <c r="U54" s="162" t="s">
        <v>1</v>
      </c>
      <c r="V54" s="159" t="s">
        <v>3</v>
      </c>
      <c r="W54" s="159" t="s">
        <v>1</v>
      </c>
      <c r="X54" s="159" t="s">
        <v>1</v>
      </c>
      <c r="Y54" s="159" t="s">
        <v>1</v>
      </c>
      <c r="Z54" s="159" t="s">
        <v>1</v>
      </c>
      <c r="AA54" s="159" t="s">
        <v>1</v>
      </c>
      <c r="AB54" s="159" t="s">
        <v>1</v>
      </c>
      <c r="AC54" s="159" t="s">
        <v>1</v>
      </c>
      <c r="AD54" s="159" t="s">
        <v>1</v>
      </c>
      <c r="AE54" s="159" t="s">
        <v>1</v>
      </c>
      <c r="AF54" s="159" t="s">
        <v>1</v>
      </c>
      <c r="AG54" s="159" t="s">
        <v>1</v>
      </c>
      <c r="AH54" s="159" t="s">
        <v>1</v>
      </c>
      <c r="AI54" s="159" t="s">
        <v>1</v>
      </c>
      <c r="AJ54" s="159" t="s">
        <v>1</v>
      </c>
      <c r="AK54" s="159" t="s">
        <v>1</v>
      </c>
      <c r="AL54" s="159" t="s">
        <v>1</v>
      </c>
      <c r="AM54" s="159" t="s">
        <v>1</v>
      </c>
      <c r="AN54" s="159" t="s">
        <v>1</v>
      </c>
      <c r="AO54" s="159" t="s">
        <v>1</v>
      </c>
      <c r="AP54" s="159" t="s">
        <v>1</v>
      </c>
      <c r="AQ54" s="159" t="s">
        <v>1</v>
      </c>
      <c r="AR54" s="159" t="s">
        <v>1</v>
      </c>
      <c r="AS54" s="159" t="s">
        <v>1</v>
      </c>
      <c r="AT54" s="159" t="s">
        <v>4</v>
      </c>
      <c r="AU54" s="159" t="s">
        <v>1</v>
      </c>
      <c r="AV54" s="159" t="s">
        <v>1</v>
      </c>
      <c r="AW54" s="159" t="s">
        <v>1</v>
      </c>
      <c r="AX54" s="159" t="s">
        <v>1</v>
      </c>
      <c r="AY54" s="159" t="s">
        <v>1</v>
      </c>
      <c r="AZ54" s="159" t="s">
        <v>1</v>
      </c>
      <c r="BA54" s="159" t="s">
        <v>1</v>
      </c>
      <c r="BB54" s="159" t="s">
        <v>1</v>
      </c>
      <c r="BC54" s="159" t="s">
        <v>1</v>
      </c>
      <c r="BD54" s="159" t="s">
        <v>1</v>
      </c>
      <c r="BE54" s="159" t="s">
        <v>1</v>
      </c>
      <c r="BF54" s="159" t="s">
        <v>1</v>
      </c>
      <c r="BG54" s="159" t="s">
        <v>1</v>
      </c>
      <c r="BH54" s="161" t="s">
        <v>5</v>
      </c>
      <c r="BI54" s="159" t="s">
        <v>6</v>
      </c>
      <c r="BJ54" s="159" t="s">
        <v>1</v>
      </c>
      <c r="BK54" s="159" t="s">
        <v>1</v>
      </c>
      <c r="BL54" s="159" t="s">
        <v>1</v>
      </c>
      <c r="BM54" s="159" t="s">
        <v>1</v>
      </c>
      <c r="BN54" s="159" t="s">
        <v>1</v>
      </c>
      <c r="BO54" s="159" t="s">
        <v>1</v>
      </c>
      <c r="BP54" s="159" t="s">
        <v>1</v>
      </c>
      <c r="BQ54" s="159" t="s">
        <v>7</v>
      </c>
      <c r="BR54" s="159" t="s">
        <v>1</v>
      </c>
      <c r="BS54" s="159" t="s">
        <v>1</v>
      </c>
      <c r="BT54" s="159" t="s">
        <v>1</v>
      </c>
      <c r="BU54" s="159" t="s">
        <v>1</v>
      </c>
      <c r="BV54" s="159" t="s">
        <v>1</v>
      </c>
      <c r="BW54" s="159" t="s">
        <v>1</v>
      </c>
      <c r="BX54" s="159" t="s">
        <v>1</v>
      </c>
      <c r="BY54" s="159" t="s">
        <v>1</v>
      </c>
      <c r="BZ54" s="159" t="s">
        <v>1</v>
      </c>
      <c r="CA54" s="159" t="s">
        <v>1</v>
      </c>
      <c r="CB54" s="159" t="s">
        <v>1</v>
      </c>
      <c r="CC54" s="159" t="s">
        <v>1</v>
      </c>
      <c r="CD54" s="159" t="s">
        <v>1</v>
      </c>
      <c r="CE54" s="159" t="s">
        <v>1</v>
      </c>
      <c r="CF54" s="161" t="s">
        <v>178</v>
      </c>
    </row>
    <row r="55" ht="19" customHeight="1" spans="1:84">
      <c r="A55" s="30" t="s">
        <v>9</v>
      </c>
      <c r="B55" s="30" t="s">
        <v>10</v>
      </c>
      <c r="C55" s="30" t="s">
        <v>1</v>
      </c>
      <c r="D55" s="108" t="s">
        <v>11</v>
      </c>
      <c r="E55" s="108" t="s">
        <v>1</v>
      </c>
      <c r="F55" s="108" t="s">
        <v>1</v>
      </c>
      <c r="G55" s="108" t="s">
        <v>1</v>
      </c>
      <c r="H55" s="108" t="s">
        <v>1</v>
      </c>
      <c r="I55" s="108" t="s">
        <v>1</v>
      </c>
      <c r="J55" s="108" t="s">
        <v>1</v>
      </c>
      <c r="K55" s="108" t="s">
        <v>1</v>
      </c>
      <c r="L55" s="108" t="s">
        <v>12</v>
      </c>
      <c r="M55" s="108" t="s">
        <v>1</v>
      </c>
      <c r="N55" s="108" t="s">
        <v>1</v>
      </c>
      <c r="O55" s="108" t="s">
        <v>1</v>
      </c>
      <c r="P55" s="108" t="s">
        <v>1</v>
      </c>
      <c r="Q55" s="108" t="s">
        <v>1</v>
      </c>
      <c r="R55" s="108" t="s">
        <v>1</v>
      </c>
      <c r="S55" s="108" t="s">
        <v>1</v>
      </c>
      <c r="T55" s="108" t="s">
        <v>1</v>
      </c>
      <c r="U55" s="108" t="s">
        <v>1</v>
      </c>
      <c r="V55" s="30" t="s">
        <v>13</v>
      </c>
      <c r="W55" s="30" t="s">
        <v>1</v>
      </c>
      <c r="X55" s="108" t="s">
        <v>14</v>
      </c>
      <c r="Y55" s="108" t="s">
        <v>1</v>
      </c>
      <c r="Z55" s="30" t="s">
        <v>15</v>
      </c>
      <c r="AA55" s="30" t="s">
        <v>1</v>
      </c>
      <c r="AB55" s="141" t="s">
        <v>16</v>
      </c>
      <c r="AC55" s="141" t="s">
        <v>1</v>
      </c>
      <c r="AD55" s="30" t="s">
        <v>17</v>
      </c>
      <c r="AE55" s="30" t="s">
        <v>1</v>
      </c>
      <c r="AF55" s="108" t="s">
        <v>18</v>
      </c>
      <c r="AG55" s="108" t="s">
        <v>1</v>
      </c>
      <c r="AH55" s="30" t="s">
        <v>19</v>
      </c>
      <c r="AI55" s="30" t="s">
        <v>1</v>
      </c>
      <c r="AJ55" s="141" t="s">
        <v>20</v>
      </c>
      <c r="AK55" s="141" t="s">
        <v>1</v>
      </c>
      <c r="AL55" s="30" t="s">
        <v>21</v>
      </c>
      <c r="AM55" s="30" t="s">
        <v>1</v>
      </c>
      <c r="AN55" s="108" t="s">
        <v>22</v>
      </c>
      <c r="AO55" s="108" t="s">
        <v>1</v>
      </c>
      <c r="AP55" s="30" t="s">
        <v>23</v>
      </c>
      <c r="AQ55" s="30" t="s">
        <v>1</v>
      </c>
      <c r="AR55" s="141" t="s">
        <v>24</v>
      </c>
      <c r="AS55" s="141" t="s">
        <v>1</v>
      </c>
      <c r="AT55" s="30" t="s">
        <v>242</v>
      </c>
      <c r="AU55" s="30" t="s">
        <v>1</v>
      </c>
      <c r="AV55" s="108" t="s">
        <v>26</v>
      </c>
      <c r="AW55" s="108" t="s">
        <v>1</v>
      </c>
      <c r="AX55" s="30" t="s">
        <v>27</v>
      </c>
      <c r="AY55" s="30" t="s">
        <v>1</v>
      </c>
      <c r="AZ55" s="141" t="s">
        <v>28</v>
      </c>
      <c r="BA55" s="141" t="s">
        <v>1</v>
      </c>
      <c r="BB55" s="30" t="s">
        <v>29</v>
      </c>
      <c r="BC55" s="30" t="s">
        <v>1</v>
      </c>
      <c r="BD55" s="108" t="s">
        <v>30</v>
      </c>
      <c r="BE55" s="108" t="s">
        <v>1</v>
      </c>
      <c r="BF55" s="30" t="s">
        <v>31</v>
      </c>
      <c r="BG55" s="30" t="s">
        <v>1</v>
      </c>
      <c r="BH55" s="161" t="s">
        <v>1</v>
      </c>
      <c r="BI55" s="30" t="s">
        <v>243</v>
      </c>
      <c r="BJ55" s="30" t="s">
        <v>1</v>
      </c>
      <c r="BK55" s="30" t="s">
        <v>1</v>
      </c>
      <c r="BL55" s="30" t="s">
        <v>1</v>
      </c>
      <c r="BM55" s="108" t="s">
        <v>244</v>
      </c>
      <c r="BN55" s="108" t="s">
        <v>1</v>
      </c>
      <c r="BO55" s="108" t="s">
        <v>1</v>
      </c>
      <c r="BP55" s="108" t="s">
        <v>1</v>
      </c>
      <c r="BQ55" s="30" t="s">
        <v>34</v>
      </c>
      <c r="BR55" s="30" t="s">
        <v>1</v>
      </c>
      <c r="BS55" s="30" t="s">
        <v>1</v>
      </c>
      <c r="BT55" s="30" t="s">
        <v>1</v>
      </c>
      <c r="BU55" s="30" t="s">
        <v>1</v>
      </c>
      <c r="BV55" s="30" t="s">
        <v>35</v>
      </c>
      <c r="BW55" s="30" t="s">
        <v>1</v>
      </c>
      <c r="BX55" s="30" t="s">
        <v>1</v>
      </c>
      <c r="BY55" s="30" t="s">
        <v>1</v>
      </c>
      <c r="BZ55" s="30" t="s">
        <v>1</v>
      </c>
      <c r="CA55" s="30" t="s">
        <v>1</v>
      </c>
      <c r="CB55" s="30" t="s">
        <v>1</v>
      </c>
      <c r="CC55" s="30" t="s">
        <v>1</v>
      </c>
      <c r="CD55" s="30" t="s">
        <v>1</v>
      </c>
      <c r="CE55" s="30" t="s">
        <v>1</v>
      </c>
      <c r="CF55" s="161" t="s">
        <v>1</v>
      </c>
    </row>
    <row r="56" ht="19" customHeight="1" spans="1:84">
      <c r="A56" s="30" t="s">
        <v>1</v>
      </c>
      <c r="B56" s="30" t="s">
        <v>36</v>
      </c>
      <c r="C56" s="155" t="s">
        <v>37</v>
      </c>
      <c r="D56" s="108" t="s">
        <v>38</v>
      </c>
      <c r="E56" s="108" t="s">
        <v>39</v>
      </c>
      <c r="F56" s="30" t="s">
        <v>40</v>
      </c>
      <c r="G56" s="141" t="s">
        <v>41</v>
      </c>
      <c r="H56" s="141" t="s">
        <v>42</v>
      </c>
      <c r="I56" s="30" t="s">
        <v>43</v>
      </c>
      <c r="J56" s="30" t="s">
        <v>44</v>
      </c>
      <c r="K56" s="155" t="s">
        <v>45</v>
      </c>
      <c r="L56" s="108" t="s">
        <v>46</v>
      </c>
      <c r="M56" s="108" t="s">
        <v>42</v>
      </c>
      <c r="N56" s="31" t="s">
        <v>47</v>
      </c>
      <c r="O56" s="141" t="s">
        <v>48</v>
      </c>
      <c r="P56" s="141" t="s">
        <v>42</v>
      </c>
      <c r="Q56" s="30" t="s">
        <v>47</v>
      </c>
      <c r="R56" s="30" t="s">
        <v>179</v>
      </c>
      <c r="S56" s="155" t="s">
        <v>1</v>
      </c>
      <c r="T56" s="155" t="s">
        <v>42</v>
      </c>
      <c r="U56" s="108" t="s">
        <v>47</v>
      </c>
      <c r="V56" s="30" t="s">
        <v>36</v>
      </c>
      <c r="W56" s="155" t="s">
        <v>37</v>
      </c>
      <c r="X56" s="108" t="s">
        <v>36</v>
      </c>
      <c r="Y56" s="108" t="s">
        <v>37</v>
      </c>
      <c r="Z56" s="30" t="s">
        <v>36</v>
      </c>
      <c r="AA56" s="141" t="s">
        <v>37</v>
      </c>
      <c r="AB56" s="141" t="s">
        <v>36</v>
      </c>
      <c r="AC56" s="30" t="s">
        <v>37</v>
      </c>
      <c r="AD56" s="30" t="s">
        <v>36</v>
      </c>
      <c r="AE56" s="155" t="s">
        <v>37</v>
      </c>
      <c r="AF56" s="108" t="s">
        <v>36</v>
      </c>
      <c r="AG56" s="108" t="s">
        <v>37</v>
      </c>
      <c r="AH56" s="30" t="s">
        <v>36</v>
      </c>
      <c r="AI56" s="141" t="s">
        <v>37</v>
      </c>
      <c r="AJ56" s="141" t="s">
        <v>36</v>
      </c>
      <c r="AK56" s="30" t="s">
        <v>37</v>
      </c>
      <c r="AL56" s="30" t="s">
        <v>36</v>
      </c>
      <c r="AM56" s="155" t="s">
        <v>37</v>
      </c>
      <c r="AN56" s="108" t="s">
        <v>36</v>
      </c>
      <c r="AO56" s="108" t="s">
        <v>37</v>
      </c>
      <c r="AP56" s="30" t="s">
        <v>36</v>
      </c>
      <c r="AQ56" s="141" t="s">
        <v>37</v>
      </c>
      <c r="AR56" s="141" t="s">
        <v>36</v>
      </c>
      <c r="AS56" s="30" t="s">
        <v>37</v>
      </c>
      <c r="AT56" s="30" t="s">
        <v>36</v>
      </c>
      <c r="AU56" s="155" t="s">
        <v>37</v>
      </c>
      <c r="AV56" s="108" t="s">
        <v>36</v>
      </c>
      <c r="AW56" s="108" t="s">
        <v>37</v>
      </c>
      <c r="AX56" s="30" t="s">
        <v>36</v>
      </c>
      <c r="AY56" s="141" t="s">
        <v>37</v>
      </c>
      <c r="AZ56" s="141" t="s">
        <v>36</v>
      </c>
      <c r="BA56" s="30" t="s">
        <v>37</v>
      </c>
      <c r="BB56" s="30" t="s">
        <v>36</v>
      </c>
      <c r="BC56" s="155" t="s">
        <v>37</v>
      </c>
      <c r="BD56" s="108" t="s">
        <v>36</v>
      </c>
      <c r="BE56" s="108" t="s">
        <v>37</v>
      </c>
      <c r="BF56" s="30" t="s">
        <v>36</v>
      </c>
      <c r="BG56" s="141" t="s">
        <v>37</v>
      </c>
      <c r="BH56" s="161" t="s">
        <v>1</v>
      </c>
      <c r="BI56" s="30" t="s">
        <v>49</v>
      </c>
      <c r="BJ56" s="30" t="s">
        <v>50</v>
      </c>
      <c r="BK56" s="155" t="s">
        <v>51</v>
      </c>
      <c r="BL56" s="108" t="s">
        <v>52</v>
      </c>
      <c r="BM56" s="108" t="s">
        <v>49</v>
      </c>
      <c r="BN56" s="30" t="s">
        <v>50</v>
      </c>
      <c r="BO56" s="141" t="s">
        <v>51</v>
      </c>
      <c r="BP56" s="141" t="s">
        <v>52</v>
      </c>
      <c r="BQ56" s="30" t="s">
        <v>53</v>
      </c>
      <c r="BR56" s="30" t="s">
        <v>54</v>
      </c>
      <c r="BS56" s="155" t="s">
        <v>55</v>
      </c>
      <c r="BT56" s="108" t="s">
        <v>56</v>
      </c>
      <c r="BU56" s="108" t="s">
        <v>57</v>
      </c>
      <c r="BV56" s="30" t="s">
        <v>53</v>
      </c>
      <c r="BW56" s="141" t="s">
        <v>54</v>
      </c>
      <c r="BX56" s="141" t="s">
        <v>55</v>
      </c>
      <c r="BY56" s="30" t="s">
        <v>56</v>
      </c>
      <c r="BZ56" s="30" t="s">
        <v>57</v>
      </c>
      <c r="CA56" s="155" t="s">
        <v>58</v>
      </c>
      <c r="CB56" s="108" t="s">
        <v>59</v>
      </c>
      <c r="CC56" s="108" t="s">
        <v>60</v>
      </c>
      <c r="CD56" s="30" t="s">
        <v>61</v>
      </c>
      <c r="CE56" s="141" t="s">
        <v>62</v>
      </c>
      <c r="CF56" s="161" t="s">
        <v>1</v>
      </c>
    </row>
    <row r="57" ht="19" customHeight="1" spans="1:84">
      <c r="A57" s="30" t="s">
        <v>63</v>
      </c>
      <c r="B57" s="30" t="s">
        <v>64</v>
      </c>
      <c r="C57" s="155" t="s">
        <v>64</v>
      </c>
      <c r="D57" s="108" t="s">
        <v>65</v>
      </c>
      <c r="E57" s="108" t="s">
        <v>65</v>
      </c>
      <c r="F57" s="30" t="s">
        <v>64</v>
      </c>
      <c r="G57" s="141" t="s">
        <v>65</v>
      </c>
      <c r="H57" s="141" t="s">
        <v>65</v>
      </c>
      <c r="I57" s="30" t="s">
        <v>65</v>
      </c>
      <c r="J57" s="30" t="s">
        <v>65</v>
      </c>
      <c r="K57" s="155" t="s">
        <v>65</v>
      </c>
      <c r="L57" s="108" t="s">
        <v>66</v>
      </c>
      <c r="M57" s="108" t="s">
        <v>66</v>
      </c>
      <c r="N57" s="31" t="s">
        <v>66</v>
      </c>
      <c r="O57" s="141" t="s">
        <v>67</v>
      </c>
      <c r="P57" s="141" t="s">
        <v>67</v>
      </c>
      <c r="Q57" s="30" t="s">
        <v>67</v>
      </c>
      <c r="R57" s="30" t="s">
        <v>68</v>
      </c>
      <c r="S57" s="155" t="s">
        <v>1</v>
      </c>
      <c r="T57" s="155" t="s">
        <v>68</v>
      </c>
      <c r="U57" s="108" t="s">
        <v>68</v>
      </c>
      <c r="V57" s="30" t="s">
        <v>64</v>
      </c>
      <c r="W57" s="155" t="s">
        <v>64</v>
      </c>
      <c r="X57" s="108" t="s">
        <v>64</v>
      </c>
      <c r="Y57" s="108" t="s">
        <v>64</v>
      </c>
      <c r="Z57" s="30" t="s">
        <v>64</v>
      </c>
      <c r="AA57" s="141" t="s">
        <v>64</v>
      </c>
      <c r="AB57" s="141" t="s">
        <v>64</v>
      </c>
      <c r="AC57" s="30" t="s">
        <v>64</v>
      </c>
      <c r="AD57" s="30" t="s">
        <v>64</v>
      </c>
      <c r="AE57" s="155" t="s">
        <v>64</v>
      </c>
      <c r="AF57" s="108" t="s">
        <v>64</v>
      </c>
      <c r="AG57" s="108" t="s">
        <v>64</v>
      </c>
      <c r="AH57" s="30" t="s">
        <v>64</v>
      </c>
      <c r="AI57" s="141" t="s">
        <v>64</v>
      </c>
      <c r="AJ57" s="141" t="s">
        <v>64</v>
      </c>
      <c r="AK57" s="30" t="s">
        <v>64</v>
      </c>
      <c r="AL57" s="30" t="s">
        <v>64</v>
      </c>
      <c r="AM57" s="155" t="s">
        <v>64</v>
      </c>
      <c r="AN57" s="108" t="s">
        <v>64</v>
      </c>
      <c r="AO57" s="108" t="s">
        <v>64</v>
      </c>
      <c r="AP57" s="30" t="s">
        <v>64</v>
      </c>
      <c r="AQ57" s="141" t="s">
        <v>64</v>
      </c>
      <c r="AR57" s="141" t="s">
        <v>64</v>
      </c>
      <c r="AS57" s="30" t="s">
        <v>64</v>
      </c>
      <c r="AT57" s="30" t="s">
        <v>67</v>
      </c>
      <c r="AU57" s="155" t="s">
        <v>67</v>
      </c>
      <c r="AV57" s="108" t="s">
        <v>67</v>
      </c>
      <c r="AW57" s="108" t="s">
        <v>67</v>
      </c>
      <c r="AX57" s="30" t="s">
        <v>67</v>
      </c>
      <c r="AY57" s="141" t="s">
        <v>67</v>
      </c>
      <c r="AZ57" s="141" t="s">
        <v>67</v>
      </c>
      <c r="BA57" s="30" t="s">
        <v>67</v>
      </c>
      <c r="BB57" s="30" t="s">
        <v>67</v>
      </c>
      <c r="BC57" s="155" t="s">
        <v>67</v>
      </c>
      <c r="BD57" s="108" t="s">
        <v>67</v>
      </c>
      <c r="BE57" s="108" t="s">
        <v>67</v>
      </c>
      <c r="BF57" s="30" t="s">
        <v>67</v>
      </c>
      <c r="BG57" s="141" t="s">
        <v>67</v>
      </c>
      <c r="BH57" s="141" t="s">
        <v>69</v>
      </c>
      <c r="BI57" s="30" t="s">
        <v>64</v>
      </c>
      <c r="BJ57" s="30" t="s">
        <v>64</v>
      </c>
      <c r="BK57" s="155" t="s">
        <v>64</v>
      </c>
      <c r="BL57" s="108" t="s">
        <v>64</v>
      </c>
      <c r="BM57" s="108" t="s">
        <v>64</v>
      </c>
      <c r="BN57" s="30" t="s">
        <v>64</v>
      </c>
      <c r="BO57" s="141" t="s">
        <v>64</v>
      </c>
      <c r="BP57" s="141" t="s">
        <v>64</v>
      </c>
      <c r="BQ57" s="30" t="s">
        <v>64</v>
      </c>
      <c r="BR57" s="30" t="s">
        <v>64</v>
      </c>
      <c r="BS57" s="155" t="s">
        <v>64</v>
      </c>
      <c r="BT57" s="108" t="s">
        <v>64</v>
      </c>
      <c r="BU57" s="108" t="s">
        <v>64</v>
      </c>
      <c r="BV57" s="30" t="s">
        <v>64</v>
      </c>
      <c r="BW57" s="141" t="s">
        <v>64</v>
      </c>
      <c r="BX57" s="141" t="s">
        <v>64</v>
      </c>
      <c r="BY57" s="30" t="s">
        <v>64</v>
      </c>
      <c r="BZ57" s="30" t="s">
        <v>64</v>
      </c>
      <c r="CA57" s="155" t="s">
        <v>64</v>
      </c>
      <c r="CB57" s="108" t="s">
        <v>64</v>
      </c>
      <c r="CC57" s="108" t="s">
        <v>64</v>
      </c>
      <c r="CD57" s="30" t="s">
        <v>64</v>
      </c>
      <c r="CE57" s="141" t="s">
        <v>64</v>
      </c>
      <c r="CF57" s="141" t="s">
        <v>64</v>
      </c>
    </row>
    <row r="58" ht="19" customHeight="1" spans="1:84">
      <c r="A58" s="30" t="s">
        <v>135</v>
      </c>
      <c r="B58" s="30" t="s">
        <v>1</v>
      </c>
      <c r="C58" s="155" t="s">
        <v>1</v>
      </c>
      <c r="D58" s="108">
        <f>SUM(D4)</f>
        <v>0</v>
      </c>
      <c r="E58" s="108">
        <f>SUM(E4)</f>
        <v>0</v>
      </c>
      <c r="F58" s="30">
        <f>SUM(F4)</f>
        <v>0</v>
      </c>
      <c r="G58" s="141" t="e">
        <f>D58/F58-1</f>
        <v>#DIV/0!</v>
      </c>
      <c r="H58" s="141">
        <f>SUM(H4)</f>
        <v>0</v>
      </c>
      <c r="I58" s="30" t="e">
        <f>D58/H58</f>
        <v>#DIV/0!</v>
      </c>
      <c r="J58" s="30">
        <f>SUM(J4)</f>
        <v>0</v>
      </c>
      <c r="K58" s="155" t="s">
        <v>1</v>
      </c>
      <c r="L58" s="108" t="e">
        <f>J58/D58</f>
        <v>#DIV/0!</v>
      </c>
      <c r="M58" s="108">
        <f t="shared" ref="M58:R58" si="1">SUM(M4)</f>
        <v>0</v>
      </c>
      <c r="N58" s="31">
        <f t="shared" si="1"/>
        <v>0</v>
      </c>
      <c r="O58" s="141">
        <f t="shared" si="1"/>
        <v>0</v>
      </c>
      <c r="P58" s="141">
        <f t="shared" si="1"/>
        <v>0</v>
      </c>
      <c r="Q58" s="30">
        <f t="shared" si="1"/>
        <v>0</v>
      </c>
      <c r="R58" s="30">
        <f t="shared" si="1"/>
        <v>0</v>
      </c>
      <c r="S58" s="155" t="s">
        <v>1</v>
      </c>
      <c r="T58" s="155">
        <f>SUM(T4)</f>
        <v>0</v>
      </c>
      <c r="U58" s="108">
        <f>SUM(U4)</f>
        <v>0</v>
      </c>
      <c r="V58" s="30">
        <f>SUM(V4)</f>
        <v>0</v>
      </c>
      <c r="W58" s="155" t="s">
        <v>1</v>
      </c>
      <c r="X58" s="108">
        <f>SUM(X4)</f>
        <v>0</v>
      </c>
      <c r="Y58" s="108">
        <f>SUM(Y4)</f>
        <v>0</v>
      </c>
      <c r="Z58" s="30">
        <f>SUM(Z4)</f>
        <v>0</v>
      </c>
      <c r="AA58" s="141">
        <f>SUM(AA4)</f>
        <v>0</v>
      </c>
      <c r="AB58" s="141">
        <f>SUM(AB4)/7</f>
        <v>0</v>
      </c>
      <c r="AC58" s="30">
        <f>SUM(AC4)/7</f>
        <v>0</v>
      </c>
      <c r="AD58" s="30">
        <f>SUM(AD4)/7</f>
        <v>0</v>
      </c>
      <c r="AE58" s="155">
        <f>SUM(AE4)/7</f>
        <v>0</v>
      </c>
      <c r="AF58" s="108">
        <f t="shared" ref="AF58:AO58" si="2">SUM(AF4)</f>
        <v>0</v>
      </c>
      <c r="AG58" s="108">
        <f t="shared" si="2"/>
        <v>0</v>
      </c>
      <c r="AH58" s="30">
        <f t="shared" si="2"/>
        <v>0</v>
      </c>
      <c r="AI58" s="141">
        <f t="shared" si="2"/>
        <v>0</v>
      </c>
      <c r="AJ58" s="141">
        <f t="shared" si="2"/>
        <v>0</v>
      </c>
      <c r="AK58" s="30">
        <f t="shared" si="2"/>
        <v>0</v>
      </c>
      <c r="AL58" s="30">
        <f t="shared" si="2"/>
        <v>0</v>
      </c>
      <c r="AM58" s="155">
        <f t="shared" si="2"/>
        <v>0</v>
      </c>
      <c r="AN58" s="108">
        <f t="shared" si="2"/>
        <v>0</v>
      </c>
      <c r="AO58" s="108">
        <f t="shared" si="2"/>
        <v>0</v>
      </c>
      <c r="AP58" s="30" t="e">
        <f>AN58/(AF58+AH58+AJ58+AL58)</f>
        <v>#DIV/0!</v>
      </c>
      <c r="AQ58" s="141">
        <f>SUM(AQ4)</f>
        <v>0</v>
      </c>
      <c r="AR58" s="141">
        <f>SUM(AR4)</f>
        <v>0</v>
      </c>
      <c r="AS58" s="30">
        <f>SUM(AS4)/7</f>
        <v>0</v>
      </c>
      <c r="AT58" s="30">
        <f>SUM(AT4)/7</f>
        <v>0</v>
      </c>
      <c r="AU58" s="155">
        <f>SUM(AU4)</f>
        <v>0</v>
      </c>
      <c r="AV58" s="108">
        <f>SUM(AV4)</f>
        <v>0</v>
      </c>
      <c r="AW58" s="108">
        <f>SUM(AW4)</f>
        <v>0</v>
      </c>
      <c r="AX58" s="30">
        <f>SUM(AX4)</f>
        <v>0</v>
      </c>
      <c r="AY58" s="141">
        <f>SUM(AY4)/7</f>
        <v>0</v>
      </c>
      <c r="AZ58" s="141">
        <f>SUM(AZ4)/7</f>
        <v>0</v>
      </c>
      <c r="BA58" s="30">
        <f>SUM(BA4)</f>
        <v>0</v>
      </c>
      <c r="BB58" s="30">
        <f>SUM(BB4)</f>
        <v>0</v>
      </c>
      <c r="BC58" s="155">
        <f>SUM(BC4)/7</f>
        <v>0</v>
      </c>
      <c r="BD58" s="108">
        <f>SUM(BD4)/7</f>
        <v>0</v>
      </c>
      <c r="BE58" s="108">
        <f>SUM(BE4)</f>
        <v>0</v>
      </c>
      <c r="BF58" s="30">
        <f>SUM(BF4)</f>
        <v>0</v>
      </c>
      <c r="BG58" s="141">
        <f>SUM(BG4)/7</f>
        <v>0</v>
      </c>
      <c r="BH58" s="141">
        <f>SUM(BH4)/7</f>
        <v>0</v>
      </c>
      <c r="BI58" s="30">
        <f t="shared" ref="BI58:BP58" si="3">SUM(BI4)</f>
        <v>0</v>
      </c>
      <c r="BJ58" s="30">
        <f t="shared" si="3"/>
        <v>0</v>
      </c>
      <c r="BK58" s="155">
        <f t="shared" si="3"/>
        <v>0</v>
      </c>
      <c r="BL58" s="108">
        <f t="shared" si="3"/>
        <v>0</v>
      </c>
      <c r="BM58" s="108">
        <f t="shared" si="3"/>
        <v>0</v>
      </c>
      <c r="BN58" s="30">
        <f t="shared" si="3"/>
        <v>0</v>
      </c>
      <c r="BO58" s="141">
        <f t="shared" si="3"/>
        <v>0</v>
      </c>
      <c r="BP58" s="141">
        <f t="shared" si="3"/>
        <v>0</v>
      </c>
      <c r="BQ58" s="30" t="s">
        <v>1</v>
      </c>
      <c r="BR58" s="30" t="s">
        <v>1</v>
      </c>
      <c r="BS58" s="155" t="s">
        <v>1</v>
      </c>
      <c r="BT58" s="108" t="s">
        <v>1</v>
      </c>
      <c r="BU58" s="108" t="s">
        <v>1</v>
      </c>
      <c r="BV58" s="30" t="s">
        <v>1</v>
      </c>
      <c r="BW58" s="141" t="s">
        <v>1</v>
      </c>
      <c r="BX58" s="141" t="s">
        <v>1</v>
      </c>
      <c r="BY58" s="30" t="s">
        <v>1</v>
      </c>
      <c r="BZ58" s="30" t="s">
        <v>1</v>
      </c>
      <c r="CA58" s="155" t="s">
        <v>1</v>
      </c>
      <c r="CB58" s="108" t="s">
        <v>1</v>
      </c>
      <c r="CC58" s="108" t="s">
        <v>1</v>
      </c>
      <c r="CD58" s="30" t="s">
        <v>1</v>
      </c>
      <c r="CE58" s="141" t="s">
        <v>1</v>
      </c>
      <c r="CF58" s="141" t="s">
        <v>1</v>
      </c>
    </row>
    <row r="59" ht="19" customHeight="1" spans="1:84">
      <c r="A59" s="30" t="s">
        <v>136</v>
      </c>
      <c r="B59" s="30" t="s">
        <v>1</v>
      </c>
      <c r="C59" s="155" t="s">
        <v>1</v>
      </c>
      <c r="D59" s="108" t="e">
        <f>SUM(#REF!)</f>
        <v>#REF!</v>
      </c>
      <c r="E59" s="108" t="e">
        <f>SUM(#REF!)</f>
        <v>#REF!</v>
      </c>
      <c r="F59" s="30" t="e">
        <f>SUM(#REF!)</f>
        <v>#REF!</v>
      </c>
      <c r="G59" s="141" t="e">
        <f>D59/F59-1</f>
        <v>#REF!</v>
      </c>
      <c r="H59" s="141" t="e">
        <f>SUM(#REF!)</f>
        <v>#REF!</v>
      </c>
      <c r="I59" s="30" t="e">
        <f>D59/H59</f>
        <v>#REF!</v>
      </c>
      <c r="J59" s="30" t="e">
        <f>SUM(#REF!)</f>
        <v>#REF!</v>
      </c>
      <c r="K59" s="155" t="s">
        <v>1</v>
      </c>
      <c r="L59" s="108" t="e">
        <f>J59/D59</f>
        <v>#REF!</v>
      </c>
      <c r="M59" s="108" t="e">
        <f>SUM(#REF!)</f>
        <v>#REF!</v>
      </c>
      <c r="N59" s="31" t="e">
        <f>SUM(#REF!)</f>
        <v>#REF!</v>
      </c>
      <c r="O59" s="141" t="e">
        <f>SUM(#REF!)</f>
        <v>#REF!</v>
      </c>
      <c r="P59" s="141" t="e">
        <f>SUM(#REF!)</f>
        <v>#REF!</v>
      </c>
      <c r="Q59" s="30" t="e">
        <f>SUM(#REF!)</f>
        <v>#REF!</v>
      </c>
      <c r="R59" s="30" t="e">
        <f>SUM(#REF!)</f>
        <v>#REF!</v>
      </c>
      <c r="S59" s="155" t="s">
        <v>1</v>
      </c>
      <c r="T59" s="155" t="e">
        <f>SUM(#REF!)</f>
        <v>#REF!</v>
      </c>
      <c r="U59" s="108" t="e">
        <f>SUM(#REF!)</f>
        <v>#REF!</v>
      </c>
      <c r="V59" s="30" t="e">
        <f>SUM(#REF!)</f>
        <v>#REF!</v>
      </c>
      <c r="W59" s="155" t="s">
        <v>1</v>
      </c>
      <c r="X59" s="108" t="e">
        <f>SUM(#REF!)</f>
        <v>#REF!</v>
      </c>
      <c r="Y59" s="108" t="e">
        <f>SUM(#REF!)</f>
        <v>#REF!</v>
      </c>
      <c r="Z59" s="30" t="e">
        <f>SUM(#REF!)</f>
        <v>#REF!</v>
      </c>
      <c r="AA59" s="141" t="e">
        <f>SUM(#REF!)</f>
        <v>#REF!</v>
      </c>
      <c r="AB59" s="141" t="e">
        <f>SUM(#REF!)/7</f>
        <v>#REF!</v>
      </c>
      <c r="AC59" s="30" t="e">
        <f>SUM(#REF!)/7</f>
        <v>#REF!</v>
      </c>
      <c r="AD59" s="30" t="e">
        <f>SUM(#REF!)/7</f>
        <v>#REF!</v>
      </c>
      <c r="AE59" s="155" t="e">
        <f>SUM(#REF!)/7</f>
        <v>#REF!</v>
      </c>
      <c r="AF59" s="108" t="e">
        <f>SUM(#REF!)</f>
        <v>#REF!</v>
      </c>
      <c r="AG59" s="108" t="e">
        <f>SUM(#REF!)</f>
        <v>#REF!</v>
      </c>
      <c r="AH59" s="30" t="e">
        <f>SUM(#REF!)</f>
        <v>#REF!</v>
      </c>
      <c r="AI59" s="141" t="e">
        <f>SUM(#REF!)</f>
        <v>#REF!</v>
      </c>
      <c r="AJ59" s="141" t="e">
        <f>SUM(#REF!)</f>
        <v>#REF!</v>
      </c>
      <c r="AK59" s="30" t="e">
        <f>SUM(#REF!)</f>
        <v>#REF!</v>
      </c>
      <c r="AL59" s="30" t="e">
        <f>SUM(#REF!)</f>
        <v>#REF!</v>
      </c>
      <c r="AM59" s="155" t="e">
        <f>SUM(#REF!)</f>
        <v>#REF!</v>
      </c>
      <c r="AN59" s="108" t="e">
        <f>SUM(#REF!)</f>
        <v>#REF!</v>
      </c>
      <c r="AO59" s="108" t="e">
        <f>SUM(#REF!)</f>
        <v>#REF!</v>
      </c>
      <c r="AP59" s="30" t="e">
        <f>AN59/(AF59+AH59+AJ59+AL59)</f>
        <v>#REF!</v>
      </c>
      <c r="AQ59" s="141" t="e">
        <f>SUM(#REF!)</f>
        <v>#REF!</v>
      </c>
      <c r="AR59" s="141" t="e">
        <f>SUM(#REF!)</f>
        <v>#REF!</v>
      </c>
      <c r="AS59" s="30" t="e">
        <f>SUM(#REF!)/7</f>
        <v>#REF!</v>
      </c>
      <c r="AT59" s="30" t="e">
        <f>SUM(#REF!)/7</f>
        <v>#REF!</v>
      </c>
      <c r="AU59" s="155" t="e">
        <f>SUM(#REF!)</f>
        <v>#REF!</v>
      </c>
      <c r="AV59" s="108" t="e">
        <f>SUM(#REF!)</f>
        <v>#REF!</v>
      </c>
      <c r="AW59" s="108" t="e">
        <f>SUM(#REF!)</f>
        <v>#REF!</v>
      </c>
      <c r="AX59" s="30" t="e">
        <f>SUM(#REF!)</f>
        <v>#REF!</v>
      </c>
      <c r="AY59" s="141" t="e">
        <f>SUM(#REF!)/7</f>
        <v>#REF!</v>
      </c>
      <c r="AZ59" s="141" t="e">
        <f>SUM(#REF!)/7</f>
        <v>#REF!</v>
      </c>
      <c r="BA59" s="30" t="e">
        <f>SUM(#REF!)</f>
        <v>#REF!</v>
      </c>
      <c r="BB59" s="30" t="e">
        <f>SUM(#REF!)</f>
        <v>#REF!</v>
      </c>
      <c r="BC59" s="155" t="e">
        <f>SUM(#REF!)/7</f>
        <v>#REF!</v>
      </c>
      <c r="BD59" s="108" t="e">
        <f>SUM(#REF!)/7</f>
        <v>#REF!</v>
      </c>
      <c r="BE59" s="108" t="e">
        <f>SUM(#REF!)</f>
        <v>#REF!</v>
      </c>
      <c r="BF59" s="30" t="e">
        <f>SUM(#REF!)</f>
        <v>#REF!</v>
      </c>
      <c r="BG59" s="141" t="e">
        <f>SUM(#REF!)/7</f>
        <v>#REF!</v>
      </c>
      <c r="BH59" s="141" t="e">
        <f>SUM(#REF!)/7</f>
        <v>#REF!</v>
      </c>
      <c r="BI59" s="30" t="e">
        <f>SUM(#REF!)</f>
        <v>#REF!</v>
      </c>
      <c r="BJ59" s="30" t="e">
        <f>SUM(#REF!)</f>
        <v>#REF!</v>
      </c>
      <c r="BK59" s="155" t="e">
        <f>SUM(#REF!)</f>
        <v>#REF!</v>
      </c>
      <c r="BL59" s="108" t="e">
        <f>SUM(#REF!)</f>
        <v>#REF!</v>
      </c>
      <c r="BM59" s="108" t="e">
        <f>SUM(#REF!)</f>
        <v>#REF!</v>
      </c>
      <c r="BN59" s="30" t="e">
        <f>SUM(#REF!)</f>
        <v>#REF!</v>
      </c>
      <c r="BO59" s="141" t="e">
        <f>SUM(#REF!)</f>
        <v>#REF!</v>
      </c>
      <c r="BP59" s="141" t="e">
        <f>SUM(#REF!)</f>
        <v>#REF!</v>
      </c>
      <c r="BQ59" s="30" t="s">
        <v>1</v>
      </c>
      <c r="BR59" s="30" t="s">
        <v>1</v>
      </c>
      <c r="BS59" s="155" t="s">
        <v>1</v>
      </c>
      <c r="BT59" s="108" t="s">
        <v>1</v>
      </c>
      <c r="BU59" s="108" t="s">
        <v>1</v>
      </c>
      <c r="BV59" s="30" t="s">
        <v>1</v>
      </c>
      <c r="BW59" s="141" t="s">
        <v>1</v>
      </c>
      <c r="BX59" s="141" t="s">
        <v>1</v>
      </c>
      <c r="BY59" s="30" t="s">
        <v>1</v>
      </c>
      <c r="BZ59" s="30" t="s">
        <v>1</v>
      </c>
      <c r="CA59" s="155" t="s">
        <v>1</v>
      </c>
      <c r="CB59" s="108" t="s">
        <v>1</v>
      </c>
      <c r="CC59" s="108" t="s">
        <v>1</v>
      </c>
      <c r="CD59" s="30" t="s">
        <v>1</v>
      </c>
      <c r="CE59" s="141" t="s">
        <v>1</v>
      </c>
      <c r="CF59" s="141" t="s">
        <v>1</v>
      </c>
    </row>
    <row r="60" ht="19" customHeight="1" spans="1:84">
      <c r="A60" s="30" t="s">
        <v>137</v>
      </c>
      <c r="B60" s="30" t="s">
        <v>1</v>
      </c>
      <c r="C60" s="155" t="s">
        <v>1</v>
      </c>
      <c r="D60" s="108" t="e">
        <f>SUM(#REF!)</f>
        <v>#REF!</v>
      </c>
      <c r="E60" s="108" t="e">
        <f>SUM(#REF!)</f>
        <v>#REF!</v>
      </c>
      <c r="F60" s="30" t="e">
        <f>SUM(#REF!)</f>
        <v>#REF!</v>
      </c>
      <c r="G60" s="141" t="e">
        <f>D60/F60-1</f>
        <v>#REF!</v>
      </c>
      <c r="H60" s="141" t="e">
        <f>SUM(#REF!)</f>
        <v>#REF!</v>
      </c>
      <c r="I60" s="30" t="e">
        <f>D60/H60</f>
        <v>#REF!</v>
      </c>
      <c r="J60" s="30" t="e">
        <f>SUM(#REF!)</f>
        <v>#REF!</v>
      </c>
      <c r="K60" s="155" t="s">
        <v>1</v>
      </c>
      <c r="L60" s="108" t="e">
        <f>J60/D60</f>
        <v>#REF!</v>
      </c>
      <c r="M60" s="108" t="e">
        <f>SUM(#REF!)</f>
        <v>#REF!</v>
      </c>
      <c r="N60" s="31" t="e">
        <f>SUM(#REF!)</f>
        <v>#REF!</v>
      </c>
      <c r="O60" s="141" t="e">
        <f>SUM(#REF!)</f>
        <v>#REF!</v>
      </c>
      <c r="P60" s="141" t="e">
        <f>SUM(#REF!)</f>
        <v>#REF!</v>
      </c>
      <c r="Q60" s="30" t="e">
        <f>SUM(#REF!)</f>
        <v>#REF!</v>
      </c>
      <c r="R60" s="30" t="e">
        <f>SUM(#REF!)</f>
        <v>#REF!</v>
      </c>
      <c r="S60" s="155" t="s">
        <v>1</v>
      </c>
      <c r="T60" s="155" t="e">
        <f>SUM(#REF!)</f>
        <v>#REF!</v>
      </c>
      <c r="U60" s="108" t="e">
        <f>SUM(#REF!)</f>
        <v>#REF!</v>
      </c>
      <c r="V60" s="30" t="e">
        <f>SUM(#REF!)</f>
        <v>#REF!</v>
      </c>
      <c r="W60" s="155" t="s">
        <v>1</v>
      </c>
      <c r="X60" s="108" t="e">
        <f>SUM(#REF!)</f>
        <v>#REF!</v>
      </c>
      <c r="Y60" s="108" t="e">
        <f>SUM(#REF!)</f>
        <v>#REF!</v>
      </c>
      <c r="Z60" s="30" t="e">
        <f>SUM(#REF!)</f>
        <v>#REF!</v>
      </c>
      <c r="AA60" s="141" t="e">
        <f>SUM(#REF!)</f>
        <v>#REF!</v>
      </c>
      <c r="AB60" s="141" t="e">
        <f>SUM(#REF!)/7</f>
        <v>#REF!</v>
      </c>
      <c r="AC60" s="30" t="e">
        <f>SUM(#REF!)/7</f>
        <v>#REF!</v>
      </c>
      <c r="AD60" s="30" t="e">
        <f>SUM(#REF!)/7</f>
        <v>#REF!</v>
      </c>
      <c r="AE60" s="155" t="e">
        <f>SUM(#REF!)/7</f>
        <v>#REF!</v>
      </c>
      <c r="AF60" s="108" t="e">
        <f>SUM(#REF!)</f>
        <v>#REF!</v>
      </c>
      <c r="AG60" s="108" t="e">
        <f>SUM(#REF!)</f>
        <v>#REF!</v>
      </c>
      <c r="AH60" s="30" t="e">
        <f>SUM(#REF!)</f>
        <v>#REF!</v>
      </c>
      <c r="AI60" s="141" t="e">
        <f>SUM(#REF!)</f>
        <v>#REF!</v>
      </c>
      <c r="AJ60" s="141" t="e">
        <f>SUM(#REF!)</f>
        <v>#REF!</v>
      </c>
      <c r="AK60" s="30" t="e">
        <f>SUM(#REF!)</f>
        <v>#REF!</v>
      </c>
      <c r="AL60" s="30" t="e">
        <f>SUM(#REF!)</f>
        <v>#REF!</v>
      </c>
      <c r="AM60" s="155" t="e">
        <f>SUM(#REF!)</f>
        <v>#REF!</v>
      </c>
      <c r="AN60" s="108" t="e">
        <f>SUM(#REF!)</f>
        <v>#REF!</v>
      </c>
      <c r="AO60" s="108" t="e">
        <f>SUM(#REF!)</f>
        <v>#REF!</v>
      </c>
      <c r="AP60" s="30" t="e">
        <f>AN60/(AF60+AH60+AJ60+AL60)</f>
        <v>#REF!</v>
      </c>
      <c r="AQ60" s="141" t="e">
        <f>SUM(#REF!)</f>
        <v>#REF!</v>
      </c>
      <c r="AR60" s="141" t="e">
        <f>SUM(#REF!)</f>
        <v>#REF!</v>
      </c>
      <c r="AS60" s="30" t="e">
        <f>SUM(#REF!)/7</f>
        <v>#REF!</v>
      </c>
      <c r="AT60" s="30" t="e">
        <f>SUM(#REF!)/7</f>
        <v>#REF!</v>
      </c>
      <c r="AU60" s="155" t="e">
        <f>SUM(#REF!)</f>
        <v>#REF!</v>
      </c>
      <c r="AV60" s="108" t="e">
        <f>SUM(#REF!)</f>
        <v>#REF!</v>
      </c>
      <c r="AW60" s="108" t="e">
        <f>SUM(#REF!)</f>
        <v>#REF!</v>
      </c>
      <c r="AX60" s="30" t="e">
        <f>SUM(#REF!)</f>
        <v>#REF!</v>
      </c>
      <c r="AY60" s="141" t="e">
        <f>SUM(#REF!)/7</f>
        <v>#REF!</v>
      </c>
      <c r="AZ60" s="141" t="e">
        <f>SUM(#REF!)/7</f>
        <v>#REF!</v>
      </c>
      <c r="BA60" s="30" t="e">
        <f>SUM(#REF!)</f>
        <v>#REF!</v>
      </c>
      <c r="BB60" s="30" t="e">
        <f>SUM(#REF!)</f>
        <v>#REF!</v>
      </c>
      <c r="BC60" s="155" t="e">
        <f>SUM(#REF!)/7</f>
        <v>#REF!</v>
      </c>
      <c r="BD60" s="108" t="e">
        <f>SUM(#REF!)/7</f>
        <v>#REF!</v>
      </c>
      <c r="BE60" s="108" t="e">
        <f>SUM(#REF!)</f>
        <v>#REF!</v>
      </c>
      <c r="BF60" s="30" t="e">
        <f>SUM(#REF!)</f>
        <v>#REF!</v>
      </c>
      <c r="BG60" s="141" t="e">
        <f>SUM(#REF!)/7</f>
        <v>#REF!</v>
      </c>
      <c r="BH60" s="141" t="e">
        <f>SUM(#REF!)/7</f>
        <v>#REF!</v>
      </c>
      <c r="BI60" s="30" t="e">
        <f>SUM(#REF!)</f>
        <v>#REF!</v>
      </c>
      <c r="BJ60" s="30" t="e">
        <f>SUM(#REF!)</f>
        <v>#REF!</v>
      </c>
      <c r="BK60" s="155" t="e">
        <f>SUM(#REF!)</f>
        <v>#REF!</v>
      </c>
      <c r="BL60" s="108" t="e">
        <f>SUM(#REF!)</f>
        <v>#REF!</v>
      </c>
      <c r="BM60" s="108" t="e">
        <f>SUM(#REF!)</f>
        <v>#REF!</v>
      </c>
      <c r="BN60" s="30" t="e">
        <f>SUM(#REF!)</f>
        <v>#REF!</v>
      </c>
      <c r="BO60" s="141" t="e">
        <f>SUM(#REF!)</f>
        <v>#REF!</v>
      </c>
      <c r="BP60" s="141" t="e">
        <f>SUM(#REF!)</f>
        <v>#REF!</v>
      </c>
      <c r="BQ60" s="30" t="s">
        <v>1</v>
      </c>
      <c r="BR60" s="30" t="s">
        <v>1</v>
      </c>
      <c r="BS60" s="155" t="s">
        <v>1</v>
      </c>
      <c r="BT60" s="108" t="s">
        <v>1</v>
      </c>
      <c r="BU60" s="108" t="s">
        <v>1</v>
      </c>
      <c r="BV60" s="30" t="s">
        <v>1</v>
      </c>
      <c r="BW60" s="141" t="s">
        <v>1</v>
      </c>
      <c r="BX60" s="141" t="s">
        <v>1</v>
      </c>
      <c r="BY60" s="30" t="s">
        <v>1</v>
      </c>
      <c r="BZ60" s="30" t="s">
        <v>1</v>
      </c>
      <c r="CA60" s="155" t="s">
        <v>1</v>
      </c>
      <c r="CB60" s="108" t="s">
        <v>1</v>
      </c>
      <c r="CC60" s="108" t="s">
        <v>1</v>
      </c>
      <c r="CD60" s="30" t="s">
        <v>1</v>
      </c>
      <c r="CE60" s="141" t="s">
        <v>1</v>
      </c>
      <c r="CF60" s="141" t="s">
        <v>1</v>
      </c>
    </row>
    <row r="61" ht="19" customHeight="1" spans="1:84">
      <c r="A61" s="30" t="s">
        <v>138</v>
      </c>
      <c r="B61" s="30" t="s">
        <v>1</v>
      </c>
      <c r="C61" s="155" t="s">
        <v>1</v>
      </c>
      <c r="D61" s="108" t="e">
        <f>SUM(#REF!)</f>
        <v>#REF!</v>
      </c>
      <c r="E61" s="108" t="e">
        <f>SUM(#REF!)</f>
        <v>#REF!</v>
      </c>
      <c r="F61" s="30" t="e">
        <f>SUM(#REF!)</f>
        <v>#REF!</v>
      </c>
      <c r="G61" s="141" t="e">
        <f>D61/F61-1</f>
        <v>#REF!</v>
      </c>
      <c r="H61" s="141" t="e">
        <f>SUM(#REF!)</f>
        <v>#REF!</v>
      </c>
      <c r="I61" s="30" t="e">
        <f>D61/H61</f>
        <v>#REF!</v>
      </c>
      <c r="J61" s="30" t="e">
        <f>SUM(#REF!)</f>
        <v>#REF!</v>
      </c>
      <c r="K61" s="155" t="s">
        <v>1</v>
      </c>
      <c r="L61" s="108" t="e">
        <f>J61/D61</f>
        <v>#REF!</v>
      </c>
      <c r="M61" s="108" t="e">
        <f>SUM(#REF!)</f>
        <v>#REF!</v>
      </c>
      <c r="N61" s="31" t="e">
        <f>SUM(#REF!)</f>
        <v>#REF!</v>
      </c>
      <c r="O61" s="141" t="e">
        <f>SUM(#REF!)</f>
        <v>#REF!</v>
      </c>
      <c r="P61" s="141" t="e">
        <f>SUM(#REF!)</f>
        <v>#REF!</v>
      </c>
      <c r="Q61" s="30" t="e">
        <f>SUM(#REF!)</f>
        <v>#REF!</v>
      </c>
      <c r="R61" s="30" t="e">
        <f>SUM(#REF!)</f>
        <v>#REF!</v>
      </c>
      <c r="S61" s="155" t="s">
        <v>1</v>
      </c>
      <c r="T61" s="155" t="e">
        <f>SUM(#REF!)</f>
        <v>#REF!</v>
      </c>
      <c r="U61" s="108" t="e">
        <f>SUM(#REF!)</f>
        <v>#REF!</v>
      </c>
      <c r="V61" s="30" t="e">
        <f>SUM(#REF!)</f>
        <v>#REF!</v>
      </c>
      <c r="W61" s="155" t="s">
        <v>1</v>
      </c>
      <c r="X61" s="108" t="e">
        <f>SUM(#REF!)</f>
        <v>#REF!</v>
      </c>
      <c r="Y61" s="108" t="e">
        <f>SUM(#REF!)</f>
        <v>#REF!</v>
      </c>
      <c r="Z61" s="30" t="e">
        <f>SUM(#REF!)</f>
        <v>#REF!</v>
      </c>
      <c r="AA61" s="141" t="e">
        <f>SUM(#REF!)</f>
        <v>#REF!</v>
      </c>
      <c r="AB61" s="141" t="e">
        <f>SUM(#REF!)/7</f>
        <v>#REF!</v>
      </c>
      <c r="AC61" s="30" t="e">
        <f>SUM(#REF!)/7</f>
        <v>#REF!</v>
      </c>
      <c r="AD61" s="30" t="e">
        <f>SUM(#REF!)/7</f>
        <v>#REF!</v>
      </c>
      <c r="AE61" s="155" t="e">
        <f>SUM(#REF!)/7</f>
        <v>#REF!</v>
      </c>
      <c r="AF61" s="108" t="e">
        <f>SUM(#REF!)</f>
        <v>#REF!</v>
      </c>
      <c r="AG61" s="108" t="e">
        <f>SUM(#REF!)</f>
        <v>#REF!</v>
      </c>
      <c r="AH61" s="30" t="e">
        <f>SUM(#REF!)</f>
        <v>#REF!</v>
      </c>
      <c r="AI61" s="141" t="e">
        <f>SUM(#REF!)</f>
        <v>#REF!</v>
      </c>
      <c r="AJ61" s="141" t="e">
        <f>SUM(#REF!)</f>
        <v>#REF!</v>
      </c>
      <c r="AK61" s="30" t="e">
        <f>SUM(#REF!)</f>
        <v>#REF!</v>
      </c>
      <c r="AL61" s="30" t="e">
        <f>SUM(#REF!)</f>
        <v>#REF!</v>
      </c>
      <c r="AM61" s="155" t="e">
        <f>SUM(#REF!)</f>
        <v>#REF!</v>
      </c>
      <c r="AN61" s="108" t="e">
        <f>SUM(#REF!)</f>
        <v>#REF!</v>
      </c>
      <c r="AO61" s="108" t="e">
        <f>SUM(#REF!)</f>
        <v>#REF!</v>
      </c>
      <c r="AP61" s="30" t="e">
        <f>AN61/(AF61+AH61+AJ61+AL61)</f>
        <v>#REF!</v>
      </c>
      <c r="AQ61" s="141" t="e">
        <f>SUM(#REF!)</f>
        <v>#REF!</v>
      </c>
      <c r="AR61" s="141" t="e">
        <f>SUM(#REF!)</f>
        <v>#REF!</v>
      </c>
      <c r="AS61" s="30" t="e">
        <f>SUM(#REF!)/7</f>
        <v>#REF!</v>
      </c>
      <c r="AT61" s="30" t="e">
        <f>SUM(#REF!)/7</f>
        <v>#REF!</v>
      </c>
      <c r="AU61" s="155" t="e">
        <f>SUM(#REF!)</f>
        <v>#REF!</v>
      </c>
      <c r="AV61" s="108" t="e">
        <f>SUM(#REF!)</f>
        <v>#REF!</v>
      </c>
      <c r="AW61" s="108" t="e">
        <f>SUM(#REF!)</f>
        <v>#REF!</v>
      </c>
      <c r="AX61" s="30" t="e">
        <f>SUM(#REF!)</f>
        <v>#REF!</v>
      </c>
      <c r="AY61" s="141" t="e">
        <f>SUM(#REF!)/7</f>
        <v>#REF!</v>
      </c>
      <c r="AZ61" s="141" t="e">
        <f>SUM(#REF!)/7</f>
        <v>#REF!</v>
      </c>
      <c r="BA61" s="30" t="e">
        <f>SUM(#REF!)</f>
        <v>#REF!</v>
      </c>
      <c r="BB61" s="30" t="e">
        <f>SUM(#REF!)</f>
        <v>#REF!</v>
      </c>
      <c r="BC61" s="155" t="e">
        <f>SUM(#REF!)/7</f>
        <v>#REF!</v>
      </c>
      <c r="BD61" s="108" t="e">
        <f>SUM(#REF!)/7</f>
        <v>#REF!</v>
      </c>
      <c r="BE61" s="108" t="e">
        <f>SUM(#REF!)</f>
        <v>#REF!</v>
      </c>
      <c r="BF61" s="30" t="e">
        <f>SUM(#REF!)</f>
        <v>#REF!</v>
      </c>
      <c r="BG61" s="141" t="e">
        <f>SUM(#REF!)/7</f>
        <v>#REF!</v>
      </c>
      <c r="BH61" s="141" t="e">
        <f>SUM(#REF!)/7</f>
        <v>#REF!</v>
      </c>
      <c r="BI61" s="30" t="e">
        <f>SUM(#REF!)</f>
        <v>#REF!</v>
      </c>
      <c r="BJ61" s="30" t="e">
        <f>SUM(#REF!)</f>
        <v>#REF!</v>
      </c>
      <c r="BK61" s="155" t="e">
        <f>SUM(#REF!)</f>
        <v>#REF!</v>
      </c>
      <c r="BL61" s="108" t="e">
        <f>SUM(#REF!)</f>
        <v>#REF!</v>
      </c>
      <c r="BM61" s="108" t="e">
        <f>SUM(#REF!)</f>
        <v>#REF!</v>
      </c>
      <c r="BN61" s="30" t="e">
        <f>SUM(#REF!)</f>
        <v>#REF!</v>
      </c>
      <c r="BO61" s="141" t="e">
        <f>SUM(#REF!)</f>
        <v>#REF!</v>
      </c>
      <c r="BP61" s="141" t="e">
        <f>SUM(#REF!)</f>
        <v>#REF!</v>
      </c>
      <c r="BQ61" s="30" t="s">
        <v>1</v>
      </c>
      <c r="BR61" s="30" t="s">
        <v>1</v>
      </c>
      <c r="BS61" s="155" t="s">
        <v>1</v>
      </c>
      <c r="BT61" s="108" t="s">
        <v>1</v>
      </c>
      <c r="BU61" s="108" t="s">
        <v>1</v>
      </c>
      <c r="BV61" s="30" t="s">
        <v>1</v>
      </c>
      <c r="BW61" s="141" t="s">
        <v>1</v>
      </c>
      <c r="BX61" s="141" t="s">
        <v>1</v>
      </c>
      <c r="BY61" s="30" t="s">
        <v>1</v>
      </c>
      <c r="BZ61" s="30" t="s">
        <v>1</v>
      </c>
      <c r="CA61" s="155" t="s">
        <v>1</v>
      </c>
      <c r="CB61" s="108" t="s">
        <v>1</v>
      </c>
      <c r="CC61" s="108" t="s">
        <v>1</v>
      </c>
      <c r="CD61" s="30" t="s">
        <v>1</v>
      </c>
      <c r="CE61" s="141" t="s">
        <v>1</v>
      </c>
      <c r="CF61" s="141" t="s">
        <v>1</v>
      </c>
    </row>
    <row r="62" ht="19" customHeight="1" spans="1:84">
      <c r="A62" s="30" t="s">
        <v>139</v>
      </c>
      <c r="B62" s="30" t="s">
        <v>1</v>
      </c>
      <c r="C62" s="155" t="s">
        <v>1</v>
      </c>
      <c r="D62" s="108" t="e">
        <f>SUM(#REF!)</f>
        <v>#REF!</v>
      </c>
      <c r="E62" s="108" t="e">
        <f>SUM(#REF!)</f>
        <v>#REF!</v>
      </c>
      <c r="F62" s="30" t="e">
        <f>SUM(#REF!)</f>
        <v>#REF!</v>
      </c>
      <c r="G62" s="141" t="e">
        <f>D62/F62-1</f>
        <v>#REF!</v>
      </c>
      <c r="H62" s="141" t="e">
        <f>SUM(#REF!)</f>
        <v>#REF!</v>
      </c>
      <c r="I62" s="30" t="e">
        <f>D62/H62</f>
        <v>#REF!</v>
      </c>
      <c r="J62" s="30" t="e">
        <f>SUM(#REF!)</f>
        <v>#REF!</v>
      </c>
      <c r="K62" s="155" t="s">
        <v>1</v>
      </c>
      <c r="L62" s="108" t="e">
        <f>J62/D62</f>
        <v>#REF!</v>
      </c>
      <c r="M62" s="108" t="e">
        <f>SUM(#REF!)</f>
        <v>#REF!</v>
      </c>
      <c r="N62" s="31" t="e">
        <f>SUM(#REF!)</f>
        <v>#REF!</v>
      </c>
      <c r="O62" s="141" t="e">
        <f>SUM(#REF!)</f>
        <v>#REF!</v>
      </c>
      <c r="P62" s="141" t="e">
        <f>SUM(#REF!)</f>
        <v>#REF!</v>
      </c>
      <c r="Q62" s="30" t="e">
        <f>SUM(#REF!)</f>
        <v>#REF!</v>
      </c>
      <c r="R62" s="30" t="e">
        <f>SUM(#REF!)</f>
        <v>#REF!</v>
      </c>
      <c r="S62" s="155" t="s">
        <v>1</v>
      </c>
      <c r="T62" s="155" t="e">
        <f>SUM(#REF!)</f>
        <v>#REF!</v>
      </c>
      <c r="U62" s="108" t="e">
        <f>SUM(#REF!)</f>
        <v>#REF!</v>
      </c>
      <c r="V62" s="30" t="e">
        <f>SUM(#REF!)</f>
        <v>#REF!</v>
      </c>
      <c r="W62" s="155" t="s">
        <v>1</v>
      </c>
      <c r="X62" s="108" t="e">
        <f>SUM(#REF!)</f>
        <v>#REF!</v>
      </c>
      <c r="Y62" s="108" t="e">
        <f>SUM(#REF!)</f>
        <v>#REF!</v>
      </c>
      <c r="Z62" s="30" t="e">
        <f>SUM(#REF!)</f>
        <v>#REF!</v>
      </c>
      <c r="AA62" s="141" t="e">
        <f>SUM(#REF!)</f>
        <v>#REF!</v>
      </c>
      <c r="AB62" s="141" t="e">
        <f>SUM(#REF!)/2</f>
        <v>#REF!</v>
      </c>
      <c r="AC62" s="30" t="e">
        <f>SUM(#REF!)/2</f>
        <v>#REF!</v>
      </c>
      <c r="AD62" s="30" t="e">
        <f>SUM(#REF!)/2</f>
        <v>#REF!</v>
      </c>
      <c r="AE62" s="155" t="e">
        <f>SUM(#REF!)/2</f>
        <v>#REF!</v>
      </c>
      <c r="AF62" s="108" t="e">
        <f>SUM(#REF!)</f>
        <v>#REF!</v>
      </c>
      <c r="AG62" s="108" t="e">
        <f>SUM(#REF!)</f>
        <v>#REF!</v>
      </c>
      <c r="AH62" s="30" t="e">
        <f>SUM(#REF!)</f>
        <v>#REF!</v>
      </c>
      <c r="AI62" s="141" t="e">
        <f>SUM(#REF!)</f>
        <v>#REF!</v>
      </c>
      <c r="AJ62" s="141" t="e">
        <f>SUM(#REF!)</f>
        <v>#REF!</v>
      </c>
      <c r="AK62" s="30" t="e">
        <f>SUM(#REF!)</f>
        <v>#REF!</v>
      </c>
      <c r="AL62" s="30" t="e">
        <f>SUM(#REF!)</f>
        <v>#REF!</v>
      </c>
      <c r="AM62" s="155" t="e">
        <f>SUM(#REF!)</f>
        <v>#REF!</v>
      </c>
      <c r="AN62" s="108" t="e">
        <f>SUM(#REF!)</f>
        <v>#REF!</v>
      </c>
      <c r="AO62" s="108" t="e">
        <f>SUM(#REF!)</f>
        <v>#REF!</v>
      </c>
      <c r="AP62" s="30" t="e">
        <f>AN62/(AF62+AH62+AJ62+AL62)</f>
        <v>#REF!</v>
      </c>
      <c r="AQ62" s="141" t="e">
        <f>SUM(#REF!)</f>
        <v>#REF!</v>
      </c>
      <c r="AR62" s="141" t="e">
        <f>SUM(#REF!)</f>
        <v>#REF!</v>
      </c>
      <c r="AS62" s="30" t="e">
        <f>SUM(#REF!)/2</f>
        <v>#REF!</v>
      </c>
      <c r="AT62" s="30" t="e">
        <f>SUM(#REF!)/2</f>
        <v>#REF!</v>
      </c>
      <c r="AU62" s="155" t="e">
        <f>SUM(#REF!)</f>
        <v>#REF!</v>
      </c>
      <c r="AV62" s="108" t="e">
        <f>SUM(#REF!)</f>
        <v>#REF!</v>
      </c>
      <c r="AW62" s="108" t="e">
        <f>SUM(#REF!)</f>
        <v>#REF!</v>
      </c>
      <c r="AX62" s="30" t="e">
        <f>SUM(#REF!)</f>
        <v>#REF!</v>
      </c>
      <c r="AY62" s="141" t="e">
        <f>SUM(#REF!)/2</f>
        <v>#REF!</v>
      </c>
      <c r="AZ62" s="141" t="e">
        <f>SUM(#REF!)/2</f>
        <v>#REF!</v>
      </c>
      <c r="BA62" s="30" t="e">
        <f>SUM(#REF!)</f>
        <v>#REF!</v>
      </c>
      <c r="BB62" s="30" t="e">
        <f>SUM(#REF!)</f>
        <v>#REF!</v>
      </c>
      <c r="BC62" s="155" t="e">
        <f>SUM(#REF!)/2</f>
        <v>#REF!</v>
      </c>
      <c r="BD62" s="108" t="e">
        <f>SUM(#REF!)/2</f>
        <v>#REF!</v>
      </c>
      <c r="BE62" s="108" t="e">
        <f>SUM(#REF!)</f>
        <v>#REF!</v>
      </c>
      <c r="BF62" s="30" t="e">
        <f>SUM(#REF!)</f>
        <v>#REF!</v>
      </c>
      <c r="BG62" s="141" t="e">
        <f>SUM(#REF!)/2</f>
        <v>#REF!</v>
      </c>
      <c r="BH62" s="141" t="e">
        <f>SUM(#REF!)/7</f>
        <v>#REF!</v>
      </c>
      <c r="BI62" s="30" t="e">
        <f>SUM(#REF!)</f>
        <v>#REF!</v>
      </c>
      <c r="BJ62" s="30" t="e">
        <f>SUM(#REF!)</f>
        <v>#REF!</v>
      </c>
      <c r="BK62" s="155" t="e">
        <f>SUM(#REF!)</f>
        <v>#REF!</v>
      </c>
      <c r="BL62" s="108" t="e">
        <f>SUM(#REF!)</f>
        <v>#REF!</v>
      </c>
      <c r="BM62" s="108" t="e">
        <f>SUM(#REF!)</f>
        <v>#REF!</v>
      </c>
      <c r="BN62" s="30" t="e">
        <f>SUM(#REF!)</f>
        <v>#REF!</v>
      </c>
      <c r="BO62" s="141" t="e">
        <f>SUM(#REF!)</f>
        <v>#REF!</v>
      </c>
      <c r="BP62" s="141" t="e">
        <f>SUM(#REF!)</f>
        <v>#REF!</v>
      </c>
      <c r="BQ62" s="30" t="s">
        <v>1</v>
      </c>
      <c r="BR62" s="30" t="s">
        <v>1</v>
      </c>
      <c r="BS62" s="155" t="s">
        <v>1</v>
      </c>
      <c r="BT62" s="108" t="s">
        <v>1</v>
      </c>
      <c r="BU62" s="108" t="s">
        <v>1</v>
      </c>
      <c r="BV62" s="30" t="s">
        <v>1</v>
      </c>
      <c r="BW62" s="141" t="s">
        <v>1</v>
      </c>
      <c r="BX62" s="141" t="s">
        <v>1</v>
      </c>
      <c r="BY62" s="30" t="s">
        <v>1</v>
      </c>
      <c r="BZ62" s="30" t="s">
        <v>1</v>
      </c>
      <c r="CA62" s="155" t="s">
        <v>1</v>
      </c>
      <c r="CB62" s="108" t="s">
        <v>1</v>
      </c>
      <c r="CC62" s="108" t="s">
        <v>1</v>
      </c>
      <c r="CD62" s="30" t="s">
        <v>1</v>
      </c>
      <c r="CE62" s="141" t="s">
        <v>1</v>
      </c>
      <c r="CF62" s="141" t="s">
        <v>1</v>
      </c>
    </row>
  </sheetData>
  <mergeCells count="70">
    <mergeCell ref="A1:C1"/>
    <mergeCell ref="D1:U1"/>
    <mergeCell ref="V1:AS1"/>
    <mergeCell ref="AT1:BG1"/>
    <mergeCell ref="BI1:BP1"/>
    <mergeCell ref="BQ1:CE1"/>
    <mergeCell ref="B2:C2"/>
    <mergeCell ref="D2:K2"/>
    <mergeCell ref="L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I2:BL2"/>
    <mergeCell ref="BM2:BP2"/>
    <mergeCell ref="BQ2:BU2"/>
    <mergeCell ref="BV2:CE2"/>
    <mergeCell ref="A54:C54"/>
    <mergeCell ref="D54:U54"/>
    <mergeCell ref="V54:AS54"/>
    <mergeCell ref="AT54:BG54"/>
    <mergeCell ref="BI54:BP54"/>
    <mergeCell ref="BQ54:CE54"/>
    <mergeCell ref="B55:C55"/>
    <mergeCell ref="D55:K55"/>
    <mergeCell ref="L55:U55"/>
    <mergeCell ref="V55:W55"/>
    <mergeCell ref="X55:Y55"/>
    <mergeCell ref="Z55:AA55"/>
    <mergeCell ref="AB55:AC55"/>
    <mergeCell ref="AD55:AE55"/>
    <mergeCell ref="AF55:AG55"/>
    <mergeCell ref="AH55:AI55"/>
    <mergeCell ref="AJ55:AK55"/>
    <mergeCell ref="AL55:AM55"/>
    <mergeCell ref="AN55:AO55"/>
    <mergeCell ref="AP55:AQ55"/>
    <mergeCell ref="AR55:AS55"/>
    <mergeCell ref="AT55:AU55"/>
    <mergeCell ref="AV55:AW55"/>
    <mergeCell ref="AX55:AY55"/>
    <mergeCell ref="AZ55:BA55"/>
    <mergeCell ref="BB55:BC55"/>
    <mergeCell ref="BD55:BE55"/>
    <mergeCell ref="BF55:BG55"/>
    <mergeCell ref="BI55:BL55"/>
    <mergeCell ref="BM55:BP55"/>
    <mergeCell ref="BQ55:BU55"/>
    <mergeCell ref="BV55:CE55"/>
    <mergeCell ref="A2:A3"/>
    <mergeCell ref="A55:A56"/>
    <mergeCell ref="BH1:BH3"/>
    <mergeCell ref="BH54:BH56"/>
    <mergeCell ref="CF1:CF3"/>
    <mergeCell ref="CF54:CF5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V138"/>
  <sheetViews>
    <sheetView workbookViewId="0">
      <pane xSplit="1" ySplit="3" topLeftCell="B4" activePane="bottomRight" state="frozen"/>
      <selection/>
      <selection pane="topRight"/>
      <selection pane="bottomLeft"/>
      <selection pane="bottomRight" activeCell="A1" sqref="A1:C1"/>
    </sheetView>
  </sheetViews>
  <sheetFormatPr defaultColWidth="14" defaultRowHeight="12.75"/>
  <cols>
    <col min="1" max="1" width="11" customWidth="1"/>
    <col min="2" max="3" width="14" customWidth="1"/>
    <col min="4" max="11" width="11" customWidth="1"/>
    <col min="12" max="12" width="17" customWidth="1"/>
    <col min="13" max="14" width="11" customWidth="1"/>
    <col min="15" max="15" width="14" customWidth="1"/>
    <col min="16" max="17" width="11" customWidth="1"/>
    <col min="18" max="18" width="12" customWidth="1"/>
    <col min="19" max="20" width="11" customWidth="1"/>
    <col min="21" max="21" width="14" customWidth="1"/>
    <col min="22" max="22" width="11" customWidth="1"/>
    <col min="23" max="23" width="14" customWidth="1"/>
    <col min="24" max="24" width="11" customWidth="1"/>
    <col min="25" max="25" width="13" customWidth="1"/>
    <col min="26" max="26" width="12" customWidth="1"/>
    <col min="27" max="27" width="16" customWidth="1"/>
    <col min="28" max="28" width="11" customWidth="1"/>
    <col min="29" max="29" width="16" hidden="1" customWidth="1"/>
    <col min="30" max="30" width="11" hidden="1" customWidth="1"/>
    <col min="31" max="31" width="16" customWidth="1"/>
    <col min="32" max="32" width="11" customWidth="1"/>
    <col min="33" max="33" width="17" customWidth="1"/>
    <col min="34" max="34" width="11" customWidth="1"/>
    <col min="35" max="35" width="17" customWidth="1"/>
    <col min="36" max="36" width="11" customWidth="1"/>
    <col min="37" max="37" width="17" customWidth="1"/>
    <col min="38" max="38" width="11" customWidth="1"/>
    <col min="39" max="39" width="17" customWidth="1"/>
    <col min="40" max="40" width="11" customWidth="1"/>
    <col min="41" max="41" width="17" customWidth="1"/>
    <col min="42" max="42" width="11" customWidth="1"/>
    <col min="43" max="43" width="17" customWidth="1"/>
    <col min="44" max="44" width="11" customWidth="1"/>
    <col min="45" max="45" width="14" customWidth="1"/>
    <col min="46" max="58" width="11" customWidth="1"/>
    <col min="59" max="59" width="14" customWidth="1"/>
    <col min="60" max="63" width="12" customWidth="1"/>
    <col min="64" max="65" width="11" customWidth="1"/>
    <col min="66" max="66" width="12" customWidth="1"/>
    <col min="67" max="67" width="11" customWidth="1"/>
    <col min="68" max="68" width="12" customWidth="1"/>
    <col min="69" max="73" width="13" customWidth="1"/>
    <col min="74" max="74" width="39" customWidth="1"/>
  </cols>
  <sheetData>
    <row r="1" ht="50" customHeight="1" spans="1:74">
      <c r="A1" s="63" t="s">
        <v>246</v>
      </c>
      <c r="B1" s="64" t="s">
        <v>1</v>
      </c>
      <c r="C1" s="64" t="s">
        <v>1</v>
      </c>
      <c r="D1" s="65" t="s">
        <v>2</v>
      </c>
      <c r="E1" s="65" t="s">
        <v>1</v>
      </c>
      <c r="F1" s="65" t="s">
        <v>1</v>
      </c>
      <c r="G1" s="65" t="s">
        <v>1</v>
      </c>
      <c r="H1" s="65" t="s">
        <v>1</v>
      </c>
      <c r="I1" s="65" t="s">
        <v>1</v>
      </c>
      <c r="J1" s="65" t="s">
        <v>1</v>
      </c>
      <c r="K1" s="65" t="s">
        <v>1</v>
      </c>
      <c r="L1" s="65" t="s">
        <v>1</v>
      </c>
      <c r="M1" s="65" t="s">
        <v>1</v>
      </c>
      <c r="N1" s="65" t="s">
        <v>1</v>
      </c>
      <c r="O1" s="65" t="s">
        <v>1</v>
      </c>
      <c r="P1" s="65" t="s">
        <v>1</v>
      </c>
      <c r="Q1" s="65" t="s">
        <v>1</v>
      </c>
      <c r="R1" s="65" t="s">
        <v>1</v>
      </c>
      <c r="S1" s="65" t="s">
        <v>1</v>
      </c>
      <c r="T1" s="65" t="s">
        <v>1</v>
      </c>
      <c r="U1" s="66" t="s">
        <v>3</v>
      </c>
      <c r="V1" s="67" t="s">
        <v>1</v>
      </c>
      <c r="W1" s="67" t="s">
        <v>1</v>
      </c>
      <c r="X1" s="67" t="s">
        <v>1</v>
      </c>
      <c r="Y1" s="67" t="s">
        <v>1</v>
      </c>
      <c r="Z1" s="67" t="s">
        <v>1</v>
      </c>
      <c r="AA1" s="67" t="s">
        <v>1</v>
      </c>
      <c r="AB1" s="67" t="s">
        <v>1</v>
      </c>
      <c r="AC1" s="67" t="s">
        <v>1</v>
      </c>
      <c r="AD1" s="67" t="s">
        <v>1</v>
      </c>
      <c r="AE1" s="67" t="s">
        <v>1</v>
      </c>
      <c r="AF1" s="67" t="s">
        <v>1</v>
      </c>
      <c r="AG1" s="67" t="s">
        <v>1</v>
      </c>
      <c r="AH1" s="67" t="s">
        <v>1</v>
      </c>
      <c r="AI1" s="67" t="s">
        <v>1</v>
      </c>
      <c r="AJ1" s="67" t="s">
        <v>1</v>
      </c>
      <c r="AK1" s="67" t="s">
        <v>1</v>
      </c>
      <c r="AL1" s="67" t="s">
        <v>1</v>
      </c>
      <c r="AM1" s="67" t="s">
        <v>1</v>
      </c>
      <c r="AN1" s="67" t="s">
        <v>1</v>
      </c>
      <c r="AO1" s="67" t="s">
        <v>1</v>
      </c>
      <c r="AP1" s="67" t="s">
        <v>1</v>
      </c>
      <c r="AQ1" s="67" t="s">
        <v>1</v>
      </c>
      <c r="AR1" s="67" t="s">
        <v>1</v>
      </c>
      <c r="AS1" s="68" t="s">
        <v>4</v>
      </c>
      <c r="AT1" s="68" t="s">
        <v>1</v>
      </c>
      <c r="AU1" s="68" t="s">
        <v>1</v>
      </c>
      <c r="AV1" s="68" t="s">
        <v>1</v>
      </c>
      <c r="AW1" s="68" t="s">
        <v>1</v>
      </c>
      <c r="AX1" s="68" t="s">
        <v>1</v>
      </c>
      <c r="AY1" s="68" t="s">
        <v>1</v>
      </c>
      <c r="AZ1" s="68" t="s">
        <v>1</v>
      </c>
      <c r="BA1" s="68" t="s">
        <v>1</v>
      </c>
      <c r="BB1" s="68" t="s">
        <v>1</v>
      </c>
      <c r="BC1" s="68" t="s">
        <v>1</v>
      </c>
      <c r="BD1" s="68" t="s">
        <v>1</v>
      </c>
      <c r="BE1" s="68" t="s">
        <v>1</v>
      </c>
      <c r="BF1" s="68" t="s">
        <v>1</v>
      </c>
      <c r="BG1" s="69" t="s">
        <v>247</v>
      </c>
      <c r="BH1" s="70" t="s">
        <v>6</v>
      </c>
      <c r="BI1" s="70" t="s">
        <v>1</v>
      </c>
      <c r="BJ1" s="70" t="s">
        <v>1</v>
      </c>
      <c r="BK1" s="70" t="s">
        <v>1</v>
      </c>
      <c r="BL1" s="71" t="s">
        <v>7</v>
      </c>
      <c r="BM1" s="71" t="s">
        <v>1</v>
      </c>
      <c r="BN1" s="71" t="s">
        <v>1</v>
      </c>
      <c r="BO1" s="71" t="s">
        <v>1</v>
      </c>
      <c r="BP1" s="71" t="s">
        <v>1</v>
      </c>
      <c r="BQ1" s="71" t="s">
        <v>1</v>
      </c>
      <c r="BR1" s="71" t="s">
        <v>1</v>
      </c>
      <c r="BS1" s="71" t="s">
        <v>1</v>
      </c>
      <c r="BT1" s="71" t="s">
        <v>1</v>
      </c>
      <c r="BU1" s="71" t="s">
        <v>1</v>
      </c>
      <c r="BV1" s="72" t="s">
        <v>8</v>
      </c>
    </row>
    <row r="2" ht="25" customHeight="1" spans="1:74">
      <c r="A2" s="73" t="s">
        <v>9</v>
      </c>
      <c r="B2" s="74" t="s">
        <v>10</v>
      </c>
      <c r="C2" s="75" t="s">
        <v>1</v>
      </c>
      <c r="D2" s="76" t="s">
        <v>11</v>
      </c>
      <c r="E2" s="77" t="s">
        <v>1</v>
      </c>
      <c r="F2" s="77" t="s">
        <v>1</v>
      </c>
      <c r="G2" s="77" t="s">
        <v>1</v>
      </c>
      <c r="H2" s="77" t="s">
        <v>1</v>
      </c>
      <c r="I2" s="77" t="s">
        <v>1</v>
      </c>
      <c r="J2" s="77" t="s">
        <v>1</v>
      </c>
      <c r="K2" s="77" t="s">
        <v>1</v>
      </c>
      <c r="L2" s="76" t="s">
        <v>12</v>
      </c>
      <c r="M2" s="77" t="s">
        <v>1</v>
      </c>
      <c r="N2" s="77" t="s">
        <v>1</v>
      </c>
      <c r="O2" s="77" t="s">
        <v>1</v>
      </c>
      <c r="P2" s="77" t="s">
        <v>1</v>
      </c>
      <c r="Q2" s="77" t="s">
        <v>1</v>
      </c>
      <c r="R2" s="77" t="s">
        <v>1</v>
      </c>
      <c r="S2" s="77" t="s">
        <v>1</v>
      </c>
      <c r="T2" s="78" t="s">
        <v>1</v>
      </c>
      <c r="U2" s="79" t="s">
        <v>13</v>
      </c>
      <c r="V2" s="80" t="s">
        <v>1</v>
      </c>
      <c r="W2" s="81" t="s">
        <v>14</v>
      </c>
      <c r="X2" s="82" t="s">
        <v>1</v>
      </c>
      <c r="Y2" s="81" t="s">
        <v>15</v>
      </c>
      <c r="Z2" s="82" t="s">
        <v>1</v>
      </c>
      <c r="AA2" s="81" t="s">
        <v>16</v>
      </c>
      <c r="AB2" s="82" t="s">
        <v>1</v>
      </c>
      <c r="AC2" s="81" t="s">
        <v>17</v>
      </c>
      <c r="AD2" s="82" t="s">
        <v>1</v>
      </c>
      <c r="AE2" s="81" t="s">
        <v>18</v>
      </c>
      <c r="AF2" s="82" t="s">
        <v>1</v>
      </c>
      <c r="AG2" s="83" t="s">
        <v>19</v>
      </c>
      <c r="AH2" s="84" t="s">
        <v>1</v>
      </c>
      <c r="AI2" s="83" t="s">
        <v>20</v>
      </c>
      <c r="AJ2" s="84" t="s">
        <v>1</v>
      </c>
      <c r="AK2" s="83" t="s">
        <v>21</v>
      </c>
      <c r="AL2" s="84" t="s">
        <v>1</v>
      </c>
      <c r="AM2" s="83" t="s">
        <v>22</v>
      </c>
      <c r="AN2" s="84" t="s">
        <v>1</v>
      </c>
      <c r="AO2" s="85" t="s">
        <v>23</v>
      </c>
      <c r="AP2" s="86" t="s">
        <v>1</v>
      </c>
      <c r="AQ2" s="85" t="s">
        <v>24</v>
      </c>
      <c r="AR2" s="86" t="s">
        <v>1</v>
      </c>
      <c r="AS2" s="68" t="s">
        <v>25</v>
      </c>
      <c r="AT2" s="68" t="s">
        <v>1</v>
      </c>
      <c r="AU2" s="87" t="s">
        <v>248</v>
      </c>
      <c r="AV2" s="87" t="s">
        <v>1</v>
      </c>
      <c r="AW2" s="87" t="s">
        <v>249</v>
      </c>
      <c r="AX2" s="87" t="s">
        <v>1</v>
      </c>
      <c r="AY2" s="88" t="s">
        <v>250</v>
      </c>
      <c r="AZ2" s="88" t="s">
        <v>1</v>
      </c>
      <c r="BA2" s="87" t="s">
        <v>251</v>
      </c>
      <c r="BB2" s="87" t="s">
        <v>1</v>
      </c>
      <c r="BC2" s="89" t="s">
        <v>30</v>
      </c>
      <c r="BD2" s="89" t="s">
        <v>1</v>
      </c>
      <c r="BE2" s="89" t="s">
        <v>31</v>
      </c>
      <c r="BF2" s="89" t="s">
        <v>1</v>
      </c>
      <c r="BG2" s="69" t="s">
        <v>1</v>
      </c>
      <c r="BH2" s="70" t="s">
        <v>252</v>
      </c>
      <c r="BI2" s="70" t="s">
        <v>1</v>
      </c>
      <c r="BJ2" s="70" t="s">
        <v>1</v>
      </c>
      <c r="BK2" s="70" t="s">
        <v>1</v>
      </c>
      <c r="BL2" s="71" t="s">
        <v>34</v>
      </c>
      <c r="BM2" s="71" t="s">
        <v>1</v>
      </c>
      <c r="BN2" s="71" t="s">
        <v>1</v>
      </c>
      <c r="BO2" s="71" t="s">
        <v>1</v>
      </c>
      <c r="BP2" s="90" t="s">
        <v>1</v>
      </c>
      <c r="BQ2" s="71" t="s">
        <v>35</v>
      </c>
      <c r="BR2" s="71" t="s">
        <v>1</v>
      </c>
      <c r="BS2" s="71" t="s">
        <v>1</v>
      </c>
      <c r="BT2" s="71" t="s">
        <v>1</v>
      </c>
      <c r="BU2" s="71" t="s">
        <v>1</v>
      </c>
      <c r="BV2" s="72" t="s">
        <v>1</v>
      </c>
    </row>
    <row r="3" ht="36" customHeight="1" spans="1:74">
      <c r="A3" s="91" t="s">
        <v>1</v>
      </c>
      <c r="B3" s="92" t="s">
        <v>36</v>
      </c>
      <c r="C3" s="92" t="s">
        <v>37</v>
      </c>
      <c r="D3" s="93" t="s">
        <v>38</v>
      </c>
      <c r="E3" s="93" t="s">
        <v>39</v>
      </c>
      <c r="F3" s="93" t="s">
        <v>40</v>
      </c>
      <c r="G3" s="65" t="s">
        <v>41</v>
      </c>
      <c r="H3" s="65" t="s">
        <v>42</v>
      </c>
      <c r="I3" s="65" t="s">
        <v>43</v>
      </c>
      <c r="J3" s="65" t="s">
        <v>44</v>
      </c>
      <c r="K3" s="65" t="s">
        <v>45</v>
      </c>
      <c r="L3" s="65" t="s">
        <v>46</v>
      </c>
      <c r="M3" s="65" t="s">
        <v>42</v>
      </c>
      <c r="N3" s="65" t="s">
        <v>47</v>
      </c>
      <c r="O3" s="65" t="s">
        <v>48</v>
      </c>
      <c r="P3" s="65" t="s">
        <v>42</v>
      </c>
      <c r="Q3" s="65" t="s">
        <v>47</v>
      </c>
      <c r="R3" s="65" t="s">
        <v>179</v>
      </c>
      <c r="S3" s="65" t="s">
        <v>42</v>
      </c>
      <c r="T3" s="65" t="s">
        <v>47</v>
      </c>
      <c r="U3" s="94" t="s">
        <v>36</v>
      </c>
      <c r="V3" s="94" t="s">
        <v>37</v>
      </c>
      <c r="W3" s="95" t="s">
        <v>36</v>
      </c>
      <c r="X3" s="95" t="s">
        <v>37</v>
      </c>
      <c r="Y3" s="95" t="s">
        <v>36</v>
      </c>
      <c r="Z3" s="95" t="s">
        <v>37</v>
      </c>
      <c r="AA3" s="95" t="s">
        <v>36</v>
      </c>
      <c r="AB3" s="95" t="s">
        <v>37</v>
      </c>
      <c r="AC3" s="95" t="s">
        <v>36</v>
      </c>
      <c r="AD3" s="95" t="s">
        <v>37</v>
      </c>
      <c r="AE3" s="95" t="s">
        <v>36</v>
      </c>
      <c r="AF3" s="95" t="s">
        <v>37</v>
      </c>
      <c r="AG3" s="96" t="s">
        <v>36</v>
      </c>
      <c r="AH3" s="96" t="s">
        <v>37</v>
      </c>
      <c r="AI3" s="96" t="s">
        <v>36</v>
      </c>
      <c r="AJ3" s="96" t="s">
        <v>37</v>
      </c>
      <c r="AK3" s="96" t="s">
        <v>36</v>
      </c>
      <c r="AL3" s="96" t="s">
        <v>37</v>
      </c>
      <c r="AM3" s="96" t="s">
        <v>36</v>
      </c>
      <c r="AN3" s="96" t="s">
        <v>37</v>
      </c>
      <c r="AO3" s="97" t="s">
        <v>36</v>
      </c>
      <c r="AP3" s="97" t="s">
        <v>37</v>
      </c>
      <c r="AQ3" s="97" t="s">
        <v>36</v>
      </c>
      <c r="AR3" s="97" t="s">
        <v>37</v>
      </c>
      <c r="AS3" s="68" t="s">
        <v>36</v>
      </c>
      <c r="AT3" s="68" t="s">
        <v>37</v>
      </c>
      <c r="AU3" s="98" t="s">
        <v>36</v>
      </c>
      <c r="AV3" s="98" t="s">
        <v>37</v>
      </c>
      <c r="AW3" s="98" t="s">
        <v>36</v>
      </c>
      <c r="AX3" s="98" t="s">
        <v>37</v>
      </c>
      <c r="AY3" s="68" t="s">
        <v>36</v>
      </c>
      <c r="AZ3" s="68" t="s">
        <v>37</v>
      </c>
      <c r="BA3" s="98" t="s">
        <v>36</v>
      </c>
      <c r="BB3" s="98" t="s">
        <v>37</v>
      </c>
      <c r="BC3" s="99" t="s">
        <v>36</v>
      </c>
      <c r="BD3" s="99" t="s">
        <v>37</v>
      </c>
      <c r="BE3" s="99" t="s">
        <v>36</v>
      </c>
      <c r="BF3" s="99" t="s">
        <v>37</v>
      </c>
      <c r="BG3" s="69" t="s">
        <v>1</v>
      </c>
      <c r="BH3" s="100" t="s">
        <v>49</v>
      </c>
      <c r="BI3" s="100" t="s">
        <v>50</v>
      </c>
      <c r="BJ3" s="100" t="s">
        <v>51</v>
      </c>
      <c r="BK3" s="101" t="s">
        <v>52</v>
      </c>
      <c r="BL3" s="90" t="s">
        <v>53</v>
      </c>
      <c r="BM3" s="90" t="s">
        <v>54</v>
      </c>
      <c r="BN3" s="90" t="s">
        <v>55</v>
      </c>
      <c r="BO3" s="90" t="s">
        <v>56</v>
      </c>
      <c r="BP3" s="90" t="s">
        <v>57</v>
      </c>
      <c r="BQ3" s="90" t="s">
        <v>53</v>
      </c>
      <c r="BR3" s="90" t="s">
        <v>54</v>
      </c>
      <c r="BS3" s="90" t="s">
        <v>55</v>
      </c>
      <c r="BT3" s="90" t="s">
        <v>56</v>
      </c>
      <c r="BU3" s="90" t="s">
        <v>57</v>
      </c>
      <c r="BV3" s="72" t="s">
        <v>1</v>
      </c>
    </row>
    <row r="4" ht="36" customHeight="1" spans="1:74">
      <c r="A4" s="102" t="s">
        <v>63</v>
      </c>
      <c r="B4" s="103" t="s">
        <v>64</v>
      </c>
      <c r="C4" s="103" t="s">
        <v>64</v>
      </c>
      <c r="D4" s="103" t="s">
        <v>65</v>
      </c>
      <c r="E4" s="103" t="s">
        <v>65</v>
      </c>
      <c r="F4" s="103" t="s">
        <v>64</v>
      </c>
      <c r="G4" s="103" t="s">
        <v>65</v>
      </c>
      <c r="H4" s="103" t="s">
        <v>65</v>
      </c>
      <c r="I4" s="103" t="s">
        <v>65</v>
      </c>
      <c r="J4" s="103" t="s">
        <v>65</v>
      </c>
      <c r="K4" s="103" t="s">
        <v>65</v>
      </c>
      <c r="L4" s="103" t="s">
        <v>66</v>
      </c>
      <c r="M4" s="103" t="s">
        <v>66</v>
      </c>
      <c r="N4" s="103" t="s">
        <v>66</v>
      </c>
      <c r="O4" s="103" t="s">
        <v>67</v>
      </c>
      <c r="P4" s="103" t="s">
        <v>67</v>
      </c>
      <c r="Q4" s="103" t="s">
        <v>67</v>
      </c>
      <c r="R4" s="103" t="s">
        <v>68</v>
      </c>
      <c r="S4" s="103" t="s">
        <v>68</v>
      </c>
      <c r="T4" s="103" t="s">
        <v>68</v>
      </c>
      <c r="U4" s="104" t="s">
        <v>64</v>
      </c>
      <c r="V4" s="104" t="s">
        <v>64</v>
      </c>
      <c r="W4" s="104" t="s">
        <v>64</v>
      </c>
      <c r="X4" s="104" t="s">
        <v>64</v>
      </c>
      <c r="Y4" s="104" t="s">
        <v>64</v>
      </c>
      <c r="Z4" s="104" t="s">
        <v>64</v>
      </c>
      <c r="AA4" s="104" t="s">
        <v>64</v>
      </c>
      <c r="AB4" s="104" t="s">
        <v>64</v>
      </c>
      <c r="AC4" s="104" t="s">
        <v>64</v>
      </c>
      <c r="AD4" s="104" t="s">
        <v>64</v>
      </c>
      <c r="AE4" s="104" t="s">
        <v>64</v>
      </c>
      <c r="AF4" s="104" t="s">
        <v>64</v>
      </c>
      <c r="AG4" s="104" t="s">
        <v>64</v>
      </c>
      <c r="AH4" s="104" t="s">
        <v>64</v>
      </c>
      <c r="AI4" s="104" t="s">
        <v>64</v>
      </c>
      <c r="AJ4" s="104" t="s">
        <v>64</v>
      </c>
      <c r="AK4" s="104" t="s">
        <v>64</v>
      </c>
      <c r="AL4" s="104" t="s">
        <v>64</v>
      </c>
      <c r="AM4" s="104" t="s">
        <v>64</v>
      </c>
      <c r="AN4" s="104" t="s">
        <v>64</v>
      </c>
      <c r="AO4" s="104" t="s">
        <v>64</v>
      </c>
      <c r="AP4" s="104" t="s">
        <v>64</v>
      </c>
      <c r="AQ4" s="104" t="s">
        <v>64</v>
      </c>
      <c r="AR4" s="103" t="s">
        <v>64</v>
      </c>
      <c r="AS4" s="103" t="s">
        <v>67</v>
      </c>
      <c r="AT4" s="103" t="s">
        <v>67</v>
      </c>
      <c r="AU4" s="103" t="s">
        <v>67</v>
      </c>
      <c r="AV4" s="103" t="s">
        <v>67</v>
      </c>
      <c r="AW4" s="103" t="s">
        <v>67</v>
      </c>
      <c r="AX4" s="103" t="s">
        <v>67</v>
      </c>
      <c r="AY4" s="103" t="s">
        <v>67</v>
      </c>
      <c r="AZ4" s="103" t="s">
        <v>67</v>
      </c>
      <c r="BA4" s="103" t="s">
        <v>67</v>
      </c>
      <c r="BB4" s="103" t="s">
        <v>67</v>
      </c>
      <c r="BC4" s="103" t="s">
        <v>67</v>
      </c>
      <c r="BD4" s="103" t="s">
        <v>67</v>
      </c>
      <c r="BE4" s="103" t="s">
        <v>67</v>
      </c>
      <c r="BF4" s="103" t="s">
        <v>67</v>
      </c>
      <c r="BG4" s="105" t="s">
        <v>69</v>
      </c>
      <c r="BH4" s="103" t="s">
        <v>64</v>
      </c>
      <c r="BI4" s="103" t="s">
        <v>64</v>
      </c>
      <c r="BJ4" s="103" t="s">
        <v>64</v>
      </c>
      <c r="BK4" s="103" t="s">
        <v>64</v>
      </c>
      <c r="BL4" s="106" t="s">
        <v>64</v>
      </c>
      <c r="BM4" s="103" t="s">
        <v>64</v>
      </c>
      <c r="BN4" s="103" t="s">
        <v>64</v>
      </c>
      <c r="BO4" s="103" t="s">
        <v>64</v>
      </c>
      <c r="BP4" s="103" t="s">
        <v>64</v>
      </c>
      <c r="BQ4" s="103" t="s">
        <v>64</v>
      </c>
      <c r="BR4" s="103" t="s">
        <v>64</v>
      </c>
      <c r="BS4" s="103" t="s">
        <v>64</v>
      </c>
      <c r="BT4" s="103" t="s">
        <v>64</v>
      </c>
      <c r="BU4" s="103" t="s">
        <v>64</v>
      </c>
      <c r="BV4" s="103" t="s">
        <v>64</v>
      </c>
    </row>
    <row r="5" ht="21" customHeight="1" spans="1:74">
      <c r="A5" s="107">
        <v>45108</v>
      </c>
      <c r="B5" s="108" t="s">
        <v>125</v>
      </c>
      <c r="C5" s="108" t="s">
        <v>125</v>
      </c>
      <c r="D5" s="30" t="s">
        <v>1</v>
      </c>
      <c r="E5" s="30" t="s">
        <v>1</v>
      </c>
      <c r="F5" s="109">
        <v>0.8699</v>
      </c>
      <c r="G5" s="92" t="s">
        <v>72</v>
      </c>
      <c r="H5" s="92" t="s">
        <v>72</v>
      </c>
      <c r="I5" s="92" t="s">
        <v>72</v>
      </c>
      <c r="J5" s="92" t="s">
        <v>72</v>
      </c>
      <c r="K5" s="92" t="s">
        <v>1</v>
      </c>
      <c r="L5" s="108">
        <v>0</v>
      </c>
      <c r="M5" s="92" t="s">
        <v>72</v>
      </c>
      <c r="N5" s="110" t="e">
        <f t="shared" ref="N5:N68" si="0">L5/(E5*10000)</f>
        <v>#VALUE!</v>
      </c>
      <c r="O5" s="92" t="s">
        <v>1</v>
      </c>
      <c r="P5" s="92" t="s">
        <v>1</v>
      </c>
      <c r="Q5" s="92" t="s">
        <v>1</v>
      </c>
      <c r="R5" s="109">
        <v>0</v>
      </c>
      <c r="S5" s="92" t="s">
        <v>1</v>
      </c>
      <c r="T5" s="92" t="s">
        <v>1</v>
      </c>
      <c r="U5" s="92" t="s">
        <v>1</v>
      </c>
      <c r="V5" s="7" t="s">
        <v>72</v>
      </c>
      <c r="W5" s="92" t="s">
        <v>1</v>
      </c>
      <c r="X5" s="7" t="s">
        <v>72</v>
      </c>
      <c r="Y5" s="92" t="s">
        <v>1</v>
      </c>
      <c r="Z5" s="7" t="s">
        <v>72</v>
      </c>
      <c r="AA5" s="92" t="s">
        <v>1</v>
      </c>
      <c r="AB5" s="7" t="s">
        <v>72</v>
      </c>
      <c r="AC5" s="7">
        <v>1</v>
      </c>
      <c r="AD5" s="7" t="s">
        <v>72</v>
      </c>
      <c r="AE5" s="92" t="s">
        <v>1</v>
      </c>
      <c r="AF5" s="7" t="s">
        <v>72</v>
      </c>
      <c r="AG5" s="7">
        <v>340</v>
      </c>
      <c r="AH5" s="7" t="s">
        <v>72</v>
      </c>
      <c r="AI5" s="7">
        <v>177</v>
      </c>
      <c r="AJ5" s="7" t="s">
        <v>72</v>
      </c>
      <c r="AK5" s="7">
        <v>12</v>
      </c>
      <c r="AL5" s="7" t="s">
        <v>72</v>
      </c>
      <c r="AM5" s="7">
        <v>252</v>
      </c>
      <c r="AN5" s="7" t="s">
        <v>72</v>
      </c>
      <c r="AO5" s="7">
        <v>134</v>
      </c>
      <c r="AP5" s="7" t="s">
        <v>72</v>
      </c>
      <c r="AQ5" s="7">
        <v>29</v>
      </c>
      <c r="AR5" s="7" t="s">
        <v>72</v>
      </c>
      <c r="AS5" s="92" t="s">
        <v>1</v>
      </c>
      <c r="AT5" s="7" t="s">
        <v>72</v>
      </c>
      <c r="AU5" s="92" t="s">
        <v>1</v>
      </c>
      <c r="AV5" s="7" t="s">
        <v>72</v>
      </c>
      <c r="AW5" s="92" t="s">
        <v>1</v>
      </c>
      <c r="AX5" s="7" t="s">
        <v>72</v>
      </c>
      <c r="AY5" s="92" t="s">
        <v>1</v>
      </c>
      <c r="AZ5" s="7" t="s">
        <v>72</v>
      </c>
      <c r="BA5" s="92" t="s">
        <v>1</v>
      </c>
      <c r="BB5" s="7" t="s">
        <v>72</v>
      </c>
      <c r="BC5" s="92" t="s">
        <v>1</v>
      </c>
      <c r="BD5" s="92" t="s">
        <v>1</v>
      </c>
      <c r="BE5" s="92" t="s">
        <v>1</v>
      </c>
      <c r="BF5" s="92" t="s">
        <v>1</v>
      </c>
      <c r="BG5" s="111" t="s">
        <v>1</v>
      </c>
      <c r="BH5" s="112" t="s">
        <v>94</v>
      </c>
      <c r="BI5" s="113">
        <v>47</v>
      </c>
      <c r="BJ5" s="108">
        <v>149</v>
      </c>
      <c r="BK5" s="7" t="s">
        <v>72</v>
      </c>
      <c r="BL5" s="108" t="s">
        <v>1</v>
      </c>
      <c r="BM5" s="108" t="s">
        <v>1</v>
      </c>
      <c r="BN5" s="108" t="s">
        <v>1</v>
      </c>
      <c r="BO5" s="108" t="s">
        <v>1</v>
      </c>
      <c r="BP5" s="108" t="s">
        <v>1</v>
      </c>
      <c r="BQ5" s="108" t="s">
        <v>1</v>
      </c>
      <c r="BR5" s="108" t="s">
        <v>1</v>
      </c>
      <c r="BS5" s="108" t="s">
        <v>1</v>
      </c>
      <c r="BT5" s="108" t="s">
        <v>1</v>
      </c>
      <c r="BU5" s="108" t="s">
        <v>1</v>
      </c>
      <c r="BV5" s="108" t="s">
        <v>71</v>
      </c>
    </row>
    <row r="6" ht="21" customHeight="1" spans="1:74">
      <c r="A6" s="107">
        <v>45109</v>
      </c>
      <c r="B6" s="108" t="s">
        <v>125</v>
      </c>
      <c r="C6" s="108" t="s">
        <v>125</v>
      </c>
      <c r="D6" s="30" t="s">
        <v>1</v>
      </c>
      <c r="E6" s="30" t="s">
        <v>1</v>
      </c>
      <c r="F6" s="109">
        <v>0</v>
      </c>
      <c r="G6" s="92" t="s">
        <v>72</v>
      </c>
      <c r="H6" s="92" t="s">
        <v>72</v>
      </c>
      <c r="I6" s="92" t="s">
        <v>72</v>
      </c>
      <c r="J6" s="92" t="s">
        <v>72</v>
      </c>
      <c r="K6" s="92" t="s">
        <v>1</v>
      </c>
      <c r="L6" s="108">
        <v>100</v>
      </c>
      <c r="M6" s="92" t="s">
        <v>72</v>
      </c>
      <c r="N6" s="110" t="e">
        <f t="shared" si="0"/>
        <v>#VALUE!</v>
      </c>
      <c r="O6" s="92" t="s">
        <v>1</v>
      </c>
      <c r="P6" s="92" t="s">
        <v>1</v>
      </c>
      <c r="Q6" s="92" t="s">
        <v>1</v>
      </c>
      <c r="R6" s="109">
        <v>0</v>
      </c>
      <c r="S6" s="92" t="s">
        <v>1</v>
      </c>
      <c r="T6" s="92" t="s">
        <v>1</v>
      </c>
      <c r="U6" s="92" t="s">
        <v>1</v>
      </c>
      <c r="V6" s="7" t="s">
        <v>72</v>
      </c>
      <c r="W6" s="92" t="s">
        <v>1</v>
      </c>
      <c r="X6" s="7" t="s">
        <v>72</v>
      </c>
      <c r="Y6" s="92" t="s">
        <v>1</v>
      </c>
      <c r="Z6" s="7" t="s">
        <v>72</v>
      </c>
      <c r="AA6" s="92" t="s">
        <v>1</v>
      </c>
      <c r="AB6" s="7" t="s">
        <v>72</v>
      </c>
      <c r="AC6" s="7">
        <v>1</v>
      </c>
      <c r="AD6" s="7" t="s">
        <v>72</v>
      </c>
      <c r="AE6" s="92" t="s">
        <v>1</v>
      </c>
      <c r="AF6" s="7" t="s">
        <v>72</v>
      </c>
      <c r="AG6" s="7">
        <v>348</v>
      </c>
      <c r="AH6" s="7" t="s">
        <v>72</v>
      </c>
      <c r="AI6" s="7">
        <v>188</v>
      </c>
      <c r="AJ6" s="7" t="s">
        <v>72</v>
      </c>
      <c r="AK6" s="7">
        <v>10</v>
      </c>
      <c r="AL6" s="7" t="s">
        <v>72</v>
      </c>
      <c r="AM6" s="7">
        <v>303</v>
      </c>
      <c r="AN6" s="7" t="s">
        <v>72</v>
      </c>
      <c r="AO6" s="7">
        <v>127</v>
      </c>
      <c r="AP6" s="7" t="s">
        <v>72</v>
      </c>
      <c r="AQ6" s="7">
        <v>27</v>
      </c>
      <c r="AR6" s="7" t="s">
        <v>72</v>
      </c>
      <c r="AS6" s="92" t="s">
        <v>1</v>
      </c>
      <c r="AT6" s="7" t="s">
        <v>72</v>
      </c>
      <c r="AU6" s="92" t="s">
        <v>1</v>
      </c>
      <c r="AV6" s="7" t="s">
        <v>72</v>
      </c>
      <c r="AW6" s="92" t="s">
        <v>1</v>
      </c>
      <c r="AX6" s="7" t="s">
        <v>72</v>
      </c>
      <c r="AY6" s="92" t="s">
        <v>1</v>
      </c>
      <c r="AZ6" s="7" t="s">
        <v>72</v>
      </c>
      <c r="BA6" s="92" t="s">
        <v>1</v>
      </c>
      <c r="BB6" s="7" t="s">
        <v>72</v>
      </c>
      <c r="BC6" s="92" t="s">
        <v>1</v>
      </c>
      <c r="BD6" s="92" t="s">
        <v>1</v>
      </c>
      <c r="BE6" s="92" t="s">
        <v>1</v>
      </c>
      <c r="BF6" s="92" t="s">
        <v>1</v>
      </c>
      <c r="BG6" s="108" t="s">
        <v>1</v>
      </c>
      <c r="BH6" s="112" t="s">
        <v>73</v>
      </c>
      <c r="BI6" s="113">
        <v>60</v>
      </c>
      <c r="BJ6" s="108">
        <v>127</v>
      </c>
      <c r="BK6" s="7" t="s">
        <v>72</v>
      </c>
      <c r="BL6" s="108" t="s">
        <v>1</v>
      </c>
      <c r="BM6" s="108" t="s">
        <v>1</v>
      </c>
      <c r="BN6" s="108" t="s">
        <v>1</v>
      </c>
      <c r="BO6" s="108" t="s">
        <v>1</v>
      </c>
      <c r="BP6" s="108" t="s">
        <v>1</v>
      </c>
      <c r="BQ6" s="108" t="s">
        <v>1</v>
      </c>
      <c r="BR6" s="108" t="s">
        <v>1</v>
      </c>
      <c r="BS6" s="108" t="s">
        <v>1</v>
      </c>
      <c r="BT6" s="108" t="s">
        <v>1</v>
      </c>
      <c r="BU6" s="108" t="s">
        <v>1</v>
      </c>
      <c r="BV6" s="108" t="s">
        <v>71</v>
      </c>
    </row>
    <row r="7" ht="21" customHeight="1" spans="1:74">
      <c r="A7" s="107">
        <v>45110</v>
      </c>
      <c r="B7" s="108" t="s">
        <v>75</v>
      </c>
      <c r="C7" s="108" t="s">
        <v>125</v>
      </c>
      <c r="D7" s="30" t="s">
        <v>1</v>
      </c>
      <c r="E7" s="30" t="s">
        <v>1</v>
      </c>
      <c r="F7" s="109">
        <v>0</v>
      </c>
      <c r="G7" s="92" t="s">
        <v>72</v>
      </c>
      <c r="H7" s="92" t="s">
        <v>72</v>
      </c>
      <c r="I7" s="92" t="s">
        <v>72</v>
      </c>
      <c r="J7" s="92" t="s">
        <v>72</v>
      </c>
      <c r="K7" s="92" t="s">
        <v>1</v>
      </c>
      <c r="L7" s="108">
        <v>0</v>
      </c>
      <c r="M7" s="92" t="s">
        <v>72</v>
      </c>
      <c r="N7" s="110" t="e">
        <f t="shared" si="0"/>
        <v>#VALUE!</v>
      </c>
      <c r="O7" s="92" t="s">
        <v>1</v>
      </c>
      <c r="P7" s="92" t="s">
        <v>1</v>
      </c>
      <c r="Q7" s="92" t="s">
        <v>1</v>
      </c>
      <c r="R7" s="109">
        <v>0</v>
      </c>
      <c r="S7" s="92" t="s">
        <v>1</v>
      </c>
      <c r="T7" s="92" t="s">
        <v>1</v>
      </c>
      <c r="U7" s="92" t="s">
        <v>1</v>
      </c>
      <c r="V7" s="7" t="s">
        <v>72</v>
      </c>
      <c r="W7" s="92" t="s">
        <v>1</v>
      </c>
      <c r="X7" s="7" t="s">
        <v>72</v>
      </c>
      <c r="Y7" s="92" t="s">
        <v>1</v>
      </c>
      <c r="Z7" s="7" t="s">
        <v>72</v>
      </c>
      <c r="AA7" s="92" t="s">
        <v>1</v>
      </c>
      <c r="AB7" s="7" t="s">
        <v>72</v>
      </c>
      <c r="AC7" s="7">
        <v>4</v>
      </c>
      <c r="AD7" s="7" t="s">
        <v>72</v>
      </c>
      <c r="AE7" s="92" t="s">
        <v>1</v>
      </c>
      <c r="AF7" s="7" t="s">
        <v>72</v>
      </c>
      <c r="AG7" s="7">
        <v>272</v>
      </c>
      <c r="AH7" s="7" t="s">
        <v>72</v>
      </c>
      <c r="AI7" s="7">
        <v>168</v>
      </c>
      <c r="AJ7" s="7" t="s">
        <v>72</v>
      </c>
      <c r="AK7" s="7">
        <v>2</v>
      </c>
      <c r="AL7" s="7" t="s">
        <v>72</v>
      </c>
      <c r="AM7" s="7">
        <v>261</v>
      </c>
      <c r="AN7" s="7" t="s">
        <v>72</v>
      </c>
      <c r="AO7" s="7">
        <v>103</v>
      </c>
      <c r="AP7" s="7" t="s">
        <v>72</v>
      </c>
      <c r="AQ7" s="7">
        <v>17</v>
      </c>
      <c r="AR7" s="7" t="s">
        <v>72</v>
      </c>
      <c r="AS7" s="92" t="s">
        <v>1</v>
      </c>
      <c r="AT7" s="7" t="s">
        <v>72</v>
      </c>
      <c r="AU7" s="92" t="s">
        <v>1</v>
      </c>
      <c r="AV7" s="7" t="s">
        <v>72</v>
      </c>
      <c r="AW7" s="92" t="s">
        <v>1</v>
      </c>
      <c r="AX7" s="7" t="s">
        <v>72</v>
      </c>
      <c r="AY7" s="92" t="s">
        <v>1</v>
      </c>
      <c r="AZ7" s="7" t="s">
        <v>72</v>
      </c>
      <c r="BA7" s="92" t="s">
        <v>1</v>
      </c>
      <c r="BB7" s="7" t="s">
        <v>72</v>
      </c>
      <c r="BC7" s="92" t="s">
        <v>1</v>
      </c>
      <c r="BD7" s="92" t="s">
        <v>1</v>
      </c>
      <c r="BE7" s="92" t="s">
        <v>1</v>
      </c>
      <c r="BF7" s="92" t="s">
        <v>1</v>
      </c>
      <c r="BG7" s="111">
        <v>58</v>
      </c>
      <c r="BH7" s="112" t="s">
        <v>73</v>
      </c>
      <c r="BI7" s="113">
        <v>71</v>
      </c>
      <c r="BJ7" s="108">
        <v>94</v>
      </c>
      <c r="BK7" s="7" t="s">
        <v>72</v>
      </c>
      <c r="BL7" s="108" t="s">
        <v>1</v>
      </c>
      <c r="BM7" s="108" t="s">
        <v>1</v>
      </c>
      <c r="BN7" s="108" t="s">
        <v>1</v>
      </c>
      <c r="BO7" s="108" t="s">
        <v>1</v>
      </c>
      <c r="BP7" s="108" t="s">
        <v>1</v>
      </c>
      <c r="BQ7" s="108" t="s">
        <v>1</v>
      </c>
      <c r="BR7" s="108" t="s">
        <v>1</v>
      </c>
      <c r="BS7" s="108" t="s">
        <v>1</v>
      </c>
      <c r="BT7" s="108" t="s">
        <v>1</v>
      </c>
      <c r="BU7" s="108" t="s">
        <v>1</v>
      </c>
      <c r="BV7" s="108" t="s">
        <v>71</v>
      </c>
    </row>
    <row r="8" ht="21" customHeight="1" spans="1:74">
      <c r="A8" s="107">
        <v>45111</v>
      </c>
      <c r="B8" s="108" t="s">
        <v>253</v>
      </c>
      <c r="C8" s="108" t="s">
        <v>125</v>
      </c>
      <c r="D8" s="30" t="s">
        <v>1</v>
      </c>
      <c r="E8" s="30" t="s">
        <v>1</v>
      </c>
      <c r="F8" s="109">
        <v>0</v>
      </c>
      <c r="G8" s="92" t="s">
        <v>72</v>
      </c>
      <c r="H8" s="92" t="s">
        <v>72</v>
      </c>
      <c r="I8" s="92" t="s">
        <v>72</v>
      </c>
      <c r="J8" s="92" t="s">
        <v>72</v>
      </c>
      <c r="K8" s="92" t="s">
        <v>1</v>
      </c>
      <c r="L8" s="108">
        <v>0</v>
      </c>
      <c r="M8" s="92" t="s">
        <v>72</v>
      </c>
      <c r="N8" s="110" t="e">
        <f t="shared" si="0"/>
        <v>#VALUE!</v>
      </c>
      <c r="O8" s="92" t="s">
        <v>1</v>
      </c>
      <c r="P8" s="92" t="s">
        <v>1</v>
      </c>
      <c r="Q8" s="92" t="s">
        <v>1</v>
      </c>
      <c r="R8" s="109">
        <v>0</v>
      </c>
      <c r="S8" s="92" t="s">
        <v>1</v>
      </c>
      <c r="T8" s="92" t="s">
        <v>1</v>
      </c>
      <c r="U8" s="92" t="s">
        <v>1</v>
      </c>
      <c r="V8" s="7" t="s">
        <v>72</v>
      </c>
      <c r="W8" s="92" t="s">
        <v>1</v>
      </c>
      <c r="X8" s="7" t="s">
        <v>72</v>
      </c>
      <c r="Y8" s="92" t="s">
        <v>1</v>
      </c>
      <c r="Z8" s="7" t="s">
        <v>72</v>
      </c>
      <c r="AA8" s="92" t="s">
        <v>1</v>
      </c>
      <c r="AB8" s="7" t="s">
        <v>72</v>
      </c>
      <c r="AC8" s="7">
        <v>1</v>
      </c>
      <c r="AD8" s="7" t="s">
        <v>72</v>
      </c>
      <c r="AE8" s="92" t="s">
        <v>1</v>
      </c>
      <c r="AF8" s="7" t="s">
        <v>72</v>
      </c>
      <c r="AG8" s="7">
        <v>343</v>
      </c>
      <c r="AH8" s="7" t="s">
        <v>72</v>
      </c>
      <c r="AI8" s="7">
        <v>166</v>
      </c>
      <c r="AJ8" s="7" t="s">
        <v>72</v>
      </c>
      <c r="AK8" s="7">
        <v>1</v>
      </c>
      <c r="AL8" s="7" t="s">
        <v>72</v>
      </c>
      <c r="AM8" s="7">
        <v>343</v>
      </c>
      <c r="AN8" s="7" t="s">
        <v>72</v>
      </c>
      <c r="AO8" s="7">
        <v>137</v>
      </c>
      <c r="AP8" s="7" t="s">
        <v>72</v>
      </c>
      <c r="AQ8" s="7">
        <v>31</v>
      </c>
      <c r="AR8" s="7" t="s">
        <v>72</v>
      </c>
      <c r="AS8" s="92" t="s">
        <v>1</v>
      </c>
      <c r="AT8" s="7" t="s">
        <v>72</v>
      </c>
      <c r="AU8" s="92" t="s">
        <v>1</v>
      </c>
      <c r="AV8" s="7" t="s">
        <v>72</v>
      </c>
      <c r="AW8" s="92" t="s">
        <v>1</v>
      </c>
      <c r="AX8" s="7" t="s">
        <v>72</v>
      </c>
      <c r="AY8" s="92" t="s">
        <v>1</v>
      </c>
      <c r="AZ8" s="7" t="s">
        <v>72</v>
      </c>
      <c r="BA8" s="92" t="s">
        <v>1</v>
      </c>
      <c r="BB8" s="7" t="s">
        <v>72</v>
      </c>
      <c r="BC8" s="92" t="s">
        <v>1</v>
      </c>
      <c r="BD8" s="92" t="s">
        <v>1</v>
      </c>
      <c r="BE8" s="92" t="s">
        <v>1</v>
      </c>
      <c r="BF8" s="92" t="s">
        <v>1</v>
      </c>
      <c r="BG8" s="111">
        <v>57</v>
      </c>
      <c r="BH8" s="112" t="s">
        <v>73</v>
      </c>
      <c r="BI8" s="113">
        <v>57</v>
      </c>
      <c r="BJ8" s="108">
        <v>114</v>
      </c>
      <c r="BK8" s="7" t="s">
        <v>72</v>
      </c>
      <c r="BL8" s="108" t="s">
        <v>1</v>
      </c>
      <c r="BM8" s="108" t="s">
        <v>1</v>
      </c>
      <c r="BN8" s="108" t="s">
        <v>1</v>
      </c>
      <c r="BO8" s="108" t="s">
        <v>1</v>
      </c>
      <c r="BP8" s="108" t="s">
        <v>1</v>
      </c>
      <c r="BQ8" s="108" t="s">
        <v>1</v>
      </c>
      <c r="BR8" s="108" t="s">
        <v>1</v>
      </c>
      <c r="BS8" s="108" t="s">
        <v>1</v>
      </c>
      <c r="BT8" s="108" t="s">
        <v>1</v>
      </c>
      <c r="BU8" s="108" t="s">
        <v>1</v>
      </c>
      <c r="BV8" s="108" t="s">
        <v>71</v>
      </c>
    </row>
    <row r="9" ht="21" customHeight="1" spans="1:74">
      <c r="A9" s="107">
        <v>45112</v>
      </c>
      <c r="B9" s="108" t="s">
        <v>1</v>
      </c>
      <c r="C9" s="108" t="s">
        <v>125</v>
      </c>
      <c r="D9" s="30" t="s">
        <v>1</v>
      </c>
      <c r="E9" s="30" t="s">
        <v>1</v>
      </c>
      <c r="F9" s="109">
        <v>2.9897</v>
      </c>
      <c r="G9" s="92" t="s">
        <v>72</v>
      </c>
      <c r="H9" s="92" t="s">
        <v>72</v>
      </c>
      <c r="I9" s="92" t="s">
        <v>72</v>
      </c>
      <c r="J9" s="92" t="s">
        <v>72</v>
      </c>
      <c r="K9" s="92" t="s">
        <v>1</v>
      </c>
      <c r="L9" s="108">
        <v>0</v>
      </c>
      <c r="M9" s="92" t="s">
        <v>72</v>
      </c>
      <c r="N9" s="110" t="e">
        <f t="shared" si="0"/>
        <v>#VALUE!</v>
      </c>
      <c r="O9" s="92" t="s">
        <v>1</v>
      </c>
      <c r="P9" s="92" t="s">
        <v>1</v>
      </c>
      <c r="Q9" s="92" t="s">
        <v>1</v>
      </c>
      <c r="R9" s="109">
        <v>0</v>
      </c>
      <c r="S9" s="92" t="s">
        <v>1</v>
      </c>
      <c r="T9" s="92" t="s">
        <v>1</v>
      </c>
      <c r="U9" s="92" t="s">
        <v>1</v>
      </c>
      <c r="V9" s="7" t="s">
        <v>72</v>
      </c>
      <c r="W9" s="92" t="s">
        <v>1</v>
      </c>
      <c r="X9" s="7" t="s">
        <v>72</v>
      </c>
      <c r="Y9" s="92" t="s">
        <v>1</v>
      </c>
      <c r="Z9" s="7" t="s">
        <v>72</v>
      </c>
      <c r="AA9" s="92" t="s">
        <v>1</v>
      </c>
      <c r="AB9" s="7" t="s">
        <v>72</v>
      </c>
      <c r="AC9" s="7">
        <v>1</v>
      </c>
      <c r="AD9" s="7" t="s">
        <v>72</v>
      </c>
      <c r="AE9" s="92" t="s">
        <v>1</v>
      </c>
      <c r="AF9" s="7" t="s">
        <v>72</v>
      </c>
      <c r="AG9" s="7">
        <v>342</v>
      </c>
      <c r="AH9" s="7" t="s">
        <v>72</v>
      </c>
      <c r="AI9" s="7">
        <v>177</v>
      </c>
      <c r="AJ9" s="7" t="s">
        <v>72</v>
      </c>
      <c r="AK9" s="7">
        <v>12</v>
      </c>
      <c r="AL9" s="7" t="s">
        <v>72</v>
      </c>
      <c r="AM9" s="7">
        <v>325</v>
      </c>
      <c r="AN9" s="7" t="s">
        <v>72</v>
      </c>
      <c r="AO9" s="7">
        <v>128</v>
      </c>
      <c r="AP9" s="7" t="s">
        <v>72</v>
      </c>
      <c r="AQ9" s="7">
        <v>20</v>
      </c>
      <c r="AR9" s="7" t="s">
        <v>72</v>
      </c>
      <c r="AS9" s="92" t="s">
        <v>1</v>
      </c>
      <c r="AT9" s="7" t="s">
        <v>72</v>
      </c>
      <c r="AU9" s="92" t="s">
        <v>1</v>
      </c>
      <c r="AV9" s="7" t="s">
        <v>72</v>
      </c>
      <c r="AW9" s="92" t="s">
        <v>1</v>
      </c>
      <c r="AX9" s="7" t="s">
        <v>72</v>
      </c>
      <c r="AY9" s="92" t="s">
        <v>1</v>
      </c>
      <c r="AZ9" s="7" t="s">
        <v>72</v>
      </c>
      <c r="BA9" s="92" t="s">
        <v>1</v>
      </c>
      <c r="BB9" s="7" t="s">
        <v>72</v>
      </c>
      <c r="BC9" s="92" t="s">
        <v>1</v>
      </c>
      <c r="BD9" s="92" t="s">
        <v>1</v>
      </c>
      <c r="BE9" s="92" t="s">
        <v>1</v>
      </c>
      <c r="BF9" s="92" t="s">
        <v>1</v>
      </c>
      <c r="BG9" s="111">
        <v>57</v>
      </c>
      <c r="BH9" s="112" t="s">
        <v>73</v>
      </c>
      <c r="BI9" s="113">
        <v>57</v>
      </c>
      <c r="BJ9" s="108">
        <v>100</v>
      </c>
      <c r="BK9" s="7" t="s">
        <v>72</v>
      </c>
      <c r="BL9" s="108" t="s">
        <v>1</v>
      </c>
      <c r="BM9" s="108" t="s">
        <v>1</v>
      </c>
      <c r="BN9" s="108" t="s">
        <v>1</v>
      </c>
      <c r="BO9" s="108" t="s">
        <v>1</v>
      </c>
      <c r="BP9" s="108" t="s">
        <v>1</v>
      </c>
      <c r="BQ9" s="108" t="s">
        <v>1</v>
      </c>
      <c r="BR9" s="108" t="s">
        <v>1</v>
      </c>
      <c r="BS9" s="108" t="s">
        <v>1</v>
      </c>
      <c r="BT9" s="108" t="s">
        <v>1</v>
      </c>
      <c r="BU9" s="108" t="s">
        <v>1</v>
      </c>
      <c r="BV9" s="108" t="s">
        <v>71</v>
      </c>
    </row>
    <row r="10" ht="21" customHeight="1" spans="1:74">
      <c r="A10" s="107">
        <v>45113</v>
      </c>
      <c r="B10" s="108" t="s">
        <v>1</v>
      </c>
      <c r="C10" s="108" t="s">
        <v>125</v>
      </c>
      <c r="D10" s="30" t="s">
        <v>1</v>
      </c>
      <c r="E10" s="30" t="s">
        <v>1</v>
      </c>
      <c r="F10" s="109">
        <v>0</v>
      </c>
      <c r="G10" s="92" t="s">
        <v>72</v>
      </c>
      <c r="H10" s="92" t="s">
        <v>72</v>
      </c>
      <c r="I10" s="92" t="s">
        <v>72</v>
      </c>
      <c r="J10" s="92" t="s">
        <v>72</v>
      </c>
      <c r="K10" s="92" t="s">
        <v>1</v>
      </c>
      <c r="L10" s="108">
        <v>0</v>
      </c>
      <c r="M10" s="92" t="s">
        <v>72</v>
      </c>
      <c r="N10" s="110" t="e">
        <f t="shared" si="0"/>
        <v>#VALUE!</v>
      </c>
      <c r="O10" s="92" t="s">
        <v>1</v>
      </c>
      <c r="P10" s="92" t="s">
        <v>1</v>
      </c>
      <c r="Q10" s="92" t="s">
        <v>1</v>
      </c>
      <c r="R10" s="109">
        <v>0</v>
      </c>
      <c r="S10" s="92" t="s">
        <v>1</v>
      </c>
      <c r="T10" s="92" t="s">
        <v>1</v>
      </c>
      <c r="U10" s="92" t="s">
        <v>1</v>
      </c>
      <c r="V10" s="7" t="s">
        <v>72</v>
      </c>
      <c r="W10" s="92" t="s">
        <v>1</v>
      </c>
      <c r="X10" s="7" t="s">
        <v>72</v>
      </c>
      <c r="Y10" s="92" t="s">
        <v>1</v>
      </c>
      <c r="Z10" s="7" t="s">
        <v>72</v>
      </c>
      <c r="AA10" s="92" t="s">
        <v>1</v>
      </c>
      <c r="AB10" s="7" t="s">
        <v>72</v>
      </c>
      <c r="AC10" s="7">
        <v>2</v>
      </c>
      <c r="AD10" s="7" t="s">
        <v>72</v>
      </c>
      <c r="AE10" s="92" t="s">
        <v>1</v>
      </c>
      <c r="AF10" s="7" t="s">
        <v>72</v>
      </c>
      <c r="AG10" s="7">
        <v>345</v>
      </c>
      <c r="AH10" s="7" t="s">
        <v>72</v>
      </c>
      <c r="AI10" s="7">
        <v>186</v>
      </c>
      <c r="AJ10" s="7" t="s">
        <v>72</v>
      </c>
      <c r="AK10" s="7">
        <v>6</v>
      </c>
      <c r="AL10" s="7" t="s">
        <v>72</v>
      </c>
      <c r="AM10" s="7">
        <v>290</v>
      </c>
      <c r="AN10" s="7" t="s">
        <v>72</v>
      </c>
      <c r="AO10" s="7">
        <v>144</v>
      </c>
      <c r="AP10" s="7" t="s">
        <v>72</v>
      </c>
      <c r="AQ10" s="7">
        <v>22</v>
      </c>
      <c r="AR10" s="7" t="s">
        <v>72</v>
      </c>
      <c r="AS10" s="92" t="s">
        <v>1</v>
      </c>
      <c r="AT10" s="7" t="s">
        <v>72</v>
      </c>
      <c r="AU10" s="92" t="s">
        <v>1</v>
      </c>
      <c r="AV10" s="7" t="s">
        <v>72</v>
      </c>
      <c r="AW10" s="92" t="s">
        <v>1</v>
      </c>
      <c r="AX10" s="7" t="s">
        <v>72</v>
      </c>
      <c r="AY10" s="92" t="s">
        <v>1</v>
      </c>
      <c r="AZ10" s="7" t="s">
        <v>72</v>
      </c>
      <c r="BA10" s="92" t="s">
        <v>1</v>
      </c>
      <c r="BB10" s="7" t="s">
        <v>72</v>
      </c>
      <c r="BC10" s="92" t="s">
        <v>1</v>
      </c>
      <c r="BD10" s="92" t="s">
        <v>1</v>
      </c>
      <c r="BE10" s="92" t="s">
        <v>1</v>
      </c>
      <c r="BF10" s="92" t="s">
        <v>1</v>
      </c>
      <c r="BG10" s="111">
        <v>52</v>
      </c>
      <c r="BH10" s="112" t="s">
        <v>94</v>
      </c>
      <c r="BI10" s="113">
        <v>45</v>
      </c>
      <c r="BJ10" s="108">
        <v>145</v>
      </c>
      <c r="BK10" s="7" t="s">
        <v>72</v>
      </c>
      <c r="BL10" s="108" t="s">
        <v>1</v>
      </c>
      <c r="BM10" s="108" t="s">
        <v>1</v>
      </c>
      <c r="BN10" s="108" t="s">
        <v>1</v>
      </c>
      <c r="BO10" s="108" t="s">
        <v>1</v>
      </c>
      <c r="BP10" s="108" t="s">
        <v>1</v>
      </c>
      <c r="BQ10" s="108" t="s">
        <v>1</v>
      </c>
      <c r="BR10" s="108" t="s">
        <v>1</v>
      </c>
      <c r="BS10" s="108" t="s">
        <v>1</v>
      </c>
      <c r="BT10" s="108" t="s">
        <v>1</v>
      </c>
      <c r="BU10" s="108" t="s">
        <v>1</v>
      </c>
      <c r="BV10" s="108" t="s">
        <v>71</v>
      </c>
    </row>
    <row r="11" ht="21" customHeight="1" spans="1:74">
      <c r="A11" s="107">
        <v>45114</v>
      </c>
      <c r="B11" s="108" t="s">
        <v>125</v>
      </c>
      <c r="C11" s="108" t="s">
        <v>125</v>
      </c>
      <c r="D11" s="30" t="s">
        <v>1</v>
      </c>
      <c r="E11" s="30" t="s">
        <v>1</v>
      </c>
      <c r="F11" s="109">
        <v>0.8699</v>
      </c>
      <c r="G11" s="92" t="s">
        <v>72</v>
      </c>
      <c r="H11" s="92" t="s">
        <v>72</v>
      </c>
      <c r="I11" s="92" t="s">
        <v>72</v>
      </c>
      <c r="J11" s="92" t="s">
        <v>72</v>
      </c>
      <c r="K11" s="92" t="s">
        <v>1</v>
      </c>
      <c r="L11" s="108">
        <v>0</v>
      </c>
      <c r="M11" s="92" t="s">
        <v>72</v>
      </c>
      <c r="N11" s="110" t="e">
        <f t="shared" si="0"/>
        <v>#VALUE!</v>
      </c>
      <c r="O11" s="92" t="s">
        <v>1</v>
      </c>
      <c r="P11" s="92" t="s">
        <v>1</v>
      </c>
      <c r="Q11" s="92" t="s">
        <v>1</v>
      </c>
      <c r="R11" s="109">
        <v>0</v>
      </c>
      <c r="S11" s="92" t="s">
        <v>1</v>
      </c>
      <c r="T11" s="92" t="s">
        <v>1</v>
      </c>
      <c r="U11" s="92" t="s">
        <v>1</v>
      </c>
      <c r="V11" s="7" t="s">
        <v>72</v>
      </c>
      <c r="W11" s="92" t="s">
        <v>1</v>
      </c>
      <c r="X11" s="7" t="s">
        <v>72</v>
      </c>
      <c r="Y11" s="92" t="s">
        <v>1</v>
      </c>
      <c r="Z11" s="7" t="s">
        <v>72</v>
      </c>
      <c r="AA11" s="92" t="s">
        <v>1</v>
      </c>
      <c r="AB11" s="7" t="s">
        <v>72</v>
      </c>
      <c r="AC11" s="7">
        <v>1</v>
      </c>
      <c r="AD11" s="7" t="s">
        <v>72</v>
      </c>
      <c r="AE11" s="92" t="s">
        <v>1</v>
      </c>
      <c r="AF11" s="7" t="s">
        <v>72</v>
      </c>
      <c r="AG11" s="7">
        <v>365</v>
      </c>
      <c r="AH11" s="7" t="s">
        <v>72</v>
      </c>
      <c r="AI11" s="7">
        <v>188</v>
      </c>
      <c r="AJ11" s="7" t="s">
        <v>72</v>
      </c>
      <c r="AK11" s="7">
        <v>6</v>
      </c>
      <c r="AL11" s="7" t="s">
        <v>72</v>
      </c>
      <c r="AM11" s="7">
        <v>303</v>
      </c>
      <c r="AN11" s="7" t="s">
        <v>72</v>
      </c>
      <c r="AO11" s="7">
        <v>144</v>
      </c>
      <c r="AP11" s="7" t="s">
        <v>72</v>
      </c>
      <c r="AQ11" s="7">
        <v>27</v>
      </c>
      <c r="AR11" s="7" t="s">
        <v>72</v>
      </c>
      <c r="AS11" s="92" t="s">
        <v>1</v>
      </c>
      <c r="AT11" s="7" t="s">
        <v>72</v>
      </c>
      <c r="AU11" s="92" t="s">
        <v>1</v>
      </c>
      <c r="AV11" s="7" t="s">
        <v>72</v>
      </c>
      <c r="AW11" s="92" t="s">
        <v>1</v>
      </c>
      <c r="AX11" s="7" t="s">
        <v>72</v>
      </c>
      <c r="AY11" s="92" t="s">
        <v>1</v>
      </c>
      <c r="AZ11" s="7" t="s">
        <v>72</v>
      </c>
      <c r="BA11" s="92" t="s">
        <v>1</v>
      </c>
      <c r="BB11" s="7" t="s">
        <v>72</v>
      </c>
      <c r="BC11" s="92" t="s">
        <v>1</v>
      </c>
      <c r="BD11" s="92" t="s">
        <v>1</v>
      </c>
      <c r="BE11" s="92" t="s">
        <v>1</v>
      </c>
      <c r="BF11" s="92" t="s">
        <v>1</v>
      </c>
      <c r="BG11" s="114">
        <v>54</v>
      </c>
      <c r="BH11" s="112" t="s">
        <v>94</v>
      </c>
      <c r="BI11" s="113">
        <v>50</v>
      </c>
      <c r="BJ11" s="108">
        <v>135</v>
      </c>
      <c r="BK11" s="7" t="s">
        <v>72</v>
      </c>
      <c r="BL11" s="108" t="s">
        <v>1</v>
      </c>
      <c r="BM11" s="108" t="s">
        <v>1</v>
      </c>
      <c r="BN11" s="108" t="s">
        <v>1</v>
      </c>
      <c r="BO11" s="108" t="s">
        <v>1</v>
      </c>
      <c r="BP11" s="108" t="s">
        <v>1</v>
      </c>
      <c r="BQ11" s="108" t="s">
        <v>1</v>
      </c>
      <c r="BR11" s="108" t="s">
        <v>1</v>
      </c>
      <c r="BS11" s="108" t="s">
        <v>1</v>
      </c>
      <c r="BT11" s="108" t="s">
        <v>1</v>
      </c>
      <c r="BU11" s="108" t="s">
        <v>1</v>
      </c>
      <c r="BV11" s="108" t="s">
        <v>71</v>
      </c>
    </row>
    <row r="12" ht="21" customHeight="1" spans="1:74">
      <c r="A12" s="107">
        <v>45115</v>
      </c>
      <c r="B12" s="108" t="s">
        <v>125</v>
      </c>
      <c r="C12" s="108" t="s">
        <v>125</v>
      </c>
      <c r="D12" s="30" t="s">
        <v>1</v>
      </c>
      <c r="E12" s="30" t="s">
        <v>1</v>
      </c>
      <c r="F12" s="109">
        <v>0.8699</v>
      </c>
      <c r="G12" s="92" t="s">
        <v>72</v>
      </c>
      <c r="H12" s="92" t="s">
        <v>72</v>
      </c>
      <c r="I12" s="92" t="s">
        <v>72</v>
      </c>
      <c r="J12" s="92" t="s">
        <v>72</v>
      </c>
      <c r="K12" s="92" t="s">
        <v>1</v>
      </c>
      <c r="L12" s="108">
        <v>0</v>
      </c>
      <c r="M12" s="92" t="s">
        <v>72</v>
      </c>
      <c r="N12" s="110" t="e">
        <f t="shared" si="0"/>
        <v>#VALUE!</v>
      </c>
      <c r="O12" s="92" t="s">
        <v>1</v>
      </c>
      <c r="P12" s="92" t="s">
        <v>1</v>
      </c>
      <c r="Q12" s="92" t="s">
        <v>1</v>
      </c>
      <c r="R12" s="109">
        <v>0</v>
      </c>
      <c r="S12" s="92" t="s">
        <v>1</v>
      </c>
      <c r="T12" s="92" t="s">
        <v>1</v>
      </c>
      <c r="U12" s="92" t="s">
        <v>1</v>
      </c>
      <c r="V12" s="7" t="s">
        <v>72</v>
      </c>
      <c r="W12" s="92" t="s">
        <v>1</v>
      </c>
      <c r="X12" s="7" t="s">
        <v>72</v>
      </c>
      <c r="Y12" s="92" t="s">
        <v>1</v>
      </c>
      <c r="Z12" s="7" t="s">
        <v>72</v>
      </c>
      <c r="AA12" s="92" t="s">
        <v>1</v>
      </c>
      <c r="AB12" s="7" t="s">
        <v>72</v>
      </c>
      <c r="AC12" s="7">
        <v>6</v>
      </c>
      <c r="AD12" s="7" t="s">
        <v>72</v>
      </c>
      <c r="AE12" s="92" t="s">
        <v>1</v>
      </c>
      <c r="AF12" s="7" t="s">
        <v>72</v>
      </c>
      <c r="AG12" s="7">
        <v>396</v>
      </c>
      <c r="AH12" s="7" t="s">
        <v>72</v>
      </c>
      <c r="AI12" s="7">
        <v>213</v>
      </c>
      <c r="AJ12" s="7" t="s">
        <v>72</v>
      </c>
      <c r="AK12" s="7">
        <v>2</v>
      </c>
      <c r="AL12" s="7" t="s">
        <v>72</v>
      </c>
      <c r="AM12" s="7">
        <v>255</v>
      </c>
      <c r="AN12" s="7" t="s">
        <v>72</v>
      </c>
      <c r="AO12" s="7">
        <v>193</v>
      </c>
      <c r="AP12" s="7" t="s">
        <v>72</v>
      </c>
      <c r="AQ12" s="7">
        <v>32</v>
      </c>
      <c r="AR12" s="7" t="s">
        <v>72</v>
      </c>
      <c r="AS12" s="92" t="s">
        <v>1</v>
      </c>
      <c r="AT12" s="7" t="s">
        <v>72</v>
      </c>
      <c r="AU12" s="92" t="s">
        <v>1</v>
      </c>
      <c r="AV12" s="7" t="s">
        <v>72</v>
      </c>
      <c r="AW12" s="92" t="s">
        <v>1</v>
      </c>
      <c r="AX12" s="7" t="s">
        <v>72</v>
      </c>
      <c r="AY12" s="92" t="s">
        <v>1</v>
      </c>
      <c r="AZ12" s="7" t="s">
        <v>72</v>
      </c>
      <c r="BA12" s="92" t="s">
        <v>1</v>
      </c>
      <c r="BB12" s="7" t="s">
        <v>72</v>
      </c>
      <c r="BC12" s="92" t="s">
        <v>1</v>
      </c>
      <c r="BD12" s="92" t="s">
        <v>1</v>
      </c>
      <c r="BE12" s="92" t="s">
        <v>1</v>
      </c>
      <c r="BF12" s="74" t="s">
        <v>1</v>
      </c>
      <c r="BG12" s="7" t="s">
        <v>1</v>
      </c>
      <c r="BH12" s="115" t="s">
        <v>94</v>
      </c>
      <c r="BI12" s="113">
        <v>35</v>
      </c>
      <c r="BJ12" s="108">
        <v>191</v>
      </c>
      <c r="BK12" s="7" t="s">
        <v>72</v>
      </c>
      <c r="BL12" s="108" t="s">
        <v>1</v>
      </c>
      <c r="BM12" s="108" t="s">
        <v>1</v>
      </c>
      <c r="BN12" s="108" t="s">
        <v>1</v>
      </c>
      <c r="BO12" s="108" t="s">
        <v>1</v>
      </c>
      <c r="BP12" s="108" t="s">
        <v>1</v>
      </c>
      <c r="BQ12" s="108" t="s">
        <v>1</v>
      </c>
      <c r="BR12" s="108" t="s">
        <v>1</v>
      </c>
      <c r="BS12" s="108" t="s">
        <v>1</v>
      </c>
      <c r="BT12" s="108" t="s">
        <v>1</v>
      </c>
      <c r="BU12" s="108" t="s">
        <v>1</v>
      </c>
      <c r="BV12" s="108" t="s">
        <v>71</v>
      </c>
    </row>
    <row r="13" ht="21" customHeight="1" spans="1:74">
      <c r="A13" s="107">
        <v>45116</v>
      </c>
      <c r="B13" s="108" t="s">
        <v>125</v>
      </c>
      <c r="C13" s="108" t="s">
        <v>125</v>
      </c>
      <c r="D13" s="30" t="s">
        <v>1</v>
      </c>
      <c r="E13" s="30" t="s">
        <v>1</v>
      </c>
      <c r="F13" s="109">
        <v>1.7398</v>
      </c>
      <c r="G13" s="92" t="s">
        <v>72</v>
      </c>
      <c r="H13" s="92" t="s">
        <v>72</v>
      </c>
      <c r="I13" s="92" t="s">
        <v>72</v>
      </c>
      <c r="J13" s="92" t="s">
        <v>72</v>
      </c>
      <c r="K13" s="92" t="s">
        <v>1</v>
      </c>
      <c r="L13" s="116">
        <v>8699</v>
      </c>
      <c r="M13" s="92" t="s">
        <v>72</v>
      </c>
      <c r="N13" s="110" t="e">
        <f t="shared" si="0"/>
        <v>#VALUE!</v>
      </c>
      <c r="O13" s="92" t="s">
        <v>1</v>
      </c>
      <c r="P13" s="92" t="s">
        <v>1</v>
      </c>
      <c r="Q13" s="92" t="s">
        <v>1</v>
      </c>
      <c r="R13" s="109">
        <v>0</v>
      </c>
      <c r="S13" s="92" t="s">
        <v>1</v>
      </c>
      <c r="T13" s="92" t="s">
        <v>1</v>
      </c>
      <c r="U13" s="92" t="s">
        <v>1</v>
      </c>
      <c r="V13" s="7" t="s">
        <v>72</v>
      </c>
      <c r="W13" s="92" t="s">
        <v>1</v>
      </c>
      <c r="X13" s="7" t="s">
        <v>72</v>
      </c>
      <c r="Y13" s="92" t="s">
        <v>1</v>
      </c>
      <c r="Z13" s="7" t="s">
        <v>72</v>
      </c>
      <c r="AA13" s="92" t="s">
        <v>1</v>
      </c>
      <c r="AB13" s="7" t="s">
        <v>72</v>
      </c>
      <c r="AC13" s="7">
        <v>2</v>
      </c>
      <c r="AD13" s="7" t="s">
        <v>72</v>
      </c>
      <c r="AE13" s="92" t="s">
        <v>1</v>
      </c>
      <c r="AF13" s="7" t="s">
        <v>72</v>
      </c>
      <c r="AG13" s="7">
        <v>472</v>
      </c>
      <c r="AH13" s="7" t="s">
        <v>72</v>
      </c>
      <c r="AI13" s="7">
        <v>229</v>
      </c>
      <c r="AJ13" s="7" t="s">
        <v>72</v>
      </c>
      <c r="AK13" s="7">
        <v>2</v>
      </c>
      <c r="AL13" s="7" t="s">
        <v>72</v>
      </c>
      <c r="AM13" s="7">
        <v>347</v>
      </c>
      <c r="AN13" s="7" t="s">
        <v>72</v>
      </c>
      <c r="AO13" s="7">
        <v>224</v>
      </c>
      <c r="AP13" s="7" t="s">
        <v>72</v>
      </c>
      <c r="AQ13" s="7">
        <v>38</v>
      </c>
      <c r="AR13" s="7" t="s">
        <v>72</v>
      </c>
      <c r="AS13" s="92" t="s">
        <v>1</v>
      </c>
      <c r="AT13" s="7" t="s">
        <v>72</v>
      </c>
      <c r="AU13" s="92" t="s">
        <v>1</v>
      </c>
      <c r="AV13" s="7" t="s">
        <v>72</v>
      </c>
      <c r="AW13" s="92" t="s">
        <v>1</v>
      </c>
      <c r="AX13" s="7" t="s">
        <v>72</v>
      </c>
      <c r="AY13" s="92" t="s">
        <v>1</v>
      </c>
      <c r="AZ13" s="7" t="s">
        <v>72</v>
      </c>
      <c r="BA13" s="92" t="s">
        <v>1</v>
      </c>
      <c r="BB13" s="7" t="s">
        <v>72</v>
      </c>
      <c r="BC13" s="92" t="s">
        <v>1</v>
      </c>
      <c r="BD13" s="92" t="s">
        <v>1</v>
      </c>
      <c r="BE13" s="92" t="s">
        <v>1</v>
      </c>
      <c r="BF13" s="74" t="s">
        <v>1</v>
      </c>
      <c r="BG13" s="117" t="s">
        <v>1</v>
      </c>
      <c r="BH13" s="115" t="s">
        <v>94</v>
      </c>
      <c r="BI13" s="113">
        <v>28</v>
      </c>
      <c r="BJ13" s="108">
        <v>280</v>
      </c>
      <c r="BK13" s="7" t="s">
        <v>72</v>
      </c>
      <c r="BL13" s="108" t="s">
        <v>1</v>
      </c>
      <c r="BM13" s="108" t="s">
        <v>1</v>
      </c>
      <c r="BN13" s="108" t="s">
        <v>1</v>
      </c>
      <c r="BO13" s="108" t="s">
        <v>1</v>
      </c>
      <c r="BP13" s="108" t="s">
        <v>1</v>
      </c>
      <c r="BQ13" s="108" t="s">
        <v>1</v>
      </c>
      <c r="BR13" s="108" t="s">
        <v>1</v>
      </c>
      <c r="BS13" s="108" t="s">
        <v>1</v>
      </c>
      <c r="BT13" s="108" t="s">
        <v>1</v>
      </c>
      <c r="BU13" s="108" t="s">
        <v>1</v>
      </c>
      <c r="BV13" s="108" t="s">
        <v>71</v>
      </c>
    </row>
    <row r="14" ht="21" customHeight="1" spans="1:74">
      <c r="A14" s="107">
        <v>45117</v>
      </c>
      <c r="B14" s="108" t="s">
        <v>75</v>
      </c>
      <c r="C14" s="108" t="s">
        <v>75</v>
      </c>
      <c r="D14" s="30" t="s">
        <v>1</v>
      </c>
      <c r="E14" s="30" t="s">
        <v>1</v>
      </c>
      <c r="F14" s="109">
        <v>0</v>
      </c>
      <c r="G14" s="92" t="s">
        <v>72</v>
      </c>
      <c r="H14" s="92" t="s">
        <v>72</v>
      </c>
      <c r="I14" s="92" t="s">
        <v>72</v>
      </c>
      <c r="J14" s="92" t="s">
        <v>72</v>
      </c>
      <c r="K14" s="92" t="s">
        <v>1</v>
      </c>
      <c r="L14" s="108">
        <v>0</v>
      </c>
      <c r="M14" s="92" t="s">
        <v>72</v>
      </c>
      <c r="N14" s="110" t="e">
        <f t="shared" si="0"/>
        <v>#VALUE!</v>
      </c>
      <c r="O14" s="92" t="s">
        <v>1</v>
      </c>
      <c r="P14" s="92" t="s">
        <v>1</v>
      </c>
      <c r="Q14" s="92" t="s">
        <v>1</v>
      </c>
      <c r="R14" s="109">
        <v>0</v>
      </c>
      <c r="S14" s="92" t="s">
        <v>1</v>
      </c>
      <c r="T14" s="92" t="s">
        <v>1</v>
      </c>
      <c r="U14" s="92" t="s">
        <v>1</v>
      </c>
      <c r="V14" s="7" t="s">
        <v>72</v>
      </c>
      <c r="W14" s="92" t="s">
        <v>1</v>
      </c>
      <c r="X14" s="7" t="s">
        <v>72</v>
      </c>
      <c r="Y14" s="92" t="s">
        <v>1</v>
      </c>
      <c r="Z14" s="7" t="s">
        <v>72</v>
      </c>
      <c r="AA14" s="92" t="s">
        <v>1</v>
      </c>
      <c r="AB14" s="7" t="s">
        <v>72</v>
      </c>
      <c r="AC14" s="7">
        <v>2</v>
      </c>
      <c r="AD14" s="7" t="s">
        <v>72</v>
      </c>
      <c r="AE14" s="92" t="s">
        <v>1</v>
      </c>
      <c r="AF14" s="7" t="s">
        <v>72</v>
      </c>
      <c r="AG14" s="7">
        <v>373</v>
      </c>
      <c r="AH14" s="7" t="s">
        <v>72</v>
      </c>
      <c r="AI14" s="7">
        <v>228</v>
      </c>
      <c r="AJ14" s="7" t="s">
        <v>72</v>
      </c>
      <c r="AK14" s="7">
        <v>4</v>
      </c>
      <c r="AL14" s="7" t="s">
        <v>72</v>
      </c>
      <c r="AM14" s="7">
        <v>373</v>
      </c>
      <c r="AN14" s="7" t="s">
        <v>72</v>
      </c>
      <c r="AO14" s="7">
        <v>134</v>
      </c>
      <c r="AP14" s="7" t="s">
        <v>72</v>
      </c>
      <c r="AQ14" s="7">
        <v>38</v>
      </c>
      <c r="AR14" s="7" t="s">
        <v>72</v>
      </c>
      <c r="AS14" s="92" t="s">
        <v>1</v>
      </c>
      <c r="AT14" s="7" t="s">
        <v>72</v>
      </c>
      <c r="AU14" s="92" t="s">
        <v>1</v>
      </c>
      <c r="AV14" s="7" t="s">
        <v>72</v>
      </c>
      <c r="AW14" s="92" t="s">
        <v>1</v>
      </c>
      <c r="AX14" s="7" t="s">
        <v>72</v>
      </c>
      <c r="AY14" s="92" t="s">
        <v>1</v>
      </c>
      <c r="AZ14" s="7" t="s">
        <v>72</v>
      </c>
      <c r="BA14" s="92" t="s">
        <v>1</v>
      </c>
      <c r="BB14" s="7" t="s">
        <v>72</v>
      </c>
      <c r="BC14" s="92" t="s">
        <v>1</v>
      </c>
      <c r="BD14" s="92" t="s">
        <v>1</v>
      </c>
      <c r="BE14" s="92" t="s">
        <v>1</v>
      </c>
      <c r="BF14" s="74" t="s">
        <v>1</v>
      </c>
      <c r="BG14" s="118">
        <v>49</v>
      </c>
      <c r="BH14" s="115" t="s">
        <v>73</v>
      </c>
      <c r="BI14" s="113">
        <v>62</v>
      </c>
      <c r="BJ14" s="108">
        <v>108</v>
      </c>
      <c r="BK14" s="7" t="s">
        <v>72</v>
      </c>
      <c r="BL14" s="108" t="s">
        <v>1</v>
      </c>
      <c r="BM14" s="108" t="s">
        <v>1</v>
      </c>
      <c r="BN14" s="108" t="s">
        <v>1</v>
      </c>
      <c r="BO14" s="108" t="s">
        <v>1</v>
      </c>
      <c r="BP14" s="108" t="s">
        <v>1</v>
      </c>
      <c r="BQ14" s="4" t="s">
        <v>254</v>
      </c>
      <c r="BR14" s="4" t="s">
        <v>255</v>
      </c>
      <c r="BS14" s="4" t="s">
        <v>256</v>
      </c>
      <c r="BT14" s="4" t="s">
        <v>257</v>
      </c>
      <c r="BU14" s="4" t="s">
        <v>258</v>
      </c>
      <c r="BV14" s="108" t="s">
        <v>71</v>
      </c>
    </row>
    <row r="15" ht="21" customHeight="1" spans="1:74">
      <c r="A15" s="107">
        <v>45118</v>
      </c>
      <c r="B15" s="108" t="s">
        <v>253</v>
      </c>
      <c r="C15" s="108" t="s">
        <v>1</v>
      </c>
      <c r="D15" s="30" t="s">
        <v>1</v>
      </c>
      <c r="E15" s="30" t="s">
        <v>1</v>
      </c>
      <c r="F15" s="109">
        <v>3.4796</v>
      </c>
      <c r="G15" s="92" t="s">
        <v>72</v>
      </c>
      <c r="H15" s="92" t="s">
        <v>72</v>
      </c>
      <c r="I15" s="92" t="s">
        <v>72</v>
      </c>
      <c r="J15" s="92" t="s">
        <v>72</v>
      </c>
      <c r="K15" s="92" t="s">
        <v>1</v>
      </c>
      <c r="L15" s="116">
        <v>8699</v>
      </c>
      <c r="M15" s="92" t="s">
        <v>72</v>
      </c>
      <c r="N15" s="110" t="e">
        <f t="shared" si="0"/>
        <v>#VALUE!</v>
      </c>
      <c r="O15" s="92" t="s">
        <v>1</v>
      </c>
      <c r="P15" s="92" t="s">
        <v>1</v>
      </c>
      <c r="Q15" s="92" t="s">
        <v>1</v>
      </c>
      <c r="R15" s="109">
        <v>0</v>
      </c>
      <c r="S15" s="92" t="s">
        <v>1</v>
      </c>
      <c r="T15" s="92" t="s">
        <v>1</v>
      </c>
      <c r="U15" s="92" t="s">
        <v>1</v>
      </c>
      <c r="V15" s="7" t="s">
        <v>72</v>
      </c>
      <c r="W15" s="92" t="s">
        <v>1</v>
      </c>
      <c r="X15" s="7" t="s">
        <v>72</v>
      </c>
      <c r="Y15" s="92" t="s">
        <v>1</v>
      </c>
      <c r="Z15" s="7" t="s">
        <v>72</v>
      </c>
      <c r="AA15" s="92" t="s">
        <v>1</v>
      </c>
      <c r="AB15" s="7" t="s">
        <v>72</v>
      </c>
      <c r="AC15" s="7">
        <v>1</v>
      </c>
      <c r="AD15" s="7" t="s">
        <v>72</v>
      </c>
      <c r="AE15" s="92" t="s">
        <v>1</v>
      </c>
      <c r="AF15" s="7" t="s">
        <v>72</v>
      </c>
      <c r="AG15" s="7">
        <v>355</v>
      </c>
      <c r="AH15" s="7" t="s">
        <v>72</v>
      </c>
      <c r="AI15" s="7">
        <v>215</v>
      </c>
      <c r="AJ15" s="7" t="s">
        <v>72</v>
      </c>
      <c r="AK15" s="7">
        <v>7</v>
      </c>
      <c r="AL15" s="7" t="s">
        <v>72</v>
      </c>
      <c r="AM15" s="7">
        <v>448</v>
      </c>
      <c r="AN15" s="7" t="s">
        <v>72</v>
      </c>
      <c r="AO15" s="7">
        <v>126</v>
      </c>
      <c r="AP15" s="7" t="s">
        <v>72</v>
      </c>
      <c r="AQ15" s="7">
        <v>37</v>
      </c>
      <c r="AR15" s="7" t="s">
        <v>72</v>
      </c>
      <c r="AS15" s="92" t="s">
        <v>1</v>
      </c>
      <c r="AT15" s="7" t="s">
        <v>72</v>
      </c>
      <c r="AU15" s="92" t="s">
        <v>1</v>
      </c>
      <c r="AV15" s="7" t="s">
        <v>72</v>
      </c>
      <c r="AW15" s="92" t="s">
        <v>1</v>
      </c>
      <c r="AX15" s="7" t="s">
        <v>72</v>
      </c>
      <c r="AY15" s="92" t="s">
        <v>1</v>
      </c>
      <c r="AZ15" s="7" t="s">
        <v>72</v>
      </c>
      <c r="BA15" s="92" t="s">
        <v>1</v>
      </c>
      <c r="BB15" s="7" t="s">
        <v>72</v>
      </c>
      <c r="BC15" s="92" t="s">
        <v>1</v>
      </c>
      <c r="BD15" s="92" t="s">
        <v>1</v>
      </c>
      <c r="BE15" s="92" t="s">
        <v>1</v>
      </c>
      <c r="BF15" s="74" t="s">
        <v>1</v>
      </c>
      <c r="BG15" s="117" t="s">
        <v>1</v>
      </c>
      <c r="BH15" s="115" t="s">
        <v>73</v>
      </c>
      <c r="BI15" s="113">
        <v>69</v>
      </c>
      <c r="BJ15" s="108">
        <v>103</v>
      </c>
      <c r="BK15" s="7" t="s">
        <v>72</v>
      </c>
      <c r="BL15" s="108" t="s">
        <v>1</v>
      </c>
      <c r="BM15" s="108" t="s">
        <v>1</v>
      </c>
      <c r="BN15" s="108" t="s">
        <v>1</v>
      </c>
      <c r="BO15" s="108" t="s">
        <v>1</v>
      </c>
      <c r="BP15" s="108" t="s">
        <v>1</v>
      </c>
      <c r="BQ15" s="4" t="s">
        <v>259</v>
      </c>
      <c r="BR15" s="4" t="s">
        <v>254</v>
      </c>
      <c r="BS15" s="4" t="s">
        <v>260</v>
      </c>
      <c r="BT15" s="4" t="s">
        <v>261</v>
      </c>
      <c r="BU15" s="4" t="s">
        <v>257</v>
      </c>
      <c r="BV15" s="108" t="s">
        <v>71</v>
      </c>
    </row>
    <row r="16" ht="21" customHeight="1" spans="1:74">
      <c r="A16" s="107">
        <v>45119</v>
      </c>
      <c r="B16" s="108" t="s">
        <v>1</v>
      </c>
      <c r="C16" s="108" t="s">
        <v>253</v>
      </c>
      <c r="D16" s="30" t="s">
        <v>1</v>
      </c>
      <c r="E16" s="30" t="s">
        <v>1</v>
      </c>
      <c r="F16" s="109">
        <v>0</v>
      </c>
      <c r="G16" s="92" t="s">
        <v>72</v>
      </c>
      <c r="H16" s="92" t="s">
        <v>72</v>
      </c>
      <c r="I16" s="92" t="s">
        <v>72</v>
      </c>
      <c r="J16" s="92" t="s">
        <v>72</v>
      </c>
      <c r="K16" s="92" t="s">
        <v>1</v>
      </c>
      <c r="L16" s="108">
        <v>0</v>
      </c>
      <c r="M16" s="92" t="s">
        <v>72</v>
      </c>
      <c r="N16" s="110" t="e">
        <f t="shared" si="0"/>
        <v>#VALUE!</v>
      </c>
      <c r="O16" s="92" t="s">
        <v>1</v>
      </c>
      <c r="P16" s="92" t="s">
        <v>1</v>
      </c>
      <c r="Q16" s="92" t="s">
        <v>1</v>
      </c>
      <c r="R16" s="109">
        <v>0</v>
      </c>
      <c r="S16" s="92" t="s">
        <v>1</v>
      </c>
      <c r="T16" s="92" t="s">
        <v>1</v>
      </c>
      <c r="U16" s="92" t="s">
        <v>1</v>
      </c>
      <c r="V16" s="7" t="s">
        <v>72</v>
      </c>
      <c r="W16" s="92" t="s">
        <v>1</v>
      </c>
      <c r="X16" s="7" t="s">
        <v>72</v>
      </c>
      <c r="Y16" s="92" t="s">
        <v>1</v>
      </c>
      <c r="Z16" s="7" t="s">
        <v>72</v>
      </c>
      <c r="AA16" s="92" t="s">
        <v>1</v>
      </c>
      <c r="AB16" s="7" t="s">
        <v>72</v>
      </c>
      <c r="AC16" s="7">
        <v>1</v>
      </c>
      <c r="AD16" s="7" t="s">
        <v>72</v>
      </c>
      <c r="AE16" s="92" t="s">
        <v>1</v>
      </c>
      <c r="AF16" s="7" t="s">
        <v>72</v>
      </c>
      <c r="AG16" s="7">
        <v>376</v>
      </c>
      <c r="AH16" s="7" t="s">
        <v>72</v>
      </c>
      <c r="AI16" s="7">
        <v>233</v>
      </c>
      <c r="AJ16" s="7" t="s">
        <v>72</v>
      </c>
      <c r="AK16" s="7">
        <v>4</v>
      </c>
      <c r="AL16" s="7" t="s">
        <v>72</v>
      </c>
      <c r="AM16" s="7">
        <v>322</v>
      </c>
      <c r="AN16" s="7" t="s">
        <v>72</v>
      </c>
      <c r="AO16" s="7">
        <v>177</v>
      </c>
      <c r="AP16" s="7" t="s">
        <v>72</v>
      </c>
      <c r="AQ16" s="7">
        <v>30</v>
      </c>
      <c r="AR16" s="7" t="s">
        <v>72</v>
      </c>
      <c r="AS16" s="92" t="s">
        <v>1</v>
      </c>
      <c r="AT16" s="7" t="s">
        <v>72</v>
      </c>
      <c r="AU16" s="92" t="s">
        <v>1</v>
      </c>
      <c r="AV16" s="7" t="s">
        <v>72</v>
      </c>
      <c r="AW16" s="92" t="s">
        <v>1</v>
      </c>
      <c r="AX16" s="7" t="s">
        <v>72</v>
      </c>
      <c r="AY16" s="92" t="s">
        <v>1</v>
      </c>
      <c r="AZ16" s="7" t="s">
        <v>72</v>
      </c>
      <c r="BA16" s="92" t="s">
        <v>1</v>
      </c>
      <c r="BB16" s="7" t="s">
        <v>72</v>
      </c>
      <c r="BC16" s="92" t="s">
        <v>1</v>
      </c>
      <c r="BD16" s="92" t="s">
        <v>1</v>
      </c>
      <c r="BE16" s="92" t="s">
        <v>1</v>
      </c>
      <c r="BF16" s="74" t="s">
        <v>1</v>
      </c>
      <c r="BG16" s="118">
        <v>45</v>
      </c>
      <c r="BH16" s="115" t="s">
        <v>73</v>
      </c>
      <c r="BI16" s="113">
        <v>51</v>
      </c>
      <c r="BJ16" s="108">
        <v>152</v>
      </c>
      <c r="BK16" s="7" t="s">
        <v>72</v>
      </c>
      <c r="BL16" s="108" t="s">
        <v>1</v>
      </c>
      <c r="BM16" s="108" t="s">
        <v>1</v>
      </c>
      <c r="BN16" s="108" t="s">
        <v>1</v>
      </c>
      <c r="BO16" s="108" t="s">
        <v>1</v>
      </c>
      <c r="BP16" s="108" t="s">
        <v>1</v>
      </c>
      <c r="BQ16" s="4" t="s">
        <v>254</v>
      </c>
      <c r="BR16" s="4" t="s">
        <v>259</v>
      </c>
      <c r="BS16" s="4" t="s">
        <v>262</v>
      </c>
      <c r="BT16" s="4" t="s">
        <v>261</v>
      </c>
      <c r="BU16" s="4" t="s">
        <v>263</v>
      </c>
      <c r="BV16" s="108" t="s">
        <v>71</v>
      </c>
    </row>
    <row r="17" ht="21" customHeight="1" spans="1:74">
      <c r="A17" s="107">
        <v>45120</v>
      </c>
      <c r="B17" s="108" t="s">
        <v>1</v>
      </c>
      <c r="C17" s="108" t="s">
        <v>1</v>
      </c>
      <c r="D17" s="30" t="s">
        <v>1</v>
      </c>
      <c r="E17" s="30" t="s">
        <v>1</v>
      </c>
      <c r="F17" s="109">
        <v>1.7398</v>
      </c>
      <c r="G17" s="92" t="s">
        <v>72</v>
      </c>
      <c r="H17" s="92" t="s">
        <v>72</v>
      </c>
      <c r="I17" s="92" t="s">
        <v>72</v>
      </c>
      <c r="J17" s="92" t="s">
        <v>72</v>
      </c>
      <c r="K17" s="92" t="s">
        <v>1</v>
      </c>
      <c r="L17" s="116">
        <v>7899</v>
      </c>
      <c r="M17" s="92" t="s">
        <v>72</v>
      </c>
      <c r="N17" s="110" t="e">
        <f t="shared" si="0"/>
        <v>#VALUE!</v>
      </c>
      <c r="O17" s="92" t="s">
        <v>1</v>
      </c>
      <c r="P17" s="92" t="s">
        <v>1</v>
      </c>
      <c r="Q17" s="92" t="s">
        <v>1</v>
      </c>
      <c r="R17" s="109">
        <v>0</v>
      </c>
      <c r="S17" s="92" t="s">
        <v>1</v>
      </c>
      <c r="T17" s="92" t="s">
        <v>1</v>
      </c>
      <c r="U17" s="92" t="s">
        <v>1</v>
      </c>
      <c r="V17" s="7" t="s">
        <v>72</v>
      </c>
      <c r="W17" s="92" t="s">
        <v>1</v>
      </c>
      <c r="X17" s="7" t="s">
        <v>72</v>
      </c>
      <c r="Y17" s="92" t="s">
        <v>1</v>
      </c>
      <c r="Z17" s="7" t="s">
        <v>72</v>
      </c>
      <c r="AA17" s="92" t="s">
        <v>1</v>
      </c>
      <c r="AB17" s="7" t="s">
        <v>72</v>
      </c>
      <c r="AC17" s="7">
        <v>4</v>
      </c>
      <c r="AD17" s="7" t="s">
        <v>72</v>
      </c>
      <c r="AE17" s="92" t="s">
        <v>1</v>
      </c>
      <c r="AF17" s="7" t="s">
        <v>72</v>
      </c>
      <c r="AG17" s="7">
        <v>379</v>
      </c>
      <c r="AH17" s="7" t="s">
        <v>72</v>
      </c>
      <c r="AI17" s="7">
        <v>193</v>
      </c>
      <c r="AJ17" s="7" t="s">
        <v>72</v>
      </c>
      <c r="AK17" s="7">
        <v>23</v>
      </c>
      <c r="AL17" s="7" t="s">
        <v>72</v>
      </c>
      <c r="AM17" s="7">
        <v>293</v>
      </c>
      <c r="AN17" s="7" t="s">
        <v>72</v>
      </c>
      <c r="AO17" s="7">
        <v>163</v>
      </c>
      <c r="AP17" s="7" t="s">
        <v>72</v>
      </c>
      <c r="AQ17" s="7">
        <v>28</v>
      </c>
      <c r="AR17" s="7" t="s">
        <v>72</v>
      </c>
      <c r="AS17" s="92" t="s">
        <v>1</v>
      </c>
      <c r="AT17" s="7" t="s">
        <v>72</v>
      </c>
      <c r="AU17" s="92" t="s">
        <v>1</v>
      </c>
      <c r="AV17" s="7" t="s">
        <v>72</v>
      </c>
      <c r="AW17" s="92" t="s">
        <v>1</v>
      </c>
      <c r="AX17" s="7" t="s">
        <v>72</v>
      </c>
      <c r="AY17" s="92" t="s">
        <v>1</v>
      </c>
      <c r="AZ17" s="7" t="s">
        <v>72</v>
      </c>
      <c r="BA17" s="92" t="s">
        <v>1</v>
      </c>
      <c r="BB17" s="7" t="s">
        <v>72</v>
      </c>
      <c r="BC17" s="92" t="s">
        <v>1</v>
      </c>
      <c r="BD17" s="92" t="s">
        <v>1</v>
      </c>
      <c r="BE17" s="92" t="s">
        <v>1</v>
      </c>
      <c r="BF17" s="74" t="s">
        <v>1</v>
      </c>
      <c r="BG17" s="118">
        <v>46</v>
      </c>
      <c r="BH17" s="115" t="s">
        <v>94</v>
      </c>
      <c r="BI17" s="113">
        <v>44</v>
      </c>
      <c r="BJ17" s="108">
        <v>179</v>
      </c>
      <c r="BK17" s="7" t="s">
        <v>72</v>
      </c>
      <c r="BL17" s="108" t="s">
        <v>1</v>
      </c>
      <c r="BM17" s="108" t="s">
        <v>1</v>
      </c>
      <c r="BN17" s="108" t="s">
        <v>1</v>
      </c>
      <c r="BO17" s="108" t="s">
        <v>1</v>
      </c>
      <c r="BP17" s="108" t="s">
        <v>1</v>
      </c>
      <c r="BQ17" s="108" t="s">
        <v>1</v>
      </c>
      <c r="BR17" s="108" t="s">
        <v>1</v>
      </c>
      <c r="BS17" s="108" t="s">
        <v>1</v>
      </c>
      <c r="BT17" s="108" t="s">
        <v>1</v>
      </c>
      <c r="BU17" s="108" t="s">
        <v>1</v>
      </c>
      <c r="BV17" s="108" t="s">
        <v>71</v>
      </c>
    </row>
    <row r="18" ht="21" customHeight="1" spans="1:74">
      <c r="A18" s="107">
        <v>45121</v>
      </c>
      <c r="B18" s="108" t="s">
        <v>75</v>
      </c>
      <c r="C18" s="108" t="s">
        <v>1</v>
      </c>
      <c r="D18" s="30" t="s">
        <v>1</v>
      </c>
      <c r="E18" s="30" t="s">
        <v>1</v>
      </c>
      <c r="F18" s="109">
        <v>0</v>
      </c>
      <c r="G18" s="92" t="s">
        <v>72</v>
      </c>
      <c r="H18" s="92" t="s">
        <v>72</v>
      </c>
      <c r="I18" s="92" t="s">
        <v>72</v>
      </c>
      <c r="J18" s="92" t="s">
        <v>72</v>
      </c>
      <c r="K18" s="92" t="s">
        <v>1</v>
      </c>
      <c r="L18" s="108">
        <v>98</v>
      </c>
      <c r="M18" s="92" t="s">
        <v>72</v>
      </c>
      <c r="N18" s="110" t="e">
        <f t="shared" si="0"/>
        <v>#VALUE!</v>
      </c>
      <c r="O18" s="92" t="s">
        <v>1</v>
      </c>
      <c r="P18" s="92" t="s">
        <v>1</v>
      </c>
      <c r="Q18" s="92" t="s">
        <v>1</v>
      </c>
      <c r="R18" s="109" t="s">
        <v>90</v>
      </c>
      <c r="S18" s="92" t="s">
        <v>1</v>
      </c>
      <c r="T18" s="92" t="s">
        <v>1</v>
      </c>
      <c r="U18" s="92" t="s">
        <v>1</v>
      </c>
      <c r="V18" s="7" t="s">
        <v>72</v>
      </c>
      <c r="W18" s="92" t="s">
        <v>1</v>
      </c>
      <c r="X18" s="7" t="s">
        <v>72</v>
      </c>
      <c r="Y18" s="92" t="s">
        <v>1</v>
      </c>
      <c r="Z18" s="7" t="s">
        <v>72</v>
      </c>
      <c r="AA18" s="92" t="s">
        <v>1</v>
      </c>
      <c r="AB18" s="7" t="s">
        <v>72</v>
      </c>
      <c r="AC18" s="7">
        <v>1</v>
      </c>
      <c r="AD18" s="7" t="s">
        <v>72</v>
      </c>
      <c r="AE18" s="92" t="s">
        <v>1</v>
      </c>
      <c r="AF18" s="7" t="s">
        <v>72</v>
      </c>
      <c r="AG18" s="7">
        <v>338</v>
      </c>
      <c r="AH18" s="7" t="s">
        <v>72</v>
      </c>
      <c r="AI18" s="7">
        <v>176</v>
      </c>
      <c r="AJ18" s="7" t="s">
        <v>72</v>
      </c>
      <c r="AK18" s="7">
        <v>1</v>
      </c>
      <c r="AL18" s="7" t="s">
        <v>72</v>
      </c>
      <c r="AM18" s="7">
        <v>366</v>
      </c>
      <c r="AN18" s="7" t="s">
        <v>72</v>
      </c>
      <c r="AO18" s="7">
        <v>151</v>
      </c>
      <c r="AP18" s="7" t="s">
        <v>72</v>
      </c>
      <c r="AQ18" s="7">
        <v>26</v>
      </c>
      <c r="AR18" s="7" t="s">
        <v>72</v>
      </c>
      <c r="AS18" s="92" t="s">
        <v>1</v>
      </c>
      <c r="AT18" s="7" t="s">
        <v>72</v>
      </c>
      <c r="AU18" s="92" t="s">
        <v>1</v>
      </c>
      <c r="AV18" s="7" t="s">
        <v>72</v>
      </c>
      <c r="AW18" s="92" t="s">
        <v>1</v>
      </c>
      <c r="AX18" s="7" t="s">
        <v>72</v>
      </c>
      <c r="AY18" s="92" t="s">
        <v>1</v>
      </c>
      <c r="AZ18" s="7" t="s">
        <v>72</v>
      </c>
      <c r="BA18" s="92" t="s">
        <v>1</v>
      </c>
      <c r="BB18" s="7" t="s">
        <v>72</v>
      </c>
      <c r="BC18" s="92" t="s">
        <v>1</v>
      </c>
      <c r="BD18" s="92" t="s">
        <v>1</v>
      </c>
      <c r="BE18" s="92" t="s">
        <v>1</v>
      </c>
      <c r="BF18" s="74" t="s">
        <v>1</v>
      </c>
      <c r="BG18" s="118">
        <v>45</v>
      </c>
      <c r="BH18" s="115" t="s">
        <v>94</v>
      </c>
      <c r="BI18" s="113">
        <v>46</v>
      </c>
      <c r="BJ18" s="108">
        <v>135</v>
      </c>
      <c r="BK18" s="7" t="s">
        <v>72</v>
      </c>
      <c r="BL18" s="108" t="s">
        <v>1</v>
      </c>
      <c r="BM18" s="108" t="s">
        <v>1</v>
      </c>
      <c r="BN18" s="108" t="s">
        <v>1</v>
      </c>
      <c r="BO18" s="108" t="s">
        <v>1</v>
      </c>
      <c r="BP18" s="108" t="s">
        <v>1</v>
      </c>
      <c r="BQ18" s="108" t="s">
        <v>1</v>
      </c>
      <c r="BR18" s="108" t="s">
        <v>1</v>
      </c>
      <c r="BS18" s="108" t="s">
        <v>1</v>
      </c>
      <c r="BT18" s="108" t="s">
        <v>1</v>
      </c>
      <c r="BU18" s="108" t="s">
        <v>1</v>
      </c>
      <c r="BV18" s="108" t="s">
        <v>71</v>
      </c>
    </row>
    <row r="19" ht="21" customHeight="1" spans="1:74">
      <c r="A19" s="107">
        <v>45122</v>
      </c>
      <c r="B19" s="108" t="s">
        <v>1</v>
      </c>
      <c r="C19" s="108" t="s">
        <v>1</v>
      </c>
      <c r="D19" s="30" t="s">
        <v>1</v>
      </c>
      <c r="E19" s="30" t="s">
        <v>1</v>
      </c>
      <c r="F19" s="109">
        <v>0</v>
      </c>
      <c r="G19" s="92" t="s">
        <v>72</v>
      </c>
      <c r="H19" s="92" t="s">
        <v>72</v>
      </c>
      <c r="I19" s="92" t="s">
        <v>72</v>
      </c>
      <c r="J19" s="92" t="s">
        <v>72</v>
      </c>
      <c r="K19" s="92" t="s">
        <v>1</v>
      </c>
      <c r="L19" s="108">
        <v>0</v>
      </c>
      <c r="M19" s="92" t="s">
        <v>72</v>
      </c>
      <c r="N19" s="110" t="e">
        <f t="shared" si="0"/>
        <v>#VALUE!</v>
      </c>
      <c r="O19" s="92" t="s">
        <v>1</v>
      </c>
      <c r="P19" s="92" t="s">
        <v>1</v>
      </c>
      <c r="Q19" s="92" t="s">
        <v>1</v>
      </c>
      <c r="R19" s="109">
        <v>0</v>
      </c>
      <c r="S19" s="92" t="s">
        <v>1</v>
      </c>
      <c r="T19" s="92" t="s">
        <v>1</v>
      </c>
      <c r="U19" s="92" t="s">
        <v>1</v>
      </c>
      <c r="V19" s="7" t="s">
        <v>72</v>
      </c>
      <c r="W19" s="92" t="s">
        <v>1</v>
      </c>
      <c r="X19" s="7" t="s">
        <v>72</v>
      </c>
      <c r="Y19" s="92" t="s">
        <v>1</v>
      </c>
      <c r="Z19" s="7" t="s">
        <v>72</v>
      </c>
      <c r="AA19" s="92" t="s">
        <v>1</v>
      </c>
      <c r="AB19" s="7" t="s">
        <v>72</v>
      </c>
      <c r="AC19" s="7">
        <v>0</v>
      </c>
      <c r="AD19" s="7" t="s">
        <v>72</v>
      </c>
      <c r="AE19" s="92" t="s">
        <v>1</v>
      </c>
      <c r="AF19" s="7" t="s">
        <v>72</v>
      </c>
      <c r="AG19" s="7">
        <v>365</v>
      </c>
      <c r="AH19" s="7" t="s">
        <v>72</v>
      </c>
      <c r="AI19" s="7">
        <v>190</v>
      </c>
      <c r="AJ19" s="7" t="s">
        <v>72</v>
      </c>
      <c r="AK19" s="7">
        <v>3</v>
      </c>
      <c r="AL19" s="7" t="s">
        <v>72</v>
      </c>
      <c r="AM19" s="7">
        <v>310</v>
      </c>
      <c r="AN19" s="7" t="s">
        <v>72</v>
      </c>
      <c r="AO19" s="7">
        <v>150</v>
      </c>
      <c r="AP19" s="7" t="s">
        <v>72</v>
      </c>
      <c r="AQ19" s="7">
        <v>39</v>
      </c>
      <c r="AR19" s="7" t="s">
        <v>72</v>
      </c>
      <c r="AS19" s="92" t="s">
        <v>1</v>
      </c>
      <c r="AT19" s="7" t="s">
        <v>72</v>
      </c>
      <c r="AU19" s="92" t="s">
        <v>1</v>
      </c>
      <c r="AV19" s="7" t="s">
        <v>72</v>
      </c>
      <c r="AW19" s="92" t="s">
        <v>1</v>
      </c>
      <c r="AX19" s="7" t="s">
        <v>72</v>
      </c>
      <c r="AY19" s="92" t="s">
        <v>1</v>
      </c>
      <c r="AZ19" s="7" t="s">
        <v>72</v>
      </c>
      <c r="BA19" s="92" t="s">
        <v>1</v>
      </c>
      <c r="BB19" s="7" t="s">
        <v>72</v>
      </c>
      <c r="BC19" s="92" t="s">
        <v>1</v>
      </c>
      <c r="BD19" s="92" t="s">
        <v>1</v>
      </c>
      <c r="BE19" s="92" t="s">
        <v>1</v>
      </c>
      <c r="BF19" s="74" t="s">
        <v>1</v>
      </c>
      <c r="BG19" s="7" t="s">
        <v>1</v>
      </c>
      <c r="BH19" s="115" t="s">
        <v>73</v>
      </c>
      <c r="BI19" s="113">
        <v>60</v>
      </c>
      <c r="BJ19" s="108">
        <v>112</v>
      </c>
      <c r="BK19" s="7" t="s">
        <v>72</v>
      </c>
      <c r="BL19" s="108" t="s">
        <v>1</v>
      </c>
      <c r="BM19" s="108" t="s">
        <v>1</v>
      </c>
      <c r="BN19" s="108" t="s">
        <v>1</v>
      </c>
      <c r="BO19" s="108" t="s">
        <v>1</v>
      </c>
      <c r="BP19" s="108" t="s">
        <v>1</v>
      </c>
      <c r="BQ19" s="108" t="s">
        <v>1</v>
      </c>
      <c r="BR19" s="108" t="s">
        <v>1</v>
      </c>
      <c r="BS19" s="108" t="s">
        <v>1</v>
      </c>
      <c r="BT19" s="108" t="s">
        <v>1</v>
      </c>
      <c r="BU19" s="108" t="s">
        <v>1</v>
      </c>
      <c r="BV19" s="108" t="s">
        <v>71</v>
      </c>
    </row>
    <row r="20" ht="21" customHeight="1" spans="1:74">
      <c r="A20" s="107">
        <v>45123</v>
      </c>
      <c r="B20" s="108" t="s">
        <v>253</v>
      </c>
      <c r="C20" s="108" t="s">
        <v>75</v>
      </c>
      <c r="D20" s="30" t="s">
        <v>1</v>
      </c>
      <c r="E20" s="30" t="s">
        <v>1</v>
      </c>
      <c r="F20" s="109">
        <v>0</v>
      </c>
      <c r="G20" s="92" t="s">
        <v>72</v>
      </c>
      <c r="H20" s="92" t="s">
        <v>72</v>
      </c>
      <c r="I20" s="92" t="s">
        <v>72</v>
      </c>
      <c r="J20" s="92" t="s">
        <v>72</v>
      </c>
      <c r="K20" s="92" t="s">
        <v>1</v>
      </c>
      <c r="L20" s="108">
        <v>0</v>
      </c>
      <c r="M20" s="92" t="s">
        <v>72</v>
      </c>
      <c r="N20" s="110" t="e">
        <f t="shared" si="0"/>
        <v>#VALUE!</v>
      </c>
      <c r="O20" s="92" t="s">
        <v>1</v>
      </c>
      <c r="P20" s="92" t="s">
        <v>1</v>
      </c>
      <c r="Q20" s="92" t="s">
        <v>1</v>
      </c>
      <c r="R20" s="109">
        <v>0</v>
      </c>
      <c r="S20" s="92" t="s">
        <v>1</v>
      </c>
      <c r="T20" s="92" t="s">
        <v>1</v>
      </c>
      <c r="U20" s="92" t="s">
        <v>1</v>
      </c>
      <c r="V20" s="7" t="s">
        <v>72</v>
      </c>
      <c r="W20" s="92" t="s">
        <v>1</v>
      </c>
      <c r="X20" s="7" t="s">
        <v>72</v>
      </c>
      <c r="Y20" s="92" t="s">
        <v>1</v>
      </c>
      <c r="Z20" s="7" t="s">
        <v>72</v>
      </c>
      <c r="AA20" s="92" t="s">
        <v>1</v>
      </c>
      <c r="AB20" s="7" t="s">
        <v>72</v>
      </c>
      <c r="AC20" s="7">
        <v>3</v>
      </c>
      <c r="AD20" s="7" t="s">
        <v>72</v>
      </c>
      <c r="AE20" s="92" t="s">
        <v>1</v>
      </c>
      <c r="AF20" s="7" t="s">
        <v>72</v>
      </c>
      <c r="AG20" s="7">
        <v>454</v>
      </c>
      <c r="AH20" s="7" t="s">
        <v>72</v>
      </c>
      <c r="AI20" s="7">
        <v>192</v>
      </c>
      <c r="AJ20" s="7" t="s">
        <v>72</v>
      </c>
      <c r="AK20" s="7">
        <v>5</v>
      </c>
      <c r="AL20" s="7" t="s">
        <v>72</v>
      </c>
      <c r="AM20" s="7">
        <v>389</v>
      </c>
      <c r="AN20" s="7" t="s">
        <v>72</v>
      </c>
      <c r="AO20" s="7">
        <v>207</v>
      </c>
      <c r="AP20" s="7" t="s">
        <v>72</v>
      </c>
      <c r="AQ20" s="7">
        <v>32</v>
      </c>
      <c r="AR20" s="7" t="s">
        <v>72</v>
      </c>
      <c r="AS20" s="92" t="s">
        <v>1</v>
      </c>
      <c r="AT20" s="7" t="s">
        <v>72</v>
      </c>
      <c r="AU20" s="92" t="s">
        <v>1</v>
      </c>
      <c r="AV20" s="7" t="s">
        <v>72</v>
      </c>
      <c r="AW20" s="92" t="s">
        <v>1</v>
      </c>
      <c r="AX20" s="7" t="s">
        <v>72</v>
      </c>
      <c r="AY20" s="92" t="s">
        <v>1</v>
      </c>
      <c r="AZ20" s="7" t="s">
        <v>72</v>
      </c>
      <c r="BA20" s="92" t="s">
        <v>1</v>
      </c>
      <c r="BB20" s="7" t="s">
        <v>72</v>
      </c>
      <c r="BC20" s="92" t="s">
        <v>1</v>
      </c>
      <c r="BD20" s="92" t="s">
        <v>1</v>
      </c>
      <c r="BE20" s="92" t="s">
        <v>1</v>
      </c>
      <c r="BF20" s="74" t="s">
        <v>1</v>
      </c>
      <c r="BG20" s="7" t="s">
        <v>1</v>
      </c>
      <c r="BH20" s="115" t="s">
        <v>94</v>
      </c>
      <c r="BI20" s="113">
        <v>44</v>
      </c>
      <c r="BJ20" s="108">
        <v>199</v>
      </c>
      <c r="BK20" s="7" t="s">
        <v>72</v>
      </c>
      <c r="BL20" s="108" t="s">
        <v>1</v>
      </c>
      <c r="BM20" s="108" t="s">
        <v>1</v>
      </c>
      <c r="BN20" s="108" t="s">
        <v>1</v>
      </c>
      <c r="BO20" s="108" t="s">
        <v>1</v>
      </c>
      <c r="BP20" s="108" t="s">
        <v>1</v>
      </c>
      <c r="BQ20" s="108" t="s">
        <v>1</v>
      </c>
      <c r="BR20" s="108" t="s">
        <v>1</v>
      </c>
      <c r="BS20" s="108" t="s">
        <v>1</v>
      </c>
      <c r="BT20" s="108" t="s">
        <v>1</v>
      </c>
      <c r="BU20" s="108" t="s">
        <v>1</v>
      </c>
      <c r="BV20" s="108" t="s">
        <v>71</v>
      </c>
    </row>
    <row r="21" ht="21" customHeight="1" spans="1:74">
      <c r="A21" s="107">
        <v>45124</v>
      </c>
      <c r="B21" s="108" t="s">
        <v>1</v>
      </c>
      <c r="C21" s="108" t="s">
        <v>1</v>
      </c>
      <c r="D21" s="30" t="s">
        <v>1</v>
      </c>
      <c r="E21" s="30" t="s">
        <v>1</v>
      </c>
      <c r="F21" s="109">
        <v>1.7398</v>
      </c>
      <c r="G21" s="92" t="s">
        <v>72</v>
      </c>
      <c r="H21" s="92" t="s">
        <v>72</v>
      </c>
      <c r="I21" s="92" t="s">
        <v>72</v>
      </c>
      <c r="J21" s="92" t="s">
        <v>72</v>
      </c>
      <c r="K21" s="92" t="s">
        <v>1</v>
      </c>
      <c r="L21" s="108">
        <v>0</v>
      </c>
      <c r="M21" s="92" t="s">
        <v>72</v>
      </c>
      <c r="N21" s="110" t="e">
        <f t="shared" si="0"/>
        <v>#VALUE!</v>
      </c>
      <c r="O21" s="92" t="s">
        <v>1</v>
      </c>
      <c r="P21" s="92" t="s">
        <v>1</v>
      </c>
      <c r="Q21" s="92" t="s">
        <v>1</v>
      </c>
      <c r="R21" s="109">
        <v>0</v>
      </c>
      <c r="S21" s="92" t="s">
        <v>1</v>
      </c>
      <c r="T21" s="92" t="s">
        <v>1</v>
      </c>
      <c r="U21" s="92" t="s">
        <v>1</v>
      </c>
      <c r="V21" s="7" t="s">
        <v>72</v>
      </c>
      <c r="W21" s="92" t="s">
        <v>1</v>
      </c>
      <c r="X21" s="7" t="s">
        <v>72</v>
      </c>
      <c r="Y21" s="92" t="s">
        <v>1</v>
      </c>
      <c r="Z21" s="7" t="s">
        <v>72</v>
      </c>
      <c r="AA21" s="92" t="s">
        <v>1</v>
      </c>
      <c r="AB21" s="7" t="s">
        <v>72</v>
      </c>
      <c r="AC21" s="7">
        <v>1</v>
      </c>
      <c r="AD21" s="7" t="s">
        <v>72</v>
      </c>
      <c r="AE21" s="92" t="s">
        <v>1</v>
      </c>
      <c r="AF21" s="7" t="s">
        <v>72</v>
      </c>
      <c r="AG21" s="7">
        <v>508</v>
      </c>
      <c r="AH21" s="7" t="s">
        <v>72</v>
      </c>
      <c r="AI21" s="7">
        <v>182</v>
      </c>
      <c r="AJ21" s="7" t="s">
        <v>72</v>
      </c>
      <c r="AK21" s="7">
        <v>4</v>
      </c>
      <c r="AL21" s="7" t="s">
        <v>72</v>
      </c>
      <c r="AM21" s="7">
        <v>355</v>
      </c>
      <c r="AN21" s="7" t="s">
        <v>72</v>
      </c>
      <c r="AO21" s="7">
        <v>183</v>
      </c>
      <c r="AP21" s="7" t="s">
        <v>72</v>
      </c>
      <c r="AQ21" s="7">
        <v>28</v>
      </c>
      <c r="AR21" s="7" t="s">
        <v>72</v>
      </c>
      <c r="AS21" s="92" t="s">
        <v>1</v>
      </c>
      <c r="AT21" s="7" t="s">
        <v>72</v>
      </c>
      <c r="AU21" s="92" t="s">
        <v>1</v>
      </c>
      <c r="AV21" s="7" t="s">
        <v>72</v>
      </c>
      <c r="AW21" s="92" t="s">
        <v>1</v>
      </c>
      <c r="AX21" s="7" t="s">
        <v>72</v>
      </c>
      <c r="AY21" s="92" t="s">
        <v>1</v>
      </c>
      <c r="AZ21" s="7" t="s">
        <v>72</v>
      </c>
      <c r="BA21" s="92" t="s">
        <v>1</v>
      </c>
      <c r="BB21" s="7" t="s">
        <v>72</v>
      </c>
      <c r="BC21" s="92" t="s">
        <v>1</v>
      </c>
      <c r="BD21" s="92" t="s">
        <v>1</v>
      </c>
      <c r="BE21" s="92" t="s">
        <v>1</v>
      </c>
      <c r="BF21" s="92" t="s">
        <v>1</v>
      </c>
      <c r="BG21" s="111">
        <v>73</v>
      </c>
      <c r="BH21" s="112" t="s">
        <v>94</v>
      </c>
      <c r="BI21" s="113">
        <v>44</v>
      </c>
      <c r="BJ21" s="108">
        <v>182</v>
      </c>
      <c r="BK21" s="7" t="s">
        <v>72</v>
      </c>
      <c r="BL21" s="108" t="s">
        <v>1</v>
      </c>
      <c r="BM21" s="108" t="s">
        <v>1</v>
      </c>
      <c r="BN21" s="108" t="s">
        <v>1</v>
      </c>
      <c r="BO21" s="108" t="s">
        <v>1</v>
      </c>
      <c r="BP21" s="108" t="s">
        <v>1</v>
      </c>
      <c r="BQ21" s="108" t="s">
        <v>1</v>
      </c>
      <c r="BR21" s="108" t="s">
        <v>1</v>
      </c>
      <c r="BS21" s="108" t="s">
        <v>1</v>
      </c>
      <c r="BT21" s="108" t="s">
        <v>1</v>
      </c>
      <c r="BU21" s="108" t="s">
        <v>1</v>
      </c>
      <c r="BV21" s="108" t="s">
        <v>71</v>
      </c>
    </row>
    <row r="22" ht="21" customHeight="1" spans="1:74">
      <c r="A22" s="107">
        <v>45125</v>
      </c>
      <c r="B22" s="108" t="s">
        <v>1</v>
      </c>
      <c r="C22" s="108" t="s">
        <v>253</v>
      </c>
      <c r="D22" s="30" t="s">
        <v>1</v>
      </c>
      <c r="E22" s="30" t="s">
        <v>1</v>
      </c>
      <c r="F22" s="109">
        <v>2.6097</v>
      </c>
      <c r="G22" s="92" t="s">
        <v>72</v>
      </c>
      <c r="H22" s="92" t="s">
        <v>72</v>
      </c>
      <c r="I22" s="92" t="s">
        <v>72</v>
      </c>
      <c r="J22" s="92" t="s">
        <v>72</v>
      </c>
      <c r="K22" s="92" t="s">
        <v>1</v>
      </c>
      <c r="L22" s="116">
        <v>9659</v>
      </c>
      <c r="M22" s="92" t="s">
        <v>72</v>
      </c>
      <c r="N22" s="110" t="e">
        <f t="shared" si="0"/>
        <v>#VALUE!</v>
      </c>
      <c r="O22" s="92" t="s">
        <v>1</v>
      </c>
      <c r="P22" s="92" t="s">
        <v>1</v>
      </c>
      <c r="Q22" s="92" t="s">
        <v>1</v>
      </c>
      <c r="R22" s="109">
        <v>0</v>
      </c>
      <c r="S22" s="92" t="s">
        <v>1</v>
      </c>
      <c r="T22" s="92" t="s">
        <v>1</v>
      </c>
      <c r="U22" s="92" t="s">
        <v>1</v>
      </c>
      <c r="V22" s="7" t="s">
        <v>72</v>
      </c>
      <c r="W22" s="92" t="s">
        <v>1</v>
      </c>
      <c r="X22" s="7" t="s">
        <v>72</v>
      </c>
      <c r="Y22" s="92" t="s">
        <v>1</v>
      </c>
      <c r="Z22" s="7" t="s">
        <v>72</v>
      </c>
      <c r="AA22" s="92" t="s">
        <v>1</v>
      </c>
      <c r="AB22" s="7" t="s">
        <v>72</v>
      </c>
      <c r="AC22" s="7">
        <v>3</v>
      </c>
      <c r="AD22" s="7" t="s">
        <v>72</v>
      </c>
      <c r="AE22" s="92" t="s">
        <v>1</v>
      </c>
      <c r="AF22" s="7" t="s">
        <v>72</v>
      </c>
      <c r="AG22" s="7">
        <v>513</v>
      </c>
      <c r="AH22" s="7" t="s">
        <v>72</v>
      </c>
      <c r="AI22" s="7">
        <v>190</v>
      </c>
      <c r="AJ22" s="7" t="s">
        <v>72</v>
      </c>
      <c r="AK22" s="7">
        <v>10</v>
      </c>
      <c r="AL22" s="7" t="s">
        <v>72</v>
      </c>
      <c r="AM22" s="7">
        <v>294</v>
      </c>
      <c r="AN22" s="7" t="s">
        <v>72</v>
      </c>
      <c r="AO22" s="7">
        <v>183</v>
      </c>
      <c r="AP22" s="7" t="s">
        <v>72</v>
      </c>
      <c r="AQ22" s="7">
        <v>144</v>
      </c>
      <c r="AR22" s="7" t="s">
        <v>72</v>
      </c>
      <c r="AS22" s="92" t="s">
        <v>1</v>
      </c>
      <c r="AT22" s="7" t="s">
        <v>72</v>
      </c>
      <c r="AU22" s="92" t="s">
        <v>1</v>
      </c>
      <c r="AV22" s="7" t="s">
        <v>72</v>
      </c>
      <c r="AW22" s="92" t="s">
        <v>1</v>
      </c>
      <c r="AX22" s="7" t="s">
        <v>72</v>
      </c>
      <c r="AY22" s="92" t="s">
        <v>1</v>
      </c>
      <c r="AZ22" s="7" t="s">
        <v>72</v>
      </c>
      <c r="BA22" s="92" t="s">
        <v>1</v>
      </c>
      <c r="BB22" s="7" t="s">
        <v>72</v>
      </c>
      <c r="BC22" s="92" t="s">
        <v>1</v>
      </c>
      <c r="BD22" s="92" t="s">
        <v>1</v>
      </c>
      <c r="BE22" s="92" t="s">
        <v>1</v>
      </c>
      <c r="BF22" s="92" t="s">
        <v>1</v>
      </c>
      <c r="BG22" s="111">
        <v>76</v>
      </c>
      <c r="BH22" s="112" t="s">
        <v>94</v>
      </c>
      <c r="BI22" s="113">
        <v>50</v>
      </c>
      <c r="BJ22" s="108">
        <v>165</v>
      </c>
      <c r="BK22" s="7" t="s">
        <v>72</v>
      </c>
      <c r="BL22" s="108" t="s">
        <v>1</v>
      </c>
      <c r="BM22" s="108" t="s">
        <v>1</v>
      </c>
      <c r="BN22" s="108" t="s">
        <v>1</v>
      </c>
      <c r="BO22" s="108" t="s">
        <v>1</v>
      </c>
      <c r="BP22" s="108" t="s">
        <v>1</v>
      </c>
      <c r="BQ22" s="108" t="s">
        <v>1</v>
      </c>
      <c r="BR22" s="108" t="s">
        <v>1</v>
      </c>
      <c r="BS22" s="108" t="s">
        <v>1</v>
      </c>
      <c r="BT22" s="108" t="s">
        <v>1</v>
      </c>
      <c r="BU22" s="108" t="s">
        <v>1</v>
      </c>
      <c r="BV22" s="108" t="s">
        <v>71</v>
      </c>
    </row>
    <row r="23" ht="21" customHeight="1" spans="1:74">
      <c r="A23" s="107">
        <v>45126</v>
      </c>
      <c r="B23" s="108" t="s">
        <v>125</v>
      </c>
      <c r="C23" s="108" t="s">
        <v>75</v>
      </c>
      <c r="D23" s="30" t="s">
        <v>1</v>
      </c>
      <c r="E23" s="30" t="s">
        <v>1</v>
      </c>
      <c r="F23" s="109">
        <v>0</v>
      </c>
      <c r="G23" s="92" t="s">
        <v>72</v>
      </c>
      <c r="H23" s="92" t="s">
        <v>72</v>
      </c>
      <c r="I23" s="92" t="s">
        <v>72</v>
      </c>
      <c r="J23" s="92" t="s">
        <v>72</v>
      </c>
      <c r="K23" s="92" t="s">
        <v>1</v>
      </c>
      <c r="L23" s="116">
        <v>15798</v>
      </c>
      <c r="M23" s="92" t="s">
        <v>72</v>
      </c>
      <c r="N23" s="110" t="e">
        <f t="shared" si="0"/>
        <v>#VALUE!</v>
      </c>
      <c r="O23" s="92" t="s">
        <v>1</v>
      </c>
      <c r="P23" s="92" t="s">
        <v>1</v>
      </c>
      <c r="Q23" s="92" t="s">
        <v>1</v>
      </c>
      <c r="R23" s="109">
        <v>0</v>
      </c>
      <c r="S23" s="92" t="s">
        <v>1</v>
      </c>
      <c r="T23" s="92" t="s">
        <v>1</v>
      </c>
      <c r="U23" s="92" t="s">
        <v>1</v>
      </c>
      <c r="V23" s="7" t="s">
        <v>72</v>
      </c>
      <c r="W23" s="92" t="s">
        <v>1</v>
      </c>
      <c r="X23" s="7" t="s">
        <v>72</v>
      </c>
      <c r="Y23" s="92" t="s">
        <v>1</v>
      </c>
      <c r="Z23" s="7" t="s">
        <v>72</v>
      </c>
      <c r="AA23" s="92" t="s">
        <v>1</v>
      </c>
      <c r="AB23" s="7" t="s">
        <v>72</v>
      </c>
      <c r="AC23" s="7">
        <v>0</v>
      </c>
      <c r="AD23" s="7" t="s">
        <v>72</v>
      </c>
      <c r="AE23" s="92" t="s">
        <v>1</v>
      </c>
      <c r="AF23" s="7" t="s">
        <v>72</v>
      </c>
      <c r="AG23" s="7">
        <v>516</v>
      </c>
      <c r="AH23" s="7" t="s">
        <v>72</v>
      </c>
      <c r="AI23" s="7">
        <v>134</v>
      </c>
      <c r="AJ23" s="7" t="s">
        <v>72</v>
      </c>
      <c r="AK23" s="7">
        <v>13</v>
      </c>
      <c r="AL23" s="7" t="s">
        <v>72</v>
      </c>
      <c r="AM23" s="7">
        <v>306</v>
      </c>
      <c r="AN23" s="7" t="s">
        <v>72</v>
      </c>
      <c r="AO23" s="7">
        <v>180</v>
      </c>
      <c r="AP23" s="7" t="s">
        <v>72</v>
      </c>
      <c r="AQ23" s="7">
        <v>154</v>
      </c>
      <c r="AR23" s="7" t="s">
        <v>72</v>
      </c>
      <c r="AS23" s="92" t="s">
        <v>1</v>
      </c>
      <c r="AT23" s="7" t="s">
        <v>72</v>
      </c>
      <c r="AU23" s="92" t="s">
        <v>1</v>
      </c>
      <c r="AV23" s="7" t="s">
        <v>72</v>
      </c>
      <c r="AW23" s="92" t="s">
        <v>1</v>
      </c>
      <c r="AX23" s="7" t="s">
        <v>72</v>
      </c>
      <c r="AY23" s="92" t="s">
        <v>1</v>
      </c>
      <c r="AZ23" s="7" t="s">
        <v>72</v>
      </c>
      <c r="BA23" s="92" t="s">
        <v>1</v>
      </c>
      <c r="BB23" s="7" t="s">
        <v>72</v>
      </c>
      <c r="BC23" s="92" t="s">
        <v>1</v>
      </c>
      <c r="BD23" s="92" t="s">
        <v>1</v>
      </c>
      <c r="BE23" s="92" t="s">
        <v>1</v>
      </c>
      <c r="BF23" s="92" t="s">
        <v>1</v>
      </c>
      <c r="BG23" s="111">
        <v>78</v>
      </c>
      <c r="BH23" s="112" t="s">
        <v>94</v>
      </c>
      <c r="BI23" s="113">
        <v>48</v>
      </c>
      <c r="BJ23" s="108">
        <v>140</v>
      </c>
      <c r="BK23" s="7" t="s">
        <v>72</v>
      </c>
      <c r="BL23" s="108" t="s">
        <v>1</v>
      </c>
      <c r="BM23" s="108" t="s">
        <v>1</v>
      </c>
      <c r="BN23" s="108" t="s">
        <v>1</v>
      </c>
      <c r="BO23" s="108" t="s">
        <v>1</v>
      </c>
      <c r="BP23" s="108" t="s">
        <v>1</v>
      </c>
      <c r="BQ23" s="108" t="s">
        <v>1</v>
      </c>
      <c r="BR23" s="108" t="s">
        <v>1</v>
      </c>
      <c r="BS23" s="108" t="s">
        <v>1</v>
      </c>
      <c r="BT23" s="108" t="s">
        <v>1</v>
      </c>
      <c r="BU23" s="108" t="s">
        <v>1</v>
      </c>
      <c r="BV23" s="108" t="s">
        <v>71</v>
      </c>
    </row>
    <row r="24" ht="21" customHeight="1" spans="1:74">
      <c r="A24" s="107">
        <v>45127</v>
      </c>
      <c r="B24" s="108" t="s">
        <v>125</v>
      </c>
      <c r="C24" s="108" t="s">
        <v>1</v>
      </c>
      <c r="D24" s="30" t="s">
        <v>1</v>
      </c>
      <c r="E24" s="30" t="s">
        <v>1</v>
      </c>
      <c r="F24" s="109">
        <v>1.7398</v>
      </c>
      <c r="G24" s="92" t="s">
        <v>72</v>
      </c>
      <c r="H24" s="92" t="s">
        <v>72</v>
      </c>
      <c r="I24" s="92" t="s">
        <v>72</v>
      </c>
      <c r="J24" s="92" t="s">
        <v>72</v>
      </c>
      <c r="K24" s="92" t="s">
        <v>1</v>
      </c>
      <c r="L24" s="108">
        <v>0</v>
      </c>
      <c r="M24" s="92" t="s">
        <v>72</v>
      </c>
      <c r="N24" s="110" t="e">
        <f t="shared" si="0"/>
        <v>#VALUE!</v>
      </c>
      <c r="O24" s="92" t="s">
        <v>1</v>
      </c>
      <c r="P24" s="92" t="s">
        <v>1</v>
      </c>
      <c r="Q24" s="92" t="s">
        <v>1</v>
      </c>
      <c r="R24" s="109">
        <v>0</v>
      </c>
      <c r="S24" s="92" t="s">
        <v>1</v>
      </c>
      <c r="T24" s="92" t="s">
        <v>1</v>
      </c>
      <c r="U24" s="92" t="s">
        <v>1</v>
      </c>
      <c r="V24" s="7" t="s">
        <v>72</v>
      </c>
      <c r="W24" s="92" t="s">
        <v>1</v>
      </c>
      <c r="X24" s="7" t="s">
        <v>72</v>
      </c>
      <c r="Y24" s="92" t="s">
        <v>1</v>
      </c>
      <c r="Z24" s="7" t="s">
        <v>72</v>
      </c>
      <c r="AA24" s="92" t="s">
        <v>1</v>
      </c>
      <c r="AB24" s="7" t="s">
        <v>72</v>
      </c>
      <c r="AC24" s="7">
        <v>0</v>
      </c>
      <c r="AD24" s="7" t="s">
        <v>72</v>
      </c>
      <c r="AE24" s="92" t="s">
        <v>1</v>
      </c>
      <c r="AF24" s="7" t="s">
        <v>72</v>
      </c>
      <c r="AG24" s="7">
        <v>481</v>
      </c>
      <c r="AH24" s="7" t="s">
        <v>72</v>
      </c>
      <c r="AI24" s="7">
        <v>142</v>
      </c>
      <c r="AJ24" s="7" t="s">
        <v>72</v>
      </c>
      <c r="AK24" s="7">
        <v>5</v>
      </c>
      <c r="AL24" s="7" t="s">
        <v>72</v>
      </c>
      <c r="AM24" s="7">
        <v>301</v>
      </c>
      <c r="AN24" s="7" t="s">
        <v>72</v>
      </c>
      <c r="AO24" s="7">
        <v>146</v>
      </c>
      <c r="AP24" s="7" t="s">
        <v>72</v>
      </c>
      <c r="AQ24" s="7">
        <v>135</v>
      </c>
      <c r="AR24" s="7" t="s">
        <v>72</v>
      </c>
      <c r="AS24" s="92" t="s">
        <v>1</v>
      </c>
      <c r="AT24" s="7" t="s">
        <v>72</v>
      </c>
      <c r="AU24" s="92" t="s">
        <v>1</v>
      </c>
      <c r="AV24" s="7" t="s">
        <v>72</v>
      </c>
      <c r="AW24" s="92" t="s">
        <v>1</v>
      </c>
      <c r="AX24" s="7" t="s">
        <v>72</v>
      </c>
      <c r="AY24" s="92" t="s">
        <v>1</v>
      </c>
      <c r="AZ24" s="7" t="s">
        <v>72</v>
      </c>
      <c r="BA24" s="92" t="s">
        <v>1</v>
      </c>
      <c r="BB24" s="7" t="s">
        <v>72</v>
      </c>
      <c r="BC24" s="92" t="s">
        <v>1</v>
      </c>
      <c r="BD24" s="92" t="s">
        <v>1</v>
      </c>
      <c r="BE24" s="92" t="s">
        <v>1</v>
      </c>
      <c r="BF24" s="92" t="s">
        <v>1</v>
      </c>
      <c r="BG24" s="111">
        <v>78</v>
      </c>
      <c r="BH24" s="112" t="s">
        <v>94</v>
      </c>
      <c r="BI24" s="113">
        <v>50</v>
      </c>
      <c r="BJ24" s="108">
        <v>152</v>
      </c>
      <c r="BK24" s="7" t="s">
        <v>72</v>
      </c>
      <c r="BL24" s="108" t="s">
        <v>1</v>
      </c>
      <c r="BM24" s="108" t="s">
        <v>1</v>
      </c>
      <c r="BN24" s="108" t="s">
        <v>1</v>
      </c>
      <c r="BO24" s="108" t="s">
        <v>1</v>
      </c>
      <c r="BP24" s="108" t="s">
        <v>1</v>
      </c>
      <c r="BQ24" s="108" t="s">
        <v>1</v>
      </c>
      <c r="BR24" s="108" t="s">
        <v>1</v>
      </c>
      <c r="BS24" s="108" t="s">
        <v>1</v>
      </c>
      <c r="BT24" s="108" t="s">
        <v>1</v>
      </c>
      <c r="BU24" s="108" t="s">
        <v>1</v>
      </c>
      <c r="BV24" s="108" t="s">
        <v>71</v>
      </c>
    </row>
    <row r="25" ht="21" customHeight="1" spans="1:74">
      <c r="A25" s="107">
        <v>45128</v>
      </c>
      <c r="B25" s="108" t="s">
        <v>125</v>
      </c>
      <c r="C25" s="108" t="s">
        <v>253</v>
      </c>
      <c r="D25" s="30" t="s">
        <v>1</v>
      </c>
      <c r="E25" s="30" t="s">
        <v>1</v>
      </c>
      <c r="F25" s="109">
        <v>2.6097</v>
      </c>
      <c r="G25" s="92" t="s">
        <v>72</v>
      </c>
      <c r="H25" s="92" t="s">
        <v>72</v>
      </c>
      <c r="I25" s="92" t="s">
        <v>72</v>
      </c>
      <c r="J25" s="92" t="s">
        <v>72</v>
      </c>
      <c r="K25" s="92" t="s">
        <v>1</v>
      </c>
      <c r="L25" s="108">
        <v>0</v>
      </c>
      <c r="M25" s="92" t="s">
        <v>72</v>
      </c>
      <c r="N25" s="110" t="e">
        <f t="shared" si="0"/>
        <v>#VALUE!</v>
      </c>
      <c r="O25" s="92" t="s">
        <v>1</v>
      </c>
      <c r="P25" s="92" t="s">
        <v>1</v>
      </c>
      <c r="Q25" s="92" t="s">
        <v>1</v>
      </c>
      <c r="R25" s="109">
        <v>0</v>
      </c>
      <c r="S25" s="92" t="s">
        <v>1</v>
      </c>
      <c r="T25" s="92" t="s">
        <v>1</v>
      </c>
      <c r="U25" s="92" t="s">
        <v>1</v>
      </c>
      <c r="V25" s="7" t="s">
        <v>72</v>
      </c>
      <c r="W25" s="92" t="s">
        <v>1</v>
      </c>
      <c r="X25" s="7" t="s">
        <v>72</v>
      </c>
      <c r="Y25" s="92" t="s">
        <v>1</v>
      </c>
      <c r="Z25" s="7" t="s">
        <v>72</v>
      </c>
      <c r="AA25" s="92" t="s">
        <v>1</v>
      </c>
      <c r="AB25" s="7" t="s">
        <v>72</v>
      </c>
      <c r="AC25" s="7">
        <v>1</v>
      </c>
      <c r="AD25" s="7" t="s">
        <v>72</v>
      </c>
      <c r="AE25" s="92" t="s">
        <v>1</v>
      </c>
      <c r="AF25" s="7" t="s">
        <v>72</v>
      </c>
      <c r="AG25" s="7">
        <v>458</v>
      </c>
      <c r="AH25" s="7" t="s">
        <v>72</v>
      </c>
      <c r="AI25" s="7">
        <v>174</v>
      </c>
      <c r="AJ25" s="7" t="s">
        <v>72</v>
      </c>
      <c r="AK25" s="7">
        <v>11</v>
      </c>
      <c r="AL25" s="7" t="s">
        <v>72</v>
      </c>
      <c r="AM25" s="7">
        <v>269</v>
      </c>
      <c r="AN25" s="7" t="s">
        <v>72</v>
      </c>
      <c r="AO25" s="7">
        <v>149</v>
      </c>
      <c r="AP25" s="7" t="s">
        <v>72</v>
      </c>
      <c r="AQ25" s="7">
        <v>146</v>
      </c>
      <c r="AR25" s="7" t="s">
        <v>72</v>
      </c>
      <c r="AS25" s="92" t="s">
        <v>1</v>
      </c>
      <c r="AT25" s="7" t="s">
        <v>72</v>
      </c>
      <c r="AU25" s="92" t="s">
        <v>1</v>
      </c>
      <c r="AV25" s="7" t="s">
        <v>72</v>
      </c>
      <c r="AW25" s="92" t="s">
        <v>1</v>
      </c>
      <c r="AX25" s="7" t="s">
        <v>72</v>
      </c>
      <c r="AY25" s="92" t="s">
        <v>1</v>
      </c>
      <c r="AZ25" s="7" t="s">
        <v>72</v>
      </c>
      <c r="BA25" s="92" t="s">
        <v>1</v>
      </c>
      <c r="BB25" s="7" t="s">
        <v>72</v>
      </c>
      <c r="BC25" s="92" t="s">
        <v>1</v>
      </c>
      <c r="BD25" s="92" t="s">
        <v>1</v>
      </c>
      <c r="BE25" s="92" t="s">
        <v>1</v>
      </c>
      <c r="BF25" s="92" t="s">
        <v>1</v>
      </c>
      <c r="BG25" s="111">
        <v>76</v>
      </c>
      <c r="BH25" s="112" t="s">
        <v>94</v>
      </c>
      <c r="BI25" s="113">
        <v>50</v>
      </c>
      <c r="BJ25" s="108">
        <v>135</v>
      </c>
      <c r="BK25" s="7" t="s">
        <v>72</v>
      </c>
      <c r="BL25" s="108" t="s">
        <v>1</v>
      </c>
      <c r="BM25" s="108" t="s">
        <v>1</v>
      </c>
      <c r="BN25" s="108" t="s">
        <v>1</v>
      </c>
      <c r="BO25" s="108" t="s">
        <v>1</v>
      </c>
      <c r="BP25" s="108" t="s">
        <v>1</v>
      </c>
      <c r="BQ25" s="108" t="s">
        <v>1</v>
      </c>
      <c r="BR25" s="108" t="s">
        <v>1</v>
      </c>
      <c r="BS25" s="108" t="s">
        <v>1</v>
      </c>
      <c r="BT25" s="108" t="s">
        <v>1</v>
      </c>
      <c r="BU25" s="108" t="s">
        <v>1</v>
      </c>
      <c r="BV25" s="108" t="s">
        <v>71</v>
      </c>
    </row>
    <row r="26" ht="21" customHeight="1" spans="1:74">
      <c r="A26" s="107">
        <v>45129</v>
      </c>
      <c r="B26" s="108" t="s">
        <v>125</v>
      </c>
      <c r="C26" s="108" t="s">
        <v>1</v>
      </c>
      <c r="D26" s="30" t="s">
        <v>1</v>
      </c>
      <c r="E26" s="30" t="s">
        <v>1</v>
      </c>
      <c r="F26" s="109">
        <v>0</v>
      </c>
      <c r="G26" s="92" t="s">
        <v>72</v>
      </c>
      <c r="H26" s="92" t="s">
        <v>72</v>
      </c>
      <c r="I26" s="92" t="s">
        <v>72</v>
      </c>
      <c r="J26" s="92" t="s">
        <v>72</v>
      </c>
      <c r="K26" s="92" t="s">
        <v>1</v>
      </c>
      <c r="L26" s="108">
        <v>0</v>
      </c>
      <c r="M26" s="92" t="s">
        <v>72</v>
      </c>
      <c r="N26" s="110" t="e">
        <f t="shared" si="0"/>
        <v>#VALUE!</v>
      </c>
      <c r="O26" s="92" t="s">
        <v>1</v>
      </c>
      <c r="P26" s="92" t="s">
        <v>1</v>
      </c>
      <c r="Q26" s="92" t="s">
        <v>1</v>
      </c>
      <c r="R26" s="109">
        <v>0</v>
      </c>
      <c r="S26" s="92" t="s">
        <v>1</v>
      </c>
      <c r="T26" s="92" t="s">
        <v>1</v>
      </c>
      <c r="U26" s="92" t="s">
        <v>1</v>
      </c>
      <c r="V26" s="7" t="s">
        <v>72</v>
      </c>
      <c r="W26" s="92" t="s">
        <v>1</v>
      </c>
      <c r="X26" s="7" t="s">
        <v>72</v>
      </c>
      <c r="Y26" s="92" t="s">
        <v>1</v>
      </c>
      <c r="Z26" s="7" t="s">
        <v>72</v>
      </c>
      <c r="AA26" s="92" t="s">
        <v>1</v>
      </c>
      <c r="AB26" s="7" t="s">
        <v>72</v>
      </c>
      <c r="AC26" s="7">
        <v>1</v>
      </c>
      <c r="AD26" s="7" t="s">
        <v>72</v>
      </c>
      <c r="AE26" s="92" t="s">
        <v>1</v>
      </c>
      <c r="AF26" s="7" t="s">
        <v>72</v>
      </c>
      <c r="AG26" s="7">
        <v>488</v>
      </c>
      <c r="AH26" s="7" t="s">
        <v>72</v>
      </c>
      <c r="AI26" s="7">
        <v>190</v>
      </c>
      <c r="AJ26" s="7" t="s">
        <v>72</v>
      </c>
      <c r="AK26" s="7">
        <v>46</v>
      </c>
      <c r="AL26" s="7" t="s">
        <v>72</v>
      </c>
      <c r="AM26" s="7">
        <v>286</v>
      </c>
      <c r="AN26" s="7" t="s">
        <v>72</v>
      </c>
      <c r="AO26" s="7">
        <v>163</v>
      </c>
      <c r="AP26" s="7" t="s">
        <v>72</v>
      </c>
      <c r="AQ26" s="7">
        <v>135</v>
      </c>
      <c r="AR26" s="7" t="s">
        <v>72</v>
      </c>
      <c r="AS26" s="92" t="s">
        <v>1</v>
      </c>
      <c r="AT26" s="7" t="s">
        <v>72</v>
      </c>
      <c r="AU26" s="92" t="s">
        <v>1</v>
      </c>
      <c r="AV26" s="7" t="s">
        <v>72</v>
      </c>
      <c r="AW26" s="92" t="s">
        <v>1</v>
      </c>
      <c r="AX26" s="7" t="s">
        <v>72</v>
      </c>
      <c r="AY26" s="92" t="s">
        <v>1</v>
      </c>
      <c r="AZ26" s="7" t="s">
        <v>72</v>
      </c>
      <c r="BA26" s="92" t="s">
        <v>1</v>
      </c>
      <c r="BB26" s="7" t="s">
        <v>72</v>
      </c>
      <c r="BC26" s="92" t="s">
        <v>1</v>
      </c>
      <c r="BD26" s="92" t="s">
        <v>1</v>
      </c>
      <c r="BE26" s="92" t="s">
        <v>1</v>
      </c>
      <c r="BF26" s="92" t="s">
        <v>1</v>
      </c>
      <c r="BH26" s="112" t="s">
        <v>94</v>
      </c>
      <c r="BI26" s="113">
        <v>43</v>
      </c>
      <c r="BJ26" s="108">
        <v>189</v>
      </c>
      <c r="BK26" s="7" t="s">
        <v>72</v>
      </c>
      <c r="BL26" s="108" t="s">
        <v>1</v>
      </c>
      <c r="BM26" s="108" t="s">
        <v>1</v>
      </c>
      <c r="BN26" s="108" t="s">
        <v>1</v>
      </c>
      <c r="BO26" s="108" t="s">
        <v>1</v>
      </c>
      <c r="BP26" s="108" t="s">
        <v>1</v>
      </c>
      <c r="BQ26" s="108" t="s">
        <v>1</v>
      </c>
      <c r="BR26" s="108" t="s">
        <v>1</v>
      </c>
      <c r="BS26" s="108" t="s">
        <v>1</v>
      </c>
      <c r="BT26" s="108" t="s">
        <v>1</v>
      </c>
      <c r="BU26" s="108" t="s">
        <v>1</v>
      </c>
      <c r="BV26" s="108" t="s">
        <v>71</v>
      </c>
    </row>
    <row r="27" ht="21" customHeight="1" spans="1:74">
      <c r="A27" s="107">
        <v>45130</v>
      </c>
      <c r="B27" s="108" t="s">
        <v>125</v>
      </c>
      <c r="C27" s="108" t="s">
        <v>75</v>
      </c>
      <c r="D27" s="30" t="s">
        <v>1</v>
      </c>
      <c r="E27" s="30" t="s">
        <v>1</v>
      </c>
      <c r="F27" s="109">
        <v>0</v>
      </c>
      <c r="G27" s="92" t="s">
        <v>72</v>
      </c>
      <c r="H27" s="92" t="s">
        <v>72</v>
      </c>
      <c r="I27" s="92" t="s">
        <v>72</v>
      </c>
      <c r="J27" s="92" t="s">
        <v>72</v>
      </c>
      <c r="K27" s="92" t="s">
        <v>1</v>
      </c>
      <c r="L27" s="108">
        <v>0</v>
      </c>
      <c r="M27" s="92" t="s">
        <v>72</v>
      </c>
      <c r="N27" s="110" t="e">
        <f t="shared" si="0"/>
        <v>#VALUE!</v>
      </c>
      <c r="O27" s="92" t="s">
        <v>1</v>
      </c>
      <c r="P27" s="92" t="s">
        <v>1</v>
      </c>
      <c r="Q27" s="92" t="s">
        <v>1</v>
      </c>
      <c r="R27" s="109">
        <v>0</v>
      </c>
      <c r="S27" s="92" t="s">
        <v>1</v>
      </c>
      <c r="T27" s="92" t="s">
        <v>1</v>
      </c>
      <c r="U27" s="92" t="s">
        <v>1</v>
      </c>
      <c r="V27" s="7" t="s">
        <v>72</v>
      </c>
      <c r="W27" s="92" t="s">
        <v>1</v>
      </c>
      <c r="X27" s="7" t="s">
        <v>72</v>
      </c>
      <c r="Y27" s="92" t="s">
        <v>1</v>
      </c>
      <c r="Z27" s="7" t="s">
        <v>72</v>
      </c>
      <c r="AA27" s="92" t="s">
        <v>1</v>
      </c>
      <c r="AB27" s="7" t="s">
        <v>72</v>
      </c>
      <c r="AC27" s="7">
        <v>2</v>
      </c>
      <c r="AD27" s="7" t="s">
        <v>72</v>
      </c>
      <c r="AE27" s="92" t="s">
        <v>1</v>
      </c>
      <c r="AF27" s="7" t="s">
        <v>72</v>
      </c>
      <c r="AG27" s="7">
        <v>485</v>
      </c>
      <c r="AH27" s="7" t="s">
        <v>72</v>
      </c>
      <c r="AI27" s="7">
        <v>196</v>
      </c>
      <c r="AJ27" s="7" t="s">
        <v>72</v>
      </c>
      <c r="AK27" s="7">
        <v>15</v>
      </c>
      <c r="AL27" s="7" t="s">
        <v>72</v>
      </c>
      <c r="AM27" s="7">
        <v>264</v>
      </c>
      <c r="AN27" s="7" t="s">
        <v>72</v>
      </c>
      <c r="AO27" s="7">
        <v>165</v>
      </c>
      <c r="AP27" s="7" t="s">
        <v>72</v>
      </c>
      <c r="AQ27" s="7">
        <v>143</v>
      </c>
      <c r="AR27" s="7" t="s">
        <v>72</v>
      </c>
      <c r="AS27" s="92" t="s">
        <v>1</v>
      </c>
      <c r="AT27" s="7" t="s">
        <v>72</v>
      </c>
      <c r="AU27" s="92" t="s">
        <v>1</v>
      </c>
      <c r="AV27" s="7" t="s">
        <v>72</v>
      </c>
      <c r="AW27" s="92" t="s">
        <v>1</v>
      </c>
      <c r="AX27" s="7" t="s">
        <v>72</v>
      </c>
      <c r="AY27" s="92" t="s">
        <v>1</v>
      </c>
      <c r="AZ27" s="7" t="s">
        <v>72</v>
      </c>
      <c r="BA27" s="92" t="s">
        <v>1</v>
      </c>
      <c r="BB27" s="7" t="s">
        <v>72</v>
      </c>
      <c r="BC27" s="92" t="s">
        <v>1</v>
      </c>
      <c r="BD27" s="92" t="s">
        <v>1</v>
      </c>
      <c r="BE27" s="92" t="s">
        <v>1</v>
      </c>
      <c r="BF27" s="92" t="s">
        <v>1</v>
      </c>
      <c r="BG27" s="108" t="s">
        <v>1</v>
      </c>
      <c r="BH27" s="112" t="s">
        <v>73</v>
      </c>
      <c r="BI27" s="113">
        <v>61</v>
      </c>
      <c r="BJ27" s="108">
        <v>131</v>
      </c>
      <c r="BK27" s="7" t="s">
        <v>72</v>
      </c>
      <c r="BL27" s="108" t="s">
        <v>1</v>
      </c>
      <c r="BM27" s="108" t="s">
        <v>1</v>
      </c>
      <c r="BN27" s="108" t="s">
        <v>1</v>
      </c>
      <c r="BO27" s="108" t="s">
        <v>1</v>
      </c>
      <c r="BP27" s="108" t="s">
        <v>1</v>
      </c>
      <c r="BQ27" s="108" t="s">
        <v>1</v>
      </c>
      <c r="BR27" s="108" t="s">
        <v>1</v>
      </c>
      <c r="BS27" s="108" t="s">
        <v>1</v>
      </c>
      <c r="BT27" s="108" t="s">
        <v>1</v>
      </c>
      <c r="BU27" s="108" t="s">
        <v>1</v>
      </c>
      <c r="BV27" s="108" t="s">
        <v>71</v>
      </c>
    </row>
    <row r="28" ht="21" customHeight="1" spans="1:74">
      <c r="A28" s="107">
        <v>45131</v>
      </c>
      <c r="B28" s="108" t="s">
        <v>125</v>
      </c>
      <c r="C28" s="108" t="s">
        <v>1</v>
      </c>
      <c r="D28" s="30" t="s">
        <v>1</v>
      </c>
      <c r="E28" s="30" t="s">
        <v>1</v>
      </c>
      <c r="F28" s="109">
        <v>0.8699</v>
      </c>
      <c r="G28" s="92" t="s">
        <v>72</v>
      </c>
      <c r="H28" s="92" t="s">
        <v>72</v>
      </c>
      <c r="I28" s="92" t="s">
        <v>72</v>
      </c>
      <c r="J28" s="92" t="s">
        <v>72</v>
      </c>
      <c r="K28" s="92" t="s">
        <v>1</v>
      </c>
      <c r="L28" s="108">
        <v>0</v>
      </c>
      <c r="M28" s="92" t="s">
        <v>72</v>
      </c>
      <c r="N28" s="110" t="e">
        <f t="shared" si="0"/>
        <v>#VALUE!</v>
      </c>
      <c r="O28" s="92" t="s">
        <v>1</v>
      </c>
      <c r="P28" s="92" t="s">
        <v>1</v>
      </c>
      <c r="Q28" s="92" t="s">
        <v>1</v>
      </c>
      <c r="R28" s="109">
        <v>0</v>
      </c>
      <c r="S28" s="92" t="s">
        <v>1</v>
      </c>
      <c r="T28" s="92" t="s">
        <v>1</v>
      </c>
      <c r="U28" s="92" t="s">
        <v>1</v>
      </c>
      <c r="V28" s="7" t="s">
        <v>72</v>
      </c>
      <c r="W28" s="92" t="s">
        <v>1</v>
      </c>
      <c r="X28" s="7" t="s">
        <v>72</v>
      </c>
      <c r="Y28" s="92" t="s">
        <v>1</v>
      </c>
      <c r="Z28" s="7" t="s">
        <v>72</v>
      </c>
      <c r="AA28" s="92" t="s">
        <v>1</v>
      </c>
      <c r="AB28" s="7" t="s">
        <v>72</v>
      </c>
      <c r="AC28" s="7">
        <v>1</v>
      </c>
      <c r="AD28" s="7" t="s">
        <v>72</v>
      </c>
      <c r="AE28" s="92" t="s">
        <v>1</v>
      </c>
      <c r="AF28" s="7" t="s">
        <v>72</v>
      </c>
      <c r="AG28" s="7">
        <v>433</v>
      </c>
      <c r="AH28" s="7" t="s">
        <v>72</v>
      </c>
      <c r="AI28" s="7">
        <v>190</v>
      </c>
      <c r="AJ28" s="7" t="s">
        <v>72</v>
      </c>
      <c r="AK28" s="7">
        <v>15</v>
      </c>
      <c r="AL28" s="7" t="s">
        <v>72</v>
      </c>
      <c r="AM28" s="7">
        <v>345</v>
      </c>
      <c r="AN28" s="7" t="s">
        <v>72</v>
      </c>
      <c r="AO28" s="7">
        <v>148</v>
      </c>
      <c r="AP28" s="7" t="s">
        <v>72</v>
      </c>
      <c r="AQ28" s="7">
        <v>121</v>
      </c>
      <c r="AR28" s="7" t="s">
        <v>72</v>
      </c>
      <c r="AS28" s="92" t="s">
        <v>1</v>
      </c>
      <c r="AT28" s="7" t="s">
        <v>72</v>
      </c>
      <c r="AU28" s="92" t="s">
        <v>1</v>
      </c>
      <c r="AV28" s="7" t="s">
        <v>72</v>
      </c>
      <c r="AW28" s="92" t="s">
        <v>1</v>
      </c>
      <c r="AX28" s="7" t="s">
        <v>72</v>
      </c>
      <c r="AY28" s="92" t="s">
        <v>1</v>
      </c>
      <c r="AZ28" s="7" t="s">
        <v>72</v>
      </c>
      <c r="BA28" s="92" t="s">
        <v>1</v>
      </c>
      <c r="BB28" s="7" t="s">
        <v>72</v>
      </c>
      <c r="BC28" s="92" t="s">
        <v>1</v>
      </c>
      <c r="BD28" s="92" t="s">
        <v>1</v>
      </c>
      <c r="BE28" s="92" t="s">
        <v>1</v>
      </c>
      <c r="BF28" s="92" t="s">
        <v>1</v>
      </c>
      <c r="BG28" s="111">
        <v>77</v>
      </c>
      <c r="BH28" s="112" t="s">
        <v>73</v>
      </c>
      <c r="BI28" s="113">
        <v>59</v>
      </c>
      <c r="BJ28" s="108">
        <v>124</v>
      </c>
      <c r="BK28" s="7" t="s">
        <v>72</v>
      </c>
      <c r="BL28" s="108" t="s">
        <v>1</v>
      </c>
      <c r="BM28" s="108" t="s">
        <v>1</v>
      </c>
      <c r="BN28" s="108" t="s">
        <v>1</v>
      </c>
      <c r="BO28" s="108" t="s">
        <v>1</v>
      </c>
      <c r="BP28" s="108" t="s">
        <v>1</v>
      </c>
      <c r="BQ28" s="108" t="s">
        <v>1</v>
      </c>
      <c r="BR28" s="108" t="s">
        <v>1</v>
      </c>
      <c r="BS28" s="108" t="s">
        <v>1</v>
      </c>
      <c r="BT28" s="108" t="s">
        <v>1</v>
      </c>
      <c r="BU28" s="108" t="s">
        <v>1</v>
      </c>
      <c r="BV28" s="108" t="s">
        <v>71</v>
      </c>
    </row>
    <row r="29" ht="21" customHeight="1" spans="1:74">
      <c r="A29" s="107">
        <v>45132</v>
      </c>
      <c r="B29" s="108" t="s">
        <v>125</v>
      </c>
      <c r="C29" s="108" t="s">
        <v>253</v>
      </c>
      <c r="D29" s="30" t="s">
        <v>1</v>
      </c>
      <c r="E29" s="30" t="s">
        <v>1</v>
      </c>
      <c r="F29" s="109">
        <v>1.7398</v>
      </c>
      <c r="G29" s="92" t="s">
        <v>72</v>
      </c>
      <c r="H29" s="92" t="s">
        <v>72</v>
      </c>
      <c r="I29" s="92" t="s">
        <v>72</v>
      </c>
      <c r="J29" s="92" t="s">
        <v>72</v>
      </c>
      <c r="K29" s="92" t="s">
        <v>1</v>
      </c>
      <c r="L29" s="116">
        <v>17568</v>
      </c>
      <c r="M29" s="92" t="s">
        <v>72</v>
      </c>
      <c r="N29" s="110" t="e">
        <f t="shared" si="0"/>
        <v>#VALUE!</v>
      </c>
      <c r="O29" s="92" t="s">
        <v>1</v>
      </c>
      <c r="P29" s="92" t="s">
        <v>1</v>
      </c>
      <c r="Q29" s="92" t="s">
        <v>1</v>
      </c>
      <c r="R29" s="109">
        <v>0</v>
      </c>
      <c r="S29" s="92" t="s">
        <v>1</v>
      </c>
      <c r="T29" s="92" t="s">
        <v>1</v>
      </c>
      <c r="U29" s="92" t="s">
        <v>1</v>
      </c>
      <c r="V29" s="7" t="s">
        <v>72</v>
      </c>
      <c r="W29" s="92" t="s">
        <v>1</v>
      </c>
      <c r="X29" s="7" t="s">
        <v>72</v>
      </c>
      <c r="Y29" s="92" t="s">
        <v>1</v>
      </c>
      <c r="Z29" s="7" t="s">
        <v>72</v>
      </c>
      <c r="AA29" s="92" t="s">
        <v>1</v>
      </c>
      <c r="AB29" s="7" t="s">
        <v>72</v>
      </c>
      <c r="AC29" s="7">
        <v>1</v>
      </c>
      <c r="AD29" s="7" t="s">
        <v>72</v>
      </c>
      <c r="AE29" s="92" t="s">
        <v>1</v>
      </c>
      <c r="AF29" s="7" t="s">
        <v>72</v>
      </c>
      <c r="AG29" s="7">
        <v>479</v>
      </c>
      <c r="AH29" s="7" t="s">
        <v>72</v>
      </c>
      <c r="AI29" s="7">
        <v>110</v>
      </c>
      <c r="AJ29" s="7" t="s">
        <v>72</v>
      </c>
      <c r="AK29" s="7">
        <v>6</v>
      </c>
      <c r="AL29" s="7" t="s">
        <v>72</v>
      </c>
      <c r="AM29" s="7">
        <v>297</v>
      </c>
      <c r="AN29" s="7" t="s">
        <v>72</v>
      </c>
      <c r="AO29" s="7">
        <v>193</v>
      </c>
      <c r="AP29" s="7" t="s">
        <v>72</v>
      </c>
      <c r="AQ29" s="7">
        <v>120</v>
      </c>
      <c r="AR29" s="7" t="s">
        <v>72</v>
      </c>
      <c r="AS29" s="92" t="s">
        <v>1</v>
      </c>
      <c r="AT29" s="7" t="s">
        <v>72</v>
      </c>
      <c r="AU29" s="92" t="s">
        <v>1</v>
      </c>
      <c r="AV29" s="7" t="s">
        <v>72</v>
      </c>
      <c r="AW29" s="92" t="s">
        <v>1</v>
      </c>
      <c r="AX29" s="7" t="s">
        <v>72</v>
      </c>
      <c r="AY29" s="92" t="s">
        <v>1</v>
      </c>
      <c r="AZ29" s="7" t="s">
        <v>72</v>
      </c>
      <c r="BA29" s="92" t="s">
        <v>1</v>
      </c>
      <c r="BB29" s="7" t="s">
        <v>72</v>
      </c>
      <c r="BC29" s="92" t="s">
        <v>1</v>
      </c>
      <c r="BD29" s="92" t="s">
        <v>1</v>
      </c>
      <c r="BE29" s="92" t="s">
        <v>1</v>
      </c>
      <c r="BF29" s="92" t="s">
        <v>1</v>
      </c>
      <c r="BG29" s="111">
        <v>74</v>
      </c>
      <c r="BH29" s="112" t="s">
        <v>94</v>
      </c>
      <c r="BI29" s="113">
        <v>38</v>
      </c>
      <c r="BJ29" s="108">
        <v>195</v>
      </c>
      <c r="BK29" s="7" t="s">
        <v>72</v>
      </c>
      <c r="BL29" s="108" t="s">
        <v>1</v>
      </c>
      <c r="BM29" s="108" t="s">
        <v>1</v>
      </c>
      <c r="BN29" s="108" t="s">
        <v>1</v>
      </c>
      <c r="BO29" s="108" t="s">
        <v>1</v>
      </c>
      <c r="BP29" s="108" t="s">
        <v>1</v>
      </c>
      <c r="BQ29" s="108" t="s">
        <v>1</v>
      </c>
      <c r="BR29" s="108" t="s">
        <v>1</v>
      </c>
      <c r="BS29" s="108" t="s">
        <v>1</v>
      </c>
      <c r="BT29" s="108" t="s">
        <v>1</v>
      </c>
      <c r="BU29" s="108" t="s">
        <v>1</v>
      </c>
      <c r="BV29" s="108" t="s">
        <v>71</v>
      </c>
    </row>
    <row r="30" ht="21" customHeight="1" spans="1:74">
      <c r="A30" s="107">
        <v>45133</v>
      </c>
      <c r="B30" s="108" t="s">
        <v>125</v>
      </c>
      <c r="C30" s="108" t="s">
        <v>1</v>
      </c>
      <c r="D30" s="30" t="s">
        <v>1</v>
      </c>
      <c r="E30" s="30" t="s">
        <v>1</v>
      </c>
      <c r="F30" s="109">
        <v>0.8699</v>
      </c>
      <c r="G30" s="92" t="s">
        <v>72</v>
      </c>
      <c r="H30" s="92" t="s">
        <v>72</v>
      </c>
      <c r="I30" s="92" t="s">
        <v>72</v>
      </c>
      <c r="J30" s="92" t="s">
        <v>72</v>
      </c>
      <c r="K30" s="92" t="s">
        <v>1</v>
      </c>
      <c r="L30" s="108">
        <v>0</v>
      </c>
      <c r="M30" s="92" t="s">
        <v>72</v>
      </c>
      <c r="N30" s="110" t="e">
        <f t="shared" si="0"/>
        <v>#VALUE!</v>
      </c>
      <c r="O30" s="92" t="s">
        <v>1</v>
      </c>
      <c r="P30" s="92" t="s">
        <v>1</v>
      </c>
      <c r="Q30" s="92" t="s">
        <v>1</v>
      </c>
      <c r="R30" s="109">
        <v>0</v>
      </c>
      <c r="S30" s="92" t="s">
        <v>1</v>
      </c>
      <c r="T30" s="92" t="s">
        <v>1</v>
      </c>
      <c r="U30" s="92" t="s">
        <v>1</v>
      </c>
      <c r="V30" s="7" t="s">
        <v>72</v>
      </c>
      <c r="W30" s="92" t="s">
        <v>1</v>
      </c>
      <c r="X30" s="7" t="s">
        <v>72</v>
      </c>
      <c r="Y30" s="92" t="s">
        <v>1</v>
      </c>
      <c r="Z30" s="7" t="s">
        <v>72</v>
      </c>
      <c r="AA30" s="92" t="s">
        <v>1</v>
      </c>
      <c r="AB30" s="7" t="s">
        <v>72</v>
      </c>
      <c r="AC30" s="7">
        <v>2</v>
      </c>
      <c r="AD30" s="7" t="s">
        <v>72</v>
      </c>
      <c r="AE30" s="92" t="s">
        <v>1</v>
      </c>
      <c r="AF30" s="7" t="s">
        <v>72</v>
      </c>
      <c r="AG30" s="7">
        <v>586</v>
      </c>
      <c r="AH30" s="7" t="s">
        <v>72</v>
      </c>
      <c r="AI30" s="7">
        <v>130</v>
      </c>
      <c r="AJ30" s="7" t="s">
        <v>72</v>
      </c>
      <c r="AK30" s="7">
        <v>17</v>
      </c>
      <c r="AL30" s="7" t="s">
        <v>72</v>
      </c>
      <c r="AM30" s="7">
        <v>351</v>
      </c>
      <c r="AN30" s="7" t="s">
        <v>72</v>
      </c>
      <c r="AO30" s="7">
        <v>212</v>
      </c>
      <c r="AP30" s="7" t="s">
        <v>72</v>
      </c>
      <c r="AQ30" s="7">
        <v>136</v>
      </c>
      <c r="AR30" s="7" t="s">
        <v>72</v>
      </c>
      <c r="AS30" s="92" t="s">
        <v>1</v>
      </c>
      <c r="AT30" s="7" t="s">
        <v>72</v>
      </c>
      <c r="AU30" s="92" t="s">
        <v>1</v>
      </c>
      <c r="AV30" s="7" t="s">
        <v>72</v>
      </c>
      <c r="AW30" s="92" t="s">
        <v>1</v>
      </c>
      <c r="AX30" s="7" t="s">
        <v>72</v>
      </c>
      <c r="AY30" s="92" t="s">
        <v>1</v>
      </c>
      <c r="AZ30" s="7" t="s">
        <v>72</v>
      </c>
      <c r="BA30" s="92" t="s">
        <v>1</v>
      </c>
      <c r="BB30" s="7" t="s">
        <v>72</v>
      </c>
      <c r="BC30" s="92" t="s">
        <v>1</v>
      </c>
      <c r="BD30" s="92" t="s">
        <v>1</v>
      </c>
      <c r="BE30" s="92" t="s">
        <v>1</v>
      </c>
      <c r="BF30" s="92" t="s">
        <v>1</v>
      </c>
      <c r="BG30" s="108" t="s">
        <v>1</v>
      </c>
      <c r="BH30" s="112" t="s">
        <v>94</v>
      </c>
      <c r="BI30" s="113">
        <v>30</v>
      </c>
      <c r="BJ30" s="108">
        <v>238</v>
      </c>
      <c r="BK30" s="7" t="s">
        <v>72</v>
      </c>
      <c r="BL30" s="108" t="s">
        <v>1</v>
      </c>
      <c r="BM30" s="108" t="s">
        <v>1</v>
      </c>
      <c r="BN30" s="108" t="s">
        <v>1</v>
      </c>
      <c r="BO30" s="108" t="s">
        <v>1</v>
      </c>
      <c r="BP30" s="108" t="s">
        <v>1</v>
      </c>
      <c r="BQ30" s="108" t="s">
        <v>1</v>
      </c>
      <c r="BR30" s="108" t="s">
        <v>1</v>
      </c>
      <c r="BS30" s="108" t="s">
        <v>1</v>
      </c>
      <c r="BT30" s="108" t="s">
        <v>1</v>
      </c>
      <c r="BU30" s="108" t="s">
        <v>1</v>
      </c>
      <c r="BV30" s="108" t="s">
        <v>71</v>
      </c>
    </row>
    <row r="31" ht="21" customHeight="1" spans="1:74">
      <c r="A31" s="107">
        <v>45134</v>
      </c>
      <c r="B31" s="108" t="s">
        <v>125</v>
      </c>
      <c r="C31" s="108" t="s">
        <v>1</v>
      </c>
      <c r="D31" s="30" t="s">
        <v>1</v>
      </c>
      <c r="E31" s="30" t="s">
        <v>1</v>
      </c>
      <c r="F31" s="109">
        <v>1.7398</v>
      </c>
      <c r="G31" s="92" t="s">
        <v>72</v>
      </c>
      <c r="H31" s="92" t="s">
        <v>72</v>
      </c>
      <c r="I31" s="92" t="s">
        <v>72</v>
      </c>
      <c r="J31" s="92" t="s">
        <v>72</v>
      </c>
      <c r="K31" s="92" t="s">
        <v>1</v>
      </c>
      <c r="L31" s="116">
        <v>10799</v>
      </c>
      <c r="M31" s="92" t="s">
        <v>72</v>
      </c>
      <c r="N31" s="110" t="e">
        <f t="shared" si="0"/>
        <v>#VALUE!</v>
      </c>
      <c r="O31" s="92" t="s">
        <v>1</v>
      </c>
      <c r="P31" s="92" t="s">
        <v>1</v>
      </c>
      <c r="Q31" s="92" t="s">
        <v>1</v>
      </c>
      <c r="R31" s="109">
        <v>0</v>
      </c>
      <c r="S31" s="92" t="s">
        <v>1</v>
      </c>
      <c r="T31" s="92" t="s">
        <v>1</v>
      </c>
      <c r="U31" s="92" t="s">
        <v>1</v>
      </c>
      <c r="V31" s="7" t="s">
        <v>72</v>
      </c>
      <c r="W31" s="92" t="s">
        <v>1</v>
      </c>
      <c r="X31" s="7" t="s">
        <v>72</v>
      </c>
      <c r="Y31" s="92" t="s">
        <v>1</v>
      </c>
      <c r="Z31" s="7" t="s">
        <v>72</v>
      </c>
      <c r="AA31" s="92" t="s">
        <v>1</v>
      </c>
      <c r="AB31" s="7" t="s">
        <v>72</v>
      </c>
      <c r="AC31" s="7">
        <v>0</v>
      </c>
      <c r="AD31" s="7" t="s">
        <v>72</v>
      </c>
      <c r="AE31" s="92" t="s">
        <v>1</v>
      </c>
      <c r="AF31" s="7" t="s">
        <v>72</v>
      </c>
      <c r="AG31" s="7">
        <v>468</v>
      </c>
      <c r="AH31" s="7" t="s">
        <v>72</v>
      </c>
      <c r="AI31" s="7">
        <v>103</v>
      </c>
      <c r="AJ31" s="7" t="s">
        <v>72</v>
      </c>
      <c r="AK31" s="7">
        <v>10</v>
      </c>
      <c r="AL31" s="7" t="s">
        <v>72</v>
      </c>
      <c r="AM31" s="7">
        <v>270</v>
      </c>
      <c r="AN31" s="7" t="s">
        <v>72</v>
      </c>
      <c r="AO31" s="7">
        <v>165</v>
      </c>
      <c r="AP31" s="7" t="s">
        <v>72</v>
      </c>
      <c r="AQ31" s="7">
        <v>124</v>
      </c>
      <c r="AR31" s="7" t="s">
        <v>72</v>
      </c>
      <c r="AS31" s="92" t="s">
        <v>1</v>
      </c>
      <c r="AT31" s="7" t="s">
        <v>72</v>
      </c>
      <c r="AU31" s="92" t="s">
        <v>1</v>
      </c>
      <c r="AV31" s="7" t="s">
        <v>72</v>
      </c>
      <c r="AW31" s="92" t="s">
        <v>1</v>
      </c>
      <c r="AX31" s="7" t="s">
        <v>72</v>
      </c>
      <c r="AY31" s="92" t="s">
        <v>1</v>
      </c>
      <c r="AZ31" s="7" t="s">
        <v>72</v>
      </c>
      <c r="BA31" s="92" t="s">
        <v>1</v>
      </c>
      <c r="BB31" s="7" t="s">
        <v>72</v>
      </c>
      <c r="BC31" s="92" t="s">
        <v>1</v>
      </c>
      <c r="BD31" s="92" t="s">
        <v>1</v>
      </c>
      <c r="BE31" s="92" t="s">
        <v>1</v>
      </c>
      <c r="BF31" s="92" t="s">
        <v>1</v>
      </c>
      <c r="BG31" s="108">
        <v>71</v>
      </c>
      <c r="BH31" s="112" t="s">
        <v>94</v>
      </c>
      <c r="BI31" s="113">
        <v>41</v>
      </c>
      <c r="BJ31" s="108">
        <v>162</v>
      </c>
      <c r="BK31" s="7" t="s">
        <v>72</v>
      </c>
      <c r="BL31" s="108" t="s">
        <v>1</v>
      </c>
      <c r="BM31" s="108" t="s">
        <v>1</v>
      </c>
      <c r="BN31" s="108" t="s">
        <v>1</v>
      </c>
      <c r="BO31" s="108" t="s">
        <v>1</v>
      </c>
      <c r="BP31" s="108" t="s">
        <v>1</v>
      </c>
      <c r="BQ31" s="108" t="s">
        <v>1</v>
      </c>
      <c r="BR31" s="108" t="s">
        <v>1</v>
      </c>
      <c r="BS31" s="108" t="s">
        <v>1</v>
      </c>
      <c r="BT31" s="108" t="s">
        <v>1</v>
      </c>
      <c r="BU31" s="108" t="s">
        <v>1</v>
      </c>
      <c r="BV31" s="108" t="s">
        <v>71</v>
      </c>
    </row>
    <row r="32" ht="21" customHeight="1" spans="1:74">
      <c r="A32" s="107">
        <v>45135</v>
      </c>
      <c r="B32" s="108" t="s">
        <v>125</v>
      </c>
      <c r="C32" s="108" t="s">
        <v>1</v>
      </c>
      <c r="D32" s="30" t="s">
        <v>1</v>
      </c>
      <c r="E32" s="30" t="s">
        <v>1</v>
      </c>
      <c r="F32" s="109">
        <v>0.8699</v>
      </c>
      <c r="G32" s="92" t="s">
        <v>72</v>
      </c>
      <c r="H32" s="92" t="s">
        <v>72</v>
      </c>
      <c r="I32" s="92" t="s">
        <v>72</v>
      </c>
      <c r="J32" s="92" t="s">
        <v>72</v>
      </c>
      <c r="K32" s="92" t="s">
        <v>1</v>
      </c>
      <c r="L32" s="116">
        <v>8699</v>
      </c>
      <c r="M32" s="92" t="s">
        <v>72</v>
      </c>
      <c r="N32" s="110" t="e">
        <f t="shared" si="0"/>
        <v>#VALUE!</v>
      </c>
      <c r="O32" s="92" t="s">
        <v>1</v>
      </c>
      <c r="P32" s="92" t="s">
        <v>1</v>
      </c>
      <c r="Q32" s="92" t="s">
        <v>1</v>
      </c>
      <c r="R32" s="109">
        <v>0</v>
      </c>
      <c r="S32" s="92" t="s">
        <v>1</v>
      </c>
      <c r="T32" s="92" t="s">
        <v>1</v>
      </c>
      <c r="U32" s="92" t="s">
        <v>1</v>
      </c>
      <c r="V32" s="7" t="s">
        <v>72</v>
      </c>
      <c r="W32" s="92" t="s">
        <v>1</v>
      </c>
      <c r="X32" s="7" t="s">
        <v>72</v>
      </c>
      <c r="Y32" s="92" t="s">
        <v>1</v>
      </c>
      <c r="Z32" s="7" t="s">
        <v>72</v>
      </c>
      <c r="AA32" s="92" t="s">
        <v>1</v>
      </c>
      <c r="AB32" s="7" t="s">
        <v>72</v>
      </c>
      <c r="AC32" s="7">
        <v>1</v>
      </c>
      <c r="AD32" s="7" t="s">
        <v>72</v>
      </c>
      <c r="AE32" s="92" t="s">
        <v>1</v>
      </c>
      <c r="AF32" s="7" t="s">
        <v>72</v>
      </c>
      <c r="AG32" s="7">
        <v>411</v>
      </c>
      <c r="AH32" s="7" t="s">
        <v>72</v>
      </c>
      <c r="AI32" s="7">
        <v>104</v>
      </c>
      <c r="AJ32" s="7" t="s">
        <v>72</v>
      </c>
      <c r="AK32" s="7">
        <v>10</v>
      </c>
      <c r="AL32" s="7" t="s">
        <v>72</v>
      </c>
      <c r="AM32" s="7">
        <v>312</v>
      </c>
      <c r="AN32" s="7" t="s">
        <v>72</v>
      </c>
      <c r="AO32" s="7">
        <v>153</v>
      </c>
      <c r="AP32" s="7" t="s">
        <v>72</v>
      </c>
      <c r="AQ32" s="7">
        <v>99</v>
      </c>
      <c r="AR32" s="7" t="s">
        <v>72</v>
      </c>
      <c r="AS32" s="92" t="s">
        <v>1</v>
      </c>
      <c r="AT32" s="7" t="s">
        <v>72</v>
      </c>
      <c r="AU32" s="92" t="s">
        <v>1</v>
      </c>
      <c r="AV32" s="7" t="s">
        <v>72</v>
      </c>
      <c r="AW32" s="92" t="s">
        <v>1</v>
      </c>
      <c r="AX32" s="7" t="s">
        <v>72</v>
      </c>
      <c r="AY32" s="92" t="s">
        <v>1</v>
      </c>
      <c r="AZ32" s="7" t="s">
        <v>72</v>
      </c>
      <c r="BA32" s="92" t="s">
        <v>1</v>
      </c>
      <c r="BB32" s="7" t="s">
        <v>72</v>
      </c>
      <c r="BC32" s="92" t="s">
        <v>1</v>
      </c>
      <c r="BD32" s="92" t="s">
        <v>1</v>
      </c>
      <c r="BE32" s="92" t="s">
        <v>1</v>
      </c>
      <c r="BF32" s="92" t="s">
        <v>1</v>
      </c>
      <c r="BG32" s="108">
        <v>68</v>
      </c>
      <c r="BH32" s="112" t="s">
        <v>94</v>
      </c>
      <c r="BI32" s="113">
        <v>41</v>
      </c>
      <c r="BJ32" s="108">
        <v>166</v>
      </c>
      <c r="BK32" s="7" t="s">
        <v>72</v>
      </c>
      <c r="BL32" s="108" t="s">
        <v>1</v>
      </c>
      <c r="BM32" s="108" t="s">
        <v>1</v>
      </c>
      <c r="BN32" s="108" t="s">
        <v>1</v>
      </c>
      <c r="BO32" s="108" t="s">
        <v>1</v>
      </c>
      <c r="BP32" s="108" t="s">
        <v>1</v>
      </c>
      <c r="BQ32" s="108" t="s">
        <v>1</v>
      </c>
      <c r="BR32" s="108" t="s">
        <v>1</v>
      </c>
      <c r="BS32" s="108" t="s">
        <v>1</v>
      </c>
      <c r="BT32" s="108" t="s">
        <v>1</v>
      </c>
      <c r="BU32" s="108" t="s">
        <v>1</v>
      </c>
      <c r="BV32" s="108" t="s">
        <v>71</v>
      </c>
    </row>
    <row r="33" ht="21" customHeight="1" spans="1:74">
      <c r="A33" s="107">
        <v>45136</v>
      </c>
      <c r="B33" s="108" t="s">
        <v>89</v>
      </c>
      <c r="C33" s="108" t="s">
        <v>75</v>
      </c>
      <c r="D33" s="30" t="s">
        <v>1</v>
      </c>
      <c r="E33" s="30" t="s">
        <v>1</v>
      </c>
      <c r="F33" s="109">
        <v>0.8699</v>
      </c>
      <c r="G33" s="92" t="s">
        <v>72</v>
      </c>
      <c r="H33" s="92" t="s">
        <v>72</v>
      </c>
      <c r="I33" s="92" t="s">
        <v>72</v>
      </c>
      <c r="J33" s="92" t="s">
        <v>72</v>
      </c>
      <c r="K33" s="92" t="s">
        <v>1</v>
      </c>
      <c r="L33" s="108">
        <v>0</v>
      </c>
      <c r="M33" s="92" t="s">
        <v>72</v>
      </c>
      <c r="N33" s="110" t="e">
        <f t="shared" si="0"/>
        <v>#VALUE!</v>
      </c>
      <c r="O33" s="92" t="s">
        <v>1</v>
      </c>
      <c r="P33" s="92" t="s">
        <v>1</v>
      </c>
      <c r="Q33" s="92" t="s">
        <v>1</v>
      </c>
      <c r="R33" s="109">
        <v>0</v>
      </c>
      <c r="S33" s="92" t="s">
        <v>1</v>
      </c>
      <c r="T33" s="92" t="s">
        <v>1</v>
      </c>
      <c r="U33" s="92" t="s">
        <v>1</v>
      </c>
      <c r="V33" s="7" t="s">
        <v>72</v>
      </c>
      <c r="W33" s="92" t="s">
        <v>1</v>
      </c>
      <c r="X33" s="7" t="s">
        <v>72</v>
      </c>
      <c r="Y33" s="92" t="s">
        <v>1</v>
      </c>
      <c r="Z33" s="7" t="s">
        <v>72</v>
      </c>
      <c r="AA33" s="92" t="s">
        <v>1</v>
      </c>
      <c r="AB33" s="7" t="s">
        <v>72</v>
      </c>
      <c r="AC33" s="7">
        <v>2</v>
      </c>
      <c r="AD33" s="7" t="s">
        <v>72</v>
      </c>
      <c r="AE33" s="92" t="s">
        <v>1</v>
      </c>
      <c r="AF33" s="7" t="s">
        <v>72</v>
      </c>
      <c r="AG33" s="119">
        <v>400</v>
      </c>
      <c r="AH33" s="7" t="s">
        <v>72</v>
      </c>
      <c r="AI33" s="119">
        <v>128</v>
      </c>
      <c r="AJ33" s="7" t="s">
        <v>72</v>
      </c>
      <c r="AK33" s="119">
        <v>10</v>
      </c>
      <c r="AL33" s="7" t="s">
        <v>72</v>
      </c>
      <c r="AM33" s="119">
        <v>341</v>
      </c>
      <c r="AN33" s="7" t="s">
        <v>72</v>
      </c>
      <c r="AO33" s="119">
        <v>190</v>
      </c>
      <c r="AP33" s="7" t="s">
        <v>72</v>
      </c>
      <c r="AQ33" s="119">
        <v>29</v>
      </c>
      <c r="AR33" s="7" t="s">
        <v>72</v>
      </c>
      <c r="AS33" s="92" t="s">
        <v>1</v>
      </c>
      <c r="AT33" s="7" t="s">
        <v>72</v>
      </c>
      <c r="AU33" s="92" t="s">
        <v>1</v>
      </c>
      <c r="AV33" s="7" t="s">
        <v>72</v>
      </c>
      <c r="AW33" s="92" t="s">
        <v>1</v>
      </c>
      <c r="AX33" s="7" t="s">
        <v>72</v>
      </c>
      <c r="AY33" s="92" t="s">
        <v>1</v>
      </c>
      <c r="AZ33" s="7" t="s">
        <v>72</v>
      </c>
      <c r="BA33" s="92" t="s">
        <v>1</v>
      </c>
      <c r="BB33" s="7" t="s">
        <v>72</v>
      </c>
      <c r="BC33" s="92" t="s">
        <v>1</v>
      </c>
      <c r="BD33" s="92" t="s">
        <v>1</v>
      </c>
      <c r="BE33" s="92" t="s">
        <v>1</v>
      </c>
      <c r="BF33" s="92" t="s">
        <v>1</v>
      </c>
      <c r="BG33" s="108" t="s">
        <v>1</v>
      </c>
      <c r="BH33" s="108" t="s">
        <v>94</v>
      </c>
      <c r="BI33" s="108">
        <v>38</v>
      </c>
      <c r="BJ33" s="108">
        <v>189</v>
      </c>
      <c r="BK33" s="7" t="s">
        <v>72</v>
      </c>
      <c r="BL33" s="108" t="s">
        <v>1</v>
      </c>
      <c r="BM33" s="108" t="s">
        <v>1</v>
      </c>
      <c r="BN33" s="108" t="s">
        <v>1</v>
      </c>
      <c r="BO33" s="108" t="s">
        <v>1</v>
      </c>
      <c r="BP33" s="108" t="s">
        <v>1</v>
      </c>
      <c r="BQ33" s="108" t="s">
        <v>1</v>
      </c>
      <c r="BR33" s="108" t="s">
        <v>1</v>
      </c>
      <c r="BS33" s="108" t="s">
        <v>1</v>
      </c>
      <c r="BT33" s="108" t="s">
        <v>1</v>
      </c>
      <c r="BU33" s="108" t="s">
        <v>1</v>
      </c>
      <c r="BV33" s="108" t="s">
        <v>71</v>
      </c>
    </row>
    <row r="34" ht="21" customHeight="1" spans="1:74">
      <c r="A34" s="107">
        <v>45137</v>
      </c>
      <c r="B34" s="108" t="s">
        <v>1</v>
      </c>
      <c r="C34" s="108" t="s">
        <v>1</v>
      </c>
      <c r="D34" s="30" t="s">
        <v>1</v>
      </c>
      <c r="E34" s="30" t="s">
        <v>1</v>
      </c>
      <c r="F34" s="92" t="str">
        <f t="shared" ref="F34:F51" si="1">E34</f>
        <v/>
      </c>
      <c r="G34" s="92" t="s">
        <v>72</v>
      </c>
      <c r="H34" s="92" t="s">
        <v>72</v>
      </c>
      <c r="I34" s="92" t="s">
        <v>72</v>
      </c>
      <c r="J34" s="92" t="s">
        <v>72</v>
      </c>
      <c r="K34" s="92" t="s">
        <v>1</v>
      </c>
      <c r="L34" s="108">
        <v>0</v>
      </c>
      <c r="M34" s="92" t="s">
        <v>72</v>
      </c>
      <c r="N34" s="110" t="e">
        <f t="shared" si="0"/>
        <v>#VALUE!</v>
      </c>
      <c r="O34" s="92">
        <v>0</v>
      </c>
      <c r="P34" s="92">
        <v>0</v>
      </c>
      <c r="Q34" s="92">
        <v>0</v>
      </c>
      <c r="R34" s="109">
        <v>0</v>
      </c>
      <c r="S34" s="92" t="s">
        <v>1</v>
      </c>
      <c r="T34" s="92" t="s">
        <v>1</v>
      </c>
      <c r="U34" s="92" t="s">
        <v>1</v>
      </c>
      <c r="V34" s="7" t="s">
        <v>72</v>
      </c>
      <c r="W34" s="92" t="s">
        <v>1</v>
      </c>
      <c r="X34" s="7" t="s">
        <v>72</v>
      </c>
      <c r="Y34" s="92" t="s">
        <v>1</v>
      </c>
      <c r="Z34" s="7" t="s">
        <v>72</v>
      </c>
      <c r="AA34" s="92" t="s">
        <v>1</v>
      </c>
      <c r="AB34" s="7" t="s">
        <v>72</v>
      </c>
      <c r="AC34" s="92" t="s">
        <v>1</v>
      </c>
      <c r="AD34" s="7" t="s">
        <v>72</v>
      </c>
      <c r="AE34" s="92" t="s">
        <v>1</v>
      </c>
      <c r="AF34" s="120" t="s">
        <v>72</v>
      </c>
      <c r="AG34" s="7">
        <v>309</v>
      </c>
      <c r="AH34" s="121" t="s">
        <v>72</v>
      </c>
      <c r="AI34" s="7">
        <v>139</v>
      </c>
      <c r="AJ34" s="121" t="s">
        <v>72</v>
      </c>
      <c r="AK34" s="7">
        <v>4</v>
      </c>
      <c r="AL34" s="121" t="s">
        <v>72</v>
      </c>
      <c r="AM34" s="7">
        <v>286</v>
      </c>
      <c r="AN34" s="121" t="s">
        <v>72</v>
      </c>
      <c r="AO34" s="7">
        <v>158</v>
      </c>
      <c r="AP34" s="121" t="s">
        <v>72</v>
      </c>
      <c r="AQ34" s="7">
        <v>34</v>
      </c>
      <c r="AR34" s="122" t="s">
        <v>72</v>
      </c>
      <c r="AS34" s="92" t="s">
        <v>1</v>
      </c>
      <c r="AT34" s="7" t="s">
        <v>72</v>
      </c>
      <c r="AU34" s="92">
        <v>0</v>
      </c>
      <c r="AV34" s="7" t="s">
        <v>72</v>
      </c>
      <c r="AW34" s="92" t="s">
        <v>1</v>
      </c>
      <c r="AX34" s="7" t="s">
        <v>72</v>
      </c>
      <c r="AY34" s="92">
        <v>0</v>
      </c>
      <c r="AZ34" s="7" t="s">
        <v>72</v>
      </c>
      <c r="BA34" s="92">
        <v>0</v>
      </c>
      <c r="BB34" s="7" t="s">
        <v>72</v>
      </c>
      <c r="BC34" s="92" t="s">
        <v>1</v>
      </c>
      <c r="BD34" s="92" t="s">
        <v>1</v>
      </c>
      <c r="BE34" s="92" t="s">
        <v>1</v>
      </c>
      <c r="BF34" s="92" t="s">
        <v>1</v>
      </c>
      <c r="BG34" s="108" t="s">
        <v>1</v>
      </c>
      <c r="BH34" s="108" t="s">
        <v>94</v>
      </c>
      <c r="BI34" s="108">
        <v>44</v>
      </c>
      <c r="BJ34" s="108">
        <v>170</v>
      </c>
      <c r="BK34" s="7" t="s">
        <v>72</v>
      </c>
      <c r="BL34" s="108" t="s">
        <v>1</v>
      </c>
      <c r="BM34" s="108" t="s">
        <v>1</v>
      </c>
      <c r="BN34" s="108" t="s">
        <v>1</v>
      </c>
      <c r="BO34" s="108" t="s">
        <v>1</v>
      </c>
      <c r="BP34" s="108" t="s">
        <v>1</v>
      </c>
      <c r="BQ34" s="108" t="s">
        <v>1</v>
      </c>
      <c r="BR34" s="108" t="s">
        <v>1</v>
      </c>
      <c r="BS34" s="108" t="s">
        <v>1</v>
      </c>
      <c r="BT34" s="108" t="s">
        <v>1</v>
      </c>
      <c r="BU34" s="108" t="s">
        <v>1</v>
      </c>
      <c r="BV34" s="108" t="s">
        <v>71</v>
      </c>
    </row>
    <row r="35" ht="21" customHeight="1" spans="1:74">
      <c r="A35" s="107">
        <v>45138</v>
      </c>
      <c r="B35" s="108" t="s">
        <v>253</v>
      </c>
      <c r="C35" s="108" t="s">
        <v>253</v>
      </c>
      <c r="D35" s="30" t="s">
        <v>1</v>
      </c>
      <c r="E35" s="30" t="s">
        <v>1</v>
      </c>
      <c r="F35" s="92" t="str">
        <f t="shared" si="1"/>
        <v/>
      </c>
      <c r="G35" s="92" t="s">
        <v>72</v>
      </c>
      <c r="H35" s="92" t="s">
        <v>72</v>
      </c>
      <c r="I35" s="92" t="s">
        <v>72</v>
      </c>
      <c r="J35" s="92" t="s">
        <v>72</v>
      </c>
      <c r="K35" s="92" t="s">
        <v>1</v>
      </c>
      <c r="L35" s="116">
        <v>10099</v>
      </c>
      <c r="M35" s="92" t="s">
        <v>72</v>
      </c>
      <c r="N35" s="110" t="e">
        <f t="shared" si="0"/>
        <v>#VALUE!</v>
      </c>
      <c r="O35" s="92" t="s">
        <v>1</v>
      </c>
      <c r="P35" s="92" t="s">
        <v>1</v>
      </c>
      <c r="Q35" s="92" t="s">
        <v>1</v>
      </c>
      <c r="R35" s="109">
        <v>0</v>
      </c>
      <c r="S35" s="92" t="s">
        <v>1</v>
      </c>
      <c r="T35" s="92" t="s">
        <v>1</v>
      </c>
      <c r="U35" s="92" t="s">
        <v>1</v>
      </c>
      <c r="V35" s="7" t="s">
        <v>72</v>
      </c>
      <c r="W35" s="92" t="s">
        <v>1</v>
      </c>
      <c r="X35" s="7" t="s">
        <v>72</v>
      </c>
      <c r="Y35" s="92" t="s">
        <v>1</v>
      </c>
      <c r="Z35" s="7" t="s">
        <v>72</v>
      </c>
      <c r="AA35" s="92" t="s">
        <v>1</v>
      </c>
      <c r="AB35" s="7" t="s">
        <v>72</v>
      </c>
      <c r="AC35" s="92" t="s">
        <v>1</v>
      </c>
      <c r="AD35" s="7" t="s">
        <v>72</v>
      </c>
      <c r="AE35" s="92" t="s">
        <v>1</v>
      </c>
      <c r="AF35" s="120" t="s">
        <v>72</v>
      </c>
      <c r="AG35" s="7">
        <v>355</v>
      </c>
      <c r="AH35" s="121" t="s">
        <v>72</v>
      </c>
      <c r="AI35" s="7">
        <v>132</v>
      </c>
      <c r="AJ35" s="121" t="s">
        <v>72</v>
      </c>
      <c r="AK35" s="7" t="s">
        <v>1</v>
      </c>
      <c r="AL35" s="121" t="s">
        <v>72</v>
      </c>
      <c r="AM35" s="7">
        <v>306</v>
      </c>
      <c r="AN35" s="121" t="s">
        <v>72</v>
      </c>
      <c r="AO35" s="7">
        <v>180</v>
      </c>
      <c r="AP35" s="121" t="s">
        <v>72</v>
      </c>
      <c r="AQ35" s="7">
        <v>35</v>
      </c>
      <c r="AR35" s="122" t="s">
        <v>72</v>
      </c>
      <c r="AS35" s="92" t="s">
        <v>1</v>
      </c>
      <c r="AT35" s="7" t="s">
        <v>72</v>
      </c>
      <c r="AU35" s="92" t="s">
        <v>1</v>
      </c>
      <c r="AV35" s="7" t="s">
        <v>72</v>
      </c>
      <c r="AW35" s="92" t="s">
        <v>1</v>
      </c>
      <c r="AX35" s="7" t="s">
        <v>72</v>
      </c>
      <c r="AY35" s="92" t="s">
        <v>1</v>
      </c>
      <c r="AZ35" s="7" t="s">
        <v>72</v>
      </c>
      <c r="BA35" s="92" t="s">
        <v>1</v>
      </c>
      <c r="BB35" s="7" t="s">
        <v>72</v>
      </c>
      <c r="BC35" s="92" t="s">
        <v>1</v>
      </c>
      <c r="BD35" s="92" t="s">
        <v>1</v>
      </c>
      <c r="BE35" s="92" t="s">
        <v>1</v>
      </c>
      <c r="BF35" s="92" t="s">
        <v>1</v>
      </c>
      <c r="BG35" s="108">
        <v>69</v>
      </c>
      <c r="BH35" s="108" t="s">
        <v>94</v>
      </c>
      <c r="BI35" s="108">
        <v>39</v>
      </c>
      <c r="BJ35" s="108">
        <v>177</v>
      </c>
      <c r="BK35" s="7" t="s">
        <v>72</v>
      </c>
      <c r="BL35" s="108" t="s">
        <v>1</v>
      </c>
      <c r="BM35" s="108" t="s">
        <v>1</v>
      </c>
      <c r="BN35" s="108" t="s">
        <v>1</v>
      </c>
      <c r="BO35" s="108" t="s">
        <v>1</v>
      </c>
      <c r="BP35" s="108" t="s">
        <v>1</v>
      </c>
      <c r="BQ35" s="108" t="s">
        <v>1</v>
      </c>
      <c r="BR35" s="108" t="s">
        <v>1</v>
      </c>
      <c r="BS35" s="108" t="s">
        <v>1</v>
      </c>
      <c r="BT35" s="108" t="s">
        <v>1</v>
      </c>
      <c r="BU35" s="108" t="s">
        <v>1</v>
      </c>
      <c r="BV35" s="108" t="s">
        <v>71</v>
      </c>
    </row>
    <row r="36" ht="25" customHeight="1" spans="1:74">
      <c r="A36" s="107">
        <v>45139</v>
      </c>
      <c r="B36" s="108" t="s">
        <v>125</v>
      </c>
      <c r="C36" s="109" t="s">
        <v>125</v>
      </c>
      <c r="D36" s="30" t="s">
        <v>1</v>
      </c>
      <c r="E36" s="30" t="s">
        <v>1</v>
      </c>
      <c r="F36" s="92" t="str">
        <f t="shared" si="1"/>
        <v/>
      </c>
      <c r="G36" s="92" t="s">
        <v>72</v>
      </c>
      <c r="H36" s="92" t="s">
        <v>72</v>
      </c>
      <c r="I36" s="92" t="s">
        <v>72</v>
      </c>
      <c r="J36" s="92" t="s">
        <v>72</v>
      </c>
      <c r="K36" s="92" t="s">
        <v>1</v>
      </c>
      <c r="L36" s="116">
        <v>98</v>
      </c>
      <c r="M36" s="92" t="s">
        <v>72</v>
      </c>
      <c r="N36" s="110" t="e">
        <f t="shared" si="0"/>
        <v>#VALUE!</v>
      </c>
      <c r="O36" s="92">
        <v>0</v>
      </c>
      <c r="P36" s="92">
        <v>0</v>
      </c>
      <c r="Q36" s="92">
        <v>0</v>
      </c>
      <c r="R36" s="92" t="s">
        <v>1</v>
      </c>
      <c r="S36" s="92" t="s">
        <v>1</v>
      </c>
      <c r="T36" s="92" t="s">
        <v>1</v>
      </c>
      <c r="U36" s="92" t="s">
        <v>1</v>
      </c>
      <c r="V36" s="7" t="s">
        <v>72</v>
      </c>
      <c r="W36" s="92" t="s">
        <v>1</v>
      </c>
      <c r="X36" s="7" t="s">
        <v>72</v>
      </c>
      <c r="Y36" s="92" t="s">
        <v>1</v>
      </c>
      <c r="Z36" s="7" t="s">
        <v>72</v>
      </c>
      <c r="AA36" s="92" t="s">
        <v>1</v>
      </c>
      <c r="AB36" s="7" t="s">
        <v>72</v>
      </c>
      <c r="AC36" s="92" t="s">
        <v>1</v>
      </c>
      <c r="AD36" s="7" t="s">
        <v>72</v>
      </c>
      <c r="AE36" s="92" t="s">
        <v>1</v>
      </c>
      <c r="AF36" s="120" t="s">
        <v>72</v>
      </c>
      <c r="AG36" s="7">
        <v>402</v>
      </c>
      <c r="AH36" s="121" t="s">
        <v>72</v>
      </c>
      <c r="AI36" s="7">
        <v>244</v>
      </c>
      <c r="AJ36" s="121" t="s">
        <v>72</v>
      </c>
      <c r="AK36" s="7">
        <v>4</v>
      </c>
      <c r="AL36" s="121" t="s">
        <v>72</v>
      </c>
      <c r="AM36" s="7">
        <v>804</v>
      </c>
      <c r="AN36" s="121" t="s">
        <v>72</v>
      </c>
      <c r="AO36" s="7">
        <v>188</v>
      </c>
      <c r="AP36" s="121" t="s">
        <v>72</v>
      </c>
      <c r="AQ36" s="7">
        <v>45</v>
      </c>
      <c r="AR36" s="122" t="s">
        <v>72</v>
      </c>
      <c r="AS36" s="123">
        <v>0.0022</v>
      </c>
      <c r="AT36" s="7" t="s">
        <v>72</v>
      </c>
      <c r="AU36" s="92" t="s">
        <v>1</v>
      </c>
      <c r="AV36" s="7" t="s">
        <v>72</v>
      </c>
      <c r="AW36" s="92" t="s">
        <v>1</v>
      </c>
      <c r="AX36" s="7" t="s">
        <v>72</v>
      </c>
      <c r="AY36" s="92" t="s">
        <v>1</v>
      </c>
      <c r="AZ36" s="7" t="s">
        <v>72</v>
      </c>
      <c r="BA36" s="92" t="s">
        <v>1</v>
      </c>
      <c r="BB36" s="7" t="s">
        <v>72</v>
      </c>
      <c r="BC36" s="92" t="s">
        <v>1</v>
      </c>
      <c r="BD36" s="92" t="s">
        <v>1</v>
      </c>
      <c r="BE36" s="92" t="s">
        <v>1</v>
      </c>
      <c r="BF36" s="92" t="s">
        <v>1</v>
      </c>
      <c r="BG36" s="108">
        <v>66</v>
      </c>
      <c r="BH36" s="108" t="s">
        <v>94</v>
      </c>
      <c r="BI36" s="92">
        <v>45</v>
      </c>
      <c r="BJ36" s="92">
        <v>162</v>
      </c>
      <c r="BK36" s="7" t="s">
        <v>72</v>
      </c>
      <c r="BL36" s="92" t="s">
        <v>1</v>
      </c>
      <c r="BM36" s="92" t="s">
        <v>1</v>
      </c>
      <c r="BN36" s="92" t="s">
        <v>1</v>
      </c>
      <c r="BO36" s="92" t="s">
        <v>1</v>
      </c>
      <c r="BP36" s="92" t="s">
        <v>1</v>
      </c>
      <c r="BQ36" s="92" t="s">
        <v>1</v>
      </c>
      <c r="BR36" s="92" t="s">
        <v>1</v>
      </c>
      <c r="BS36" s="92" t="s">
        <v>1</v>
      </c>
      <c r="BT36" s="92" t="s">
        <v>1</v>
      </c>
      <c r="BU36" s="92" t="s">
        <v>1</v>
      </c>
      <c r="BV36" s="92" t="s">
        <v>1</v>
      </c>
    </row>
    <row r="37" ht="25" customHeight="1" spans="1:74">
      <c r="A37" s="107">
        <v>45140</v>
      </c>
      <c r="B37" s="108" t="s">
        <v>125</v>
      </c>
      <c r="C37" s="109" t="s">
        <v>75</v>
      </c>
      <c r="D37" s="30" t="s">
        <v>1</v>
      </c>
      <c r="E37" s="30" t="s">
        <v>1</v>
      </c>
      <c r="F37" s="92" t="str">
        <f t="shared" si="1"/>
        <v/>
      </c>
      <c r="G37" s="92" t="s">
        <v>72</v>
      </c>
      <c r="H37" s="92" t="s">
        <v>72</v>
      </c>
      <c r="I37" s="92" t="s">
        <v>72</v>
      </c>
      <c r="J37" s="92" t="s">
        <v>72</v>
      </c>
      <c r="K37" s="92" t="s">
        <v>1</v>
      </c>
      <c r="L37" s="116">
        <v>17398</v>
      </c>
      <c r="M37" s="92" t="s">
        <v>72</v>
      </c>
      <c r="N37" s="110" t="e">
        <f t="shared" si="0"/>
        <v>#VALUE!</v>
      </c>
      <c r="O37" s="92" t="s">
        <v>1</v>
      </c>
      <c r="P37" s="92" t="s">
        <v>1</v>
      </c>
      <c r="Q37" s="92" t="s">
        <v>1</v>
      </c>
      <c r="R37" s="92" t="s">
        <v>1</v>
      </c>
      <c r="S37" s="92" t="s">
        <v>1</v>
      </c>
      <c r="T37" s="92" t="s">
        <v>1</v>
      </c>
      <c r="U37" s="92" t="s">
        <v>1</v>
      </c>
      <c r="V37" s="7" t="s">
        <v>72</v>
      </c>
      <c r="W37" s="92" t="s">
        <v>1</v>
      </c>
      <c r="X37" s="7" t="s">
        <v>72</v>
      </c>
      <c r="Y37" s="92" t="s">
        <v>1</v>
      </c>
      <c r="Z37" s="7" t="s">
        <v>72</v>
      </c>
      <c r="AA37" s="92" t="s">
        <v>1</v>
      </c>
      <c r="AB37" s="7" t="s">
        <v>72</v>
      </c>
      <c r="AC37" s="92" t="s">
        <v>1</v>
      </c>
      <c r="AD37" s="7" t="s">
        <v>72</v>
      </c>
      <c r="AE37" s="92" t="s">
        <v>1</v>
      </c>
      <c r="AF37" s="120" t="s">
        <v>72</v>
      </c>
      <c r="AG37" s="7">
        <v>379</v>
      </c>
      <c r="AH37" s="121" t="s">
        <v>72</v>
      </c>
      <c r="AI37" s="7">
        <v>290</v>
      </c>
      <c r="AJ37" s="121" t="s">
        <v>72</v>
      </c>
      <c r="AK37" s="7">
        <v>4</v>
      </c>
      <c r="AL37" s="121" t="s">
        <v>72</v>
      </c>
      <c r="AM37" s="7">
        <v>714</v>
      </c>
      <c r="AN37" s="121" t="s">
        <v>72</v>
      </c>
      <c r="AO37" s="7">
        <v>170</v>
      </c>
      <c r="AP37" s="121" t="s">
        <v>72</v>
      </c>
      <c r="AQ37" s="7">
        <v>43</v>
      </c>
      <c r="AR37" s="122" t="s">
        <v>72</v>
      </c>
      <c r="AS37" s="92" t="s">
        <v>1</v>
      </c>
      <c r="AT37" s="7" t="s">
        <v>72</v>
      </c>
      <c r="AU37" s="92" t="s">
        <v>1</v>
      </c>
      <c r="AV37" s="7" t="s">
        <v>72</v>
      </c>
      <c r="AW37" s="92" t="s">
        <v>1</v>
      </c>
      <c r="AX37" s="7" t="s">
        <v>72</v>
      </c>
      <c r="AY37" s="92" t="s">
        <v>1</v>
      </c>
      <c r="AZ37" s="7" t="s">
        <v>72</v>
      </c>
      <c r="BA37" s="92" t="s">
        <v>1</v>
      </c>
      <c r="BB37" s="7" t="s">
        <v>72</v>
      </c>
      <c r="BC37" s="92" t="s">
        <v>1</v>
      </c>
      <c r="BD37" s="92" t="s">
        <v>1</v>
      </c>
      <c r="BE37" s="92" t="s">
        <v>1</v>
      </c>
      <c r="BF37" s="92" t="s">
        <v>1</v>
      </c>
      <c r="BG37" s="108">
        <v>81</v>
      </c>
      <c r="BH37" s="108" t="s">
        <v>73</v>
      </c>
      <c r="BI37" s="92">
        <v>54</v>
      </c>
      <c r="BJ37" s="92">
        <v>133</v>
      </c>
      <c r="BK37" s="7" t="s">
        <v>72</v>
      </c>
      <c r="BL37" s="92" t="s">
        <v>264</v>
      </c>
      <c r="BM37" s="92" t="s">
        <v>265</v>
      </c>
      <c r="BN37" s="92" t="s">
        <v>266</v>
      </c>
      <c r="BO37" s="92" t="s">
        <v>267</v>
      </c>
      <c r="BP37" s="92" t="s">
        <v>268</v>
      </c>
      <c r="BQ37" s="92" t="s">
        <v>269</v>
      </c>
      <c r="BR37" s="92" t="s">
        <v>270</v>
      </c>
      <c r="BS37" s="92" t="s">
        <v>271</v>
      </c>
      <c r="BT37" s="92" t="s">
        <v>272</v>
      </c>
      <c r="BU37" s="92" t="s">
        <v>273</v>
      </c>
      <c r="BV37" s="92" t="s">
        <v>1</v>
      </c>
    </row>
    <row r="38" ht="25" customHeight="1" spans="1:74">
      <c r="A38" s="107">
        <v>45141</v>
      </c>
      <c r="B38" s="108" t="s">
        <v>125</v>
      </c>
      <c r="C38" s="109" t="s">
        <v>253</v>
      </c>
      <c r="D38" s="30" t="s">
        <v>1</v>
      </c>
      <c r="E38" s="30" t="s">
        <v>1</v>
      </c>
      <c r="F38" s="92" t="str">
        <f t="shared" si="1"/>
        <v/>
      </c>
      <c r="G38" s="92" t="s">
        <v>72</v>
      </c>
      <c r="H38" s="92" t="s">
        <v>72</v>
      </c>
      <c r="I38" s="92" t="s">
        <v>72</v>
      </c>
      <c r="J38" s="92" t="s">
        <v>72</v>
      </c>
      <c r="K38" s="92" t="s">
        <v>1</v>
      </c>
      <c r="L38" s="108">
        <v>0</v>
      </c>
      <c r="M38" s="92" t="s">
        <v>72</v>
      </c>
      <c r="N38" s="110" t="e">
        <f t="shared" si="0"/>
        <v>#VALUE!</v>
      </c>
      <c r="O38" s="92" t="s">
        <v>1</v>
      </c>
      <c r="P38" s="92" t="s">
        <v>1</v>
      </c>
      <c r="Q38" s="92" t="s">
        <v>1</v>
      </c>
      <c r="R38" s="92" t="s">
        <v>1</v>
      </c>
      <c r="S38" s="92" t="s">
        <v>1</v>
      </c>
      <c r="T38" s="92" t="s">
        <v>1</v>
      </c>
      <c r="U38" s="92" t="s">
        <v>1</v>
      </c>
      <c r="V38" s="7" t="s">
        <v>72</v>
      </c>
      <c r="W38" s="92" t="s">
        <v>1</v>
      </c>
      <c r="X38" s="7" t="s">
        <v>72</v>
      </c>
      <c r="Y38" s="92" t="s">
        <v>1</v>
      </c>
      <c r="Z38" s="7" t="s">
        <v>72</v>
      </c>
      <c r="AA38" s="92" t="s">
        <v>1</v>
      </c>
      <c r="AB38" s="7" t="s">
        <v>72</v>
      </c>
      <c r="AC38" s="92" t="s">
        <v>1</v>
      </c>
      <c r="AD38" s="7" t="s">
        <v>72</v>
      </c>
      <c r="AE38" s="92" t="s">
        <v>1</v>
      </c>
      <c r="AF38" s="120" t="s">
        <v>72</v>
      </c>
      <c r="AG38" s="7">
        <v>411</v>
      </c>
      <c r="AH38" s="121" t="s">
        <v>72</v>
      </c>
      <c r="AI38" s="7">
        <v>324</v>
      </c>
      <c r="AJ38" s="121" t="s">
        <v>72</v>
      </c>
      <c r="AK38" s="7">
        <v>4</v>
      </c>
      <c r="AL38" s="121" t="s">
        <v>72</v>
      </c>
      <c r="AM38" s="7">
        <v>608</v>
      </c>
      <c r="AN38" s="121" t="s">
        <v>72</v>
      </c>
      <c r="AO38" s="7">
        <v>204</v>
      </c>
      <c r="AP38" s="121" t="s">
        <v>72</v>
      </c>
      <c r="AQ38" s="7">
        <v>39</v>
      </c>
      <c r="AR38" s="122" t="s">
        <v>72</v>
      </c>
      <c r="AS38" s="92" t="s">
        <v>1</v>
      </c>
      <c r="AT38" s="7" t="s">
        <v>72</v>
      </c>
      <c r="AU38" s="92" t="s">
        <v>1</v>
      </c>
      <c r="AV38" s="7" t="s">
        <v>72</v>
      </c>
      <c r="AW38" s="92" t="s">
        <v>1</v>
      </c>
      <c r="AX38" s="7" t="s">
        <v>72</v>
      </c>
      <c r="AY38" s="92" t="s">
        <v>1</v>
      </c>
      <c r="AZ38" s="7" t="s">
        <v>72</v>
      </c>
      <c r="BA38" s="92" t="s">
        <v>1</v>
      </c>
      <c r="BB38" s="7" t="s">
        <v>72</v>
      </c>
      <c r="BC38" s="92" t="s">
        <v>1</v>
      </c>
      <c r="BD38" s="92" t="s">
        <v>1</v>
      </c>
      <c r="BE38" s="92" t="s">
        <v>1</v>
      </c>
      <c r="BF38" s="92" t="s">
        <v>1</v>
      </c>
      <c r="BG38" s="108">
        <v>82</v>
      </c>
      <c r="BH38" s="108" t="s">
        <v>94</v>
      </c>
      <c r="BI38" s="92">
        <v>41</v>
      </c>
      <c r="BJ38" s="92">
        <v>160</v>
      </c>
      <c r="BK38" s="7" t="s">
        <v>72</v>
      </c>
      <c r="BL38" s="92" t="s">
        <v>1</v>
      </c>
      <c r="BM38" s="92" t="s">
        <v>1</v>
      </c>
      <c r="BN38" s="92" t="s">
        <v>1</v>
      </c>
      <c r="BO38" s="92" t="s">
        <v>1</v>
      </c>
      <c r="BP38" s="92" t="s">
        <v>1</v>
      </c>
      <c r="BQ38" s="92" t="s">
        <v>1</v>
      </c>
      <c r="BR38" s="92" t="s">
        <v>1</v>
      </c>
      <c r="BS38" s="92" t="s">
        <v>1</v>
      </c>
      <c r="BT38" s="92" t="s">
        <v>1</v>
      </c>
      <c r="BU38" s="92" t="s">
        <v>1</v>
      </c>
      <c r="BV38" s="92" t="s">
        <v>1</v>
      </c>
    </row>
    <row r="39" ht="25" customHeight="1" spans="1:74">
      <c r="A39" s="107">
        <v>45142</v>
      </c>
      <c r="B39" s="108" t="s">
        <v>125</v>
      </c>
      <c r="C39" s="109" t="s">
        <v>125</v>
      </c>
      <c r="D39" s="30" t="s">
        <v>1</v>
      </c>
      <c r="E39" s="30" t="s">
        <v>1</v>
      </c>
      <c r="F39" s="92" t="str">
        <f t="shared" si="1"/>
        <v/>
      </c>
      <c r="G39" s="92" t="s">
        <v>72</v>
      </c>
      <c r="H39" s="92" t="s">
        <v>72</v>
      </c>
      <c r="I39" s="92" t="s">
        <v>72</v>
      </c>
      <c r="J39" s="92" t="s">
        <v>72</v>
      </c>
      <c r="K39" s="92" t="s">
        <v>1</v>
      </c>
      <c r="L39" s="108">
        <v>0</v>
      </c>
      <c r="M39" s="92" t="s">
        <v>72</v>
      </c>
      <c r="N39" s="110" t="e">
        <f t="shared" si="0"/>
        <v>#VALUE!</v>
      </c>
      <c r="O39" s="92" t="s">
        <v>1</v>
      </c>
      <c r="P39" s="92" t="s">
        <v>1</v>
      </c>
      <c r="Q39" s="92" t="s">
        <v>1</v>
      </c>
      <c r="R39" s="92" t="s">
        <v>1</v>
      </c>
      <c r="S39" s="92" t="s">
        <v>1</v>
      </c>
      <c r="T39" s="92" t="s">
        <v>1</v>
      </c>
      <c r="U39" s="92" t="s">
        <v>1</v>
      </c>
      <c r="V39" s="7" t="s">
        <v>72</v>
      </c>
      <c r="W39" s="92" t="s">
        <v>1</v>
      </c>
      <c r="X39" s="7" t="s">
        <v>72</v>
      </c>
      <c r="Y39" s="92" t="s">
        <v>1</v>
      </c>
      <c r="Z39" s="7" t="s">
        <v>72</v>
      </c>
      <c r="AA39" s="92" t="s">
        <v>1</v>
      </c>
      <c r="AB39" s="7" t="s">
        <v>72</v>
      </c>
      <c r="AC39" s="92" t="s">
        <v>1</v>
      </c>
      <c r="AD39" s="7" t="s">
        <v>72</v>
      </c>
      <c r="AE39" s="92" t="s">
        <v>1</v>
      </c>
      <c r="AF39" s="120" t="s">
        <v>72</v>
      </c>
      <c r="AG39" s="7">
        <v>427</v>
      </c>
      <c r="AH39" s="121" t="s">
        <v>72</v>
      </c>
      <c r="AI39" s="7">
        <v>311</v>
      </c>
      <c r="AJ39" s="121" t="s">
        <v>72</v>
      </c>
      <c r="AK39" s="7">
        <v>1</v>
      </c>
      <c r="AL39" s="121" t="s">
        <v>72</v>
      </c>
      <c r="AM39" s="7">
        <v>840</v>
      </c>
      <c r="AN39" s="121" t="s">
        <v>72</v>
      </c>
      <c r="AO39" s="7">
        <v>183</v>
      </c>
      <c r="AP39" s="121" t="s">
        <v>72</v>
      </c>
      <c r="AQ39" s="7">
        <v>45</v>
      </c>
      <c r="AR39" s="122" t="s">
        <v>72</v>
      </c>
      <c r="AS39" s="92" t="s">
        <v>1</v>
      </c>
      <c r="AT39" s="7" t="s">
        <v>72</v>
      </c>
      <c r="AU39" s="92" t="s">
        <v>1</v>
      </c>
      <c r="AV39" s="7" t="s">
        <v>72</v>
      </c>
      <c r="AW39" s="92" t="s">
        <v>1</v>
      </c>
      <c r="AX39" s="7" t="s">
        <v>72</v>
      </c>
      <c r="AY39" s="92" t="s">
        <v>1</v>
      </c>
      <c r="AZ39" s="7" t="s">
        <v>72</v>
      </c>
      <c r="BA39" s="92" t="s">
        <v>1</v>
      </c>
      <c r="BB39" s="7" t="s">
        <v>72</v>
      </c>
      <c r="BC39" s="92" t="s">
        <v>1</v>
      </c>
      <c r="BD39" s="92" t="s">
        <v>1</v>
      </c>
      <c r="BE39" s="92" t="s">
        <v>1</v>
      </c>
      <c r="BF39" s="92" t="s">
        <v>1</v>
      </c>
      <c r="BG39" s="108">
        <v>82</v>
      </c>
      <c r="BH39" s="108" t="s">
        <v>73</v>
      </c>
      <c r="BI39" s="92">
        <v>71</v>
      </c>
      <c r="BJ39" s="92">
        <v>100</v>
      </c>
      <c r="BK39" s="7" t="s">
        <v>72</v>
      </c>
      <c r="BL39" s="92" t="s">
        <v>1</v>
      </c>
      <c r="BM39" s="92" t="s">
        <v>1</v>
      </c>
      <c r="BN39" s="92" t="s">
        <v>1</v>
      </c>
      <c r="BO39" s="92" t="s">
        <v>1</v>
      </c>
      <c r="BP39" s="92" t="s">
        <v>1</v>
      </c>
      <c r="BQ39" s="92" t="s">
        <v>1</v>
      </c>
      <c r="BR39" s="92" t="s">
        <v>1</v>
      </c>
      <c r="BS39" s="92" t="s">
        <v>1</v>
      </c>
      <c r="BT39" s="92" t="s">
        <v>1</v>
      </c>
      <c r="BU39" s="92" t="s">
        <v>1</v>
      </c>
      <c r="BV39" s="92" t="s">
        <v>1</v>
      </c>
    </row>
    <row r="40" ht="25" customHeight="1" spans="1:74">
      <c r="A40" s="107">
        <v>45143</v>
      </c>
      <c r="B40" s="109" t="s">
        <v>274</v>
      </c>
      <c r="C40" s="109" t="s">
        <v>125</v>
      </c>
      <c r="D40" s="30" t="s">
        <v>1</v>
      </c>
      <c r="E40" s="30" t="s">
        <v>1</v>
      </c>
      <c r="F40" s="92" t="str">
        <f t="shared" si="1"/>
        <v/>
      </c>
      <c r="G40" s="92" t="s">
        <v>72</v>
      </c>
      <c r="H40" s="92" t="s">
        <v>72</v>
      </c>
      <c r="I40" s="92" t="s">
        <v>72</v>
      </c>
      <c r="J40" s="92" t="s">
        <v>72</v>
      </c>
      <c r="K40" s="92" t="s">
        <v>1</v>
      </c>
      <c r="L40" s="108">
        <v>0</v>
      </c>
      <c r="M40" s="92" t="s">
        <v>72</v>
      </c>
      <c r="N40" s="110" t="e">
        <f t="shared" si="0"/>
        <v>#VALUE!</v>
      </c>
      <c r="O40" s="92" t="s">
        <v>1</v>
      </c>
      <c r="P40" s="92" t="s">
        <v>1</v>
      </c>
      <c r="Q40" s="92" t="s">
        <v>1</v>
      </c>
      <c r="R40" s="92" t="s">
        <v>1</v>
      </c>
      <c r="S40" s="92" t="s">
        <v>1</v>
      </c>
      <c r="T40" s="92" t="s">
        <v>1</v>
      </c>
      <c r="U40" s="92" t="s">
        <v>1</v>
      </c>
      <c r="V40" s="7" t="s">
        <v>72</v>
      </c>
      <c r="W40" s="92" t="s">
        <v>1</v>
      </c>
      <c r="X40" s="7" t="s">
        <v>72</v>
      </c>
      <c r="Y40" s="92" t="s">
        <v>1</v>
      </c>
      <c r="Z40" s="7" t="s">
        <v>72</v>
      </c>
      <c r="AA40" s="92" t="s">
        <v>1</v>
      </c>
      <c r="AB40" s="7" t="s">
        <v>72</v>
      </c>
      <c r="AC40" s="92" t="s">
        <v>1</v>
      </c>
      <c r="AD40" s="7" t="s">
        <v>72</v>
      </c>
      <c r="AE40" s="92" t="s">
        <v>1</v>
      </c>
      <c r="AF40" s="120" t="s">
        <v>72</v>
      </c>
      <c r="AG40" s="7">
        <v>408</v>
      </c>
      <c r="AH40" s="121" t="s">
        <v>72</v>
      </c>
      <c r="AI40" s="7">
        <v>270</v>
      </c>
      <c r="AJ40" s="121" t="s">
        <v>72</v>
      </c>
      <c r="AK40" s="7">
        <v>1</v>
      </c>
      <c r="AL40" s="121" t="s">
        <v>72</v>
      </c>
      <c r="AM40" s="7">
        <v>722</v>
      </c>
      <c r="AN40" s="121" t="s">
        <v>72</v>
      </c>
      <c r="AO40" s="7">
        <v>179</v>
      </c>
      <c r="AP40" s="121" t="s">
        <v>72</v>
      </c>
      <c r="AQ40" s="7">
        <v>48</v>
      </c>
      <c r="AR40" s="122" t="s">
        <v>72</v>
      </c>
      <c r="AS40" s="92" t="s">
        <v>1</v>
      </c>
      <c r="AT40" s="7" t="s">
        <v>72</v>
      </c>
      <c r="AU40" s="92" t="s">
        <v>1</v>
      </c>
      <c r="AV40" s="7" t="s">
        <v>72</v>
      </c>
      <c r="AW40" s="92" t="s">
        <v>1</v>
      </c>
      <c r="AX40" s="7" t="s">
        <v>72</v>
      </c>
      <c r="AY40" s="92" t="s">
        <v>1</v>
      </c>
      <c r="AZ40" s="7" t="s">
        <v>72</v>
      </c>
      <c r="BA40" s="92" t="s">
        <v>1</v>
      </c>
      <c r="BB40" s="7" t="s">
        <v>72</v>
      </c>
      <c r="BC40" s="92" t="s">
        <v>1</v>
      </c>
      <c r="BD40" s="92" t="s">
        <v>1</v>
      </c>
      <c r="BE40" s="92" t="s">
        <v>1</v>
      </c>
      <c r="BF40" s="92" t="s">
        <v>1</v>
      </c>
      <c r="BG40" s="108">
        <v>80</v>
      </c>
      <c r="BH40" s="108" t="s">
        <v>94</v>
      </c>
      <c r="BI40" s="92">
        <v>50</v>
      </c>
      <c r="BJ40" s="92">
        <v>159</v>
      </c>
      <c r="BK40" s="7" t="s">
        <v>72</v>
      </c>
      <c r="BL40" s="92" t="s">
        <v>1</v>
      </c>
      <c r="BM40" s="92" t="s">
        <v>1</v>
      </c>
      <c r="BN40" s="92" t="s">
        <v>1</v>
      </c>
      <c r="BO40" s="92" t="s">
        <v>1</v>
      </c>
      <c r="BP40" s="92" t="s">
        <v>1</v>
      </c>
      <c r="BQ40" s="92" t="s">
        <v>1</v>
      </c>
      <c r="BR40" s="92" t="s">
        <v>1</v>
      </c>
      <c r="BS40" s="92" t="s">
        <v>1</v>
      </c>
      <c r="BT40" s="92" t="s">
        <v>1</v>
      </c>
      <c r="BU40" s="92" t="s">
        <v>1</v>
      </c>
      <c r="BV40" s="92" t="s">
        <v>1</v>
      </c>
    </row>
    <row r="41" ht="25" customHeight="1" spans="1:74">
      <c r="A41" s="107">
        <v>45144</v>
      </c>
      <c r="B41" s="109" t="s">
        <v>1</v>
      </c>
      <c r="C41" s="108" t="s">
        <v>75</v>
      </c>
      <c r="D41" s="30" t="s">
        <v>1</v>
      </c>
      <c r="E41" s="30" t="s">
        <v>1</v>
      </c>
      <c r="F41" s="92" t="str">
        <f t="shared" si="1"/>
        <v/>
      </c>
      <c r="G41" s="92" t="s">
        <v>72</v>
      </c>
      <c r="H41" s="92" t="s">
        <v>72</v>
      </c>
      <c r="I41" s="92" t="s">
        <v>72</v>
      </c>
      <c r="J41" s="92" t="s">
        <v>72</v>
      </c>
      <c r="K41" s="92" t="s">
        <v>1</v>
      </c>
      <c r="L41" s="108">
        <v>98</v>
      </c>
      <c r="M41" s="92" t="s">
        <v>72</v>
      </c>
      <c r="N41" s="110" t="e">
        <f t="shared" si="0"/>
        <v>#VALUE!</v>
      </c>
      <c r="O41" s="92" t="s">
        <v>1</v>
      </c>
      <c r="P41" s="92" t="s">
        <v>1</v>
      </c>
      <c r="Q41" s="92" t="s">
        <v>1</v>
      </c>
      <c r="R41" s="92" t="s">
        <v>1</v>
      </c>
      <c r="S41" s="92" t="s">
        <v>1</v>
      </c>
      <c r="T41" s="92" t="s">
        <v>1</v>
      </c>
      <c r="U41" s="92" t="s">
        <v>1</v>
      </c>
      <c r="V41" s="7" t="s">
        <v>72</v>
      </c>
      <c r="W41" s="92" t="s">
        <v>1</v>
      </c>
      <c r="X41" s="7" t="s">
        <v>72</v>
      </c>
      <c r="Y41" s="92" t="s">
        <v>1</v>
      </c>
      <c r="Z41" s="7" t="s">
        <v>72</v>
      </c>
      <c r="AA41" s="92" t="s">
        <v>1</v>
      </c>
      <c r="AB41" s="7" t="s">
        <v>72</v>
      </c>
      <c r="AC41" s="92" t="s">
        <v>1</v>
      </c>
      <c r="AD41" s="7" t="s">
        <v>72</v>
      </c>
      <c r="AE41" s="92" t="s">
        <v>1</v>
      </c>
      <c r="AF41" s="120" t="s">
        <v>72</v>
      </c>
      <c r="AG41" s="7">
        <v>449</v>
      </c>
      <c r="AH41" s="121" t="s">
        <v>72</v>
      </c>
      <c r="AI41" s="7">
        <v>347</v>
      </c>
      <c r="AJ41" s="121" t="s">
        <v>72</v>
      </c>
      <c r="AK41" s="7">
        <v>4</v>
      </c>
      <c r="AL41" s="121" t="s">
        <v>72</v>
      </c>
      <c r="AM41" s="7">
        <v>733</v>
      </c>
      <c r="AN41" s="121" t="s">
        <v>72</v>
      </c>
      <c r="AO41" s="7">
        <v>213</v>
      </c>
      <c r="AP41" s="121" t="s">
        <v>72</v>
      </c>
      <c r="AQ41" s="7">
        <v>44</v>
      </c>
      <c r="AR41" s="122" t="s">
        <v>72</v>
      </c>
      <c r="AS41" s="92" t="s">
        <v>1</v>
      </c>
      <c r="AT41" s="7" t="s">
        <v>72</v>
      </c>
      <c r="AU41" s="92" t="s">
        <v>1</v>
      </c>
      <c r="AV41" s="7" t="s">
        <v>72</v>
      </c>
      <c r="AW41" s="92" t="s">
        <v>1</v>
      </c>
      <c r="AX41" s="7" t="s">
        <v>72</v>
      </c>
      <c r="AY41" s="92" t="s">
        <v>1</v>
      </c>
      <c r="AZ41" s="7" t="s">
        <v>72</v>
      </c>
      <c r="BA41" s="92" t="s">
        <v>1</v>
      </c>
      <c r="BB41" s="7" t="s">
        <v>72</v>
      </c>
      <c r="BC41" s="92" t="s">
        <v>1</v>
      </c>
      <c r="BD41" s="92" t="s">
        <v>1</v>
      </c>
      <c r="BE41" s="92" t="s">
        <v>1</v>
      </c>
      <c r="BF41" s="92" t="s">
        <v>1</v>
      </c>
      <c r="BG41" s="108">
        <v>92</v>
      </c>
      <c r="BH41" s="108" t="s">
        <v>94</v>
      </c>
      <c r="BI41" s="92">
        <v>43</v>
      </c>
      <c r="BJ41" s="92">
        <v>165</v>
      </c>
      <c r="BK41" s="7" t="s">
        <v>72</v>
      </c>
      <c r="BL41" s="92" t="s">
        <v>1</v>
      </c>
      <c r="BM41" s="92" t="s">
        <v>1</v>
      </c>
      <c r="BN41" s="92" t="s">
        <v>1</v>
      </c>
      <c r="BO41" s="92" t="s">
        <v>1</v>
      </c>
      <c r="BP41" s="92" t="s">
        <v>1</v>
      </c>
      <c r="BQ41" s="92" t="s">
        <v>1</v>
      </c>
      <c r="BR41" s="92" t="s">
        <v>1</v>
      </c>
      <c r="BS41" s="92" t="s">
        <v>1</v>
      </c>
      <c r="BT41" s="92" t="s">
        <v>1</v>
      </c>
      <c r="BU41" s="92" t="s">
        <v>1</v>
      </c>
      <c r="BV41" s="92" t="s">
        <v>1</v>
      </c>
    </row>
    <row r="42" ht="25" customHeight="1" spans="1:74">
      <c r="A42" s="107">
        <v>45145</v>
      </c>
      <c r="B42" s="109" t="s">
        <v>253</v>
      </c>
      <c r="C42" s="108" t="s">
        <v>1</v>
      </c>
      <c r="D42" s="30" t="s">
        <v>1</v>
      </c>
      <c r="E42" s="30" t="s">
        <v>1</v>
      </c>
      <c r="F42" s="92" t="str">
        <f t="shared" si="1"/>
        <v/>
      </c>
      <c r="G42" s="92" t="s">
        <v>72</v>
      </c>
      <c r="H42" s="92" t="s">
        <v>72</v>
      </c>
      <c r="I42" s="92" t="s">
        <v>72</v>
      </c>
      <c r="J42" s="92" t="s">
        <v>72</v>
      </c>
      <c r="K42" s="92" t="s">
        <v>1</v>
      </c>
      <c r="L42" s="116">
        <v>23899</v>
      </c>
      <c r="M42" s="92" t="s">
        <v>72</v>
      </c>
      <c r="N42" s="110" t="e">
        <f t="shared" si="0"/>
        <v>#VALUE!</v>
      </c>
      <c r="O42" s="92" t="s">
        <v>1</v>
      </c>
      <c r="P42" s="92" t="s">
        <v>1</v>
      </c>
      <c r="Q42" s="92" t="s">
        <v>1</v>
      </c>
      <c r="R42" s="92" t="s">
        <v>1</v>
      </c>
      <c r="S42" s="92" t="s">
        <v>1</v>
      </c>
      <c r="T42" s="92" t="s">
        <v>1</v>
      </c>
      <c r="U42" s="92" t="s">
        <v>1</v>
      </c>
      <c r="V42" s="7" t="s">
        <v>72</v>
      </c>
      <c r="W42" s="92" t="s">
        <v>1</v>
      </c>
      <c r="X42" s="7" t="s">
        <v>72</v>
      </c>
      <c r="Y42" s="92" t="s">
        <v>1</v>
      </c>
      <c r="Z42" s="7" t="s">
        <v>72</v>
      </c>
      <c r="AA42" s="92" t="s">
        <v>1</v>
      </c>
      <c r="AB42" s="7" t="s">
        <v>72</v>
      </c>
      <c r="AC42" s="92" t="s">
        <v>1</v>
      </c>
      <c r="AD42" s="7" t="s">
        <v>72</v>
      </c>
      <c r="AE42" s="92" t="s">
        <v>1</v>
      </c>
      <c r="AF42" s="120" t="s">
        <v>72</v>
      </c>
      <c r="AG42" s="7">
        <v>625</v>
      </c>
      <c r="AH42" s="121" t="s">
        <v>72</v>
      </c>
      <c r="AI42" s="7">
        <v>290</v>
      </c>
      <c r="AJ42" s="121" t="s">
        <v>72</v>
      </c>
      <c r="AK42" s="7" t="s">
        <v>1</v>
      </c>
      <c r="AL42" s="121" t="s">
        <v>72</v>
      </c>
      <c r="AM42" s="7">
        <v>715</v>
      </c>
      <c r="AN42" s="121" t="s">
        <v>72</v>
      </c>
      <c r="AO42" s="7">
        <v>232</v>
      </c>
      <c r="AP42" s="121" t="s">
        <v>72</v>
      </c>
      <c r="AQ42" s="7">
        <v>193</v>
      </c>
      <c r="AR42" s="122" t="s">
        <v>72</v>
      </c>
      <c r="AS42" s="92" t="s">
        <v>1</v>
      </c>
      <c r="AT42" s="7" t="s">
        <v>72</v>
      </c>
      <c r="AU42" s="92" t="s">
        <v>1</v>
      </c>
      <c r="AV42" s="7" t="s">
        <v>72</v>
      </c>
      <c r="AW42" s="92" t="s">
        <v>1</v>
      </c>
      <c r="AX42" s="7" t="s">
        <v>72</v>
      </c>
      <c r="AY42" s="92" t="s">
        <v>1</v>
      </c>
      <c r="AZ42" s="7" t="s">
        <v>72</v>
      </c>
      <c r="BA42" s="92" t="s">
        <v>1</v>
      </c>
      <c r="BB42" s="7" t="s">
        <v>72</v>
      </c>
      <c r="BC42" s="92" t="s">
        <v>1</v>
      </c>
      <c r="BD42" s="92" t="s">
        <v>1</v>
      </c>
      <c r="BE42" s="92" t="s">
        <v>1</v>
      </c>
      <c r="BF42" s="92" t="s">
        <v>1</v>
      </c>
      <c r="BG42" s="108">
        <v>79</v>
      </c>
      <c r="BH42" s="38" t="s">
        <v>94</v>
      </c>
      <c r="BI42" s="73">
        <v>44</v>
      </c>
      <c r="BJ42" s="73">
        <v>162</v>
      </c>
      <c r="BK42" s="7" t="s">
        <v>72</v>
      </c>
      <c r="BL42" s="92" t="s">
        <v>1</v>
      </c>
      <c r="BM42" s="92" t="s">
        <v>1</v>
      </c>
      <c r="BN42" s="92" t="s">
        <v>1</v>
      </c>
      <c r="BO42" s="92" t="s">
        <v>1</v>
      </c>
      <c r="BP42" s="92" t="s">
        <v>1</v>
      </c>
      <c r="BQ42" s="92" t="s">
        <v>1</v>
      </c>
      <c r="BR42" s="92" t="s">
        <v>1</v>
      </c>
      <c r="BS42" s="92" t="s">
        <v>1</v>
      </c>
      <c r="BT42" s="92" t="s">
        <v>1</v>
      </c>
      <c r="BU42" s="92" t="s">
        <v>1</v>
      </c>
      <c r="BV42" s="92" t="s">
        <v>1</v>
      </c>
    </row>
    <row r="43" ht="25" customHeight="1" spans="1:74">
      <c r="A43" s="107">
        <v>45146</v>
      </c>
      <c r="B43" s="109" t="s">
        <v>125</v>
      </c>
      <c r="C43" s="109" t="s">
        <v>275</v>
      </c>
      <c r="D43" s="30" t="s">
        <v>1</v>
      </c>
      <c r="E43" s="30" t="s">
        <v>1</v>
      </c>
      <c r="F43" s="92" t="str">
        <f t="shared" si="1"/>
        <v/>
      </c>
      <c r="G43" s="92" t="s">
        <v>72</v>
      </c>
      <c r="H43" s="92" t="s">
        <v>72</v>
      </c>
      <c r="I43" s="92" t="s">
        <v>72</v>
      </c>
      <c r="J43" s="92" t="s">
        <v>72</v>
      </c>
      <c r="K43" s="92" t="s">
        <v>1</v>
      </c>
      <c r="L43" s="116">
        <v>8697</v>
      </c>
      <c r="M43" s="92" t="s">
        <v>72</v>
      </c>
      <c r="N43" s="110" t="e">
        <f t="shared" si="0"/>
        <v>#VALUE!</v>
      </c>
      <c r="O43" s="92" t="s">
        <v>1</v>
      </c>
      <c r="P43" s="92" t="s">
        <v>1</v>
      </c>
      <c r="Q43" s="92" t="s">
        <v>1</v>
      </c>
      <c r="R43" s="92" t="s">
        <v>1</v>
      </c>
      <c r="S43" s="92" t="s">
        <v>1</v>
      </c>
      <c r="T43" s="92" t="s">
        <v>1</v>
      </c>
      <c r="U43" s="92" t="s">
        <v>1</v>
      </c>
      <c r="V43" s="7" t="s">
        <v>72</v>
      </c>
      <c r="W43" s="92" t="s">
        <v>1</v>
      </c>
      <c r="X43" s="7" t="s">
        <v>72</v>
      </c>
      <c r="Y43" s="92" t="s">
        <v>1</v>
      </c>
      <c r="Z43" s="7" t="s">
        <v>72</v>
      </c>
      <c r="AA43" s="92" t="s">
        <v>1</v>
      </c>
      <c r="AB43" s="7" t="s">
        <v>72</v>
      </c>
      <c r="AC43" s="92" t="s">
        <v>1</v>
      </c>
      <c r="AD43" s="7" t="s">
        <v>72</v>
      </c>
      <c r="AE43" s="92" t="s">
        <v>1</v>
      </c>
      <c r="AF43" s="120" t="s">
        <v>72</v>
      </c>
      <c r="AG43" s="7">
        <v>653</v>
      </c>
      <c r="AH43" s="121" t="s">
        <v>72</v>
      </c>
      <c r="AI43" s="7">
        <v>344</v>
      </c>
      <c r="AJ43" s="121" t="s">
        <v>72</v>
      </c>
      <c r="AK43" s="7">
        <v>12</v>
      </c>
      <c r="AL43" s="121" t="s">
        <v>72</v>
      </c>
      <c r="AM43" s="7">
        <v>809</v>
      </c>
      <c r="AN43" s="121" t="s">
        <v>72</v>
      </c>
      <c r="AO43" s="7">
        <v>233</v>
      </c>
      <c r="AP43" s="121" t="s">
        <v>72</v>
      </c>
      <c r="AQ43" s="7">
        <v>200</v>
      </c>
      <c r="AR43" s="122" t="s">
        <v>72</v>
      </c>
      <c r="AS43" s="92" t="s">
        <v>1</v>
      </c>
      <c r="AT43" s="7" t="s">
        <v>72</v>
      </c>
      <c r="AU43" s="92" t="s">
        <v>1</v>
      </c>
      <c r="AV43" s="7" t="s">
        <v>72</v>
      </c>
      <c r="AW43" s="92" t="s">
        <v>1</v>
      </c>
      <c r="AX43" s="7" t="s">
        <v>72</v>
      </c>
      <c r="AY43" s="92" t="s">
        <v>1</v>
      </c>
      <c r="AZ43" s="7" t="s">
        <v>72</v>
      </c>
      <c r="BA43" s="92" t="s">
        <v>1</v>
      </c>
      <c r="BB43" s="7" t="s">
        <v>72</v>
      </c>
      <c r="BC43" s="92" t="s">
        <v>1</v>
      </c>
      <c r="BD43" s="92" t="s">
        <v>1</v>
      </c>
      <c r="BE43" s="92" t="s">
        <v>1</v>
      </c>
      <c r="BF43" s="92" t="s">
        <v>1</v>
      </c>
      <c r="BG43" s="124">
        <v>127</v>
      </c>
      <c r="BH43" s="38" t="s">
        <v>94</v>
      </c>
      <c r="BI43" s="73">
        <v>39</v>
      </c>
      <c r="BJ43" s="73">
        <v>201</v>
      </c>
      <c r="BK43" s="7" t="s">
        <v>72</v>
      </c>
      <c r="BL43" s="92" t="s">
        <v>1</v>
      </c>
      <c r="BM43" s="92" t="s">
        <v>1</v>
      </c>
      <c r="BN43" s="92" t="s">
        <v>1</v>
      </c>
      <c r="BO43" s="92" t="s">
        <v>1</v>
      </c>
      <c r="BP43" s="92" t="s">
        <v>1</v>
      </c>
      <c r="BQ43" s="92" t="s">
        <v>1</v>
      </c>
      <c r="BR43" s="92" t="s">
        <v>1</v>
      </c>
      <c r="BS43" s="92" t="s">
        <v>1</v>
      </c>
      <c r="BT43" s="92" t="s">
        <v>1</v>
      </c>
      <c r="BU43" s="92" t="s">
        <v>1</v>
      </c>
      <c r="BV43" s="92" t="s">
        <v>1</v>
      </c>
    </row>
    <row r="44" ht="25" customHeight="1" spans="1:74">
      <c r="A44" s="107">
        <v>45147</v>
      </c>
      <c r="B44" s="109" t="s">
        <v>125</v>
      </c>
      <c r="C44" s="109" t="s">
        <v>75</v>
      </c>
      <c r="D44" s="30" t="s">
        <v>1</v>
      </c>
      <c r="E44" s="30" t="s">
        <v>1</v>
      </c>
      <c r="F44" s="92" t="str">
        <f t="shared" si="1"/>
        <v/>
      </c>
      <c r="G44" s="92" t="s">
        <v>72</v>
      </c>
      <c r="H44" s="92" t="s">
        <v>72</v>
      </c>
      <c r="I44" s="92" t="s">
        <v>72</v>
      </c>
      <c r="J44" s="92" t="s">
        <v>72</v>
      </c>
      <c r="K44" s="92" t="s">
        <v>1</v>
      </c>
      <c r="L44" s="108">
        <v>0</v>
      </c>
      <c r="M44" s="92" t="s">
        <v>72</v>
      </c>
      <c r="N44" s="110" t="e">
        <f t="shared" si="0"/>
        <v>#VALUE!</v>
      </c>
      <c r="O44" s="92" t="s">
        <v>1</v>
      </c>
      <c r="P44" s="92" t="s">
        <v>1</v>
      </c>
      <c r="Q44" s="92" t="s">
        <v>1</v>
      </c>
      <c r="R44" s="92" t="s">
        <v>1</v>
      </c>
      <c r="S44" s="92" t="s">
        <v>1</v>
      </c>
      <c r="T44" s="92" t="s">
        <v>1</v>
      </c>
      <c r="U44" s="92" t="s">
        <v>1</v>
      </c>
      <c r="V44" s="7" t="s">
        <v>72</v>
      </c>
      <c r="W44" s="92" t="s">
        <v>1</v>
      </c>
      <c r="X44" s="7" t="s">
        <v>72</v>
      </c>
      <c r="Y44" s="92" t="s">
        <v>1</v>
      </c>
      <c r="Z44" s="7" t="s">
        <v>72</v>
      </c>
      <c r="AA44" s="92" t="s">
        <v>1</v>
      </c>
      <c r="AB44" s="7" t="s">
        <v>72</v>
      </c>
      <c r="AC44" s="92" t="s">
        <v>1</v>
      </c>
      <c r="AD44" s="7" t="s">
        <v>72</v>
      </c>
      <c r="AE44" s="92" t="s">
        <v>1</v>
      </c>
      <c r="AF44" s="120" t="s">
        <v>72</v>
      </c>
      <c r="AG44" s="7">
        <v>1005</v>
      </c>
      <c r="AH44" s="121" t="s">
        <v>72</v>
      </c>
      <c r="AI44" s="7">
        <v>347</v>
      </c>
      <c r="AJ44" s="121" t="s">
        <v>72</v>
      </c>
      <c r="AK44" s="7">
        <v>3</v>
      </c>
      <c r="AL44" s="121" t="s">
        <v>72</v>
      </c>
      <c r="AM44" s="7">
        <v>940</v>
      </c>
      <c r="AN44" s="121" t="s">
        <v>72</v>
      </c>
      <c r="AO44" s="7">
        <v>283</v>
      </c>
      <c r="AP44" s="121" t="s">
        <v>72</v>
      </c>
      <c r="AQ44" s="7">
        <v>207</v>
      </c>
      <c r="AR44" s="122" t="s">
        <v>72</v>
      </c>
      <c r="AS44" s="92" t="s">
        <v>1</v>
      </c>
      <c r="AT44" s="7" t="s">
        <v>72</v>
      </c>
      <c r="AU44" s="92" t="s">
        <v>1</v>
      </c>
      <c r="AV44" s="7" t="s">
        <v>72</v>
      </c>
      <c r="AW44" s="92" t="s">
        <v>1</v>
      </c>
      <c r="AX44" s="7" t="s">
        <v>72</v>
      </c>
      <c r="AY44" s="92" t="s">
        <v>1</v>
      </c>
      <c r="AZ44" s="7" t="s">
        <v>72</v>
      </c>
      <c r="BA44" s="92" t="s">
        <v>1</v>
      </c>
      <c r="BB44" s="7" t="s">
        <v>72</v>
      </c>
      <c r="BC44" s="92" t="s">
        <v>1</v>
      </c>
      <c r="BD44" s="92" t="s">
        <v>1</v>
      </c>
      <c r="BE44" s="92" t="s">
        <v>1</v>
      </c>
      <c r="BF44" s="92" t="s">
        <v>1</v>
      </c>
      <c r="BG44" s="124">
        <v>126</v>
      </c>
      <c r="BH44" s="38" t="s">
        <v>94</v>
      </c>
      <c r="BI44" s="73">
        <v>34</v>
      </c>
      <c r="BJ44" s="73">
        <v>247</v>
      </c>
      <c r="BK44" s="7" t="s">
        <v>72</v>
      </c>
      <c r="BL44" s="92" t="s">
        <v>276</v>
      </c>
      <c r="BM44" s="92" t="s">
        <v>268</v>
      </c>
      <c r="BN44" s="92" t="s">
        <v>277</v>
      </c>
      <c r="BO44" s="92" t="s">
        <v>278</v>
      </c>
      <c r="BP44" s="92" t="s">
        <v>266</v>
      </c>
      <c r="BQ44" s="92" t="s">
        <v>279</v>
      </c>
      <c r="BR44" s="92" t="s">
        <v>280</v>
      </c>
      <c r="BS44" s="92" t="s">
        <v>281</v>
      </c>
      <c r="BT44" s="92" t="s">
        <v>282</v>
      </c>
      <c r="BU44" s="92" t="s">
        <v>283</v>
      </c>
      <c r="BV44" s="92" t="s">
        <v>1</v>
      </c>
    </row>
    <row r="45" ht="25" customHeight="1" spans="1:74">
      <c r="A45" s="107">
        <v>45148</v>
      </c>
      <c r="B45" s="109" t="s">
        <v>125</v>
      </c>
      <c r="C45" s="109" t="s">
        <v>1</v>
      </c>
      <c r="D45" s="30" t="s">
        <v>1</v>
      </c>
      <c r="E45" s="30" t="s">
        <v>1</v>
      </c>
      <c r="F45" s="92" t="str">
        <f t="shared" si="1"/>
        <v/>
      </c>
      <c r="G45" s="92" t="s">
        <v>72</v>
      </c>
      <c r="H45" s="92" t="s">
        <v>72</v>
      </c>
      <c r="I45" s="92" t="s">
        <v>72</v>
      </c>
      <c r="J45" s="92" t="s">
        <v>72</v>
      </c>
      <c r="K45" s="92" t="s">
        <v>1</v>
      </c>
      <c r="L45" s="108">
        <v>0</v>
      </c>
      <c r="M45" s="92" t="s">
        <v>72</v>
      </c>
      <c r="N45" s="110" t="e">
        <f t="shared" si="0"/>
        <v>#VALUE!</v>
      </c>
      <c r="O45" s="92" t="s">
        <v>1</v>
      </c>
      <c r="P45" s="92" t="s">
        <v>1</v>
      </c>
      <c r="Q45" s="92" t="s">
        <v>1</v>
      </c>
      <c r="R45" s="92" t="s">
        <v>1</v>
      </c>
      <c r="S45" s="92" t="s">
        <v>1</v>
      </c>
      <c r="T45" s="92" t="s">
        <v>1</v>
      </c>
      <c r="U45" s="92" t="s">
        <v>1</v>
      </c>
      <c r="V45" s="7" t="s">
        <v>72</v>
      </c>
      <c r="W45" s="92" t="s">
        <v>1</v>
      </c>
      <c r="X45" s="7" t="s">
        <v>72</v>
      </c>
      <c r="Y45" s="92" t="s">
        <v>1</v>
      </c>
      <c r="Z45" s="7" t="s">
        <v>72</v>
      </c>
      <c r="AA45" s="92" t="s">
        <v>1</v>
      </c>
      <c r="AB45" s="7" t="s">
        <v>72</v>
      </c>
      <c r="AC45" s="92" t="s">
        <v>1</v>
      </c>
      <c r="AD45" s="7" t="s">
        <v>72</v>
      </c>
      <c r="AE45" s="92" t="s">
        <v>1</v>
      </c>
      <c r="AF45" s="120" t="s">
        <v>72</v>
      </c>
      <c r="AG45" s="7">
        <v>576</v>
      </c>
      <c r="AH45" s="121" t="s">
        <v>72</v>
      </c>
      <c r="AI45" s="7">
        <v>315</v>
      </c>
      <c r="AJ45" s="121" t="s">
        <v>72</v>
      </c>
      <c r="AK45" s="7">
        <v>5</v>
      </c>
      <c r="AL45" s="121" t="s">
        <v>72</v>
      </c>
      <c r="AM45" s="7">
        <v>828</v>
      </c>
      <c r="AN45" s="121" t="s">
        <v>72</v>
      </c>
      <c r="AO45" s="7">
        <v>172</v>
      </c>
      <c r="AP45" s="121" t="s">
        <v>72</v>
      </c>
      <c r="AQ45" s="7">
        <v>182</v>
      </c>
      <c r="AR45" s="122" t="s">
        <v>72</v>
      </c>
      <c r="AS45" s="92" t="s">
        <v>1</v>
      </c>
      <c r="AT45" s="7" t="s">
        <v>72</v>
      </c>
      <c r="AU45" s="92" t="s">
        <v>1</v>
      </c>
      <c r="AV45" s="7" t="s">
        <v>72</v>
      </c>
      <c r="AW45" s="92" t="s">
        <v>1</v>
      </c>
      <c r="AX45" s="7" t="s">
        <v>72</v>
      </c>
      <c r="AY45" s="92" t="s">
        <v>1</v>
      </c>
      <c r="AZ45" s="7" t="s">
        <v>72</v>
      </c>
      <c r="BA45" s="92" t="s">
        <v>1</v>
      </c>
      <c r="BB45" s="7" t="s">
        <v>72</v>
      </c>
      <c r="BC45" s="92" t="s">
        <v>1</v>
      </c>
      <c r="BD45" s="92" t="s">
        <v>1</v>
      </c>
      <c r="BE45" s="92" t="s">
        <v>1</v>
      </c>
      <c r="BF45" s="92" t="s">
        <v>1</v>
      </c>
      <c r="BG45" s="108" t="s">
        <v>1</v>
      </c>
      <c r="BH45" s="38" t="s">
        <v>94</v>
      </c>
      <c r="BI45" s="91">
        <v>36</v>
      </c>
      <c r="BJ45" s="91">
        <v>197</v>
      </c>
      <c r="BK45" s="7" t="s">
        <v>72</v>
      </c>
      <c r="BL45" s="92" t="s">
        <v>1</v>
      </c>
      <c r="BM45" s="92" t="s">
        <v>1</v>
      </c>
      <c r="BN45" s="92" t="s">
        <v>1</v>
      </c>
      <c r="BO45" s="92" t="s">
        <v>1</v>
      </c>
      <c r="BP45" s="92" t="s">
        <v>1</v>
      </c>
      <c r="BQ45" s="92" t="s">
        <v>1</v>
      </c>
      <c r="BR45" s="92" t="s">
        <v>1</v>
      </c>
      <c r="BS45" s="92" t="s">
        <v>1</v>
      </c>
      <c r="BT45" s="92" t="s">
        <v>1</v>
      </c>
      <c r="BU45" s="92" t="s">
        <v>1</v>
      </c>
      <c r="BV45" s="92" t="s">
        <v>1</v>
      </c>
    </row>
    <row r="46" ht="25" customHeight="1" spans="1:74">
      <c r="A46" s="107">
        <v>45149</v>
      </c>
      <c r="B46" s="109" t="s">
        <v>125</v>
      </c>
      <c r="C46" s="109" t="s">
        <v>1</v>
      </c>
      <c r="D46" s="30" t="s">
        <v>1</v>
      </c>
      <c r="E46" s="30" t="s">
        <v>1</v>
      </c>
      <c r="F46" s="92" t="str">
        <f t="shared" si="1"/>
        <v/>
      </c>
      <c r="G46" s="92" t="s">
        <v>72</v>
      </c>
      <c r="H46" s="92" t="s">
        <v>72</v>
      </c>
      <c r="I46" s="92" t="s">
        <v>72</v>
      </c>
      <c r="J46" s="92" t="s">
        <v>72</v>
      </c>
      <c r="K46" s="92" t="s">
        <v>1</v>
      </c>
      <c r="L46" s="116">
        <v>98</v>
      </c>
      <c r="M46" s="92" t="s">
        <v>72</v>
      </c>
      <c r="N46" s="110" t="e">
        <f t="shared" si="0"/>
        <v>#VALUE!</v>
      </c>
      <c r="O46" s="92">
        <v>0.7</v>
      </c>
      <c r="P46" s="92" t="s">
        <v>1</v>
      </c>
      <c r="Q46" s="92" t="s">
        <v>1</v>
      </c>
      <c r="R46" s="92" t="s">
        <v>1</v>
      </c>
      <c r="S46" s="92" t="s">
        <v>1</v>
      </c>
      <c r="T46" s="92" t="s">
        <v>1</v>
      </c>
      <c r="U46" s="92" t="s">
        <v>1</v>
      </c>
      <c r="V46" s="7" t="s">
        <v>72</v>
      </c>
      <c r="W46" s="92" t="s">
        <v>1</v>
      </c>
      <c r="X46" s="7" t="s">
        <v>72</v>
      </c>
      <c r="Y46" s="92" t="s">
        <v>1</v>
      </c>
      <c r="Z46" s="7" t="s">
        <v>72</v>
      </c>
      <c r="AA46" s="92" t="s">
        <v>1</v>
      </c>
      <c r="AB46" s="7" t="s">
        <v>72</v>
      </c>
      <c r="AC46" s="92" t="s">
        <v>1</v>
      </c>
      <c r="AD46" s="7" t="s">
        <v>72</v>
      </c>
      <c r="AE46" s="92" t="s">
        <v>1</v>
      </c>
      <c r="AF46" s="120" t="s">
        <v>72</v>
      </c>
      <c r="AG46" s="7">
        <v>1400</v>
      </c>
      <c r="AH46" s="121" t="s">
        <v>72</v>
      </c>
      <c r="AI46" s="7">
        <v>306</v>
      </c>
      <c r="AJ46" s="121" t="s">
        <v>72</v>
      </c>
      <c r="AK46" s="7">
        <v>4</v>
      </c>
      <c r="AL46" s="121" t="s">
        <v>72</v>
      </c>
      <c r="AM46" s="7">
        <v>633</v>
      </c>
      <c r="AN46" s="121" t="s">
        <v>72</v>
      </c>
      <c r="AO46" s="7">
        <v>136</v>
      </c>
      <c r="AP46" s="121" t="s">
        <v>72</v>
      </c>
      <c r="AQ46" s="7">
        <v>182</v>
      </c>
      <c r="AR46" s="122" t="s">
        <v>72</v>
      </c>
      <c r="AS46" s="92" t="s">
        <v>1</v>
      </c>
      <c r="AT46" s="7" t="s">
        <v>72</v>
      </c>
      <c r="AU46" s="92">
        <v>25</v>
      </c>
      <c r="AV46" s="7" t="s">
        <v>72</v>
      </c>
      <c r="AW46" s="92" t="s">
        <v>1</v>
      </c>
      <c r="AX46" s="7" t="s">
        <v>72</v>
      </c>
      <c r="AY46" s="92">
        <v>2</v>
      </c>
      <c r="AZ46" s="7" t="s">
        <v>72</v>
      </c>
      <c r="BA46" s="92" t="s">
        <v>1</v>
      </c>
      <c r="BB46" s="7" t="s">
        <v>72</v>
      </c>
      <c r="BC46" s="92" t="s">
        <v>1</v>
      </c>
      <c r="BD46" s="92" t="s">
        <v>1</v>
      </c>
      <c r="BE46" s="92" t="s">
        <v>1</v>
      </c>
      <c r="BF46" s="92" t="s">
        <v>1</v>
      </c>
      <c r="BG46" s="108" t="s">
        <v>1</v>
      </c>
      <c r="BH46" s="92" t="s">
        <v>73</v>
      </c>
      <c r="BI46" s="92">
        <v>53</v>
      </c>
      <c r="BJ46" s="92">
        <v>134</v>
      </c>
      <c r="BK46" s="7" t="s">
        <v>72</v>
      </c>
      <c r="BL46" s="92" t="s">
        <v>1</v>
      </c>
      <c r="BM46" s="92" t="s">
        <v>1</v>
      </c>
      <c r="BN46" s="92" t="s">
        <v>1</v>
      </c>
      <c r="BO46" s="92" t="s">
        <v>1</v>
      </c>
      <c r="BP46" s="92" t="s">
        <v>1</v>
      </c>
      <c r="BQ46" s="92" t="s">
        <v>1</v>
      </c>
      <c r="BR46" s="92" t="s">
        <v>1</v>
      </c>
      <c r="BS46" s="92" t="s">
        <v>1</v>
      </c>
      <c r="BT46" s="92" t="s">
        <v>1</v>
      </c>
      <c r="BU46" s="92" t="s">
        <v>1</v>
      </c>
      <c r="BV46" s="92" t="s">
        <v>1</v>
      </c>
    </row>
    <row r="47" ht="25" customHeight="1" spans="1:74">
      <c r="A47" s="107">
        <v>45150</v>
      </c>
      <c r="B47" s="109" t="s">
        <v>75</v>
      </c>
      <c r="C47" s="109" t="s">
        <v>1</v>
      </c>
      <c r="D47" s="30" t="s">
        <v>1</v>
      </c>
      <c r="E47" s="30" t="s">
        <v>1</v>
      </c>
      <c r="F47" s="92" t="str">
        <f t="shared" si="1"/>
        <v/>
      </c>
      <c r="G47" s="92" t="s">
        <v>72</v>
      </c>
      <c r="H47" s="92" t="s">
        <v>72</v>
      </c>
      <c r="I47" s="92" t="s">
        <v>72</v>
      </c>
      <c r="J47" s="92" t="s">
        <v>72</v>
      </c>
      <c r="K47" s="92" t="s">
        <v>1</v>
      </c>
      <c r="L47" s="116">
        <v>0</v>
      </c>
      <c r="M47" s="92" t="s">
        <v>72</v>
      </c>
      <c r="N47" s="110" t="e">
        <f t="shared" si="0"/>
        <v>#VALUE!</v>
      </c>
      <c r="O47" s="92">
        <v>0.3</v>
      </c>
      <c r="P47" s="92" t="s">
        <v>1</v>
      </c>
      <c r="Q47" s="92" t="s">
        <v>1</v>
      </c>
      <c r="R47" s="92" t="s">
        <v>1</v>
      </c>
      <c r="S47" s="92" t="s">
        <v>1</v>
      </c>
      <c r="T47" s="92" t="s">
        <v>1</v>
      </c>
      <c r="U47" s="92" t="s">
        <v>1</v>
      </c>
      <c r="V47" s="7" t="s">
        <v>72</v>
      </c>
      <c r="W47" s="92" t="s">
        <v>1</v>
      </c>
      <c r="X47" s="7" t="s">
        <v>72</v>
      </c>
      <c r="Y47" s="92" t="s">
        <v>1</v>
      </c>
      <c r="Z47" s="7" t="s">
        <v>72</v>
      </c>
      <c r="AA47" s="92" t="s">
        <v>1</v>
      </c>
      <c r="AB47" s="7" t="s">
        <v>72</v>
      </c>
      <c r="AC47" s="92" t="s">
        <v>1</v>
      </c>
      <c r="AD47" s="7" t="s">
        <v>72</v>
      </c>
      <c r="AE47" s="92" t="s">
        <v>1</v>
      </c>
      <c r="AF47" s="120" t="s">
        <v>72</v>
      </c>
      <c r="AG47" s="7">
        <v>1937</v>
      </c>
      <c r="AH47" s="121" t="s">
        <v>72</v>
      </c>
      <c r="AI47" s="7">
        <v>257</v>
      </c>
      <c r="AJ47" s="121" t="s">
        <v>72</v>
      </c>
      <c r="AK47" s="7">
        <v>2</v>
      </c>
      <c r="AL47" s="121" t="s">
        <v>72</v>
      </c>
      <c r="AM47" s="7">
        <v>82</v>
      </c>
      <c r="AN47" s="121" t="s">
        <v>72</v>
      </c>
      <c r="AO47" s="7">
        <v>120</v>
      </c>
      <c r="AP47" s="121" t="s">
        <v>72</v>
      </c>
      <c r="AQ47" s="7">
        <v>50</v>
      </c>
      <c r="AR47" s="122" t="s">
        <v>72</v>
      </c>
      <c r="AS47" s="92" t="s">
        <v>1</v>
      </c>
      <c r="AT47" s="7" t="s">
        <v>72</v>
      </c>
      <c r="AU47" s="92">
        <v>22</v>
      </c>
      <c r="AV47" s="7" t="s">
        <v>72</v>
      </c>
      <c r="AW47" s="92" t="s">
        <v>1</v>
      </c>
      <c r="AX47" s="7" t="s">
        <v>72</v>
      </c>
      <c r="AY47" s="92">
        <v>2</v>
      </c>
      <c r="AZ47" s="7" t="s">
        <v>72</v>
      </c>
      <c r="BA47" s="92" t="s">
        <v>1</v>
      </c>
      <c r="BB47" s="7" t="s">
        <v>72</v>
      </c>
      <c r="BC47" s="92" t="s">
        <v>1</v>
      </c>
      <c r="BD47" s="92" t="s">
        <v>1</v>
      </c>
      <c r="BE47" s="92" t="s">
        <v>1</v>
      </c>
      <c r="BF47" s="92" t="s">
        <v>1</v>
      </c>
      <c r="BG47" s="108" t="s">
        <v>1</v>
      </c>
      <c r="BH47" s="92" t="s">
        <v>73</v>
      </c>
      <c r="BI47" s="92">
        <v>59</v>
      </c>
      <c r="BJ47" s="92">
        <v>124</v>
      </c>
      <c r="BK47" s="7" t="s">
        <v>72</v>
      </c>
      <c r="BL47" s="92" t="s">
        <v>1</v>
      </c>
      <c r="BM47" s="92" t="s">
        <v>1</v>
      </c>
      <c r="BN47" s="92" t="s">
        <v>1</v>
      </c>
      <c r="BO47" s="92" t="s">
        <v>1</v>
      </c>
      <c r="BP47" s="92" t="s">
        <v>1</v>
      </c>
      <c r="BQ47" s="92" t="s">
        <v>1</v>
      </c>
      <c r="BR47" s="92" t="s">
        <v>1</v>
      </c>
      <c r="BS47" s="92" t="s">
        <v>1</v>
      </c>
      <c r="BT47" s="92" t="s">
        <v>1</v>
      </c>
      <c r="BU47" s="92" t="s">
        <v>1</v>
      </c>
      <c r="BV47" s="92" t="s">
        <v>1</v>
      </c>
    </row>
    <row r="48" ht="25" customHeight="1" spans="1:74">
      <c r="A48" s="107">
        <v>45151</v>
      </c>
      <c r="B48" s="109" t="s">
        <v>1</v>
      </c>
      <c r="C48" s="109" t="s">
        <v>1</v>
      </c>
      <c r="D48" s="30" t="s">
        <v>1</v>
      </c>
      <c r="E48" s="30" t="s">
        <v>1</v>
      </c>
      <c r="F48" s="92" t="str">
        <f t="shared" si="1"/>
        <v/>
      </c>
      <c r="G48" s="92" t="s">
        <v>72</v>
      </c>
      <c r="H48" s="92" t="s">
        <v>72</v>
      </c>
      <c r="I48" s="92" t="s">
        <v>72</v>
      </c>
      <c r="J48" s="92" t="s">
        <v>72</v>
      </c>
      <c r="K48" s="92" t="s">
        <v>1</v>
      </c>
      <c r="L48" s="116">
        <v>0</v>
      </c>
      <c r="M48" s="92" t="s">
        <v>72</v>
      </c>
      <c r="N48" s="110" t="e">
        <f t="shared" si="0"/>
        <v>#VALUE!</v>
      </c>
      <c r="O48" s="92">
        <v>0.67</v>
      </c>
      <c r="P48" s="92" t="s">
        <v>1</v>
      </c>
      <c r="Q48" s="92" t="s">
        <v>1</v>
      </c>
      <c r="R48" s="92" t="s">
        <v>1</v>
      </c>
      <c r="S48" s="92" t="s">
        <v>1</v>
      </c>
      <c r="T48" s="92" t="s">
        <v>1</v>
      </c>
      <c r="U48" s="92" t="s">
        <v>1</v>
      </c>
      <c r="V48" s="7" t="s">
        <v>72</v>
      </c>
      <c r="W48" s="92" t="s">
        <v>1</v>
      </c>
      <c r="X48" s="7" t="s">
        <v>72</v>
      </c>
      <c r="Y48" s="92" t="s">
        <v>1</v>
      </c>
      <c r="Z48" s="7" t="s">
        <v>72</v>
      </c>
      <c r="AA48" s="92" t="s">
        <v>1</v>
      </c>
      <c r="AB48" s="7" t="s">
        <v>72</v>
      </c>
      <c r="AC48" s="92" t="s">
        <v>1</v>
      </c>
      <c r="AD48" s="7" t="s">
        <v>72</v>
      </c>
      <c r="AE48" s="92" t="s">
        <v>1</v>
      </c>
      <c r="AF48" s="120" t="s">
        <v>72</v>
      </c>
      <c r="AG48" s="7">
        <v>1248</v>
      </c>
      <c r="AH48" s="121" t="s">
        <v>72</v>
      </c>
      <c r="AI48" s="7">
        <v>309</v>
      </c>
      <c r="AJ48" s="121" t="s">
        <v>72</v>
      </c>
      <c r="AK48" s="7">
        <v>2</v>
      </c>
      <c r="AL48" s="121" t="s">
        <v>72</v>
      </c>
      <c r="AM48" s="7">
        <v>849</v>
      </c>
      <c r="AN48" s="121" t="s">
        <v>72</v>
      </c>
      <c r="AO48" s="7">
        <v>193</v>
      </c>
      <c r="AP48" s="121" t="s">
        <v>72</v>
      </c>
      <c r="AQ48" s="7">
        <v>70</v>
      </c>
      <c r="AR48" s="122" t="s">
        <v>72</v>
      </c>
      <c r="AS48" s="92" t="s">
        <v>1</v>
      </c>
      <c r="AT48" s="7" t="s">
        <v>72</v>
      </c>
      <c r="AU48" s="92">
        <v>38</v>
      </c>
      <c r="AV48" s="7" t="s">
        <v>72</v>
      </c>
      <c r="AW48" s="92" t="s">
        <v>1</v>
      </c>
      <c r="AX48" s="7" t="s">
        <v>72</v>
      </c>
      <c r="AY48" s="92">
        <v>4</v>
      </c>
      <c r="AZ48" s="7" t="s">
        <v>72</v>
      </c>
      <c r="BA48" s="92" t="s">
        <v>1</v>
      </c>
      <c r="BB48" s="7" t="s">
        <v>72</v>
      </c>
      <c r="BC48" s="92" t="s">
        <v>1</v>
      </c>
      <c r="BD48" s="92" t="s">
        <v>1</v>
      </c>
      <c r="BE48" s="92" t="s">
        <v>1</v>
      </c>
      <c r="BF48" s="92" t="s">
        <v>1</v>
      </c>
      <c r="BG48" s="108" t="s">
        <v>1</v>
      </c>
      <c r="BH48" s="92" t="s">
        <v>73</v>
      </c>
      <c r="BI48" s="92">
        <v>58</v>
      </c>
      <c r="BJ48" s="92">
        <v>140</v>
      </c>
      <c r="BK48" s="7" t="s">
        <v>72</v>
      </c>
      <c r="BL48" s="92" t="s">
        <v>1</v>
      </c>
      <c r="BM48" s="92" t="s">
        <v>1</v>
      </c>
      <c r="BN48" s="92" t="s">
        <v>1</v>
      </c>
      <c r="BO48" s="92" t="s">
        <v>1</v>
      </c>
      <c r="BP48" s="92" t="s">
        <v>1</v>
      </c>
      <c r="BQ48" s="92" t="s">
        <v>1</v>
      </c>
      <c r="BR48" s="92" t="s">
        <v>1</v>
      </c>
      <c r="BS48" s="92" t="s">
        <v>1</v>
      </c>
      <c r="BT48" s="92" t="s">
        <v>1</v>
      </c>
      <c r="BU48" s="92" t="s">
        <v>1</v>
      </c>
      <c r="BV48" s="92" t="s">
        <v>1</v>
      </c>
    </row>
    <row r="49" ht="25" customHeight="1" spans="1:74">
      <c r="A49" s="107">
        <v>45152</v>
      </c>
      <c r="B49" s="109" t="s">
        <v>253</v>
      </c>
      <c r="C49" s="109" t="s">
        <v>253</v>
      </c>
      <c r="D49" s="30" t="s">
        <v>1</v>
      </c>
      <c r="E49" s="30" t="s">
        <v>1</v>
      </c>
      <c r="F49" s="92" t="str">
        <f t="shared" si="1"/>
        <v/>
      </c>
      <c r="G49" s="92" t="s">
        <v>72</v>
      </c>
      <c r="H49" s="92" t="s">
        <v>72</v>
      </c>
      <c r="I49" s="92" t="s">
        <v>72</v>
      </c>
      <c r="J49" s="92" t="s">
        <v>72</v>
      </c>
      <c r="K49" s="92" t="s">
        <v>1</v>
      </c>
      <c r="L49" s="116">
        <v>98</v>
      </c>
      <c r="M49" s="92" t="s">
        <v>72</v>
      </c>
      <c r="N49" s="110" t="e">
        <f t="shared" si="0"/>
        <v>#VALUE!</v>
      </c>
      <c r="O49" s="92">
        <v>2.84</v>
      </c>
      <c r="P49" s="92" t="s">
        <v>1</v>
      </c>
      <c r="Q49" s="92" t="s">
        <v>1</v>
      </c>
      <c r="R49" s="92" t="s">
        <v>1</v>
      </c>
      <c r="S49" s="92" t="s">
        <v>1</v>
      </c>
      <c r="T49" s="92" t="s">
        <v>1</v>
      </c>
      <c r="U49" s="92" t="s">
        <v>1</v>
      </c>
      <c r="V49" s="7" t="s">
        <v>72</v>
      </c>
      <c r="W49" s="92" t="s">
        <v>1</v>
      </c>
      <c r="X49" s="7" t="s">
        <v>72</v>
      </c>
      <c r="Y49" s="92" t="s">
        <v>1</v>
      </c>
      <c r="Z49" s="7" t="s">
        <v>72</v>
      </c>
      <c r="AA49" s="92" t="s">
        <v>1</v>
      </c>
      <c r="AB49" s="7" t="s">
        <v>72</v>
      </c>
      <c r="AC49" s="92" t="s">
        <v>1</v>
      </c>
      <c r="AD49" s="7" t="s">
        <v>72</v>
      </c>
      <c r="AE49" s="92" t="s">
        <v>1</v>
      </c>
      <c r="AF49" s="120" t="s">
        <v>72</v>
      </c>
      <c r="AG49" s="7">
        <v>1931</v>
      </c>
      <c r="AH49" s="121" t="s">
        <v>72</v>
      </c>
      <c r="AI49" s="7">
        <v>263</v>
      </c>
      <c r="AJ49" s="121" t="s">
        <v>72</v>
      </c>
      <c r="AK49" s="7">
        <v>7</v>
      </c>
      <c r="AL49" s="121" t="s">
        <v>72</v>
      </c>
      <c r="AM49" s="7">
        <v>989</v>
      </c>
      <c r="AN49" s="121" t="s">
        <v>72</v>
      </c>
      <c r="AO49" s="7">
        <v>214</v>
      </c>
      <c r="AP49" s="121" t="s">
        <v>72</v>
      </c>
      <c r="AQ49" s="7">
        <v>119</v>
      </c>
      <c r="AR49" s="122" t="s">
        <v>72</v>
      </c>
      <c r="AS49" s="92" t="s">
        <v>1</v>
      </c>
      <c r="AT49" s="7" t="s">
        <v>72</v>
      </c>
      <c r="AU49" s="92">
        <v>40</v>
      </c>
      <c r="AV49" s="7" t="s">
        <v>72</v>
      </c>
      <c r="AW49" s="92" t="s">
        <v>1</v>
      </c>
      <c r="AX49" s="7" t="s">
        <v>72</v>
      </c>
      <c r="AY49" s="92">
        <v>8</v>
      </c>
      <c r="AZ49" s="7" t="s">
        <v>72</v>
      </c>
      <c r="BA49" s="92" t="s">
        <v>1</v>
      </c>
      <c r="BB49" s="7" t="s">
        <v>72</v>
      </c>
      <c r="BC49" s="92" t="s">
        <v>1</v>
      </c>
      <c r="BD49" s="92" t="s">
        <v>1</v>
      </c>
      <c r="BE49" s="92" t="s">
        <v>1</v>
      </c>
      <c r="BF49" s="92" t="s">
        <v>1</v>
      </c>
      <c r="BG49" s="108">
        <v>123</v>
      </c>
      <c r="BH49" s="92" t="s">
        <v>73</v>
      </c>
      <c r="BI49" s="92">
        <v>63</v>
      </c>
      <c r="BJ49" s="92">
        <v>130</v>
      </c>
      <c r="BK49" s="7" t="s">
        <v>72</v>
      </c>
      <c r="BL49" s="92" t="s">
        <v>1</v>
      </c>
      <c r="BM49" s="92" t="s">
        <v>1</v>
      </c>
      <c r="BN49" s="92" t="s">
        <v>1</v>
      </c>
      <c r="BO49" s="92" t="s">
        <v>1</v>
      </c>
      <c r="BP49" s="92" t="s">
        <v>1</v>
      </c>
      <c r="BQ49" s="92" t="s">
        <v>1</v>
      </c>
      <c r="BR49" s="92" t="s">
        <v>1</v>
      </c>
      <c r="BS49" s="92" t="s">
        <v>1</v>
      </c>
      <c r="BT49" s="92" t="s">
        <v>1</v>
      </c>
      <c r="BU49" s="92" t="s">
        <v>1</v>
      </c>
      <c r="BV49" s="92" t="s">
        <v>1</v>
      </c>
    </row>
    <row r="50" ht="25" customHeight="1" spans="1:74">
      <c r="A50" s="107">
        <v>45153</v>
      </c>
      <c r="B50" s="109" t="s">
        <v>125</v>
      </c>
      <c r="C50" s="109" t="s">
        <v>125</v>
      </c>
      <c r="D50" s="30" t="s">
        <v>1</v>
      </c>
      <c r="E50" s="30" t="s">
        <v>1</v>
      </c>
      <c r="F50" s="92" t="str">
        <f t="shared" si="1"/>
        <v/>
      </c>
      <c r="G50" s="92" t="s">
        <v>72</v>
      </c>
      <c r="H50" s="92" t="s">
        <v>72</v>
      </c>
      <c r="I50" s="92" t="s">
        <v>72</v>
      </c>
      <c r="J50" s="92" t="s">
        <v>72</v>
      </c>
      <c r="K50" s="92" t="s">
        <v>1</v>
      </c>
      <c r="L50" s="116">
        <v>8699</v>
      </c>
      <c r="M50" s="92" t="s">
        <v>72</v>
      </c>
      <c r="N50" s="110" t="e">
        <f t="shared" si="0"/>
        <v>#VALUE!</v>
      </c>
      <c r="O50" s="92">
        <v>0</v>
      </c>
      <c r="P50" s="92" t="s">
        <v>1</v>
      </c>
      <c r="Q50" s="92" t="s">
        <v>1</v>
      </c>
      <c r="R50" s="92" t="s">
        <v>1</v>
      </c>
      <c r="S50" s="92" t="s">
        <v>1</v>
      </c>
      <c r="T50" s="92" t="s">
        <v>1</v>
      </c>
      <c r="U50" s="92" t="s">
        <v>1</v>
      </c>
      <c r="V50" s="7" t="s">
        <v>72</v>
      </c>
      <c r="W50" s="92" t="s">
        <v>1</v>
      </c>
      <c r="X50" s="7" t="s">
        <v>72</v>
      </c>
      <c r="Y50" s="92" t="s">
        <v>1</v>
      </c>
      <c r="Z50" s="7" t="s">
        <v>72</v>
      </c>
      <c r="AA50" s="92" t="s">
        <v>1</v>
      </c>
      <c r="AB50" s="7" t="s">
        <v>72</v>
      </c>
      <c r="AC50" s="92" t="s">
        <v>1</v>
      </c>
      <c r="AD50" s="7" t="s">
        <v>72</v>
      </c>
      <c r="AE50" s="92" t="s">
        <v>1</v>
      </c>
      <c r="AF50" s="120" t="s">
        <v>72</v>
      </c>
      <c r="AG50" s="7">
        <v>461</v>
      </c>
      <c r="AH50" s="121" t="s">
        <v>72</v>
      </c>
      <c r="AI50" s="7">
        <v>302</v>
      </c>
      <c r="AJ50" s="121" t="s">
        <v>72</v>
      </c>
      <c r="AK50" s="7">
        <v>11</v>
      </c>
      <c r="AL50" s="121" t="s">
        <v>72</v>
      </c>
      <c r="AM50" s="7">
        <v>546</v>
      </c>
      <c r="AN50" s="121" t="s">
        <v>72</v>
      </c>
      <c r="AO50" s="7">
        <v>170</v>
      </c>
      <c r="AP50" s="121" t="s">
        <v>72</v>
      </c>
      <c r="AQ50" s="7">
        <v>69</v>
      </c>
      <c r="AR50" s="122" t="s">
        <v>72</v>
      </c>
      <c r="AS50" s="92" t="s">
        <v>1</v>
      </c>
      <c r="AT50" s="7" t="s">
        <v>72</v>
      </c>
      <c r="AU50" s="92">
        <v>13</v>
      </c>
      <c r="AV50" s="7" t="s">
        <v>72</v>
      </c>
      <c r="AW50" s="92" t="s">
        <v>1</v>
      </c>
      <c r="AX50" s="7" t="s">
        <v>72</v>
      </c>
      <c r="AY50" s="92">
        <v>0</v>
      </c>
      <c r="AZ50" s="7" t="s">
        <v>72</v>
      </c>
      <c r="BA50" s="92" t="s">
        <v>1</v>
      </c>
      <c r="BB50" s="7" t="s">
        <v>72</v>
      </c>
      <c r="BC50" s="92" t="s">
        <v>1</v>
      </c>
      <c r="BD50" s="92" t="s">
        <v>1</v>
      </c>
      <c r="BE50" s="92" t="s">
        <v>1</v>
      </c>
      <c r="BF50" s="92" t="s">
        <v>1</v>
      </c>
      <c r="BG50" s="108">
        <v>111</v>
      </c>
      <c r="BH50" s="92" t="s">
        <v>73</v>
      </c>
      <c r="BI50" s="92">
        <v>70</v>
      </c>
      <c r="BJ50" s="92">
        <v>131</v>
      </c>
      <c r="BK50" s="7" t="s">
        <v>72</v>
      </c>
      <c r="BL50" s="92" t="s">
        <v>1</v>
      </c>
      <c r="BM50" s="92" t="s">
        <v>1</v>
      </c>
      <c r="BN50" s="92" t="s">
        <v>1</v>
      </c>
      <c r="BO50" s="92" t="s">
        <v>1</v>
      </c>
      <c r="BP50" s="92" t="s">
        <v>1</v>
      </c>
      <c r="BQ50" s="92" t="s">
        <v>1</v>
      </c>
      <c r="BR50" s="92" t="s">
        <v>1</v>
      </c>
      <c r="BS50" s="92" t="s">
        <v>1</v>
      </c>
      <c r="BT50" s="92" t="s">
        <v>1</v>
      </c>
      <c r="BU50" s="92" t="s">
        <v>1</v>
      </c>
      <c r="BV50" s="92" t="s">
        <v>1</v>
      </c>
    </row>
    <row r="51" ht="25" customHeight="1" spans="1:74">
      <c r="A51" s="107">
        <v>45154</v>
      </c>
      <c r="B51" s="109" t="s">
        <v>125</v>
      </c>
      <c r="C51" s="109" t="s">
        <v>75</v>
      </c>
      <c r="D51" s="30" t="s">
        <v>1</v>
      </c>
      <c r="E51" s="30" t="s">
        <v>1</v>
      </c>
      <c r="F51" s="92" t="str">
        <f t="shared" si="1"/>
        <v/>
      </c>
      <c r="G51" s="92" t="s">
        <v>72</v>
      </c>
      <c r="H51" s="92" t="s">
        <v>72</v>
      </c>
      <c r="I51" s="92" t="s">
        <v>72</v>
      </c>
      <c r="J51" s="92" t="s">
        <v>72</v>
      </c>
      <c r="K51" s="92" t="s">
        <v>1</v>
      </c>
      <c r="L51" s="108">
        <v>0</v>
      </c>
      <c r="M51" s="92" t="s">
        <v>72</v>
      </c>
      <c r="N51" s="110" t="e">
        <f t="shared" si="0"/>
        <v>#VALUE!</v>
      </c>
      <c r="O51" s="92">
        <v>0</v>
      </c>
      <c r="P51" s="92" t="s">
        <v>1</v>
      </c>
      <c r="Q51" s="92" t="s">
        <v>1</v>
      </c>
      <c r="R51" s="92" t="s">
        <v>1</v>
      </c>
      <c r="S51" s="92" t="s">
        <v>1</v>
      </c>
      <c r="T51" s="92" t="s">
        <v>1</v>
      </c>
      <c r="U51" s="92" t="s">
        <v>1</v>
      </c>
      <c r="V51" s="7" t="s">
        <v>72</v>
      </c>
      <c r="W51" s="92" t="s">
        <v>1</v>
      </c>
      <c r="X51" s="7" t="s">
        <v>72</v>
      </c>
      <c r="Y51" s="92" t="s">
        <v>1</v>
      </c>
      <c r="Z51" s="7" t="s">
        <v>72</v>
      </c>
      <c r="AA51" s="92" t="s">
        <v>1</v>
      </c>
      <c r="AB51" s="7" t="s">
        <v>72</v>
      </c>
      <c r="AC51" s="92" t="s">
        <v>1</v>
      </c>
      <c r="AD51" s="7" t="s">
        <v>72</v>
      </c>
      <c r="AE51" s="92" t="s">
        <v>1</v>
      </c>
      <c r="AF51" s="120" t="s">
        <v>72</v>
      </c>
      <c r="AG51" s="7">
        <v>504</v>
      </c>
      <c r="AH51" s="121" t="s">
        <v>72</v>
      </c>
      <c r="AI51" s="7">
        <v>329</v>
      </c>
      <c r="AJ51" s="121" t="s">
        <v>72</v>
      </c>
      <c r="AK51" s="7">
        <v>6</v>
      </c>
      <c r="AL51" s="121" t="s">
        <v>72</v>
      </c>
      <c r="AM51" s="7">
        <v>586</v>
      </c>
      <c r="AN51" s="121" t="s">
        <v>72</v>
      </c>
      <c r="AO51" s="7">
        <v>149</v>
      </c>
      <c r="AP51" s="121" t="s">
        <v>72</v>
      </c>
      <c r="AQ51" s="7">
        <v>41</v>
      </c>
      <c r="AR51" s="122" t="s">
        <v>72</v>
      </c>
      <c r="AS51" s="92" t="s">
        <v>1</v>
      </c>
      <c r="AT51" s="7" t="s">
        <v>72</v>
      </c>
      <c r="AU51" s="92">
        <v>22</v>
      </c>
      <c r="AV51" s="7" t="s">
        <v>72</v>
      </c>
      <c r="AW51" s="92" t="s">
        <v>1</v>
      </c>
      <c r="AX51" s="7" t="s">
        <v>72</v>
      </c>
      <c r="AY51" s="92">
        <v>0</v>
      </c>
      <c r="AZ51" s="7" t="s">
        <v>72</v>
      </c>
      <c r="BA51" s="92" t="s">
        <v>1</v>
      </c>
      <c r="BB51" s="7" t="s">
        <v>72</v>
      </c>
      <c r="BC51" s="92" t="s">
        <v>1</v>
      </c>
      <c r="BD51" s="92" t="s">
        <v>1</v>
      </c>
      <c r="BE51" s="92" t="s">
        <v>1</v>
      </c>
      <c r="BF51" s="92" t="s">
        <v>1</v>
      </c>
      <c r="BG51" s="111">
        <v>109</v>
      </c>
      <c r="BH51" s="92" t="s">
        <v>73</v>
      </c>
      <c r="BI51" s="92">
        <v>71</v>
      </c>
      <c r="BJ51" s="92">
        <v>111</v>
      </c>
      <c r="BK51" s="7" t="s">
        <v>72</v>
      </c>
      <c r="BL51" s="92" t="s">
        <v>1</v>
      </c>
      <c r="BM51" s="92" t="s">
        <v>1</v>
      </c>
      <c r="BN51" s="92" t="s">
        <v>1</v>
      </c>
      <c r="BO51" s="92" t="s">
        <v>1</v>
      </c>
      <c r="BP51" s="92" t="s">
        <v>1</v>
      </c>
      <c r="BQ51" s="92" t="s">
        <v>1</v>
      </c>
      <c r="BR51" s="92" t="s">
        <v>1</v>
      </c>
      <c r="BS51" s="92" t="s">
        <v>1</v>
      </c>
      <c r="BT51" s="92" t="s">
        <v>1</v>
      </c>
      <c r="BU51" s="92" t="s">
        <v>1</v>
      </c>
      <c r="BV51" s="92" t="s">
        <v>1</v>
      </c>
    </row>
    <row r="52" ht="25" customHeight="1" spans="1:74">
      <c r="A52" s="107">
        <v>45155</v>
      </c>
      <c r="B52" s="109" t="s">
        <v>125</v>
      </c>
      <c r="C52" s="109" t="s">
        <v>253</v>
      </c>
      <c r="D52" s="30" t="s">
        <v>1</v>
      </c>
      <c r="E52" s="30" t="s">
        <v>1</v>
      </c>
      <c r="F52" s="92">
        <v>0</v>
      </c>
      <c r="G52" s="92" t="s">
        <v>72</v>
      </c>
      <c r="H52" s="92" t="s">
        <v>72</v>
      </c>
      <c r="I52" s="92" t="s">
        <v>72</v>
      </c>
      <c r="J52" s="92" t="s">
        <v>72</v>
      </c>
      <c r="K52" s="92" t="s">
        <v>1</v>
      </c>
      <c r="L52" s="116">
        <v>10899</v>
      </c>
      <c r="M52" s="92" t="s">
        <v>72</v>
      </c>
      <c r="N52" s="110" t="e">
        <f t="shared" si="0"/>
        <v>#VALUE!</v>
      </c>
      <c r="O52" s="92">
        <v>0.56</v>
      </c>
      <c r="P52" s="92" t="s">
        <v>1</v>
      </c>
      <c r="Q52" s="92" t="s">
        <v>1</v>
      </c>
      <c r="R52" s="92" t="s">
        <v>1</v>
      </c>
      <c r="S52" s="92" t="s">
        <v>1</v>
      </c>
      <c r="T52" s="92" t="s">
        <v>1</v>
      </c>
      <c r="U52" s="92" t="s">
        <v>1</v>
      </c>
      <c r="V52" s="7" t="s">
        <v>72</v>
      </c>
      <c r="W52" s="92" t="s">
        <v>1</v>
      </c>
      <c r="X52" s="7" t="s">
        <v>72</v>
      </c>
      <c r="Y52" s="92" t="s">
        <v>1</v>
      </c>
      <c r="Z52" s="7" t="s">
        <v>72</v>
      </c>
      <c r="AA52" s="92" t="s">
        <v>1</v>
      </c>
      <c r="AB52" s="7" t="s">
        <v>72</v>
      </c>
      <c r="AC52" s="92" t="s">
        <v>1</v>
      </c>
      <c r="AD52" s="7" t="s">
        <v>72</v>
      </c>
      <c r="AE52" s="92" t="s">
        <v>1</v>
      </c>
      <c r="AF52" s="120" t="s">
        <v>72</v>
      </c>
      <c r="AG52" s="7">
        <v>609</v>
      </c>
      <c r="AH52" s="121" t="s">
        <v>72</v>
      </c>
      <c r="AI52" s="7">
        <v>301</v>
      </c>
      <c r="AJ52" s="121" t="s">
        <v>72</v>
      </c>
      <c r="AK52" s="7">
        <v>7</v>
      </c>
      <c r="AL52" s="121" t="s">
        <v>72</v>
      </c>
      <c r="AM52" s="7">
        <v>693</v>
      </c>
      <c r="AN52" s="121" t="s">
        <v>72</v>
      </c>
      <c r="AO52" s="7">
        <v>145</v>
      </c>
      <c r="AP52" s="121" t="s">
        <v>72</v>
      </c>
      <c r="AQ52" s="7">
        <v>54</v>
      </c>
      <c r="AR52" s="122" t="s">
        <v>72</v>
      </c>
      <c r="AS52" s="92" t="s">
        <v>1</v>
      </c>
      <c r="AT52" s="7" t="s">
        <v>72</v>
      </c>
      <c r="AU52" s="92">
        <v>23</v>
      </c>
      <c r="AV52" s="7" t="s">
        <v>72</v>
      </c>
      <c r="AW52" s="92" t="s">
        <v>1</v>
      </c>
      <c r="AX52" s="7" t="s">
        <v>72</v>
      </c>
      <c r="AY52" s="92">
        <v>3</v>
      </c>
      <c r="AZ52" s="7" t="s">
        <v>72</v>
      </c>
      <c r="BA52" s="92" t="s">
        <v>1</v>
      </c>
      <c r="BB52" s="7" t="s">
        <v>72</v>
      </c>
      <c r="BC52" s="92" t="s">
        <v>1</v>
      </c>
      <c r="BD52" s="92" t="s">
        <v>1</v>
      </c>
      <c r="BE52" s="92" t="s">
        <v>1</v>
      </c>
      <c r="BF52" s="92" t="s">
        <v>1</v>
      </c>
      <c r="BG52" s="108">
        <v>107</v>
      </c>
      <c r="BH52" s="92" t="s">
        <v>73</v>
      </c>
      <c r="BI52" s="92">
        <v>78</v>
      </c>
      <c r="BJ52" s="92">
        <v>95</v>
      </c>
      <c r="BK52" s="7" t="s">
        <v>72</v>
      </c>
      <c r="BL52" s="92" t="s">
        <v>264</v>
      </c>
      <c r="BM52" s="92" t="s">
        <v>265</v>
      </c>
      <c r="BN52" s="92" t="s">
        <v>266</v>
      </c>
      <c r="BO52" s="92" t="s">
        <v>284</v>
      </c>
      <c r="BP52" s="92" t="s">
        <v>285</v>
      </c>
      <c r="BQ52" s="92" t="s">
        <v>1</v>
      </c>
      <c r="BR52" s="92" t="s">
        <v>1</v>
      </c>
      <c r="BS52" s="92" t="s">
        <v>1</v>
      </c>
      <c r="BT52" s="92" t="s">
        <v>1</v>
      </c>
      <c r="BU52" s="92" t="s">
        <v>1</v>
      </c>
      <c r="BV52" s="92" t="s">
        <v>1</v>
      </c>
    </row>
    <row r="53" ht="25" customHeight="1" spans="1:74">
      <c r="A53" s="107">
        <v>45156</v>
      </c>
      <c r="B53" s="109" t="s">
        <v>125</v>
      </c>
      <c r="C53" s="109" t="s">
        <v>125</v>
      </c>
      <c r="D53" s="30" t="s">
        <v>1</v>
      </c>
      <c r="E53" s="30" t="s">
        <v>1</v>
      </c>
      <c r="F53" s="92">
        <v>3</v>
      </c>
      <c r="G53" s="92" t="s">
        <v>72</v>
      </c>
      <c r="H53" s="92" t="s">
        <v>72</v>
      </c>
      <c r="I53" s="92" t="s">
        <v>72</v>
      </c>
      <c r="J53" s="92" t="s">
        <v>72</v>
      </c>
      <c r="K53" s="92" t="s">
        <v>1</v>
      </c>
      <c r="L53" s="108">
        <v>0</v>
      </c>
      <c r="M53" s="92" t="s">
        <v>72</v>
      </c>
      <c r="N53" s="110" t="e">
        <f t="shared" si="0"/>
        <v>#VALUE!</v>
      </c>
      <c r="O53" s="92">
        <v>0.3</v>
      </c>
      <c r="P53" s="92" t="s">
        <v>1</v>
      </c>
      <c r="Q53" s="92" t="s">
        <v>1</v>
      </c>
      <c r="R53" s="92" t="s">
        <v>1</v>
      </c>
      <c r="S53" s="92" t="s">
        <v>1</v>
      </c>
      <c r="T53" s="92" t="s">
        <v>1</v>
      </c>
      <c r="U53" s="92" t="s">
        <v>1</v>
      </c>
      <c r="V53" s="7" t="s">
        <v>72</v>
      </c>
      <c r="W53" s="92" t="s">
        <v>1</v>
      </c>
      <c r="X53" s="7" t="s">
        <v>72</v>
      </c>
      <c r="Y53" s="92" t="s">
        <v>1</v>
      </c>
      <c r="Z53" s="7" t="s">
        <v>72</v>
      </c>
      <c r="AA53" s="92" t="s">
        <v>1</v>
      </c>
      <c r="AB53" s="7" t="s">
        <v>72</v>
      </c>
      <c r="AC53" s="92" t="s">
        <v>1</v>
      </c>
      <c r="AD53" s="7" t="s">
        <v>72</v>
      </c>
      <c r="AE53" s="92" t="s">
        <v>1</v>
      </c>
      <c r="AF53" s="120" t="s">
        <v>72</v>
      </c>
      <c r="AG53" s="7">
        <v>518</v>
      </c>
      <c r="AH53" s="121" t="s">
        <v>72</v>
      </c>
      <c r="AI53" s="7">
        <v>258</v>
      </c>
      <c r="AJ53" s="121" t="s">
        <v>72</v>
      </c>
      <c r="AK53" s="7">
        <v>10</v>
      </c>
      <c r="AL53" s="121" t="s">
        <v>72</v>
      </c>
      <c r="AM53" s="7">
        <v>722</v>
      </c>
      <c r="AN53" s="121" t="s">
        <v>72</v>
      </c>
      <c r="AO53" s="7">
        <v>133</v>
      </c>
      <c r="AP53" s="121" t="s">
        <v>72</v>
      </c>
      <c r="AQ53" s="7">
        <v>42</v>
      </c>
      <c r="AR53" s="122" t="s">
        <v>72</v>
      </c>
      <c r="AS53" s="92" t="s">
        <v>1</v>
      </c>
      <c r="AT53" s="7" t="s">
        <v>72</v>
      </c>
      <c r="AU53" s="92">
        <v>28</v>
      </c>
      <c r="AV53" s="7" t="s">
        <v>72</v>
      </c>
      <c r="AW53" s="92" t="s">
        <v>1</v>
      </c>
      <c r="AX53" s="7" t="s">
        <v>72</v>
      </c>
      <c r="AY53" s="92">
        <v>1</v>
      </c>
      <c r="AZ53" s="7" t="s">
        <v>72</v>
      </c>
      <c r="BA53" s="92" t="s">
        <v>1</v>
      </c>
      <c r="BB53" s="7" t="s">
        <v>72</v>
      </c>
      <c r="BC53" s="92" t="s">
        <v>1</v>
      </c>
      <c r="BD53" s="92" t="s">
        <v>1</v>
      </c>
      <c r="BE53" s="92" t="s">
        <v>1</v>
      </c>
      <c r="BF53" s="92" t="s">
        <v>1</v>
      </c>
      <c r="BG53" s="108">
        <v>108</v>
      </c>
      <c r="BH53" s="92" t="s">
        <v>73</v>
      </c>
      <c r="BI53" s="92">
        <v>79</v>
      </c>
      <c r="BJ53" s="92">
        <v>97</v>
      </c>
      <c r="BK53" s="7" t="s">
        <v>72</v>
      </c>
      <c r="BL53" s="92" t="s">
        <v>1</v>
      </c>
      <c r="BM53" s="92" t="s">
        <v>1</v>
      </c>
      <c r="BN53" s="92" t="s">
        <v>1</v>
      </c>
      <c r="BO53" s="92" t="s">
        <v>1</v>
      </c>
      <c r="BP53" s="92" t="s">
        <v>1</v>
      </c>
      <c r="BQ53" s="92" t="s">
        <v>1</v>
      </c>
      <c r="BR53" s="92" t="s">
        <v>1</v>
      </c>
      <c r="BS53" s="92" t="s">
        <v>1</v>
      </c>
      <c r="BT53" s="92" t="s">
        <v>1</v>
      </c>
      <c r="BU53" s="92" t="s">
        <v>1</v>
      </c>
      <c r="BV53" s="92" t="s">
        <v>1</v>
      </c>
    </row>
    <row r="54" ht="25" customHeight="1" spans="1:74">
      <c r="A54" s="107">
        <v>45157</v>
      </c>
      <c r="B54" s="109" t="s">
        <v>125</v>
      </c>
      <c r="C54" s="109" t="s">
        <v>75</v>
      </c>
      <c r="D54" s="30" t="s">
        <v>1</v>
      </c>
      <c r="E54" s="30" t="s">
        <v>1</v>
      </c>
      <c r="F54" s="92">
        <v>0</v>
      </c>
      <c r="G54" s="92" t="s">
        <v>72</v>
      </c>
      <c r="H54" s="92" t="s">
        <v>72</v>
      </c>
      <c r="I54" s="92" t="s">
        <v>72</v>
      </c>
      <c r="J54" s="92" t="s">
        <v>72</v>
      </c>
      <c r="K54" s="92" t="s">
        <v>1</v>
      </c>
      <c r="L54" s="108">
        <v>0</v>
      </c>
      <c r="M54" s="92" t="s">
        <v>72</v>
      </c>
      <c r="N54" s="110" t="e">
        <f t="shared" si="0"/>
        <v>#VALUE!</v>
      </c>
      <c r="O54" s="92">
        <v>0.32</v>
      </c>
      <c r="P54" s="92" t="s">
        <v>1</v>
      </c>
      <c r="Q54" s="92" t="s">
        <v>1</v>
      </c>
      <c r="R54" s="92" t="s">
        <v>1</v>
      </c>
      <c r="S54" s="92" t="s">
        <v>1</v>
      </c>
      <c r="T54" s="92" t="s">
        <v>1</v>
      </c>
      <c r="U54" s="92" t="s">
        <v>1</v>
      </c>
      <c r="V54" s="7" t="s">
        <v>72</v>
      </c>
      <c r="W54" s="92" t="s">
        <v>1</v>
      </c>
      <c r="X54" s="7" t="s">
        <v>72</v>
      </c>
      <c r="Y54" s="92" t="s">
        <v>1</v>
      </c>
      <c r="Z54" s="7" t="s">
        <v>72</v>
      </c>
      <c r="AA54" s="92" t="s">
        <v>1</v>
      </c>
      <c r="AB54" s="7" t="s">
        <v>72</v>
      </c>
      <c r="AC54" s="92" t="s">
        <v>1</v>
      </c>
      <c r="AD54" s="7" t="s">
        <v>72</v>
      </c>
      <c r="AE54" s="92" t="s">
        <v>1</v>
      </c>
      <c r="AF54" s="120" t="s">
        <v>72</v>
      </c>
      <c r="AG54" s="7">
        <v>809</v>
      </c>
      <c r="AH54" s="121" t="s">
        <v>72</v>
      </c>
      <c r="AI54" s="7">
        <v>377</v>
      </c>
      <c r="AJ54" s="121" t="s">
        <v>72</v>
      </c>
      <c r="AK54" s="7">
        <v>7</v>
      </c>
      <c r="AL54" s="121" t="s">
        <v>72</v>
      </c>
      <c r="AM54" s="7">
        <v>1401</v>
      </c>
      <c r="AN54" s="121" t="s">
        <v>72</v>
      </c>
      <c r="AO54" s="7">
        <v>162</v>
      </c>
      <c r="AP54" s="121" t="s">
        <v>72</v>
      </c>
      <c r="AQ54" s="7">
        <v>45</v>
      </c>
      <c r="AR54" s="122" t="s">
        <v>72</v>
      </c>
      <c r="AS54" s="92" t="s">
        <v>1</v>
      </c>
      <c r="AT54" s="7" t="s">
        <v>72</v>
      </c>
      <c r="AU54" s="92">
        <v>14</v>
      </c>
      <c r="AV54" s="7" t="s">
        <v>72</v>
      </c>
      <c r="AW54" s="92" t="s">
        <v>1</v>
      </c>
      <c r="AX54" s="7" t="s">
        <v>72</v>
      </c>
      <c r="AY54" s="92">
        <v>1</v>
      </c>
      <c r="AZ54" s="7" t="s">
        <v>72</v>
      </c>
      <c r="BA54" s="92" t="s">
        <v>1</v>
      </c>
      <c r="BB54" s="7" t="s">
        <v>72</v>
      </c>
      <c r="BC54" s="92" t="s">
        <v>1</v>
      </c>
      <c r="BD54" s="92" t="s">
        <v>1</v>
      </c>
      <c r="BE54" s="92" t="s">
        <v>1</v>
      </c>
      <c r="BF54" s="92" t="s">
        <v>1</v>
      </c>
      <c r="BG54" s="108">
        <v>103</v>
      </c>
      <c r="BH54" s="92" t="s">
        <v>73</v>
      </c>
      <c r="BI54" s="92">
        <v>81</v>
      </c>
      <c r="BJ54" s="92">
        <v>98</v>
      </c>
      <c r="BK54" s="7" t="s">
        <v>72</v>
      </c>
      <c r="BL54" s="92" t="s">
        <v>1</v>
      </c>
      <c r="BM54" s="92" t="s">
        <v>1</v>
      </c>
      <c r="BN54" s="92" t="s">
        <v>1</v>
      </c>
      <c r="BO54" s="92" t="s">
        <v>1</v>
      </c>
      <c r="BP54" s="92" t="s">
        <v>1</v>
      </c>
      <c r="BQ54" s="92" t="s">
        <v>1</v>
      </c>
      <c r="BR54" s="92" t="s">
        <v>1</v>
      </c>
      <c r="BS54" s="92" t="s">
        <v>1</v>
      </c>
      <c r="BT54" s="92" t="s">
        <v>1</v>
      </c>
      <c r="BU54" s="92" t="s">
        <v>1</v>
      </c>
      <c r="BV54" s="92" t="s">
        <v>1</v>
      </c>
    </row>
    <row r="55" ht="25" customHeight="1" spans="1:74">
      <c r="A55" s="107">
        <v>45158</v>
      </c>
      <c r="B55" s="109" t="s">
        <v>125</v>
      </c>
      <c r="C55" s="109" t="s">
        <v>253</v>
      </c>
      <c r="D55" s="30" t="s">
        <v>1</v>
      </c>
      <c r="E55" s="30" t="s">
        <v>1</v>
      </c>
      <c r="F55" s="92">
        <v>0</v>
      </c>
      <c r="G55" s="92" t="s">
        <v>72</v>
      </c>
      <c r="H55" s="92" t="s">
        <v>72</v>
      </c>
      <c r="I55" s="92" t="s">
        <v>72</v>
      </c>
      <c r="J55" s="92" t="s">
        <v>72</v>
      </c>
      <c r="K55" s="92" t="s">
        <v>1</v>
      </c>
      <c r="L55" s="108">
        <v>98</v>
      </c>
      <c r="M55" s="92" t="s">
        <v>72</v>
      </c>
      <c r="N55" s="110" t="e">
        <f t="shared" si="0"/>
        <v>#VALUE!</v>
      </c>
      <c r="O55" s="92">
        <v>0.31</v>
      </c>
      <c r="P55" s="92" t="s">
        <v>1</v>
      </c>
      <c r="Q55" s="92" t="s">
        <v>1</v>
      </c>
      <c r="R55" s="92" t="s">
        <v>1</v>
      </c>
      <c r="S55" s="92" t="s">
        <v>1</v>
      </c>
      <c r="T55" s="92" t="s">
        <v>1</v>
      </c>
      <c r="U55" s="92" t="s">
        <v>1</v>
      </c>
      <c r="V55" s="7" t="s">
        <v>72</v>
      </c>
      <c r="W55" s="92" t="s">
        <v>1</v>
      </c>
      <c r="X55" s="7" t="s">
        <v>72</v>
      </c>
      <c r="Y55" s="92" t="s">
        <v>1</v>
      </c>
      <c r="Z55" s="7" t="s">
        <v>72</v>
      </c>
      <c r="AA55" s="92" t="s">
        <v>1</v>
      </c>
      <c r="AB55" s="7" t="s">
        <v>72</v>
      </c>
      <c r="AC55" s="92" t="s">
        <v>1</v>
      </c>
      <c r="AD55" s="7" t="s">
        <v>72</v>
      </c>
      <c r="AE55" s="92" t="s">
        <v>1</v>
      </c>
      <c r="AF55" s="120" t="s">
        <v>72</v>
      </c>
      <c r="AG55" s="7">
        <v>887</v>
      </c>
      <c r="AH55" s="121" t="s">
        <v>72</v>
      </c>
      <c r="AI55" s="7">
        <v>363</v>
      </c>
      <c r="AJ55" s="121" t="s">
        <v>72</v>
      </c>
      <c r="AK55" s="7">
        <v>10</v>
      </c>
      <c r="AL55" s="121" t="s">
        <v>72</v>
      </c>
      <c r="AM55" s="7">
        <v>1474</v>
      </c>
      <c r="AN55" s="121" t="s">
        <v>72</v>
      </c>
      <c r="AO55" s="7">
        <v>162</v>
      </c>
      <c r="AP55" s="121" t="s">
        <v>72</v>
      </c>
      <c r="AQ55" s="7">
        <v>37</v>
      </c>
      <c r="AR55" s="122" t="s">
        <v>72</v>
      </c>
      <c r="AS55" s="92" t="s">
        <v>1</v>
      </c>
      <c r="AT55" s="7" t="s">
        <v>72</v>
      </c>
      <c r="AU55" s="92">
        <v>4</v>
      </c>
      <c r="AV55" s="7" t="s">
        <v>72</v>
      </c>
      <c r="AW55" s="92" t="s">
        <v>1</v>
      </c>
      <c r="AX55" s="7" t="s">
        <v>72</v>
      </c>
      <c r="AY55" s="92">
        <v>1</v>
      </c>
      <c r="AZ55" s="7" t="s">
        <v>72</v>
      </c>
      <c r="BA55" s="92" t="s">
        <v>1</v>
      </c>
      <c r="BB55" s="7" t="s">
        <v>72</v>
      </c>
      <c r="BC55" s="92" t="s">
        <v>1</v>
      </c>
      <c r="BD55" s="92" t="s">
        <v>1</v>
      </c>
      <c r="BE55" s="92" t="s">
        <v>1</v>
      </c>
      <c r="BF55" s="92" t="s">
        <v>1</v>
      </c>
      <c r="BG55" s="108">
        <v>103</v>
      </c>
      <c r="BH55" s="92" t="s">
        <v>73</v>
      </c>
      <c r="BI55" s="92">
        <v>70</v>
      </c>
      <c r="BJ55" s="92">
        <v>135</v>
      </c>
      <c r="BK55" s="7" t="s">
        <v>72</v>
      </c>
      <c r="BL55" s="92" t="s">
        <v>1</v>
      </c>
      <c r="BM55" s="92" t="s">
        <v>1</v>
      </c>
      <c r="BN55" s="92" t="s">
        <v>1</v>
      </c>
      <c r="BO55" s="92" t="s">
        <v>1</v>
      </c>
      <c r="BP55" s="92" t="s">
        <v>1</v>
      </c>
      <c r="BQ55" s="92" t="s">
        <v>1</v>
      </c>
      <c r="BR55" s="92" t="s">
        <v>1</v>
      </c>
      <c r="BS55" s="92" t="s">
        <v>1</v>
      </c>
      <c r="BT55" s="92" t="s">
        <v>1</v>
      </c>
      <c r="BU55" s="92" t="s">
        <v>1</v>
      </c>
      <c r="BV55" s="92" t="s">
        <v>1</v>
      </c>
    </row>
    <row r="56" ht="25" customHeight="1" spans="1:74">
      <c r="A56" s="107">
        <v>45159</v>
      </c>
      <c r="B56" s="109" t="s">
        <v>125</v>
      </c>
      <c r="C56" s="109" t="s">
        <v>125</v>
      </c>
      <c r="D56" s="30" t="s">
        <v>1</v>
      </c>
      <c r="E56" s="30" t="s">
        <v>1</v>
      </c>
      <c r="F56" s="92">
        <v>2</v>
      </c>
      <c r="G56" s="92" t="s">
        <v>72</v>
      </c>
      <c r="H56" s="92" t="s">
        <v>72</v>
      </c>
      <c r="I56" s="92" t="s">
        <v>72</v>
      </c>
      <c r="J56" s="92" t="s">
        <v>72</v>
      </c>
      <c r="K56" s="92" t="s">
        <v>1</v>
      </c>
      <c r="L56" s="108">
        <v>0</v>
      </c>
      <c r="M56" s="92" t="s">
        <v>72</v>
      </c>
      <c r="N56" s="110" t="e">
        <f t="shared" si="0"/>
        <v>#VALUE!</v>
      </c>
      <c r="O56" s="92">
        <v>0.31</v>
      </c>
      <c r="P56" s="92" t="s">
        <v>1</v>
      </c>
      <c r="Q56" s="92" t="s">
        <v>1</v>
      </c>
      <c r="R56" s="92" t="s">
        <v>1</v>
      </c>
      <c r="S56" s="92" t="s">
        <v>1</v>
      </c>
      <c r="T56" s="92" t="s">
        <v>1</v>
      </c>
      <c r="U56" s="92" t="s">
        <v>1</v>
      </c>
      <c r="V56" s="7" t="s">
        <v>72</v>
      </c>
      <c r="W56" s="92" t="s">
        <v>1</v>
      </c>
      <c r="X56" s="7" t="s">
        <v>72</v>
      </c>
      <c r="Y56" s="92" t="s">
        <v>1</v>
      </c>
      <c r="Z56" s="7" t="s">
        <v>72</v>
      </c>
      <c r="AA56" s="92" t="s">
        <v>1</v>
      </c>
      <c r="AB56" s="7" t="s">
        <v>72</v>
      </c>
      <c r="AC56" s="92" t="s">
        <v>1</v>
      </c>
      <c r="AD56" s="7" t="s">
        <v>72</v>
      </c>
      <c r="AE56" s="92" t="s">
        <v>1</v>
      </c>
      <c r="AF56" s="120" t="s">
        <v>72</v>
      </c>
      <c r="AG56" s="7">
        <v>889</v>
      </c>
      <c r="AH56" s="121" t="s">
        <v>72</v>
      </c>
      <c r="AI56" s="7">
        <v>338</v>
      </c>
      <c r="AJ56" s="121" t="s">
        <v>72</v>
      </c>
      <c r="AK56" s="7">
        <v>5</v>
      </c>
      <c r="AL56" s="121" t="s">
        <v>72</v>
      </c>
      <c r="AM56" s="7">
        <v>1777</v>
      </c>
      <c r="AN56" s="121" t="s">
        <v>72</v>
      </c>
      <c r="AO56" s="7">
        <v>203</v>
      </c>
      <c r="AP56" s="121" t="s">
        <v>72</v>
      </c>
      <c r="AQ56" s="7">
        <v>24</v>
      </c>
      <c r="AR56" s="122" t="s">
        <v>72</v>
      </c>
      <c r="AS56" s="92" t="s">
        <v>1</v>
      </c>
      <c r="AT56" s="7" t="s">
        <v>72</v>
      </c>
      <c r="AU56" s="92">
        <v>38</v>
      </c>
      <c r="AV56" s="7" t="s">
        <v>72</v>
      </c>
      <c r="AW56" s="92" t="s">
        <v>1</v>
      </c>
      <c r="AX56" s="7" t="s">
        <v>72</v>
      </c>
      <c r="AY56" s="92">
        <v>2</v>
      </c>
      <c r="AZ56" s="7" t="s">
        <v>72</v>
      </c>
      <c r="BA56" s="92" t="s">
        <v>1</v>
      </c>
      <c r="BB56" s="7" t="s">
        <v>72</v>
      </c>
      <c r="BC56" s="92" t="s">
        <v>1</v>
      </c>
      <c r="BD56" s="92" t="s">
        <v>1</v>
      </c>
      <c r="BE56" s="92" t="s">
        <v>1</v>
      </c>
      <c r="BF56" s="92" t="s">
        <v>1</v>
      </c>
      <c r="BG56" s="108">
        <v>103</v>
      </c>
      <c r="BH56" s="92" t="s">
        <v>73</v>
      </c>
      <c r="BI56" s="92">
        <v>56</v>
      </c>
      <c r="BJ56" s="92">
        <v>145</v>
      </c>
      <c r="BK56" s="7" t="s">
        <v>72</v>
      </c>
      <c r="BL56" s="92" t="s">
        <v>1</v>
      </c>
      <c r="BM56" s="92" t="s">
        <v>1</v>
      </c>
      <c r="BN56" s="92" t="s">
        <v>1</v>
      </c>
      <c r="BO56" s="92" t="s">
        <v>1</v>
      </c>
      <c r="BP56" s="92" t="s">
        <v>1</v>
      </c>
      <c r="BQ56" s="92" t="s">
        <v>1</v>
      </c>
      <c r="BR56" s="92" t="s">
        <v>1</v>
      </c>
      <c r="BS56" s="92" t="s">
        <v>1</v>
      </c>
      <c r="BT56" s="92" t="s">
        <v>1</v>
      </c>
      <c r="BU56" s="92" t="s">
        <v>1</v>
      </c>
      <c r="BV56" s="92" t="s">
        <v>1</v>
      </c>
    </row>
    <row r="57" ht="25" customHeight="1" spans="1:74">
      <c r="A57" s="107">
        <v>45160</v>
      </c>
      <c r="B57" s="109" t="s">
        <v>125</v>
      </c>
      <c r="C57" s="109" t="s">
        <v>75</v>
      </c>
      <c r="D57" s="30" t="s">
        <v>1</v>
      </c>
      <c r="E57" s="30" t="s">
        <v>1</v>
      </c>
      <c r="F57" s="92">
        <v>0</v>
      </c>
      <c r="G57" s="92" t="s">
        <v>72</v>
      </c>
      <c r="H57" s="92" t="s">
        <v>72</v>
      </c>
      <c r="I57" s="92" t="s">
        <v>72</v>
      </c>
      <c r="J57" s="92" t="s">
        <v>72</v>
      </c>
      <c r="K57" s="92" t="s">
        <v>1</v>
      </c>
      <c r="L57" s="108">
        <v>98</v>
      </c>
      <c r="M57" s="92" t="s">
        <v>72</v>
      </c>
      <c r="N57" s="110" t="e">
        <f t="shared" si="0"/>
        <v>#VALUE!</v>
      </c>
      <c r="O57" s="92">
        <v>0</v>
      </c>
      <c r="P57" s="92" t="s">
        <v>1</v>
      </c>
      <c r="Q57" s="92" t="s">
        <v>1</v>
      </c>
      <c r="R57" s="92" t="s">
        <v>1</v>
      </c>
      <c r="S57" s="92" t="s">
        <v>1</v>
      </c>
      <c r="T57" s="92" t="s">
        <v>1</v>
      </c>
      <c r="U57" s="92" t="s">
        <v>1</v>
      </c>
      <c r="V57" s="7" t="s">
        <v>72</v>
      </c>
      <c r="W57" s="92" t="s">
        <v>1</v>
      </c>
      <c r="X57" s="7" t="s">
        <v>72</v>
      </c>
      <c r="Y57" s="92" t="s">
        <v>1</v>
      </c>
      <c r="Z57" s="7" t="s">
        <v>72</v>
      </c>
      <c r="AA57" s="92" t="s">
        <v>1</v>
      </c>
      <c r="AB57" s="7" t="s">
        <v>72</v>
      </c>
      <c r="AC57" s="92" t="s">
        <v>1</v>
      </c>
      <c r="AD57" s="7" t="s">
        <v>72</v>
      </c>
      <c r="AE57" s="92" t="s">
        <v>1</v>
      </c>
      <c r="AF57" s="120" t="s">
        <v>72</v>
      </c>
      <c r="AG57" s="7">
        <v>595</v>
      </c>
      <c r="AH57" s="121" t="s">
        <v>72</v>
      </c>
      <c r="AI57" s="7">
        <v>250</v>
      </c>
      <c r="AJ57" s="121" t="s">
        <v>72</v>
      </c>
      <c r="AK57" s="7">
        <v>4</v>
      </c>
      <c r="AL57" s="121" t="s">
        <v>72</v>
      </c>
      <c r="AM57" s="7">
        <v>975</v>
      </c>
      <c r="AN57" s="121" t="s">
        <v>72</v>
      </c>
      <c r="AO57" s="7">
        <v>150</v>
      </c>
      <c r="AP57" s="121" t="s">
        <v>72</v>
      </c>
      <c r="AQ57" s="7">
        <v>24</v>
      </c>
      <c r="AR57" s="122" t="s">
        <v>72</v>
      </c>
      <c r="AS57" s="92" t="s">
        <v>1</v>
      </c>
      <c r="AT57" s="7" t="s">
        <v>72</v>
      </c>
      <c r="AU57" s="92">
        <v>22</v>
      </c>
      <c r="AV57" s="7" t="s">
        <v>72</v>
      </c>
      <c r="AW57" s="92" t="s">
        <v>1</v>
      </c>
      <c r="AX57" s="7" t="s">
        <v>72</v>
      </c>
      <c r="AY57" s="92">
        <v>0</v>
      </c>
      <c r="AZ57" s="7" t="s">
        <v>72</v>
      </c>
      <c r="BA57" s="92" t="s">
        <v>1</v>
      </c>
      <c r="BB57" s="7" t="s">
        <v>72</v>
      </c>
      <c r="BC57" s="92" t="s">
        <v>1</v>
      </c>
      <c r="BD57" s="92" t="s">
        <v>1</v>
      </c>
      <c r="BE57" s="92" t="s">
        <v>1</v>
      </c>
      <c r="BF57" s="92" t="s">
        <v>1</v>
      </c>
      <c r="BG57" s="108">
        <v>107</v>
      </c>
      <c r="BH57" s="92" t="s">
        <v>73</v>
      </c>
      <c r="BI57" s="92">
        <v>54</v>
      </c>
      <c r="BJ57" s="92">
        <v>138</v>
      </c>
      <c r="BK57" s="7" t="s">
        <v>72</v>
      </c>
      <c r="BL57" s="92" t="s">
        <v>1</v>
      </c>
      <c r="BM57" s="92" t="s">
        <v>1</v>
      </c>
      <c r="BN57" s="92" t="s">
        <v>1</v>
      </c>
      <c r="BO57" s="92" t="s">
        <v>1</v>
      </c>
      <c r="BP57" s="92" t="s">
        <v>1</v>
      </c>
      <c r="BQ57" s="92" t="s">
        <v>1</v>
      </c>
      <c r="BR57" s="92" t="s">
        <v>1</v>
      </c>
      <c r="BS57" s="92" t="s">
        <v>1</v>
      </c>
      <c r="BT57" s="92" t="s">
        <v>1</v>
      </c>
      <c r="BU57" s="92" t="s">
        <v>1</v>
      </c>
      <c r="BV57" s="92" t="s">
        <v>1</v>
      </c>
    </row>
    <row r="58" ht="25" customHeight="1" spans="1:74">
      <c r="A58" s="107">
        <v>45161</v>
      </c>
      <c r="B58" s="109" t="s">
        <v>89</v>
      </c>
      <c r="C58" s="109" t="s">
        <v>1</v>
      </c>
      <c r="D58" s="30" t="s">
        <v>1</v>
      </c>
      <c r="E58" s="30" t="s">
        <v>1</v>
      </c>
      <c r="F58" s="92">
        <v>0</v>
      </c>
      <c r="G58" s="92" t="s">
        <v>72</v>
      </c>
      <c r="H58" s="92" t="s">
        <v>72</v>
      </c>
      <c r="I58" s="92" t="s">
        <v>72</v>
      </c>
      <c r="J58" s="92" t="s">
        <v>72</v>
      </c>
      <c r="K58" s="92" t="s">
        <v>1</v>
      </c>
      <c r="L58" s="108">
        <v>0</v>
      </c>
      <c r="M58" s="92" t="s">
        <v>72</v>
      </c>
      <c r="N58" s="110" t="e">
        <f t="shared" si="0"/>
        <v>#VALUE!</v>
      </c>
      <c r="O58" s="92">
        <v>1.51</v>
      </c>
      <c r="P58" s="92" t="s">
        <v>1</v>
      </c>
      <c r="Q58" s="92" t="s">
        <v>1</v>
      </c>
      <c r="R58" s="92" t="s">
        <v>1</v>
      </c>
      <c r="S58" s="92" t="s">
        <v>1</v>
      </c>
      <c r="T58" s="92" t="s">
        <v>1</v>
      </c>
      <c r="U58" s="92" t="s">
        <v>1</v>
      </c>
      <c r="V58" s="7" t="s">
        <v>72</v>
      </c>
      <c r="W58" s="92" t="s">
        <v>1</v>
      </c>
      <c r="X58" s="7" t="s">
        <v>72</v>
      </c>
      <c r="Y58" s="92" t="s">
        <v>1</v>
      </c>
      <c r="Z58" s="7" t="s">
        <v>72</v>
      </c>
      <c r="AA58" s="92" t="s">
        <v>1</v>
      </c>
      <c r="AB58" s="7" t="s">
        <v>72</v>
      </c>
      <c r="AC58" s="92" t="s">
        <v>1</v>
      </c>
      <c r="AD58" s="7" t="s">
        <v>72</v>
      </c>
      <c r="AE58" s="92" t="s">
        <v>1</v>
      </c>
      <c r="AF58" s="120" t="s">
        <v>72</v>
      </c>
      <c r="AG58" s="7">
        <v>584</v>
      </c>
      <c r="AH58" s="121" t="s">
        <v>72</v>
      </c>
      <c r="AI58" s="7">
        <v>243</v>
      </c>
      <c r="AJ58" s="121" t="s">
        <v>72</v>
      </c>
      <c r="AK58" s="7">
        <v>13</v>
      </c>
      <c r="AL58" s="121" t="s">
        <v>72</v>
      </c>
      <c r="AM58" s="7">
        <v>640</v>
      </c>
      <c r="AN58" s="121" t="s">
        <v>72</v>
      </c>
      <c r="AO58" s="7">
        <v>130</v>
      </c>
      <c r="AP58" s="121" t="s">
        <v>72</v>
      </c>
      <c r="AQ58" s="7">
        <v>38</v>
      </c>
      <c r="AR58" s="122" t="s">
        <v>72</v>
      </c>
      <c r="AS58" s="92" t="s">
        <v>1</v>
      </c>
      <c r="AT58" s="7" t="s">
        <v>72</v>
      </c>
      <c r="AU58" s="92">
        <v>24</v>
      </c>
      <c r="AV58" s="7" t="s">
        <v>72</v>
      </c>
      <c r="AW58" s="92" t="s">
        <v>1</v>
      </c>
      <c r="AX58" s="7" t="s">
        <v>72</v>
      </c>
      <c r="AY58" s="92">
        <v>5</v>
      </c>
      <c r="AZ58" s="7" t="s">
        <v>72</v>
      </c>
      <c r="BA58" s="92" t="s">
        <v>1</v>
      </c>
      <c r="BB58" s="7" t="s">
        <v>72</v>
      </c>
      <c r="BC58" s="92" t="s">
        <v>1</v>
      </c>
      <c r="BD58" s="92" t="s">
        <v>1</v>
      </c>
      <c r="BE58" s="92" t="s">
        <v>1</v>
      </c>
      <c r="BF58" s="92" t="s">
        <v>1</v>
      </c>
      <c r="BG58" s="108" t="s">
        <v>1</v>
      </c>
      <c r="BH58" s="92" t="s">
        <v>73</v>
      </c>
      <c r="BI58" s="92">
        <v>85</v>
      </c>
      <c r="BJ58" s="92">
        <v>90</v>
      </c>
      <c r="BK58" s="7" t="s">
        <v>72</v>
      </c>
      <c r="BL58" s="92" t="s">
        <v>266</v>
      </c>
      <c r="BM58" s="92" t="s">
        <v>285</v>
      </c>
      <c r="BN58" s="92" t="s">
        <v>286</v>
      </c>
      <c r="BO58" s="92" t="s">
        <v>264</v>
      </c>
      <c r="BP58" s="92" t="s">
        <v>287</v>
      </c>
      <c r="BQ58" s="92" t="s">
        <v>288</v>
      </c>
      <c r="BR58" s="92" t="s">
        <v>279</v>
      </c>
      <c r="BS58" s="92" t="s">
        <v>289</v>
      </c>
      <c r="BT58" s="92" t="s">
        <v>290</v>
      </c>
      <c r="BU58" s="92" t="s">
        <v>282</v>
      </c>
      <c r="BV58" s="92" t="s">
        <v>1</v>
      </c>
    </row>
    <row r="59" ht="25" customHeight="1" spans="1:74">
      <c r="A59" s="107">
        <v>45162</v>
      </c>
      <c r="B59" s="109" t="s">
        <v>1</v>
      </c>
      <c r="C59" s="109" t="s">
        <v>1</v>
      </c>
      <c r="D59" s="30" t="s">
        <v>1</v>
      </c>
      <c r="E59" s="30" t="s">
        <v>1</v>
      </c>
      <c r="F59" s="92">
        <v>3</v>
      </c>
      <c r="G59" s="92" t="s">
        <v>72</v>
      </c>
      <c r="H59" s="92" t="s">
        <v>72</v>
      </c>
      <c r="I59" s="92" t="s">
        <v>72</v>
      </c>
      <c r="J59" s="92" t="s">
        <v>72</v>
      </c>
      <c r="K59" s="92" t="s">
        <v>1</v>
      </c>
      <c r="L59" s="116">
        <v>12799</v>
      </c>
      <c r="M59" s="92" t="s">
        <v>72</v>
      </c>
      <c r="N59" s="110" t="e">
        <f t="shared" si="0"/>
        <v>#VALUE!</v>
      </c>
      <c r="O59" s="92">
        <v>0.3</v>
      </c>
      <c r="P59" s="92" t="s">
        <v>1</v>
      </c>
      <c r="Q59" s="92" t="s">
        <v>1</v>
      </c>
      <c r="R59" s="92" t="s">
        <v>1</v>
      </c>
      <c r="S59" s="92" t="s">
        <v>1</v>
      </c>
      <c r="T59" s="92" t="s">
        <v>1</v>
      </c>
      <c r="U59" s="92" t="s">
        <v>1</v>
      </c>
      <c r="V59" s="7" t="s">
        <v>72</v>
      </c>
      <c r="W59" s="92" t="s">
        <v>1</v>
      </c>
      <c r="X59" s="7" t="s">
        <v>72</v>
      </c>
      <c r="Y59" s="92" t="s">
        <v>1</v>
      </c>
      <c r="Z59" s="7" t="s">
        <v>72</v>
      </c>
      <c r="AA59" s="92" t="s">
        <v>1</v>
      </c>
      <c r="AB59" s="7" t="s">
        <v>72</v>
      </c>
      <c r="AC59" s="92" t="s">
        <v>1</v>
      </c>
      <c r="AD59" s="7" t="s">
        <v>72</v>
      </c>
      <c r="AE59" s="92" t="s">
        <v>1</v>
      </c>
      <c r="AF59" s="120" t="s">
        <v>72</v>
      </c>
      <c r="AG59" s="7">
        <v>618</v>
      </c>
      <c r="AH59" s="121" t="s">
        <v>72</v>
      </c>
      <c r="AI59" s="7">
        <v>178</v>
      </c>
      <c r="AJ59" s="121" t="s">
        <v>72</v>
      </c>
      <c r="AK59" s="7">
        <v>1</v>
      </c>
      <c r="AL59" s="121" t="s">
        <v>72</v>
      </c>
      <c r="AM59" s="7">
        <v>695</v>
      </c>
      <c r="AN59" s="121" t="s">
        <v>72</v>
      </c>
      <c r="AO59" s="7">
        <v>135</v>
      </c>
      <c r="AP59" s="121" t="s">
        <v>72</v>
      </c>
      <c r="AQ59" s="7">
        <v>42</v>
      </c>
      <c r="AR59" s="122" t="s">
        <v>72</v>
      </c>
      <c r="AS59" s="92" t="s">
        <v>1</v>
      </c>
      <c r="AT59" s="7" t="s">
        <v>72</v>
      </c>
      <c r="AU59" s="92">
        <v>18</v>
      </c>
      <c r="AV59" s="7" t="s">
        <v>72</v>
      </c>
      <c r="AW59" s="92" t="s">
        <v>1</v>
      </c>
      <c r="AX59" s="7" t="s">
        <v>72</v>
      </c>
      <c r="AY59" s="92">
        <v>2</v>
      </c>
      <c r="AZ59" s="7" t="s">
        <v>72</v>
      </c>
      <c r="BA59" s="92" t="s">
        <v>1</v>
      </c>
      <c r="BB59" s="7" t="s">
        <v>72</v>
      </c>
      <c r="BC59" s="92" t="s">
        <v>1</v>
      </c>
      <c r="BD59" s="92" t="s">
        <v>1</v>
      </c>
      <c r="BE59" s="92" t="s">
        <v>1</v>
      </c>
      <c r="BF59" s="92" t="s">
        <v>1</v>
      </c>
      <c r="BG59" s="108" t="s">
        <v>1</v>
      </c>
      <c r="BH59" s="92" t="s">
        <v>73</v>
      </c>
      <c r="BI59" s="92">
        <v>74</v>
      </c>
      <c r="BJ59" s="92">
        <v>108</v>
      </c>
      <c r="BK59" s="7" t="s">
        <v>72</v>
      </c>
      <c r="BL59" s="92" t="s">
        <v>1</v>
      </c>
      <c r="BM59" s="92" t="s">
        <v>1</v>
      </c>
      <c r="BN59" s="92" t="s">
        <v>1</v>
      </c>
      <c r="BO59" s="92" t="s">
        <v>1</v>
      </c>
      <c r="BP59" s="92" t="s">
        <v>1</v>
      </c>
      <c r="BQ59" s="92" t="s">
        <v>1</v>
      </c>
      <c r="BR59" s="92" t="s">
        <v>1</v>
      </c>
      <c r="BS59" s="92" t="s">
        <v>1</v>
      </c>
      <c r="BT59" s="92" t="s">
        <v>1</v>
      </c>
      <c r="BU59" s="92" t="s">
        <v>1</v>
      </c>
      <c r="BV59" s="92" t="s">
        <v>1</v>
      </c>
    </row>
    <row r="60" ht="25" customHeight="1" spans="1:74">
      <c r="A60" s="107">
        <v>45163</v>
      </c>
      <c r="B60" s="109" t="s">
        <v>125</v>
      </c>
      <c r="C60" s="109" t="s">
        <v>253</v>
      </c>
      <c r="D60" s="30" t="s">
        <v>1</v>
      </c>
      <c r="E60" s="30" t="s">
        <v>1</v>
      </c>
      <c r="F60" s="92">
        <v>0</v>
      </c>
      <c r="G60" s="92" t="s">
        <v>72</v>
      </c>
      <c r="H60" s="92" t="s">
        <v>72</v>
      </c>
      <c r="I60" s="92" t="s">
        <v>72</v>
      </c>
      <c r="J60" s="92" t="s">
        <v>72</v>
      </c>
      <c r="K60" s="92" t="s">
        <v>1</v>
      </c>
      <c r="L60" s="108">
        <v>0</v>
      </c>
      <c r="M60" s="92" t="s">
        <v>72</v>
      </c>
      <c r="N60" s="110" t="e">
        <f t="shared" si="0"/>
        <v>#VALUE!</v>
      </c>
      <c r="O60" s="92">
        <v>0.18</v>
      </c>
      <c r="P60" s="92" t="s">
        <v>1</v>
      </c>
      <c r="Q60" s="92" t="s">
        <v>1</v>
      </c>
      <c r="R60" s="92" t="s">
        <v>1</v>
      </c>
      <c r="S60" s="92" t="s">
        <v>1</v>
      </c>
      <c r="T60" s="92" t="s">
        <v>1</v>
      </c>
      <c r="U60" s="92" t="s">
        <v>1</v>
      </c>
      <c r="V60" s="7" t="s">
        <v>72</v>
      </c>
      <c r="W60" s="92" t="s">
        <v>1</v>
      </c>
      <c r="X60" s="7" t="s">
        <v>72</v>
      </c>
      <c r="Y60" s="92" t="s">
        <v>1</v>
      </c>
      <c r="Z60" s="7" t="s">
        <v>72</v>
      </c>
      <c r="AA60" s="92" t="s">
        <v>1</v>
      </c>
      <c r="AB60" s="7" t="s">
        <v>72</v>
      </c>
      <c r="AC60" s="92" t="s">
        <v>1</v>
      </c>
      <c r="AD60" s="7" t="s">
        <v>72</v>
      </c>
      <c r="AE60" s="92" t="s">
        <v>1</v>
      </c>
      <c r="AF60" s="7" t="s">
        <v>72</v>
      </c>
      <c r="AG60" s="7">
        <v>740</v>
      </c>
      <c r="AH60" s="7" t="s">
        <v>72</v>
      </c>
      <c r="AI60" s="7">
        <v>204</v>
      </c>
      <c r="AJ60" s="7" t="s">
        <v>72</v>
      </c>
      <c r="AK60" s="7">
        <v>2</v>
      </c>
      <c r="AL60" s="7" t="s">
        <v>72</v>
      </c>
      <c r="AM60" s="7">
        <v>792</v>
      </c>
      <c r="AN60" s="7" t="s">
        <v>72</v>
      </c>
      <c r="AO60" s="7">
        <v>163</v>
      </c>
      <c r="AP60" s="7" t="s">
        <v>72</v>
      </c>
      <c r="AQ60" s="7">
        <v>40</v>
      </c>
      <c r="AR60" s="7" t="s">
        <v>72</v>
      </c>
      <c r="AS60" s="92" t="s">
        <v>1</v>
      </c>
      <c r="AT60" s="92" t="s">
        <v>1</v>
      </c>
      <c r="AU60" s="92">
        <v>17</v>
      </c>
      <c r="AV60" s="7" t="s">
        <v>72</v>
      </c>
      <c r="AW60" s="92" t="s">
        <v>1</v>
      </c>
      <c r="AX60" s="7" t="s">
        <v>72</v>
      </c>
      <c r="AY60" s="92">
        <v>1</v>
      </c>
      <c r="AZ60" s="7" t="s">
        <v>72</v>
      </c>
      <c r="BA60" s="92" t="s">
        <v>1</v>
      </c>
      <c r="BB60" s="7" t="s">
        <v>72</v>
      </c>
      <c r="BC60" s="92" t="s">
        <v>1</v>
      </c>
      <c r="BD60" s="92" t="s">
        <v>1</v>
      </c>
      <c r="BE60" s="92" t="s">
        <v>1</v>
      </c>
      <c r="BF60" s="92" t="s">
        <v>1</v>
      </c>
      <c r="BG60" s="108" t="s">
        <v>1</v>
      </c>
      <c r="BH60" s="92" t="s">
        <v>73</v>
      </c>
      <c r="BI60" s="92">
        <v>58</v>
      </c>
      <c r="BJ60" s="92">
        <v>120</v>
      </c>
      <c r="BK60" s="7" t="s">
        <v>72</v>
      </c>
      <c r="BL60" s="92" t="s">
        <v>1</v>
      </c>
      <c r="BM60" s="92" t="s">
        <v>1</v>
      </c>
      <c r="BN60" s="92" t="s">
        <v>1</v>
      </c>
      <c r="BO60" s="92" t="s">
        <v>1</v>
      </c>
      <c r="BP60" s="92" t="s">
        <v>1</v>
      </c>
      <c r="BQ60" s="92" t="s">
        <v>1</v>
      </c>
      <c r="BR60" s="92" t="s">
        <v>1</v>
      </c>
      <c r="BS60" s="92" t="s">
        <v>1</v>
      </c>
      <c r="BT60" s="92" t="s">
        <v>1</v>
      </c>
      <c r="BU60" s="92" t="s">
        <v>1</v>
      </c>
      <c r="BV60" s="92" t="s">
        <v>1</v>
      </c>
    </row>
    <row r="61" ht="25" customHeight="1" spans="1:74">
      <c r="A61" s="107">
        <v>45164</v>
      </c>
      <c r="B61" s="109" t="s">
        <v>125</v>
      </c>
      <c r="C61" s="109" t="s">
        <v>125</v>
      </c>
      <c r="D61" s="30" t="s">
        <v>1</v>
      </c>
      <c r="E61" s="30" t="s">
        <v>1</v>
      </c>
      <c r="F61" s="92">
        <v>0</v>
      </c>
      <c r="G61" s="92" t="s">
        <v>72</v>
      </c>
      <c r="H61" s="92" t="s">
        <v>72</v>
      </c>
      <c r="I61" s="92" t="s">
        <v>72</v>
      </c>
      <c r="J61" s="92" t="s">
        <v>72</v>
      </c>
      <c r="K61" s="92" t="s">
        <v>1</v>
      </c>
      <c r="L61" s="108">
        <v>0</v>
      </c>
      <c r="M61" s="92" t="s">
        <v>72</v>
      </c>
      <c r="N61" s="110" t="e">
        <f t="shared" si="0"/>
        <v>#VALUE!</v>
      </c>
      <c r="O61" s="92">
        <v>0.64</v>
      </c>
      <c r="P61" s="92" t="s">
        <v>1</v>
      </c>
      <c r="Q61" s="92" t="s">
        <v>1</v>
      </c>
      <c r="R61" s="92" t="s">
        <v>1</v>
      </c>
      <c r="S61" s="92" t="s">
        <v>1</v>
      </c>
      <c r="T61" s="92" t="s">
        <v>1</v>
      </c>
      <c r="U61" s="92" t="s">
        <v>1</v>
      </c>
      <c r="V61" s="7" t="s">
        <v>72</v>
      </c>
      <c r="W61" s="92" t="s">
        <v>1</v>
      </c>
      <c r="X61" s="7" t="s">
        <v>72</v>
      </c>
      <c r="Y61" s="92" t="s">
        <v>1</v>
      </c>
      <c r="Z61" s="7" t="s">
        <v>72</v>
      </c>
      <c r="AA61" s="92" t="s">
        <v>1</v>
      </c>
      <c r="AB61" s="7" t="s">
        <v>72</v>
      </c>
      <c r="AC61" s="92" t="s">
        <v>1</v>
      </c>
      <c r="AD61" s="7" t="s">
        <v>72</v>
      </c>
      <c r="AE61" s="92" t="s">
        <v>1</v>
      </c>
      <c r="AF61" s="7" t="s">
        <v>72</v>
      </c>
      <c r="AG61" s="7">
        <v>784</v>
      </c>
      <c r="AH61" s="7" t="s">
        <v>72</v>
      </c>
      <c r="AI61" s="7">
        <v>188</v>
      </c>
      <c r="AJ61" s="7" t="s">
        <v>72</v>
      </c>
      <c r="AK61" s="7">
        <v>2</v>
      </c>
      <c r="AL61" s="7" t="s">
        <v>72</v>
      </c>
      <c r="AM61" s="7">
        <v>1102</v>
      </c>
      <c r="AN61" s="7" t="s">
        <v>72</v>
      </c>
      <c r="AO61" s="7">
        <v>121</v>
      </c>
      <c r="AP61" s="7" t="s">
        <v>72</v>
      </c>
      <c r="AQ61" s="7">
        <v>32</v>
      </c>
      <c r="AR61" s="7" t="s">
        <v>72</v>
      </c>
      <c r="AS61" s="92" t="s">
        <v>1</v>
      </c>
      <c r="AT61" s="92" t="s">
        <v>1</v>
      </c>
      <c r="AU61" s="92">
        <v>26</v>
      </c>
      <c r="AV61" s="92" t="s">
        <v>1</v>
      </c>
      <c r="AW61" s="92" t="s">
        <v>1</v>
      </c>
      <c r="AX61" s="92" t="s">
        <v>1</v>
      </c>
      <c r="AY61" s="92">
        <v>2</v>
      </c>
      <c r="AZ61" s="92" t="s">
        <v>1</v>
      </c>
      <c r="BA61" s="92" t="s">
        <v>1</v>
      </c>
      <c r="BB61" s="92" t="s">
        <v>1</v>
      </c>
      <c r="BC61" s="92" t="s">
        <v>1</v>
      </c>
      <c r="BD61" s="92" t="s">
        <v>1</v>
      </c>
      <c r="BE61" s="92" t="s">
        <v>1</v>
      </c>
      <c r="BF61" s="92" t="s">
        <v>1</v>
      </c>
      <c r="BG61" s="108" t="s">
        <v>1</v>
      </c>
      <c r="BH61" s="92" t="s">
        <v>73</v>
      </c>
      <c r="BI61" s="92">
        <v>65</v>
      </c>
      <c r="BJ61" s="92">
        <v>137</v>
      </c>
      <c r="BK61" s="7" t="s">
        <v>72</v>
      </c>
      <c r="BL61" s="92" t="s">
        <v>1</v>
      </c>
      <c r="BM61" s="92" t="s">
        <v>1</v>
      </c>
      <c r="BN61" s="92" t="s">
        <v>1</v>
      </c>
      <c r="BO61" s="92" t="s">
        <v>1</v>
      </c>
      <c r="BP61" s="92" t="s">
        <v>1</v>
      </c>
      <c r="BQ61" s="92" t="s">
        <v>1</v>
      </c>
      <c r="BR61" s="92" t="s">
        <v>1</v>
      </c>
      <c r="BS61" s="92" t="s">
        <v>1</v>
      </c>
      <c r="BT61" s="92" t="s">
        <v>1</v>
      </c>
      <c r="BU61" s="92" t="s">
        <v>1</v>
      </c>
      <c r="BV61" s="92" t="s">
        <v>1</v>
      </c>
    </row>
    <row r="62" ht="25" customHeight="1" spans="1:74">
      <c r="A62" s="107">
        <v>45165</v>
      </c>
      <c r="B62" s="109" t="s">
        <v>125</v>
      </c>
      <c r="C62" s="109" t="s">
        <v>125</v>
      </c>
      <c r="D62" s="30" t="s">
        <v>1</v>
      </c>
      <c r="E62" s="30" t="s">
        <v>1</v>
      </c>
      <c r="F62" s="92">
        <v>1</v>
      </c>
      <c r="G62" s="92" t="s">
        <v>72</v>
      </c>
      <c r="H62" s="92" t="s">
        <v>72</v>
      </c>
      <c r="I62" s="92" t="s">
        <v>72</v>
      </c>
      <c r="J62" s="92" t="s">
        <v>72</v>
      </c>
      <c r="K62" s="92" t="s">
        <v>1</v>
      </c>
      <c r="L62" s="108">
        <v>0</v>
      </c>
      <c r="M62" s="92" t="s">
        <v>72</v>
      </c>
      <c r="N62" s="110" t="e">
        <f t="shared" si="0"/>
        <v>#VALUE!</v>
      </c>
      <c r="O62" s="92">
        <v>1.71</v>
      </c>
      <c r="P62" s="92" t="s">
        <v>1</v>
      </c>
      <c r="Q62" s="92" t="s">
        <v>1</v>
      </c>
      <c r="R62" s="92" t="s">
        <v>1</v>
      </c>
      <c r="S62" s="92" t="s">
        <v>1</v>
      </c>
      <c r="T62" s="92" t="s">
        <v>1</v>
      </c>
      <c r="U62" s="92" t="s">
        <v>1</v>
      </c>
      <c r="V62" s="7" t="s">
        <v>72</v>
      </c>
      <c r="W62" s="92" t="s">
        <v>1</v>
      </c>
      <c r="X62" s="7" t="s">
        <v>72</v>
      </c>
      <c r="Y62" s="92" t="s">
        <v>1</v>
      </c>
      <c r="Z62" s="7" t="s">
        <v>72</v>
      </c>
      <c r="AA62" s="92" t="s">
        <v>1</v>
      </c>
      <c r="AB62" s="7" t="s">
        <v>72</v>
      </c>
      <c r="AC62" s="92" t="s">
        <v>1</v>
      </c>
      <c r="AD62" s="7" t="s">
        <v>72</v>
      </c>
      <c r="AE62" s="92" t="s">
        <v>1</v>
      </c>
      <c r="AF62" s="7" t="s">
        <v>72</v>
      </c>
      <c r="AG62" s="7">
        <v>785</v>
      </c>
      <c r="AH62" s="7" t="s">
        <v>72</v>
      </c>
      <c r="AI62" s="7">
        <v>209</v>
      </c>
      <c r="AJ62" s="7" t="s">
        <v>72</v>
      </c>
      <c r="AK62" s="7">
        <v>4</v>
      </c>
      <c r="AL62" s="7" t="s">
        <v>72</v>
      </c>
      <c r="AM62" s="7">
        <v>974</v>
      </c>
      <c r="AN62" s="7" t="s">
        <v>72</v>
      </c>
      <c r="AO62" s="7">
        <v>125</v>
      </c>
      <c r="AP62" s="7" t="s">
        <v>72</v>
      </c>
      <c r="AQ62" s="7">
        <v>36</v>
      </c>
      <c r="AR62" s="7" t="s">
        <v>72</v>
      </c>
      <c r="AS62" s="92" t="s">
        <v>1</v>
      </c>
      <c r="AT62" s="92" t="s">
        <v>1</v>
      </c>
      <c r="AU62" s="92">
        <v>31</v>
      </c>
      <c r="AV62" s="92" t="s">
        <v>1</v>
      </c>
      <c r="AW62" s="92" t="s">
        <v>1</v>
      </c>
      <c r="AX62" s="92" t="s">
        <v>1</v>
      </c>
      <c r="AY62" s="92">
        <v>3</v>
      </c>
      <c r="AZ62" s="92" t="s">
        <v>1</v>
      </c>
      <c r="BA62" s="92" t="s">
        <v>1</v>
      </c>
      <c r="BB62" s="92" t="s">
        <v>1</v>
      </c>
      <c r="BC62" s="92" t="s">
        <v>1</v>
      </c>
      <c r="BD62" s="92" t="s">
        <v>1</v>
      </c>
      <c r="BE62" s="92" t="s">
        <v>1</v>
      </c>
      <c r="BF62" s="92" t="s">
        <v>1</v>
      </c>
      <c r="BG62" s="108" t="s">
        <v>1</v>
      </c>
      <c r="BH62" s="92" t="s">
        <v>73</v>
      </c>
      <c r="BI62" s="92">
        <v>86</v>
      </c>
      <c r="BJ62" s="92">
        <v>118</v>
      </c>
      <c r="BK62" s="7" t="s">
        <v>72</v>
      </c>
      <c r="BL62" s="92" t="s">
        <v>1</v>
      </c>
      <c r="BM62" s="92" t="s">
        <v>1</v>
      </c>
      <c r="BN62" s="92" t="s">
        <v>1</v>
      </c>
      <c r="BO62" s="92" t="s">
        <v>1</v>
      </c>
      <c r="BP62" s="92" t="s">
        <v>1</v>
      </c>
      <c r="BQ62" s="92" t="s">
        <v>1</v>
      </c>
      <c r="BR62" s="92" t="s">
        <v>1</v>
      </c>
      <c r="BS62" s="92" t="s">
        <v>1</v>
      </c>
      <c r="BT62" s="92" t="s">
        <v>1</v>
      </c>
      <c r="BU62" s="92" t="s">
        <v>1</v>
      </c>
      <c r="BV62" s="92" t="s">
        <v>1</v>
      </c>
    </row>
    <row r="63" ht="25" customHeight="1" spans="1:74">
      <c r="A63" s="107">
        <v>45166</v>
      </c>
      <c r="B63" s="109" t="s">
        <v>125</v>
      </c>
      <c r="C63" s="109" t="s">
        <v>125</v>
      </c>
      <c r="D63" s="30" t="s">
        <v>1</v>
      </c>
      <c r="E63" s="30" t="s">
        <v>1</v>
      </c>
      <c r="F63" s="92" t="str">
        <f>E63</f>
        <v/>
      </c>
      <c r="G63" s="92" t="s">
        <v>72</v>
      </c>
      <c r="H63" s="92" t="s">
        <v>72</v>
      </c>
      <c r="I63" s="92" t="s">
        <v>72</v>
      </c>
      <c r="J63" s="92" t="s">
        <v>72</v>
      </c>
      <c r="K63" s="92" t="s">
        <v>1</v>
      </c>
      <c r="L63" s="108">
        <v>98</v>
      </c>
      <c r="M63" s="92" t="s">
        <v>72</v>
      </c>
      <c r="N63" s="110" t="e">
        <f t="shared" si="0"/>
        <v>#VALUE!</v>
      </c>
      <c r="O63" s="92">
        <v>0.67</v>
      </c>
      <c r="P63" s="92" t="s">
        <v>1</v>
      </c>
      <c r="Q63" s="92" t="s">
        <v>1</v>
      </c>
      <c r="R63" s="92" t="s">
        <v>1</v>
      </c>
      <c r="S63" s="92" t="s">
        <v>1</v>
      </c>
      <c r="T63" s="92" t="s">
        <v>1</v>
      </c>
      <c r="U63" s="92" t="s">
        <v>1</v>
      </c>
      <c r="V63" s="7" t="s">
        <v>72</v>
      </c>
      <c r="W63" s="92" t="s">
        <v>1</v>
      </c>
      <c r="X63" s="7" t="s">
        <v>72</v>
      </c>
      <c r="Y63" s="92" t="s">
        <v>1</v>
      </c>
      <c r="Z63" s="7" t="s">
        <v>72</v>
      </c>
      <c r="AA63" s="92" t="s">
        <v>1</v>
      </c>
      <c r="AB63" s="7" t="s">
        <v>72</v>
      </c>
      <c r="AC63" s="92" t="s">
        <v>1</v>
      </c>
      <c r="AD63" s="7" t="s">
        <v>72</v>
      </c>
      <c r="AE63" s="92" t="s">
        <v>1</v>
      </c>
      <c r="AF63" s="7" t="s">
        <v>72</v>
      </c>
      <c r="AG63" s="7">
        <v>616</v>
      </c>
      <c r="AH63" s="7" t="s">
        <v>72</v>
      </c>
      <c r="AI63" s="7">
        <v>260</v>
      </c>
      <c r="AJ63" s="7" t="s">
        <v>72</v>
      </c>
      <c r="AK63" s="7">
        <v>5</v>
      </c>
      <c r="AL63" s="7" t="s">
        <v>72</v>
      </c>
      <c r="AM63" s="7">
        <v>688</v>
      </c>
      <c r="AN63" s="7" t="s">
        <v>72</v>
      </c>
      <c r="AO63" s="7">
        <v>123</v>
      </c>
      <c r="AP63" s="7" t="s">
        <v>72</v>
      </c>
      <c r="AQ63" s="7">
        <v>37</v>
      </c>
      <c r="AR63" s="7" t="s">
        <v>72</v>
      </c>
      <c r="AS63" s="92" t="s">
        <v>1</v>
      </c>
      <c r="AT63" s="92" t="s">
        <v>1</v>
      </c>
      <c r="AU63" s="92">
        <v>28</v>
      </c>
      <c r="AV63" s="92" t="s">
        <v>1</v>
      </c>
      <c r="AW63" s="92" t="s">
        <v>1</v>
      </c>
      <c r="AX63" s="92" t="s">
        <v>1</v>
      </c>
      <c r="AY63" s="92">
        <v>2</v>
      </c>
      <c r="AZ63" s="92" t="s">
        <v>1</v>
      </c>
      <c r="BA63" s="92" t="s">
        <v>1</v>
      </c>
      <c r="BB63" s="92" t="s">
        <v>1</v>
      </c>
      <c r="BC63" s="92" t="s">
        <v>1</v>
      </c>
      <c r="BD63" s="92" t="s">
        <v>1</v>
      </c>
      <c r="BE63" s="92" t="s">
        <v>1</v>
      </c>
      <c r="BF63" s="92" t="s">
        <v>1</v>
      </c>
      <c r="BG63" s="108" t="s">
        <v>1</v>
      </c>
      <c r="BH63" s="92" t="s">
        <v>73</v>
      </c>
      <c r="BI63" s="92">
        <v>94</v>
      </c>
      <c r="BJ63" s="92">
        <v>101</v>
      </c>
      <c r="BK63" s="7" t="s">
        <v>72</v>
      </c>
      <c r="BL63" s="92" t="s">
        <v>1</v>
      </c>
      <c r="BM63" s="92" t="s">
        <v>1</v>
      </c>
      <c r="BN63" s="92" t="s">
        <v>1</v>
      </c>
      <c r="BO63" s="92" t="s">
        <v>1</v>
      </c>
      <c r="BP63" s="92" t="s">
        <v>1</v>
      </c>
      <c r="BQ63" s="92" t="s">
        <v>1</v>
      </c>
      <c r="BR63" s="92" t="s">
        <v>1</v>
      </c>
      <c r="BS63" s="92" t="s">
        <v>1</v>
      </c>
      <c r="BT63" s="92" t="s">
        <v>1</v>
      </c>
      <c r="BU63" s="92" t="s">
        <v>1</v>
      </c>
      <c r="BV63" s="92" t="s">
        <v>1</v>
      </c>
    </row>
    <row r="64" ht="25" customHeight="1" spans="1:74">
      <c r="A64" s="107">
        <v>45167</v>
      </c>
      <c r="B64" s="109" t="s">
        <v>125</v>
      </c>
      <c r="C64" s="109" t="s">
        <v>75</v>
      </c>
      <c r="D64" s="30" t="s">
        <v>1</v>
      </c>
      <c r="E64" s="30" t="s">
        <v>1</v>
      </c>
      <c r="F64" s="92" t="str">
        <f>E64</f>
        <v/>
      </c>
      <c r="G64" s="92" t="s">
        <v>72</v>
      </c>
      <c r="H64" s="92" t="s">
        <v>72</v>
      </c>
      <c r="I64" s="92" t="s">
        <v>72</v>
      </c>
      <c r="J64" s="92" t="s">
        <v>72</v>
      </c>
      <c r="K64" s="92" t="s">
        <v>1</v>
      </c>
      <c r="L64" s="108">
        <v>0</v>
      </c>
      <c r="M64" s="92" t="s">
        <v>72</v>
      </c>
      <c r="N64" s="110" t="e">
        <f t="shared" si="0"/>
        <v>#VALUE!</v>
      </c>
      <c r="O64" s="92">
        <v>0.58</v>
      </c>
      <c r="P64" s="92" t="s">
        <v>1</v>
      </c>
      <c r="Q64" s="92" t="s">
        <v>1</v>
      </c>
      <c r="R64" s="92" t="s">
        <v>1</v>
      </c>
      <c r="S64" s="92" t="s">
        <v>1</v>
      </c>
      <c r="T64" s="92" t="s">
        <v>1</v>
      </c>
      <c r="U64" s="92" t="s">
        <v>1</v>
      </c>
      <c r="V64" s="7" t="s">
        <v>72</v>
      </c>
      <c r="W64" s="92" t="s">
        <v>1</v>
      </c>
      <c r="X64" s="7" t="s">
        <v>72</v>
      </c>
      <c r="Y64" s="92" t="s">
        <v>1</v>
      </c>
      <c r="Z64" s="7" t="s">
        <v>72</v>
      </c>
      <c r="AA64" s="92" t="s">
        <v>1</v>
      </c>
      <c r="AB64" s="7" t="s">
        <v>72</v>
      </c>
      <c r="AC64" s="92" t="s">
        <v>1</v>
      </c>
      <c r="AD64" s="7" t="s">
        <v>72</v>
      </c>
      <c r="AE64" s="92" t="s">
        <v>1</v>
      </c>
      <c r="AF64" s="7" t="s">
        <v>72</v>
      </c>
      <c r="AG64" s="7">
        <v>666</v>
      </c>
      <c r="AH64" s="7" t="s">
        <v>72</v>
      </c>
      <c r="AI64" s="7">
        <v>215</v>
      </c>
      <c r="AJ64" s="7" t="s">
        <v>72</v>
      </c>
      <c r="AK64" s="7">
        <v>1</v>
      </c>
      <c r="AL64" s="7" t="s">
        <v>72</v>
      </c>
      <c r="AM64" s="7">
        <v>802</v>
      </c>
      <c r="AN64" s="7" t="s">
        <v>72</v>
      </c>
      <c r="AO64" s="7">
        <v>135</v>
      </c>
      <c r="AP64" s="7" t="s">
        <v>72</v>
      </c>
      <c r="AQ64" s="7">
        <v>44</v>
      </c>
      <c r="AR64" s="7" t="s">
        <v>72</v>
      </c>
      <c r="AS64" s="92" t="s">
        <v>1</v>
      </c>
      <c r="AT64" s="92" t="s">
        <v>1</v>
      </c>
      <c r="AU64" s="92">
        <v>30</v>
      </c>
      <c r="AV64" s="92" t="s">
        <v>1</v>
      </c>
      <c r="AW64" s="92" t="s">
        <v>1</v>
      </c>
      <c r="AX64" s="92" t="s">
        <v>1</v>
      </c>
      <c r="AY64" s="92">
        <v>2</v>
      </c>
      <c r="AZ64" s="92" t="s">
        <v>1</v>
      </c>
      <c r="BA64" s="92" t="s">
        <v>1</v>
      </c>
      <c r="BB64" s="92" t="s">
        <v>1</v>
      </c>
      <c r="BC64" s="92" t="s">
        <v>1</v>
      </c>
      <c r="BD64" s="92" t="s">
        <v>1</v>
      </c>
      <c r="BE64" s="92" t="s">
        <v>1</v>
      </c>
      <c r="BF64" s="92" t="s">
        <v>1</v>
      </c>
      <c r="BG64" s="108" t="s">
        <v>1</v>
      </c>
      <c r="BH64" s="92" t="s">
        <v>73</v>
      </c>
      <c r="BI64" s="92">
        <v>71</v>
      </c>
      <c r="BJ64" s="92">
        <v>120</v>
      </c>
      <c r="BK64" s="7" t="s">
        <v>72</v>
      </c>
      <c r="BL64" s="92" t="s">
        <v>1</v>
      </c>
      <c r="BM64" s="92" t="s">
        <v>1</v>
      </c>
      <c r="BN64" s="92" t="s">
        <v>1</v>
      </c>
      <c r="BO64" s="92" t="s">
        <v>1</v>
      </c>
      <c r="BP64" s="92" t="s">
        <v>1</v>
      </c>
      <c r="BQ64" s="92" t="s">
        <v>1</v>
      </c>
      <c r="BR64" s="92" t="s">
        <v>1</v>
      </c>
      <c r="BS64" s="92" t="s">
        <v>1</v>
      </c>
      <c r="BT64" s="92" t="s">
        <v>1</v>
      </c>
      <c r="BU64" s="92" t="s">
        <v>1</v>
      </c>
      <c r="BV64" s="92" t="s">
        <v>1</v>
      </c>
    </row>
    <row r="65" ht="25" customHeight="1" spans="1:74">
      <c r="A65" s="107">
        <v>45168</v>
      </c>
      <c r="B65" s="109" t="s">
        <v>75</v>
      </c>
      <c r="C65" s="109" t="s">
        <v>1</v>
      </c>
      <c r="D65" s="30" t="s">
        <v>1</v>
      </c>
      <c r="E65" s="30" t="s">
        <v>1</v>
      </c>
      <c r="F65" s="92" t="str">
        <f>E65</f>
        <v/>
      </c>
      <c r="G65" s="92" t="s">
        <v>72</v>
      </c>
      <c r="H65" s="92" t="s">
        <v>72</v>
      </c>
      <c r="I65" s="92" t="s">
        <v>72</v>
      </c>
      <c r="J65" s="92" t="s">
        <v>72</v>
      </c>
      <c r="K65" s="92" t="s">
        <v>1</v>
      </c>
      <c r="L65" s="108">
        <v>0</v>
      </c>
      <c r="M65" s="92" t="s">
        <v>72</v>
      </c>
      <c r="N65" s="110" t="e">
        <f t="shared" si="0"/>
        <v>#VALUE!</v>
      </c>
      <c r="O65" s="92">
        <v>0.29</v>
      </c>
      <c r="P65" s="92" t="s">
        <v>1</v>
      </c>
      <c r="Q65" s="92" t="s">
        <v>1</v>
      </c>
      <c r="R65" s="92" t="s">
        <v>1</v>
      </c>
      <c r="S65" s="92" t="s">
        <v>1</v>
      </c>
      <c r="T65" s="92" t="s">
        <v>1</v>
      </c>
      <c r="U65" s="92" t="s">
        <v>1</v>
      </c>
      <c r="V65" s="7" t="s">
        <v>72</v>
      </c>
      <c r="W65" s="92" t="s">
        <v>1</v>
      </c>
      <c r="X65" s="7" t="s">
        <v>72</v>
      </c>
      <c r="Y65" s="92" t="s">
        <v>1</v>
      </c>
      <c r="Z65" s="7" t="s">
        <v>72</v>
      </c>
      <c r="AA65" s="92" t="s">
        <v>1</v>
      </c>
      <c r="AB65" s="7" t="s">
        <v>72</v>
      </c>
      <c r="AC65" s="92" t="s">
        <v>1</v>
      </c>
      <c r="AD65" s="7" t="s">
        <v>72</v>
      </c>
      <c r="AE65" s="92" t="s">
        <v>1</v>
      </c>
      <c r="AF65" s="7" t="s">
        <v>72</v>
      </c>
      <c r="AG65" s="7">
        <v>712</v>
      </c>
      <c r="AH65" s="7" t="s">
        <v>72</v>
      </c>
      <c r="AI65" s="7">
        <v>242</v>
      </c>
      <c r="AJ65" s="7" t="s">
        <v>72</v>
      </c>
      <c r="AK65" s="7">
        <v>7</v>
      </c>
      <c r="AL65" s="7" t="s">
        <v>72</v>
      </c>
      <c r="AM65" s="7">
        <v>1010</v>
      </c>
      <c r="AN65" s="7" t="s">
        <v>72</v>
      </c>
      <c r="AO65" s="7">
        <v>161</v>
      </c>
      <c r="AP65" s="7" t="s">
        <v>72</v>
      </c>
      <c r="AQ65" s="7">
        <v>43</v>
      </c>
      <c r="AR65" s="7" t="s">
        <v>72</v>
      </c>
      <c r="AS65" s="92" t="s">
        <v>1</v>
      </c>
      <c r="AT65" s="92" t="s">
        <v>1</v>
      </c>
      <c r="AU65" s="92">
        <v>19</v>
      </c>
      <c r="AV65" s="92" t="s">
        <v>1</v>
      </c>
      <c r="AW65" s="92" t="s">
        <v>1</v>
      </c>
      <c r="AX65" s="92" t="s">
        <v>1</v>
      </c>
      <c r="AY65" s="92">
        <v>1</v>
      </c>
      <c r="AZ65" s="92" t="s">
        <v>1</v>
      </c>
      <c r="BA65" s="92" t="s">
        <v>1</v>
      </c>
      <c r="BB65" s="92" t="s">
        <v>1</v>
      </c>
      <c r="BC65" s="92" t="s">
        <v>1</v>
      </c>
      <c r="BD65" s="92" t="s">
        <v>1</v>
      </c>
      <c r="BE65" s="92" t="s">
        <v>1</v>
      </c>
      <c r="BF65" s="92" t="s">
        <v>1</v>
      </c>
      <c r="BG65" s="108" t="s">
        <v>1</v>
      </c>
      <c r="BH65" s="92" t="s">
        <v>94</v>
      </c>
      <c r="BI65" s="92">
        <v>50</v>
      </c>
      <c r="BJ65" s="92">
        <v>152</v>
      </c>
      <c r="BK65" s="7" t="s">
        <v>72</v>
      </c>
      <c r="BL65" s="92" t="s">
        <v>1</v>
      </c>
      <c r="BM65" s="92" t="s">
        <v>1</v>
      </c>
      <c r="BN65" s="92" t="s">
        <v>1</v>
      </c>
      <c r="BO65" s="92" t="s">
        <v>1</v>
      </c>
      <c r="BP65" s="92" t="s">
        <v>1</v>
      </c>
      <c r="BQ65" s="92" t="s">
        <v>1</v>
      </c>
      <c r="BR65" s="92" t="s">
        <v>1</v>
      </c>
      <c r="BS65" s="92" t="s">
        <v>1</v>
      </c>
      <c r="BT65" s="92" t="s">
        <v>1</v>
      </c>
      <c r="BU65" s="92" t="s">
        <v>1</v>
      </c>
      <c r="BV65" s="92" t="s">
        <v>1</v>
      </c>
    </row>
    <row r="66" ht="25" customHeight="1" spans="1:74">
      <c r="A66" s="107">
        <v>45169</v>
      </c>
      <c r="B66" s="32" t="s">
        <v>253</v>
      </c>
      <c r="C66" s="32" t="s">
        <v>253</v>
      </c>
      <c r="D66" s="30" t="s">
        <v>1</v>
      </c>
      <c r="E66" s="30" t="s">
        <v>1</v>
      </c>
      <c r="F66" s="92">
        <v>8</v>
      </c>
      <c r="G66" s="92" t="s">
        <v>72</v>
      </c>
      <c r="H66" s="92" t="s">
        <v>72</v>
      </c>
      <c r="I66" s="92" t="s">
        <v>72</v>
      </c>
      <c r="J66" s="92" t="s">
        <v>72</v>
      </c>
      <c r="K66" s="92" t="s">
        <v>1</v>
      </c>
      <c r="L66" s="116">
        <v>8499</v>
      </c>
      <c r="M66" s="92" t="s">
        <v>72</v>
      </c>
      <c r="N66" s="110" t="e">
        <f t="shared" si="0"/>
        <v>#VALUE!</v>
      </c>
      <c r="O66" s="92">
        <v>0.3</v>
      </c>
      <c r="P66" s="92" t="s">
        <v>1</v>
      </c>
      <c r="Q66" s="92" t="s">
        <v>1</v>
      </c>
      <c r="R66" s="92" t="s">
        <v>1</v>
      </c>
      <c r="S66" s="92" t="s">
        <v>1</v>
      </c>
      <c r="T66" s="92" t="s">
        <v>1</v>
      </c>
      <c r="U66" s="92" t="s">
        <v>1</v>
      </c>
      <c r="V66" s="7" t="s">
        <v>72</v>
      </c>
      <c r="W66" s="92" t="s">
        <v>1</v>
      </c>
      <c r="X66" s="7" t="s">
        <v>72</v>
      </c>
      <c r="Y66" s="92" t="s">
        <v>1</v>
      </c>
      <c r="Z66" s="7" t="s">
        <v>72</v>
      </c>
      <c r="AA66" s="92" t="s">
        <v>1</v>
      </c>
      <c r="AB66" s="7" t="s">
        <v>72</v>
      </c>
      <c r="AC66" s="92" t="s">
        <v>1</v>
      </c>
      <c r="AD66" s="7" t="s">
        <v>72</v>
      </c>
      <c r="AE66" s="92" t="s">
        <v>1</v>
      </c>
      <c r="AF66" s="7" t="s">
        <v>72</v>
      </c>
      <c r="AG66" s="92">
        <v>723</v>
      </c>
      <c r="AH66" s="7" t="s">
        <v>72</v>
      </c>
      <c r="AI66" s="92">
        <v>231</v>
      </c>
      <c r="AJ66" s="7" t="s">
        <v>72</v>
      </c>
      <c r="AK66" s="92">
        <v>6</v>
      </c>
      <c r="AL66" s="7" t="s">
        <v>72</v>
      </c>
      <c r="AM66" s="92">
        <v>948</v>
      </c>
      <c r="AN66" s="7" t="s">
        <v>72</v>
      </c>
      <c r="AO66" s="92">
        <v>168</v>
      </c>
      <c r="AP66" s="7" t="s">
        <v>72</v>
      </c>
      <c r="AQ66" s="92">
        <v>36</v>
      </c>
      <c r="AR66" s="7" t="s">
        <v>72</v>
      </c>
      <c r="AS66" s="92" t="s">
        <v>1</v>
      </c>
      <c r="AT66" s="92" t="s">
        <v>1</v>
      </c>
      <c r="AU66" s="92">
        <v>23</v>
      </c>
      <c r="AV66" s="92" t="s">
        <v>1</v>
      </c>
      <c r="AW66" s="92" t="s">
        <v>1</v>
      </c>
      <c r="AX66" s="92" t="s">
        <v>1</v>
      </c>
      <c r="AY66" s="92">
        <v>1</v>
      </c>
      <c r="AZ66" s="92" t="s">
        <v>1</v>
      </c>
      <c r="BA66" s="92" t="s">
        <v>1</v>
      </c>
      <c r="BB66" s="92" t="s">
        <v>1</v>
      </c>
      <c r="BC66" s="92" t="s">
        <v>1</v>
      </c>
      <c r="BD66" s="92" t="s">
        <v>1</v>
      </c>
      <c r="BE66" s="92" t="s">
        <v>1</v>
      </c>
      <c r="BF66" s="92" t="s">
        <v>1</v>
      </c>
      <c r="BG66" s="108" t="s">
        <v>1</v>
      </c>
      <c r="BH66" s="92" t="s">
        <v>94</v>
      </c>
      <c r="BI66" s="92">
        <v>50</v>
      </c>
      <c r="BJ66" s="92">
        <v>162</v>
      </c>
      <c r="BK66" s="7" t="s">
        <v>72</v>
      </c>
      <c r="BL66" s="92" t="s">
        <v>264</v>
      </c>
      <c r="BM66" s="92" t="s">
        <v>266</v>
      </c>
      <c r="BN66" s="92" t="s">
        <v>286</v>
      </c>
      <c r="BO66" s="92" t="s">
        <v>285</v>
      </c>
      <c r="BP66" s="92" t="s">
        <v>265</v>
      </c>
      <c r="BQ66" s="92" t="s">
        <v>291</v>
      </c>
      <c r="BR66" s="92" t="s">
        <v>292</v>
      </c>
      <c r="BS66" s="92" t="s">
        <v>293</v>
      </c>
      <c r="BT66" s="92" t="s">
        <v>294</v>
      </c>
      <c r="BU66" s="92" t="s">
        <v>295</v>
      </c>
      <c r="BV66" s="92" t="s">
        <v>1</v>
      </c>
    </row>
    <row r="67" ht="25" customHeight="1" spans="1:74">
      <c r="A67" s="107">
        <v>45170</v>
      </c>
      <c r="B67" s="32" t="s">
        <v>125</v>
      </c>
      <c r="C67" s="32" t="s">
        <v>125</v>
      </c>
      <c r="D67" s="30" t="s">
        <v>1</v>
      </c>
      <c r="E67" s="30" t="s">
        <v>1</v>
      </c>
      <c r="F67" s="92" t="str">
        <f t="shared" ref="F67:F127" si="2">E67</f>
        <v/>
      </c>
      <c r="G67" s="92" t="s">
        <v>72</v>
      </c>
      <c r="H67" s="92" t="s">
        <v>72</v>
      </c>
      <c r="I67" s="92" t="s">
        <v>72</v>
      </c>
      <c r="J67" s="92" t="s">
        <v>72</v>
      </c>
      <c r="K67" s="92" t="s">
        <v>1</v>
      </c>
      <c r="L67" s="116">
        <v>8499</v>
      </c>
      <c r="M67" s="92" t="s">
        <v>72</v>
      </c>
      <c r="N67" s="110" t="e">
        <f t="shared" si="0"/>
        <v>#VALUE!</v>
      </c>
      <c r="O67" s="92">
        <v>0.31</v>
      </c>
      <c r="P67" s="92" t="s">
        <v>1</v>
      </c>
      <c r="Q67" s="92" t="s">
        <v>1</v>
      </c>
      <c r="R67" s="92" t="s">
        <v>1</v>
      </c>
      <c r="S67" s="92" t="s">
        <v>1</v>
      </c>
      <c r="T67" s="92" t="s">
        <v>1</v>
      </c>
      <c r="U67" s="92" t="s">
        <v>1</v>
      </c>
      <c r="V67" s="7" t="s">
        <v>72</v>
      </c>
      <c r="W67" s="92" t="s">
        <v>1</v>
      </c>
      <c r="X67" s="7" t="s">
        <v>72</v>
      </c>
      <c r="Y67" s="92" t="s">
        <v>1</v>
      </c>
      <c r="Z67" s="7" t="s">
        <v>72</v>
      </c>
      <c r="AA67" s="92" t="s">
        <v>1</v>
      </c>
      <c r="AB67" s="7" t="s">
        <v>72</v>
      </c>
      <c r="AC67" s="92" t="s">
        <v>1</v>
      </c>
      <c r="AD67" s="92" t="s">
        <v>1</v>
      </c>
      <c r="AE67" s="92" t="s">
        <v>1</v>
      </c>
      <c r="AF67" s="7" t="s">
        <v>72</v>
      </c>
      <c r="AG67" s="92">
        <v>835</v>
      </c>
      <c r="AH67" s="7" t="s">
        <v>72</v>
      </c>
      <c r="AI67" s="92">
        <v>255</v>
      </c>
      <c r="AJ67" s="7" t="s">
        <v>72</v>
      </c>
      <c r="AK67" s="92">
        <v>6</v>
      </c>
      <c r="AL67" s="7" t="s">
        <v>72</v>
      </c>
      <c r="AM67" s="125">
        <v>1008</v>
      </c>
      <c r="AN67" s="7" t="s">
        <v>72</v>
      </c>
      <c r="AO67" s="92">
        <v>172</v>
      </c>
      <c r="AP67" s="7" t="s">
        <v>72</v>
      </c>
      <c r="AQ67" s="92">
        <v>38</v>
      </c>
      <c r="AR67" s="7" t="s">
        <v>72</v>
      </c>
      <c r="AS67" s="92" t="s">
        <v>1</v>
      </c>
      <c r="AT67" s="92" t="s">
        <v>1</v>
      </c>
      <c r="AU67" s="92">
        <v>38</v>
      </c>
      <c r="AV67" s="92" t="s">
        <v>1</v>
      </c>
      <c r="AW67" s="92" t="s">
        <v>1</v>
      </c>
      <c r="AX67" s="92" t="s">
        <v>1</v>
      </c>
      <c r="AY67" s="92">
        <v>1</v>
      </c>
      <c r="AZ67" s="92" t="s">
        <v>1</v>
      </c>
      <c r="BA67" s="92" t="s">
        <v>1</v>
      </c>
      <c r="BB67" s="92" t="s">
        <v>1</v>
      </c>
      <c r="BC67" s="92" t="s">
        <v>1</v>
      </c>
      <c r="BD67" s="92" t="s">
        <v>1</v>
      </c>
      <c r="BE67" s="92" t="s">
        <v>1</v>
      </c>
      <c r="BF67" s="92" t="s">
        <v>1</v>
      </c>
      <c r="BG67" s="108" t="s">
        <v>1</v>
      </c>
      <c r="BH67" s="92" t="s">
        <v>94</v>
      </c>
      <c r="BI67" s="92">
        <v>36</v>
      </c>
      <c r="BJ67" s="92">
        <v>204</v>
      </c>
      <c r="BK67" s="7" t="s">
        <v>72</v>
      </c>
      <c r="BL67" s="92" t="s">
        <v>1</v>
      </c>
      <c r="BM67" s="92" t="s">
        <v>1</v>
      </c>
      <c r="BN67" s="92" t="s">
        <v>1</v>
      </c>
      <c r="BO67" s="92" t="s">
        <v>1</v>
      </c>
      <c r="BP67" s="92" t="s">
        <v>1</v>
      </c>
      <c r="BQ67" s="92" t="s">
        <v>1</v>
      </c>
      <c r="BR67" s="92" t="s">
        <v>1</v>
      </c>
      <c r="BS67" s="92" t="s">
        <v>1</v>
      </c>
      <c r="BT67" s="92" t="s">
        <v>1</v>
      </c>
      <c r="BU67" s="92" t="s">
        <v>1</v>
      </c>
      <c r="BV67" s="92" t="s">
        <v>1</v>
      </c>
    </row>
    <row r="68" ht="25" customHeight="1" spans="1:74">
      <c r="A68" s="107">
        <v>45171</v>
      </c>
      <c r="B68" s="32" t="s">
        <v>125</v>
      </c>
      <c r="C68" s="32" t="s">
        <v>75</v>
      </c>
      <c r="D68" s="30" t="s">
        <v>1</v>
      </c>
      <c r="E68" s="30" t="s">
        <v>1</v>
      </c>
      <c r="F68" s="92" t="str">
        <f t="shared" si="2"/>
        <v/>
      </c>
      <c r="G68" s="92" t="s">
        <v>72</v>
      </c>
      <c r="H68" s="92" t="s">
        <v>72</v>
      </c>
      <c r="I68" s="92" t="s">
        <v>72</v>
      </c>
      <c r="J68" s="92" t="s">
        <v>72</v>
      </c>
      <c r="K68" s="92" t="s">
        <v>1</v>
      </c>
      <c r="L68" s="116">
        <v>0</v>
      </c>
      <c r="M68" s="92" t="s">
        <v>72</v>
      </c>
      <c r="N68" s="110" t="e">
        <f t="shared" si="0"/>
        <v>#VALUE!</v>
      </c>
      <c r="O68" s="92">
        <v>0.25</v>
      </c>
      <c r="P68" s="92" t="s">
        <v>1</v>
      </c>
      <c r="Q68" s="92" t="s">
        <v>1</v>
      </c>
      <c r="R68" s="92" t="s">
        <v>1</v>
      </c>
      <c r="S68" s="92" t="s">
        <v>1</v>
      </c>
      <c r="T68" s="92" t="s">
        <v>1</v>
      </c>
      <c r="U68" s="92" t="s">
        <v>1</v>
      </c>
      <c r="V68" s="7" t="s">
        <v>72</v>
      </c>
      <c r="W68" s="92" t="s">
        <v>1</v>
      </c>
      <c r="X68" s="7" t="s">
        <v>72</v>
      </c>
      <c r="Y68" s="92" t="s">
        <v>1</v>
      </c>
      <c r="Z68" s="7" t="s">
        <v>72</v>
      </c>
      <c r="AA68" s="92" t="s">
        <v>1</v>
      </c>
      <c r="AB68" s="7" t="s">
        <v>72</v>
      </c>
      <c r="AC68" s="92" t="s">
        <v>1</v>
      </c>
      <c r="AD68" s="92" t="s">
        <v>1</v>
      </c>
      <c r="AE68" s="92" t="s">
        <v>1</v>
      </c>
      <c r="AF68" s="7" t="s">
        <v>72</v>
      </c>
      <c r="AG68" s="92">
        <v>800</v>
      </c>
      <c r="AH68" s="7" t="s">
        <v>72</v>
      </c>
      <c r="AI68" s="92">
        <v>298</v>
      </c>
      <c r="AJ68" s="7" t="s">
        <v>72</v>
      </c>
      <c r="AK68" s="92">
        <v>3</v>
      </c>
      <c r="AL68" s="7" t="s">
        <v>72</v>
      </c>
      <c r="AM68" s="92">
        <v>882</v>
      </c>
      <c r="AN68" s="7" t="s">
        <v>72</v>
      </c>
      <c r="AO68" s="92">
        <v>255</v>
      </c>
      <c r="AP68" s="7" t="s">
        <v>72</v>
      </c>
      <c r="AQ68" s="92">
        <v>50</v>
      </c>
      <c r="AR68" s="7" t="s">
        <v>72</v>
      </c>
      <c r="AS68" s="92" t="s">
        <v>1</v>
      </c>
      <c r="AT68" s="92" t="s">
        <v>1</v>
      </c>
      <c r="AU68" s="92">
        <v>31</v>
      </c>
      <c r="AV68" s="92" t="s">
        <v>1</v>
      </c>
      <c r="AW68" s="92" t="s">
        <v>1</v>
      </c>
      <c r="AX68" s="92" t="s">
        <v>1</v>
      </c>
      <c r="AY68" s="92">
        <v>1</v>
      </c>
      <c r="AZ68" s="92" t="s">
        <v>1</v>
      </c>
      <c r="BA68" s="92" t="s">
        <v>1</v>
      </c>
      <c r="BB68" s="92" t="s">
        <v>1</v>
      </c>
      <c r="BC68" s="92" t="s">
        <v>1</v>
      </c>
      <c r="BD68" s="92" t="s">
        <v>1</v>
      </c>
      <c r="BE68" s="92" t="s">
        <v>1</v>
      </c>
      <c r="BF68" s="92" t="s">
        <v>1</v>
      </c>
      <c r="BG68" s="108" t="s">
        <v>1</v>
      </c>
      <c r="BH68" s="92" t="s">
        <v>102</v>
      </c>
      <c r="BI68" s="92">
        <v>17</v>
      </c>
      <c r="BJ68" s="92">
        <v>508</v>
      </c>
      <c r="BK68" s="7" t="s">
        <v>72</v>
      </c>
      <c r="BL68" s="92" t="s">
        <v>1</v>
      </c>
      <c r="BM68" s="92" t="s">
        <v>1</v>
      </c>
      <c r="BN68" s="92" t="s">
        <v>1</v>
      </c>
      <c r="BO68" s="92" t="s">
        <v>1</v>
      </c>
      <c r="BP68" s="92" t="s">
        <v>1</v>
      </c>
      <c r="BQ68" s="92" t="s">
        <v>1</v>
      </c>
      <c r="BR68" s="92" t="s">
        <v>1</v>
      </c>
      <c r="BS68" s="92" t="s">
        <v>1</v>
      </c>
      <c r="BT68" s="92" t="s">
        <v>1</v>
      </c>
      <c r="BU68" s="92" t="s">
        <v>1</v>
      </c>
      <c r="BV68" s="92" t="s">
        <v>1</v>
      </c>
    </row>
    <row r="69" ht="25" customHeight="1" spans="1:74">
      <c r="A69" s="107">
        <v>45172</v>
      </c>
      <c r="B69" s="32" t="s">
        <v>125</v>
      </c>
      <c r="C69" s="32" t="s">
        <v>1</v>
      </c>
      <c r="D69" s="30" t="s">
        <v>1</v>
      </c>
      <c r="E69" s="30" t="s">
        <v>1</v>
      </c>
      <c r="F69" s="92" t="str">
        <f t="shared" si="2"/>
        <v/>
      </c>
      <c r="G69" s="92" t="s">
        <v>72</v>
      </c>
      <c r="H69" s="92" t="s">
        <v>72</v>
      </c>
      <c r="I69" s="92" t="s">
        <v>72</v>
      </c>
      <c r="J69" s="92" t="s">
        <v>72</v>
      </c>
      <c r="K69" s="92" t="s">
        <v>1</v>
      </c>
      <c r="L69" s="116">
        <v>0</v>
      </c>
      <c r="M69" s="92" t="s">
        <v>72</v>
      </c>
      <c r="N69" s="110" t="e">
        <f t="shared" ref="N69:N103" si="3">L69/(E69*10000)</f>
        <v>#VALUE!</v>
      </c>
      <c r="O69" s="92">
        <v>0</v>
      </c>
      <c r="P69" s="92" t="s">
        <v>1</v>
      </c>
      <c r="Q69" s="92" t="s">
        <v>1</v>
      </c>
      <c r="R69" s="92" t="s">
        <v>1</v>
      </c>
      <c r="S69" s="92" t="s">
        <v>1</v>
      </c>
      <c r="T69" s="92" t="s">
        <v>1</v>
      </c>
      <c r="U69" s="92" t="s">
        <v>1</v>
      </c>
      <c r="V69" s="7" t="s">
        <v>72</v>
      </c>
      <c r="W69" s="92" t="s">
        <v>1</v>
      </c>
      <c r="X69" s="7" t="s">
        <v>72</v>
      </c>
      <c r="Y69" s="92" t="s">
        <v>1</v>
      </c>
      <c r="Z69" s="7" t="s">
        <v>72</v>
      </c>
      <c r="AA69" s="92" t="s">
        <v>1</v>
      </c>
      <c r="AB69" s="7" t="s">
        <v>72</v>
      </c>
      <c r="AC69" s="92" t="s">
        <v>1</v>
      </c>
      <c r="AD69" s="92" t="s">
        <v>1</v>
      </c>
      <c r="AE69" s="92" t="s">
        <v>1</v>
      </c>
      <c r="AF69" s="7" t="s">
        <v>72</v>
      </c>
      <c r="AG69" s="92">
        <v>720</v>
      </c>
      <c r="AH69" s="7" t="s">
        <v>72</v>
      </c>
      <c r="AI69" s="92">
        <v>290</v>
      </c>
      <c r="AJ69" s="7" t="s">
        <v>72</v>
      </c>
      <c r="AK69" s="92">
        <v>9</v>
      </c>
      <c r="AL69" s="7" t="s">
        <v>72</v>
      </c>
      <c r="AM69" s="92">
        <v>784</v>
      </c>
      <c r="AN69" s="7" t="s">
        <v>72</v>
      </c>
      <c r="AO69" s="92">
        <v>236</v>
      </c>
      <c r="AP69" s="7" t="s">
        <v>72</v>
      </c>
      <c r="AQ69" s="92">
        <v>39</v>
      </c>
      <c r="AR69" s="7" t="s">
        <v>72</v>
      </c>
      <c r="AS69" s="92" t="s">
        <v>1</v>
      </c>
      <c r="AT69" s="92" t="s">
        <v>1</v>
      </c>
      <c r="AU69" s="92">
        <v>36</v>
      </c>
      <c r="AV69" s="92" t="s">
        <v>1</v>
      </c>
      <c r="AW69" s="92" t="s">
        <v>1</v>
      </c>
      <c r="AX69" s="92" t="s">
        <v>1</v>
      </c>
      <c r="AY69" s="92">
        <v>0</v>
      </c>
      <c r="AZ69" s="92" t="s">
        <v>1</v>
      </c>
      <c r="BA69" s="92" t="s">
        <v>1</v>
      </c>
      <c r="BB69" s="92" t="s">
        <v>1</v>
      </c>
      <c r="BC69" s="92" t="s">
        <v>1</v>
      </c>
      <c r="BD69" s="92" t="s">
        <v>1</v>
      </c>
      <c r="BE69" s="92" t="s">
        <v>1</v>
      </c>
      <c r="BF69" s="92" t="s">
        <v>1</v>
      </c>
      <c r="BG69" s="108" t="s">
        <v>1</v>
      </c>
      <c r="BH69" s="92" t="s">
        <v>94</v>
      </c>
      <c r="BI69" s="92">
        <v>40</v>
      </c>
      <c r="BJ69" s="92">
        <v>239</v>
      </c>
      <c r="BK69" s="7" t="s">
        <v>72</v>
      </c>
      <c r="BL69" s="92" t="s">
        <v>1</v>
      </c>
      <c r="BM69" s="92" t="s">
        <v>1</v>
      </c>
      <c r="BN69" s="92" t="s">
        <v>1</v>
      </c>
      <c r="BO69" s="92" t="s">
        <v>1</v>
      </c>
      <c r="BP69" s="92" t="s">
        <v>1</v>
      </c>
      <c r="BQ69" s="92" t="s">
        <v>1</v>
      </c>
      <c r="BR69" s="92" t="s">
        <v>1</v>
      </c>
      <c r="BS69" s="92" t="s">
        <v>1</v>
      </c>
      <c r="BT69" s="92" t="s">
        <v>1</v>
      </c>
      <c r="BU69" s="92" t="s">
        <v>1</v>
      </c>
      <c r="BV69" s="92" t="s">
        <v>1</v>
      </c>
    </row>
    <row r="70" ht="25" customHeight="1" spans="1:74">
      <c r="A70" s="107">
        <v>45173</v>
      </c>
      <c r="B70" s="32" t="s">
        <v>125</v>
      </c>
      <c r="C70" s="32" t="s">
        <v>253</v>
      </c>
      <c r="D70" s="30" t="s">
        <v>1</v>
      </c>
      <c r="E70" s="30" t="s">
        <v>1</v>
      </c>
      <c r="F70" s="92" t="str">
        <f t="shared" si="2"/>
        <v/>
      </c>
      <c r="G70" s="92" t="s">
        <v>72</v>
      </c>
      <c r="H70" s="92" t="s">
        <v>72</v>
      </c>
      <c r="I70" s="92" t="s">
        <v>72</v>
      </c>
      <c r="J70" s="92" t="s">
        <v>72</v>
      </c>
      <c r="K70" s="92" t="s">
        <v>1</v>
      </c>
      <c r="L70" s="108">
        <v>0</v>
      </c>
      <c r="M70" s="92" t="s">
        <v>72</v>
      </c>
      <c r="N70" s="110" t="e">
        <f t="shared" si="3"/>
        <v>#VALUE!</v>
      </c>
      <c r="O70" s="92">
        <v>1.32</v>
      </c>
      <c r="P70" s="92" t="s">
        <v>1</v>
      </c>
      <c r="Q70" s="92" t="s">
        <v>1</v>
      </c>
      <c r="R70" s="92" t="s">
        <v>1</v>
      </c>
      <c r="S70" s="92" t="s">
        <v>1</v>
      </c>
      <c r="T70" s="92" t="s">
        <v>1</v>
      </c>
      <c r="U70" s="92" t="s">
        <v>1</v>
      </c>
      <c r="V70" s="7" t="s">
        <v>72</v>
      </c>
      <c r="W70" s="92" t="s">
        <v>1</v>
      </c>
      <c r="X70" s="7" t="s">
        <v>72</v>
      </c>
      <c r="Y70" s="92" t="s">
        <v>1</v>
      </c>
      <c r="Z70" s="7" t="s">
        <v>72</v>
      </c>
      <c r="AA70" s="92" t="s">
        <v>1</v>
      </c>
      <c r="AB70" s="7" t="s">
        <v>72</v>
      </c>
      <c r="AC70" s="92" t="s">
        <v>1</v>
      </c>
      <c r="AD70" s="92" t="s">
        <v>1</v>
      </c>
      <c r="AE70" s="92" t="s">
        <v>1</v>
      </c>
      <c r="AF70" s="7" t="s">
        <v>72</v>
      </c>
      <c r="AG70" s="92">
        <v>753</v>
      </c>
      <c r="AH70" s="7" t="s">
        <v>72</v>
      </c>
      <c r="AI70" s="92">
        <v>317</v>
      </c>
      <c r="AJ70" s="7" t="s">
        <v>72</v>
      </c>
      <c r="AK70" s="92">
        <v>10</v>
      </c>
      <c r="AL70" s="7" t="s">
        <v>72</v>
      </c>
      <c r="AM70" s="92">
        <v>882</v>
      </c>
      <c r="AN70" s="7" t="s">
        <v>72</v>
      </c>
      <c r="AO70" s="92">
        <v>183</v>
      </c>
      <c r="AP70" s="7" t="s">
        <v>72</v>
      </c>
      <c r="AQ70" s="92">
        <v>43</v>
      </c>
      <c r="AR70" s="7" t="s">
        <v>72</v>
      </c>
      <c r="AS70" s="92" t="s">
        <v>1</v>
      </c>
      <c r="AT70" s="92" t="s">
        <v>1</v>
      </c>
      <c r="AU70" s="92">
        <v>30</v>
      </c>
      <c r="AV70" s="92" t="s">
        <v>1</v>
      </c>
      <c r="AW70" s="92" t="s">
        <v>1</v>
      </c>
      <c r="AX70" s="92" t="s">
        <v>1</v>
      </c>
      <c r="AY70" s="92">
        <v>4</v>
      </c>
      <c r="AZ70" s="92" t="s">
        <v>1</v>
      </c>
      <c r="BA70" s="92" t="s">
        <v>1</v>
      </c>
      <c r="BB70" s="92" t="s">
        <v>1</v>
      </c>
      <c r="BC70" s="92" t="s">
        <v>1</v>
      </c>
      <c r="BD70" s="92" t="s">
        <v>1</v>
      </c>
      <c r="BE70" s="92" t="s">
        <v>1</v>
      </c>
      <c r="BF70" s="92" t="s">
        <v>1</v>
      </c>
      <c r="BG70" s="108" t="s">
        <v>1</v>
      </c>
      <c r="BH70" s="92" t="s">
        <v>94</v>
      </c>
      <c r="BI70" s="92">
        <v>32</v>
      </c>
      <c r="BJ70" s="92">
        <v>230</v>
      </c>
      <c r="BK70" s="7" t="s">
        <v>72</v>
      </c>
      <c r="BL70" s="92" t="s">
        <v>1</v>
      </c>
      <c r="BM70" s="92" t="s">
        <v>1</v>
      </c>
      <c r="BN70" s="92" t="s">
        <v>1</v>
      </c>
      <c r="BO70" s="92" t="s">
        <v>1</v>
      </c>
      <c r="BP70" s="92" t="s">
        <v>1</v>
      </c>
      <c r="BQ70" s="92" t="s">
        <v>1</v>
      </c>
      <c r="BR70" s="92" t="s">
        <v>1</v>
      </c>
      <c r="BS70" s="92" t="s">
        <v>1</v>
      </c>
      <c r="BT70" s="92" t="s">
        <v>1</v>
      </c>
      <c r="BU70" s="92" t="s">
        <v>1</v>
      </c>
      <c r="BV70" s="92" t="s">
        <v>1</v>
      </c>
    </row>
    <row r="71" ht="25" customHeight="1" spans="1:74">
      <c r="A71" s="107">
        <v>45174</v>
      </c>
      <c r="B71" s="32" t="s">
        <v>75</v>
      </c>
      <c r="C71" s="32" t="s">
        <v>125</v>
      </c>
      <c r="D71" s="30" t="s">
        <v>1</v>
      </c>
      <c r="E71" s="30" t="s">
        <v>1</v>
      </c>
      <c r="F71" s="92" t="str">
        <f t="shared" si="2"/>
        <v/>
      </c>
      <c r="G71" s="92" t="s">
        <v>1</v>
      </c>
      <c r="H71" s="92" t="s">
        <v>1</v>
      </c>
      <c r="I71" s="92" t="s">
        <v>1</v>
      </c>
      <c r="J71" s="92" t="s">
        <v>1</v>
      </c>
      <c r="K71" s="92" t="s">
        <v>1</v>
      </c>
      <c r="L71" s="116">
        <v>9399</v>
      </c>
      <c r="M71" s="92" t="s">
        <v>72</v>
      </c>
      <c r="N71" s="110" t="e">
        <f t="shared" si="3"/>
        <v>#VALUE!</v>
      </c>
      <c r="O71" s="92">
        <v>1.08</v>
      </c>
      <c r="P71" s="92" t="s">
        <v>1</v>
      </c>
      <c r="Q71" s="92" t="s">
        <v>1</v>
      </c>
      <c r="R71" s="92" t="s">
        <v>1</v>
      </c>
      <c r="S71" s="92" t="s">
        <v>1</v>
      </c>
      <c r="T71" s="92" t="s">
        <v>1</v>
      </c>
      <c r="U71" s="92" t="s">
        <v>1</v>
      </c>
      <c r="V71" s="7" t="s">
        <v>72</v>
      </c>
      <c r="W71" s="92" t="s">
        <v>1</v>
      </c>
      <c r="X71" s="7" t="s">
        <v>72</v>
      </c>
      <c r="Y71" s="92" t="s">
        <v>1</v>
      </c>
      <c r="Z71" s="7" t="s">
        <v>72</v>
      </c>
      <c r="AA71" s="92" t="s">
        <v>1</v>
      </c>
      <c r="AB71" s="7" t="s">
        <v>72</v>
      </c>
      <c r="AC71" s="92" t="s">
        <v>1</v>
      </c>
      <c r="AD71" s="92" t="s">
        <v>1</v>
      </c>
      <c r="AE71" s="92" t="s">
        <v>1</v>
      </c>
      <c r="AF71" s="7" t="s">
        <v>72</v>
      </c>
      <c r="AG71" s="125">
        <v>645</v>
      </c>
      <c r="AH71" s="7" t="s">
        <v>72</v>
      </c>
      <c r="AI71" s="125">
        <v>1034</v>
      </c>
      <c r="AJ71" s="7" t="s">
        <v>72</v>
      </c>
      <c r="AK71" s="92">
        <v>13</v>
      </c>
      <c r="AL71" s="7" t="s">
        <v>72</v>
      </c>
      <c r="AM71" s="92">
        <v>226</v>
      </c>
      <c r="AN71" s="7" t="s">
        <v>72</v>
      </c>
      <c r="AO71" s="92">
        <v>145</v>
      </c>
      <c r="AP71" s="7" t="s">
        <v>72</v>
      </c>
      <c r="AQ71" s="92">
        <v>30</v>
      </c>
      <c r="AR71" s="7" t="s">
        <v>72</v>
      </c>
      <c r="AS71" s="92" t="s">
        <v>1</v>
      </c>
      <c r="AT71" s="92" t="s">
        <v>1</v>
      </c>
      <c r="AU71" s="92">
        <v>15</v>
      </c>
      <c r="AV71" s="92" t="s">
        <v>1</v>
      </c>
      <c r="AW71" s="92" t="s">
        <v>1</v>
      </c>
      <c r="AX71" s="92" t="s">
        <v>1</v>
      </c>
      <c r="AY71" s="92">
        <v>3</v>
      </c>
      <c r="AZ71" s="92" t="s">
        <v>1</v>
      </c>
      <c r="BA71" s="92" t="s">
        <v>1</v>
      </c>
      <c r="BB71" s="92" t="s">
        <v>1</v>
      </c>
      <c r="BC71" s="92" t="s">
        <v>1</v>
      </c>
      <c r="BD71" s="92" t="s">
        <v>1</v>
      </c>
      <c r="BE71" s="92" t="s">
        <v>1</v>
      </c>
      <c r="BF71" s="92" t="s">
        <v>1</v>
      </c>
      <c r="BG71" s="108" t="s">
        <v>1</v>
      </c>
      <c r="BH71" s="92" t="s">
        <v>73</v>
      </c>
      <c r="BI71" s="92">
        <v>55</v>
      </c>
      <c r="BJ71" s="92">
        <v>166</v>
      </c>
      <c r="BK71" s="7" t="s">
        <v>72</v>
      </c>
      <c r="BL71" s="92" t="s">
        <v>1</v>
      </c>
      <c r="BM71" s="92" t="s">
        <v>1</v>
      </c>
      <c r="BN71" s="92" t="s">
        <v>1</v>
      </c>
      <c r="BO71" s="92" t="s">
        <v>1</v>
      </c>
      <c r="BP71" s="92" t="s">
        <v>1</v>
      </c>
      <c r="BQ71" s="92" t="s">
        <v>1</v>
      </c>
      <c r="BR71" s="92" t="s">
        <v>1</v>
      </c>
      <c r="BS71" s="92" t="s">
        <v>1</v>
      </c>
      <c r="BT71" s="92" t="s">
        <v>1</v>
      </c>
      <c r="BU71" s="92" t="s">
        <v>1</v>
      </c>
      <c r="BV71" s="92" t="s">
        <v>1</v>
      </c>
    </row>
    <row r="72" ht="25" customHeight="1" spans="1:74">
      <c r="A72" s="107">
        <v>45175</v>
      </c>
      <c r="B72" s="32" t="s">
        <v>1</v>
      </c>
      <c r="C72" s="32" t="s">
        <v>75</v>
      </c>
      <c r="D72" s="30" t="s">
        <v>1</v>
      </c>
      <c r="E72" s="30" t="s">
        <v>1</v>
      </c>
      <c r="F72" s="92" t="str">
        <f t="shared" si="2"/>
        <v/>
      </c>
      <c r="G72" s="92" t="s">
        <v>1</v>
      </c>
      <c r="H72" s="92" t="s">
        <v>1</v>
      </c>
      <c r="I72" s="92" t="s">
        <v>1</v>
      </c>
      <c r="J72" s="92" t="s">
        <v>1</v>
      </c>
      <c r="K72" s="92" t="s">
        <v>1</v>
      </c>
      <c r="L72" s="108">
        <v>0</v>
      </c>
      <c r="M72" s="92" t="s">
        <v>72</v>
      </c>
      <c r="N72" s="110" t="e">
        <f t="shared" si="3"/>
        <v>#VALUE!</v>
      </c>
      <c r="O72" s="92">
        <v>0</v>
      </c>
      <c r="P72" s="92" t="s">
        <v>1</v>
      </c>
      <c r="Q72" s="92" t="s">
        <v>1</v>
      </c>
      <c r="R72" s="92" t="s">
        <v>1</v>
      </c>
      <c r="S72" s="92" t="s">
        <v>1</v>
      </c>
      <c r="T72" s="92" t="s">
        <v>1</v>
      </c>
      <c r="U72" s="92" t="s">
        <v>1</v>
      </c>
      <c r="V72" s="7" t="s">
        <v>72</v>
      </c>
      <c r="W72" s="92" t="s">
        <v>1</v>
      </c>
      <c r="X72" s="7" t="s">
        <v>72</v>
      </c>
      <c r="Y72" s="92" t="s">
        <v>1</v>
      </c>
      <c r="Z72" s="7" t="s">
        <v>72</v>
      </c>
      <c r="AA72" s="92" t="s">
        <v>1</v>
      </c>
      <c r="AB72" s="7" t="s">
        <v>72</v>
      </c>
      <c r="AC72" s="92" t="s">
        <v>1</v>
      </c>
      <c r="AD72" s="92" t="s">
        <v>1</v>
      </c>
      <c r="AE72" s="92" t="s">
        <v>1</v>
      </c>
      <c r="AF72" s="7" t="s">
        <v>72</v>
      </c>
      <c r="AG72" s="92">
        <v>800</v>
      </c>
      <c r="AH72" s="7" t="s">
        <v>72</v>
      </c>
      <c r="AI72" s="92">
        <v>207</v>
      </c>
      <c r="AJ72" s="7" t="s">
        <v>72</v>
      </c>
      <c r="AK72" s="92">
        <v>4</v>
      </c>
      <c r="AL72" s="7" t="s">
        <v>72</v>
      </c>
      <c r="AM72" s="125">
        <v>1318</v>
      </c>
      <c r="AN72" s="7" t="s">
        <v>72</v>
      </c>
      <c r="AO72" s="92">
        <v>124</v>
      </c>
      <c r="AP72" s="7" t="s">
        <v>72</v>
      </c>
      <c r="AQ72" s="92">
        <v>42</v>
      </c>
      <c r="AR72" s="7" t="s">
        <v>72</v>
      </c>
      <c r="AS72" s="92" t="s">
        <v>1</v>
      </c>
      <c r="AT72" s="92" t="s">
        <v>1</v>
      </c>
      <c r="AU72" s="92">
        <v>22</v>
      </c>
      <c r="AV72" s="92" t="s">
        <v>1</v>
      </c>
      <c r="AW72" s="92" t="s">
        <v>1</v>
      </c>
      <c r="AX72" s="92" t="s">
        <v>1</v>
      </c>
      <c r="AY72" s="92">
        <v>0</v>
      </c>
      <c r="AZ72" s="92" t="s">
        <v>1</v>
      </c>
      <c r="BA72" s="92" t="s">
        <v>1</v>
      </c>
      <c r="BB72" s="92" t="s">
        <v>1</v>
      </c>
      <c r="BC72" s="92" t="s">
        <v>1</v>
      </c>
      <c r="BD72" s="92" t="s">
        <v>1</v>
      </c>
      <c r="BE72" s="92" t="s">
        <v>1</v>
      </c>
      <c r="BF72" s="92" t="s">
        <v>1</v>
      </c>
      <c r="BG72" s="108" t="s">
        <v>1</v>
      </c>
      <c r="BH72" s="92" t="s">
        <v>73</v>
      </c>
      <c r="BI72" s="92">
        <v>58</v>
      </c>
      <c r="BJ72" s="92">
        <v>121</v>
      </c>
      <c r="BK72" s="7" t="s">
        <v>72</v>
      </c>
      <c r="BL72" s="92" t="s">
        <v>1</v>
      </c>
      <c r="BM72" s="92" t="s">
        <v>1</v>
      </c>
      <c r="BN72" s="92" t="s">
        <v>1</v>
      </c>
      <c r="BO72" s="92" t="s">
        <v>1</v>
      </c>
      <c r="BP72" s="92" t="s">
        <v>1</v>
      </c>
      <c r="BQ72" s="92" t="s">
        <v>1</v>
      </c>
      <c r="BR72" s="92" t="s">
        <v>1</v>
      </c>
      <c r="BS72" s="92" t="s">
        <v>1</v>
      </c>
      <c r="BT72" s="92" t="s">
        <v>1</v>
      </c>
      <c r="BU72" s="92" t="s">
        <v>1</v>
      </c>
      <c r="BV72" s="92" t="s">
        <v>1</v>
      </c>
    </row>
    <row r="73" ht="25" customHeight="1" spans="1:74">
      <c r="A73" s="107">
        <v>45176</v>
      </c>
      <c r="B73" s="32" t="s">
        <v>253</v>
      </c>
      <c r="C73" s="32" t="s">
        <v>1</v>
      </c>
      <c r="D73" s="30" t="s">
        <v>1</v>
      </c>
      <c r="E73" s="30" t="s">
        <v>1</v>
      </c>
      <c r="F73" s="92" t="str">
        <f t="shared" si="2"/>
        <v/>
      </c>
      <c r="G73" s="92" t="s">
        <v>1</v>
      </c>
      <c r="H73" s="92" t="s">
        <v>1</v>
      </c>
      <c r="I73" s="92" t="s">
        <v>1</v>
      </c>
      <c r="J73" s="92" t="s">
        <v>1</v>
      </c>
      <c r="K73" s="92" t="s">
        <v>1</v>
      </c>
      <c r="L73" s="116">
        <v>18098</v>
      </c>
      <c r="M73" s="92" t="s">
        <v>72</v>
      </c>
      <c r="N73" s="110" t="e">
        <f t="shared" si="3"/>
        <v>#VALUE!</v>
      </c>
      <c r="O73" s="92">
        <v>0.88</v>
      </c>
      <c r="P73" s="92" t="s">
        <v>1</v>
      </c>
      <c r="Q73" s="92" t="s">
        <v>1</v>
      </c>
      <c r="R73" s="92" t="s">
        <v>1</v>
      </c>
      <c r="S73" s="92" t="s">
        <v>1</v>
      </c>
      <c r="T73" s="92" t="s">
        <v>1</v>
      </c>
      <c r="U73" s="92" t="s">
        <v>1</v>
      </c>
      <c r="V73" s="7" t="s">
        <v>72</v>
      </c>
      <c r="W73" s="92" t="s">
        <v>1</v>
      </c>
      <c r="X73" s="7" t="s">
        <v>72</v>
      </c>
      <c r="Y73" s="92" t="s">
        <v>1</v>
      </c>
      <c r="Z73" s="7" t="s">
        <v>72</v>
      </c>
      <c r="AA73" s="92" t="s">
        <v>1</v>
      </c>
      <c r="AB73" s="7" t="s">
        <v>72</v>
      </c>
      <c r="AC73" s="92" t="s">
        <v>1</v>
      </c>
      <c r="AD73" s="92" t="s">
        <v>1</v>
      </c>
      <c r="AE73" s="92" t="s">
        <v>1</v>
      </c>
      <c r="AF73" s="7" t="s">
        <v>72</v>
      </c>
      <c r="AG73" s="92">
        <v>572</v>
      </c>
      <c r="AH73" s="7" t="s">
        <v>72</v>
      </c>
      <c r="AI73" s="92">
        <v>221</v>
      </c>
      <c r="AJ73" s="7" t="s">
        <v>72</v>
      </c>
      <c r="AK73" s="125">
        <v>1761</v>
      </c>
      <c r="AL73" s="7" t="s">
        <v>72</v>
      </c>
      <c r="AM73" s="125">
        <v>1761</v>
      </c>
      <c r="AN73" s="7" t="s">
        <v>72</v>
      </c>
      <c r="AO73" s="92">
        <v>122</v>
      </c>
      <c r="AP73" s="7" t="s">
        <v>72</v>
      </c>
      <c r="AQ73" s="92">
        <v>37</v>
      </c>
      <c r="AR73" s="7" t="s">
        <v>72</v>
      </c>
      <c r="AS73" s="92" t="s">
        <v>1</v>
      </c>
      <c r="AT73" s="92" t="s">
        <v>1</v>
      </c>
      <c r="AU73" s="92">
        <v>20</v>
      </c>
      <c r="AV73" s="92" t="s">
        <v>1</v>
      </c>
      <c r="AW73" s="92" t="s">
        <v>1</v>
      </c>
      <c r="AX73" s="92" t="s">
        <v>1</v>
      </c>
      <c r="AY73" s="92">
        <v>4</v>
      </c>
      <c r="AZ73" s="92" t="s">
        <v>1</v>
      </c>
      <c r="BA73" s="92" t="s">
        <v>1</v>
      </c>
      <c r="BB73" s="92" t="s">
        <v>1</v>
      </c>
      <c r="BC73" s="92" t="s">
        <v>1</v>
      </c>
      <c r="BD73" s="92" t="s">
        <v>1</v>
      </c>
      <c r="BE73" s="92" t="s">
        <v>1</v>
      </c>
      <c r="BF73" s="92" t="s">
        <v>1</v>
      </c>
      <c r="BG73" s="108" t="s">
        <v>1</v>
      </c>
      <c r="BH73" s="92" t="s">
        <v>73</v>
      </c>
      <c r="BI73" s="92">
        <v>53</v>
      </c>
      <c r="BJ73" s="92">
        <v>132</v>
      </c>
      <c r="BK73" s="7" t="s">
        <v>72</v>
      </c>
      <c r="BL73" s="92" t="s">
        <v>1</v>
      </c>
      <c r="BM73" s="92" t="s">
        <v>1</v>
      </c>
      <c r="BN73" s="92" t="s">
        <v>1</v>
      </c>
      <c r="BO73" s="92" t="s">
        <v>1</v>
      </c>
      <c r="BP73" s="92" t="s">
        <v>1</v>
      </c>
      <c r="BQ73" s="92" t="s">
        <v>1</v>
      </c>
      <c r="BR73" s="92" t="s">
        <v>1</v>
      </c>
      <c r="BS73" s="92" t="s">
        <v>1</v>
      </c>
      <c r="BT73" s="92" t="s">
        <v>1</v>
      </c>
      <c r="BU73" s="92" t="s">
        <v>1</v>
      </c>
      <c r="BV73" s="92" t="s">
        <v>1</v>
      </c>
    </row>
    <row r="74" ht="25" customHeight="1" spans="1:74">
      <c r="A74" s="107">
        <v>45177</v>
      </c>
      <c r="B74" s="32" t="s">
        <v>125</v>
      </c>
      <c r="C74" s="32" t="s">
        <v>253</v>
      </c>
      <c r="D74" s="30" t="s">
        <v>1</v>
      </c>
      <c r="E74" s="30" t="s">
        <v>1</v>
      </c>
      <c r="F74" s="92" t="str">
        <f t="shared" si="2"/>
        <v/>
      </c>
      <c r="G74" s="92" t="s">
        <v>1</v>
      </c>
      <c r="H74" s="92" t="s">
        <v>1</v>
      </c>
      <c r="I74" s="92" t="s">
        <v>1</v>
      </c>
      <c r="J74" s="92" t="s">
        <v>1</v>
      </c>
      <c r="K74" s="92" t="s">
        <v>1</v>
      </c>
      <c r="L74" s="116">
        <v>0</v>
      </c>
      <c r="M74" s="92" t="s">
        <v>72</v>
      </c>
      <c r="N74" s="110" t="e">
        <f t="shared" si="3"/>
        <v>#VALUE!</v>
      </c>
      <c r="O74" s="92">
        <v>0.36</v>
      </c>
      <c r="P74" s="92" t="s">
        <v>1</v>
      </c>
      <c r="Q74" s="92" t="s">
        <v>1</v>
      </c>
      <c r="R74" s="92" t="s">
        <v>1</v>
      </c>
      <c r="S74" s="92" t="s">
        <v>1</v>
      </c>
      <c r="T74" s="92" t="s">
        <v>1</v>
      </c>
      <c r="U74" s="92" t="s">
        <v>1</v>
      </c>
      <c r="V74" s="7" t="s">
        <v>72</v>
      </c>
      <c r="W74" s="92" t="s">
        <v>1</v>
      </c>
      <c r="X74" s="7" t="s">
        <v>72</v>
      </c>
      <c r="Y74" s="92" t="s">
        <v>1</v>
      </c>
      <c r="Z74" s="7" t="s">
        <v>72</v>
      </c>
      <c r="AA74" s="92" t="s">
        <v>1</v>
      </c>
      <c r="AB74" s="7" t="s">
        <v>72</v>
      </c>
      <c r="AC74" s="92" t="s">
        <v>1</v>
      </c>
      <c r="AD74" s="92" t="s">
        <v>1</v>
      </c>
      <c r="AE74" s="92" t="s">
        <v>1</v>
      </c>
      <c r="AF74" s="7" t="s">
        <v>72</v>
      </c>
      <c r="AG74" s="92">
        <v>633</v>
      </c>
      <c r="AH74" s="92" t="s">
        <v>72</v>
      </c>
      <c r="AI74" s="92">
        <v>207</v>
      </c>
      <c r="AJ74" s="92" t="s">
        <v>72</v>
      </c>
      <c r="AK74" s="92">
        <v>4</v>
      </c>
      <c r="AL74" s="92" t="s">
        <v>72</v>
      </c>
      <c r="AM74" s="92">
        <v>1864</v>
      </c>
      <c r="AN74" s="92" t="s">
        <v>72</v>
      </c>
      <c r="AO74" s="92">
        <v>163</v>
      </c>
      <c r="AP74" s="92" t="s">
        <v>72</v>
      </c>
      <c r="AQ74" s="92">
        <v>32</v>
      </c>
      <c r="AR74" s="7" t="s">
        <v>72</v>
      </c>
      <c r="AS74" s="92" t="s">
        <v>1</v>
      </c>
      <c r="AT74" s="92" t="s">
        <v>1</v>
      </c>
      <c r="AU74" s="92">
        <v>29</v>
      </c>
      <c r="AV74" s="92" t="s">
        <v>1</v>
      </c>
      <c r="AW74" s="92" t="s">
        <v>1</v>
      </c>
      <c r="AX74" s="92" t="s">
        <v>1</v>
      </c>
      <c r="AY74" s="92">
        <v>2</v>
      </c>
      <c r="AZ74" s="92" t="s">
        <v>1</v>
      </c>
      <c r="BA74" s="92" t="s">
        <v>1</v>
      </c>
      <c r="BB74" s="92" t="s">
        <v>1</v>
      </c>
      <c r="BC74" s="92" t="s">
        <v>1</v>
      </c>
      <c r="BD74" s="92" t="s">
        <v>1</v>
      </c>
      <c r="BE74" s="92" t="s">
        <v>1</v>
      </c>
      <c r="BF74" s="92" t="s">
        <v>1</v>
      </c>
      <c r="BG74" s="108" t="s">
        <v>1</v>
      </c>
      <c r="BH74" s="92" t="s">
        <v>94</v>
      </c>
      <c r="BI74" s="92">
        <v>31</v>
      </c>
      <c r="BJ74" s="92">
        <v>218</v>
      </c>
      <c r="BK74" s="7" t="s">
        <v>72</v>
      </c>
      <c r="BL74" s="92" t="s">
        <v>266</v>
      </c>
      <c r="BM74" s="92" t="s">
        <v>264</v>
      </c>
      <c r="BN74" s="92" t="s">
        <v>265</v>
      </c>
      <c r="BO74" s="92" t="s">
        <v>285</v>
      </c>
      <c r="BP74" s="92" t="s">
        <v>296</v>
      </c>
      <c r="BQ74" s="92" t="s">
        <v>292</v>
      </c>
      <c r="BR74" s="92" t="s">
        <v>297</v>
      </c>
      <c r="BS74" s="92" t="s">
        <v>298</v>
      </c>
      <c r="BT74" s="92" t="s">
        <v>299</v>
      </c>
      <c r="BU74" s="92" t="s">
        <v>294</v>
      </c>
      <c r="BV74" s="92" t="s">
        <v>1</v>
      </c>
    </row>
    <row r="75" ht="25" customHeight="1" spans="1:74">
      <c r="A75" s="107">
        <v>45178</v>
      </c>
      <c r="B75" s="32" t="s">
        <v>125</v>
      </c>
      <c r="C75" s="32" t="s">
        <v>125</v>
      </c>
      <c r="D75" s="30" t="s">
        <v>1</v>
      </c>
      <c r="E75" s="30" t="s">
        <v>1</v>
      </c>
      <c r="F75" s="92" t="str">
        <f t="shared" si="2"/>
        <v/>
      </c>
      <c r="G75" s="92" t="s">
        <v>1</v>
      </c>
      <c r="H75" s="92" t="s">
        <v>1</v>
      </c>
      <c r="I75" s="92" t="s">
        <v>1</v>
      </c>
      <c r="J75" s="92" t="s">
        <v>1</v>
      </c>
      <c r="K75" s="92" t="s">
        <v>1</v>
      </c>
      <c r="L75" s="116">
        <v>10699</v>
      </c>
      <c r="M75" s="92" t="s">
        <v>72</v>
      </c>
      <c r="N75" s="110" t="e">
        <f t="shared" si="3"/>
        <v>#VALUE!</v>
      </c>
      <c r="O75" s="92">
        <v>1.12</v>
      </c>
      <c r="P75" s="92" t="s">
        <v>1</v>
      </c>
      <c r="Q75" s="92" t="s">
        <v>1</v>
      </c>
      <c r="R75" s="92" t="s">
        <v>1</v>
      </c>
      <c r="S75" s="92" t="s">
        <v>1</v>
      </c>
      <c r="T75" s="92" t="s">
        <v>1</v>
      </c>
      <c r="U75" s="92" t="s">
        <v>1</v>
      </c>
      <c r="V75" s="7" t="s">
        <v>72</v>
      </c>
      <c r="W75" s="92" t="s">
        <v>1</v>
      </c>
      <c r="X75" s="7" t="s">
        <v>72</v>
      </c>
      <c r="Y75" s="92" t="s">
        <v>1</v>
      </c>
      <c r="Z75" s="7" t="s">
        <v>72</v>
      </c>
      <c r="AA75" s="92" t="s">
        <v>1</v>
      </c>
      <c r="AB75" s="7" t="s">
        <v>72</v>
      </c>
      <c r="AC75" s="92" t="s">
        <v>1</v>
      </c>
      <c r="AD75" s="92" t="s">
        <v>1</v>
      </c>
      <c r="AE75" s="92" t="s">
        <v>1</v>
      </c>
      <c r="AF75" s="7" t="s">
        <v>72</v>
      </c>
      <c r="AG75" s="92">
        <v>704</v>
      </c>
      <c r="AH75" s="92" t="s">
        <v>72</v>
      </c>
      <c r="AI75" s="92">
        <v>268</v>
      </c>
      <c r="AJ75" s="92" t="s">
        <v>72</v>
      </c>
      <c r="AK75" s="92">
        <v>5</v>
      </c>
      <c r="AL75" s="92" t="s">
        <v>72</v>
      </c>
      <c r="AM75" s="92">
        <v>2408</v>
      </c>
      <c r="AN75" s="92" t="s">
        <v>72</v>
      </c>
      <c r="AO75" s="92">
        <v>180</v>
      </c>
      <c r="AP75" s="92" t="s">
        <v>72</v>
      </c>
      <c r="AQ75" s="92">
        <v>25</v>
      </c>
      <c r="AR75" s="7" t="s">
        <v>72</v>
      </c>
      <c r="AS75" s="92" t="s">
        <v>1</v>
      </c>
      <c r="AT75" s="92" t="s">
        <v>1</v>
      </c>
      <c r="AU75" s="92">
        <v>26</v>
      </c>
      <c r="AV75" s="92" t="s">
        <v>1</v>
      </c>
      <c r="AW75" s="92" t="s">
        <v>1</v>
      </c>
      <c r="AX75" s="92" t="s">
        <v>1</v>
      </c>
      <c r="AY75" s="92">
        <v>2</v>
      </c>
      <c r="AZ75" s="92" t="s">
        <v>1</v>
      </c>
      <c r="BA75" s="92" t="s">
        <v>1</v>
      </c>
      <c r="BB75" s="92" t="s">
        <v>1</v>
      </c>
      <c r="BC75" s="92" t="s">
        <v>1</v>
      </c>
      <c r="BD75" s="92" t="s">
        <v>1</v>
      </c>
      <c r="BE75" s="92" t="s">
        <v>1</v>
      </c>
      <c r="BF75" s="92" t="s">
        <v>1</v>
      </c>
      <c r="BG75" s="108" t="s">
        <v>1</v>
      </c>
      <c r="BH75" s="92" t="s">
        <v>94</v>
      </c>
      <c r="BI75" s="92">
        <v>40</v>
      </c>
      <c r="BJ75" s="92">
        <v>223</v>
      </c>
      <c r="BK75" s="7" t="s">
        <v>72</v>
      </c>
      <c r="BL75" s="92" t="s">
        <v>1</v>
      </c>
      <c r="BM75" s="92" t="s">
        <v>1</v>
      </c>
      <c r="BN75" s="92" t="s">
        <v>1</v>
      </c>
      <c r="BO75" s="92" t="s">
        <v>1</v>
      </c>
      <c r="BP75" s="92" t="s">
        <v>1</v>
      </c>
      <c r="BQ75" s="92" t="s">
        <v>1</v>
      </c>
      <c r="BR75" s="92" t="s">
        <v>1</v>
      </c>
      <c r="BS75" s="92" t="s">
        <v>1</v>
      </c>
      <c r="BT75" s="92" t="s">
        <v>1</v>
      </c>
      <c r="BU75" s="92" t="s">
        <v>1</v>
      </c>
      <c r="BV75" s="92" t="s">
        <v>1</v>
      </c>
    </row>
    <row r="76" ht="25" customHeight="1" spans="1:74">
      <c r="A76" s="107">
        <v>45179</v>
      </c>
      <c r="B76" s="32" t="s">
        <v>125</v>
      </c>
      <c r="C76" s="32" t="s">
        <v>125</v>
      </c>
      <c r="D76" s="30" t="s">
        <v>1</v>
      </c>
      <c r="E76" s="30" t="s">
        <v>1</v>
      </c>
      <c r="F76" s="92" t="str">
        <f t="shared" si="2"/>
        <v/>
      </c>
      <c r="G76" s="92" t="s">
        <v>1</v>
      </c>
      <c r="H76" s="92" t="s">
        <v>1</v>
      </c>
      <c r="I76" s="92" t="s">
        <v>1</v>
      </c>
      <c r="J76" s="92" t="s">
        <v>1</v>
      </c>
      <c r="K76" s="92" t="s">
        <v>1</v>
      </c>
      <c r="L76" s="116">
        <v>0</v>
      </c>
      <c r="M76" s="92" t="s">
        <v>72</v>
      </c>
      <c r="N76" s="110" t="e">
        <f t="shared" si="3"/>
        <v>#VALUE!</v>
      </c>
      <c r="O76" s="92">
        <v>0</v>
      </c>
      <c r="P76" s="92" t="s">
        <v>1</v>
      </c>
      <c r="Q76" s="92" t="s">
        <v>1</v>
      </c>
      <c r="R76" s="92" t="s">
        <v>1</v>
      </c>
      <c r="S76" s="92" t="s">
        <v>1</v>
      </c>
      <c r="T76" s="92" t="s">
        <v>1</v>
      </c>
      <c r="U76" s="92" t="s">
        <v>1</v>
      </c>
      <c r="V76" s="7" t="s">
        <v>72</v>
      </c>
      <c r="W76" s="92" t="s">
        <v>1</v>
      </c>
      <c r="X76" s="7" t="s">
        <v>72</v>
      </c>
      <c r="Y76" s="92" t="s">
        <v>1</v>
      </c>
      <c r="Z76" s="7" t="s">
        <v>72</v>
      </c>
      <c r="AA76" s="92" t="s">
        <v>1</v>
      </c>
      <c r="AB76" s="7" t="s">
        <v>72</v>
      </c>
      <c r="AC76" s="92" t="s">
        <v>1</v>
      </c>
      <c r="AD76" s="92" t="s">
        <v>1</v>
      </c>
      <c r="AE76" s="92" t="s">
        <v>1</v>
      </c>
      <c r="AF76" s="7" t="s">
        <v>72</v>
      </c>
      <c r="AG76" s="92">
        <v>742</v>
      </c>
      <c r="AH76" s="92" t="s">
        <v>72</v>
      </c>
      <c r="AI76" s="92">
        <v>250</v>
      </c>
      <c r="AJ76" s="92" t="s">
        <v>72</v>
      </c>
      <c r="AK76" s="92">
        <v>8</v>
      </c>
      <c r="AL76" s="92" t="s">
        <v>72</v>
      </c>
      <c r="AM76" s="92">
        <v>1931</v>
      </c>
      <c r="AN76" s="92" t="s">
        <v>72</v>
      </c>
      <c r="AO76" s="92">
        <v>176</v>
      </c>
      <c r="AP76" s="92" t="s">
        <v>72</v>
      </c>
      <c r="AQ76" s="92">
        <v>33</v>
      </c>
      <c r="AR76" s="7" t="s">
        <v>72</v>
      </c>
      <c r="AS76" s="92" t="s">
        <v>1</v>
      </c>
      <c r="AT76" s="92" t="s">
        <v>1</v>
      </c>
      <c r="AU76" s="92">
        <v>22</v>
      </c>
      <c r="AV76" s="92" t="s">
        <v>1</v>
      </c>
      <c r="AW76" s="92" t="s">
        <v>1</v>
      </c>
      <c r="AX76" s="92" t="s">
        <v>1</v>
      </c>
      <c r="AY76" s="92">
        <v>0</v>
      </c>
      <c r="AZ76" s="92" t="s">
        <v>1</v>
      </c>
      <c r="BA76" s="92" t="s">
        <v>1</v>
      </c>
      <c r="BB76" s="92" t="s">
        <v>1</v>
      </c>
      <c r="BC76" s="92" t="s">
        <v>1</v>
      </c>
      <c r="BD76" s="92" t="s">
        <v>1</v>
      </c>
      <c r="BE76" s="92" t="s">
        <v>1</v>
      </c>
      <c r="BF76" s="92" t="s">
        <v>1</v>
      </c>
      <c r="BG76" s="108" t="s">
        <v>1</v>
      </c>
      <c r="BH76" s="92" t="s">
        <v>94</v>
      </c>
      <c r="BI76" s="92">
        <v>49</v>
      </c>
      <c r="BJ76" s="92">
        <v>183</v>
      </c>
      <c r="BK76" s="7" t="s">
        <v>72</v>
      </c>
      <c r="BL76" s="92" t="s">
        <v>1</v>
      </c>
      <c r="BM76" s="92" t="s">
        <v>1</v>
      </c>
      <c r="BN76" s="92" t="s">
        <v>1</v>
      </c>
      <c r="BO76" s="92" t="s">
        <v>1</v>
      </c>
      <c r="BP76" s="92" t="s">
        <v>1</v>
      </c>
      <c r="BQ76" s="92" t="s">
        <v>1</v>
      </c>
      <c r="BR76" s="92" t="s">
        <v>1</v>
      </c>
      <c r="BS76" s="92" t="s">
        <v>1</v>
      </c>
      <c r="BT76" s="92" t="s">
        <v>1</v>
      </c>
      <c r="BU76" s="92" t="s">
        <v>1</v>
      </c>
      <c r="BV76" s="92" t="s">
        <v>1</v>
      </c>
    </row>
    <row r="77" ht="25" customHeight="1" spans="1:74">
      <c r="A77" s="107">
        <v>45180</v>
      </c>
      <c r="B77" s="32" t="s">
        <v>125</v>
      </c>
      <c r="C77" s="32" t="s">
        <v>125</v>
      </c>
      <c r="D77" s="30" t="s">
        <v>1</v>
      </c>
      <c r="E77" s="30" t="s">
        <v>1</v>
      </c>
      <c r="F77" s="92" t="str">
        <f t="shared" si="2"/>
        <v/>
      </c>
      <c r="G77" s="92" t="s">
        <v>1</v>
      </c>
      <c r="H77" s="92" t="s">
        <v>1</v>
      </c>
      <c r="I77" s="92" t="s">
        <v>1</v>
      </c>
      <c r="J77" s="92" t="s">
        <v>1</v>
      </c>
      <c r="K77" s="92" t="s">
        <v>1</v>
      </c>
      <c r="L77" s="116">
        <v>8599</v>
      </c>
      <c r="M77" s="92" t="s">
        <v>72</v>
      </c>
      <c r="N77" s="110" t="e">
        <f t="shared" si="3"/>
        <v>#VALUE!</v>
      </c>
      <c r="O77" s="92">
        <v>0.53</v>
      </c>
      <c r="P77" s="92" t="s">
        <v>1</v>
      </c>
      <c r="Q77" s="92" t="s">
        <v>1</v>
      </c>
      <c r="R77" s="92" t="s">
        <v>1</v>
      </c>
      <c r="S77" s="92" t="s">
        <v>1</v>
      </c>
      <c r="T77" s="92" t="s">
        <v>1</v>
      </c>
      <c r="U77" s="92" t="s">
        <v>1</v>
      </c>
      <c r="V77" s="7" t="s">
        <v>72</v>
      </c>
      <c r="W77" s="92" t="s">
        <v>1</v>
      </c>
      <c r="X77" s="7" t="s">
        <v>72</v>
      </c>
      <c r="Y77" s="92" t="s">
        <v>1</v>
      </c>
      <c r="Z77" s="7" t="s">
        <v>72</v>
      </c>
      <c r="AA77" s="92" t="s">
        <v>1</v>
      </c>
      <c r="AB77" s="7" t="s">
        <v>72</v>
      </c>
      <c r="AC77" s="92" t="s">
        <v>1</v>
      </c>
      <c r="AD77" s="92" t="s">
        <v>1</v>
      </c>
      <c r="AE77" s="92" t="s">
        <v>1</v>
      </c>
      <c r="AF77" s="7" t="s">
        <v>72</v>
      </c>
      <c r="AG77" s="92">
        <v>597</v>
      </c>
      <c r="AH77" s="7" t="s">
        <v>72</v>
      </c>
      <c r="AI77" s="92">
        <v>225</v>
      </c>
      <c r="AJ77" s="7" t="s">
        <v>72</v>
      </c>
      <c r="AK77" s="92">
        <v>8</v>
      </c>
      <c r="AL77" s="7" t="s">
        <v>72</v>
      </c>
      <c r="AM77" s="125">
        <v>1875</v>
      </c>
      <c r="AN77" s="7" t="s">
        <v>72</v>
      </c>
      <c r="AO77" s="92">
        <v>151</v>
      </c>
      <c r="AP77" s="7" t="s">
        <v>72</v>
      </c>
      <c r="AQ77" s="92">
        <v>40</v>
      </c>
      <c r="AR77" s="7" t="s">
        <v>72</v>
      </c>
      <c r="AS77" s="92" t="s">
        <v>1</v>
      </c>
      <c r="AT77" s="92" t="s">
        <v>1</v>
      </c>
      <c r="AU77" s="92">
        <v>25</v>
      </c>
      <c r="AV77" s="92" t="s">
        <v>1</v>
      </c>
      <c r="AW77" s="92" t="s">
        <v>1</v>
      </c>
      <c r="AX77" s="92" t="s">
        <v>1</v>
      </c>
      <c r="AY77" s="92">
        <v>2</v>
      </c>
      <c r="AZ77" s="92" t="s">
        <v>1</v>
      </c>
      <c r="BA77" s="92" t="s">
        <v>1</v>
      </c>
      <c r="BB77" s="92" t="s">
        <v>1</v>
      </c>
      <c r="BC77" s="92" t="s">
        <v>1</v>
      </c>
      <c r="BD77" s="92" t="s">
        <v>1</v>
      </c>
      <c r="BE77" s="92" t="s">
        <v>1</v>
      </c>
      <c r="BF77" s="92" t="s">
        <v>1</v>
      </c>
      <c r="BG77" s="108" t="s">
        <v>1</v>
      </c>
      <c r="BH77" s="92" t="s">
        <v>94</v>
      </c>
      <c r="BI77" s="92">
        <v>48</v>
      </c>
      <c r="BJ77" s="92">
        <v>183</v>
      </c>
      <c r="BK77" s="7" t="s">
        <v>72</v>
      </c>
      <c r="BL77" s="92" t="s">
        <v>1</v>
      </c>
      <c r="BM77" s="92" t="s">
        <v>1</v>
      </c>
      <c r="BN77" s="92" t="s">
        <v>1</v>
      </c>
      <c r="BO77" s="92" t="s">
        <v>1</v>
      </c>
      <c r="BP77" s="92" t="s">
        <v>1</v>
      </c>
      <c r="BQ77" s="92" t="s">
        <v>1</v>
      </c>
      <c r="BR77" s="92" t="s">
        <v>1</v>
      </c>
      <c r="BS77" s="92" t="s">
        <v>1</v>
      </c>
      <c r="BT77" s="92" t="s">
        <v>1</v>
      </c>
      <c r="BU77" s="92" t="s">
        <v>1</v>
      </c>
      <c r="BV77" s="92" t="s">
        <v>1</v>
      </c>
    </row>
    <row r="78" ht="25" customHeight="1" spans="1:74">
      <c r="A78" s="107">
        <v>45181</v>
      </c>
      <c r="B78" s="32" t="s">
        <v>1</v>
      </c>
      <c r="C78" s="32" t="s">
        <v>125</v>
      </c>
      <c r="D78" s="30" t="s">
        <v>1</v>
      </c>
      <c r="E78" s="30" t="s">
        <v>1</v>
      </c>
      <c r="F78" s="92" t="str">
        <f t="shared" si="2"/>
        <v/>
      </c>
      <c r="G78" s="92" t="s">
        <v>1</v>
      </c>
      <c r="H78" s="92" t="s">
        <v>1</v>
      </c>
      <c r="I78" s="92" t="s">
        <v>1</v>
      </c>
      <c r="J78" s="92" t="s">
        <v>1</v>
      </c>
      <c r="K78" s="92" t="s">
        <v>1</v>
      </c>
      <c r="L78" s="116">
        <v>0</v>
      </c>
      <c r="M78" s="92" t="s">
        <v>72</v>
      </c>
      <c r="N78" s="110" t="e">
        <f t="shared" si="3"/>
        <v>#VALUE!</v>
      </c>
      <c r="O78" s="92">
        <v>0.44</v>
      </c>
      <c r="P78" s="92" t="s">
        <v>1</v>
      </c>
      <c r="Q78" s="92" t="s">
        <v>1</v>
      </c>
      <c r="R78" s="92" t="s">
        <v>1</v>
      </c>
      <c r="S78" s="92" t="s">
        <v>1</v>
      </c>
      <c r="T78" s="92" t="s">
        <v>1</v>
      </c>
      <c r="U78" s="92" t="s">
        <v>1</v>
      </c>
      <c r="V78" s="7" t="s">
        <v>72</v>
      </c>
      <c r="W78" s="92" t="s">
        <v>1</v>
      </c>
      <c r="X78" s="7" t="s">
        <v>72</v>
      </c>
      <c r="Y78" s="92" t="s">
        <v>1</v>
      </c>
      <c r="Z78" s="7" t="s">
        <v>72</v>
      </c>
      <c r="AA78" s="92" t="s">
        <v>1</v>
      </c>
      <c r="AB78" s="7" t="s">
        <v>72</v>
      </c>
      <c r="AC78" s="92" t="s">
        <v>1</v>
      </c>
      <c r="AD78" s="92" t="s">
        <v>1</v>
      </c>
      <c r="AE78" s="92" t="s">
        <v>1</v>
      </c>
      <c r="AF78" s="7" t="s">
        <v>72</v>
      </c>
      <c r="AG78" s="92">
        <v>642</v>
      </c>
      <c r="AH78" s="7" t="s">
        <v>72</v>
      </c>
      <c r="AI78" s="92">
        <v>192</v>
      </c>
      <c r="AJ78" s="7" t="s">
        <v>72</v>
      </c>
      <c r="AK78" s="92">
        <v>10</v>
      </c>
      <c r="AL78" s="7" t="s">
        <v>72</v>
      </c>
      <c r="AM78" s="125">
        <v>1904</v>
      </c>
      <c r="AN78" s="7" t="s">
        <v>72</v>
      </c>
      <c r="AO78" s="92">
        <v>164</v>
      </c>
      <c r="AP78" s="7" t="s">
        <v>72</v>
      </c>
      <c r="AQ78" s="92">
        <v>47</v>
      </c>
      <c r="AR78" s="7" t="s">
        <v>72</v>
      </c>
      <c r="AS78" s="92" t="s">
        <v>1</v>
      </c>
      <c r="AT78" s="92" t="s">
        <v>1</v>
      </c>
      <c r="AU78" s="92">
        <v>32</v>
      </c>
      <c r="AV78" s="92" t="s">
        <v>1</v>
      </c>
      <c r="AW78" s="92" t="s">
        <v>1</v>
      </c>
      <c r="AX78" s="92" t="s">
        <v>1</v>
      </c>
      <c r="AY78" s="92">
        <v>1</v>
      </c>
      <c r="AZ78" s="92" t="s">
        <v>1</v>
      </c>
      <c r="BA78" s="92" t="s">
        <v>1</v>
      </c>
      <c r="BB78" s="92" t="s">
        <v>1</v>
      </c>
      <c r="BC78" s="92" t="s">
        <v>1</v>
      </c>
      <c r="BD78" s="92" t="s">
        <v>1</v>
      </c>
      <c r="BE78" s="92" t="s">
        <v>1</v>
      </c>
      <c r="BF78" s="92" t="s">
        <v>1</v>
      </c>
      <c r="BG78" s="108" t="s">
        <v>1</v>
      </c>
      <c r="BH78" s="92" t="s">
        <v>94</v>
      </c>
      <c r="BI78" s="92">
        <v>44</v>
      </c>
      <c r="BJ78" s="92">
        <v>194</v>
      </c>
      <c r="BK78" s="7" t="s">
        <v>72</v>
      </c>
      <c r="BL78" s="92" t="s">
        <v>1</v>
      </c>
      <c r="BM78" s="92" t="s">
        <v>1</v>
      </c>
      <c r="BN78" s="92" t="s">
        <v>1</v>
      </c>
      <c r="BO78" s="92" t="s">
        <v>1</v>
      </c>
      <c r="BP78" s="92" t="s">
        <v>1</v>
      </c>
      <c r="BQ78" s="92" t="s">
        <v>1</v>
      </c>
      <c r="BR78" s="92" t="s">
        <v>1</v>
      </c>
      <c r="BS78" s="92" t="s">
        <v>1</v>
      </c>
      <c r="BT78" s="92" t="s">
        <v>1</v>
      </c>
      <c r="BU78" s="92" t="s">
        <v>1</v>
      </c>
      <c r="BV78" s="92" t="s">
        <v>1</v>
      </c>
    </row>
    <row r="79" ht="25" customHeight="1" spans="1:74">
      <c r="A79" s="107">
        <v>45182</v>
      </c>
      <c r="B79" s="32" t="s">
        <v>1</v>
      </c>
      <c r="C79" s="32" t="s">
        <v>75</v>
      </c>
      <c r="D79" s="30" t="s">
        <v>1</v>
      </c>
      <c r="E79" s="30" t="s">
        <v>1</v>
      </c>
      <c r="F79" s="92" t="str">
        <f t="shared" si="2"/>
        <v/>
      </c>
      <c r="G79" s="92" t="s">
        <v>1</v>
      </c>
      <c r="H79" s="92" t="s">
        <v>1</v>
      </c>
      <c r="I79" s="92" t="s">
        <v>1</v>
      </c>
      <c r="J79" s="92" t="s">
        <v>1</v>
      </c>
      <c r="K79" s="92" t="s">
        <v>1</v>
      </c>
      <c r="L79" s="116">
        <v>8699</v>
      </c>
      <c r="M79" s="92" t="s">
        <v>72</v>
      </c>
      <c r="N79" s="110" t="e">
        <f t="shared" si="3"/>
        <v>#VALUE!</v>
      </c>
      <c r="O79" s="92">
        <v>0.31</v>
      </c>
      <c r="P79" s="92" t="s">
        <v>1</v>
      </c>
      <c r="Q79" s="92" t="s">
        <v>1</v>
      </c>
      <c r="R79" s="92" t="s">
        <v>1</v>
      </c>
      <c r="S79" s="92" t="s">
        <v>1</v>
      </c>
      <c r="T79" s="92" t="s">
        <v>1</v>
      </c>
      <c r="U79" s="92" t="s">
        <v>1</v>
      </c>
      <c r="V79" s="7" t="s">
        <v>72</v>
      </c>
      <c r="W79" s="92" t="s">
        <v>1</v>
      </c>
      <c r="X79" s="7" t="s">
        <v>72</v>
      </c>
      <c r="Y79" s="92" t="s">
        <v>1</v>
      </c>
      <c r="Z79" s="7" t="s">
        <v>72</v>
      </c>
      <c r="AA79" s="92" t="s">
        <v>1</v>
      </c>
      <c r="AB79" s="7" t="s">
        <v>72</v>
      </c>
      <c r="AC79" s="92" t="s">
        <v>1</v>
      </c>
      <c r="AD79" s="92" t="s">
        <v>1</v>
      </c>
      <c r="AE79" s="92" t="s">
        <v>1</v>
      </c>
      <c r="AF79" s="7" t="s">
        <v>72</v>
      </c>
      <c r="AG79" s="92">
        <v>679</v>
      </c>
      <c r="AH79" s="7" t="s">
        <v>72</v>
      </c>
      <c r="AI79" s="92">
        <v>184</v>
      </c>
      <c r="AJ79" s="7" t="s">
        <v>72</v>
      </c>
      <c r="AK79" s="92">
        <v>6</v>
      </c>
      <c r="AL79" s="7" t="s">
        <v>72</v>
      </c>
      <c r="AM79" s="125">
        <v>1750</v>
      </c>
      <c r="AN79" s="7" t="s">
        <v>72</v>
      </c>
      <c r="AO79" s="92">
        <v>116</v>
      </c>
      <c r="AP79" s="7" t="s">
        <v>72</v>
      </c>
      <c r="AQ79" s="92">
        <v>37</v>
      </c>
      <c r="AR79" s="7" t="s">
        <v>72</v>
      </c>
      <c r="AS79" s="92" t="s">
        <v>1</v>
      </c>
      <c r="AT79" s="92" t="s">
        <v>1</v>
      </c>
      <c r="AU79" s="92">
        <v>15</v>
      </c>
      <c r="AV79" s="92" t="s">
        <v>1</v>
      </c>
      <c r="AW79" s="92" t="s">
        <v>1</v>
      </c>
      <c r="AX79" s="92" t="s">
        <v>1</v>
      </c>
      <c r="AY79" s="92">
        <v>1</v>
      </c>
      <c r="AZ79" s="92" t="s">
        <v>1</v>
      </c>
      <c r="BA79" s="92" t="s">
        <v>1</v>
      </c>
      <c r="BB79" s="92" t="s">
        <v>1</v>
      </c>
      <c r="BC79" s="92" t="s">
        <v>1</v>
      </c>
      <c r="BD79" s="92" t="s">
        <v>1</v>
      </c>
      <c r="BE79" s="92" t="s">
        <v>1</v>
      </c>
      <c r="BF79" s="92" t="s">
        <v>1</v>
      </c>
      <c r="BG79" s="108" t="s">
        <v>1</v>
      </c>
      <c r="BH79" s="92" t="s">
        <v>73</v>
      </c>
      <c r="BI79" s="92">
        <v>63</v>
      </c>
      <c r="BJ79" s="92">
        <v>119</v>
      </c>
      <c r="BK79" s="7" t="s">
        <v>72</v>
      </c>
      <c r="BL79" s="92" t="s">
        <v>1</v>
      </c>
      <c r="BM79" s="92" t="s">
        <v>1</v>
      </c>
      <c r="BN79" s="92" t="s">
        <v>1</v>
      </c>
      <c r="BO79" s="92" t="s">
        <v>1</v>
      </c>
      <c r="BP79" s="92" t="s">
        <v>1</v>
      </c>
      <c r="BQ79" s="92" t="s">
        <v>1</v>
      </c>
      <c r="BR79" s="92" t="s">
        <v>1</v>
      </c>
      <c r="BS79" s="92" t="s">
        <v>1</v>
      </c>
      <c r="BT79" s="92" t="s">
        <v>1</v>
      </c>
      <c r="BU79" s="92" t="s">
        <v>1</v>
      </c>
      <c r="BV79" s="92" t="s">
        <v>1</v>
      </c>
    </row>
    <row r="80" ht="25" customHeight="1" spans="1:74">
      <c r="A80" s="107">
        <v>45183</v>
      </c>
      <c r="B80" s="32" t="s">
        <v>1</v>
      </c>
      <c r="C80" s="32" t="s">
        <v>253</v>
      </c>
      <c r="D80" s="30" t="s">
        <v>1</v>
      </c>
      <c r="E80" s="30" t="s">
        <v>1</v>
      </c>
      <c r="F80" s="92" t="str">
        <f t="shared" si="2"/>
        <v/>
      </c>
      <c r="G80" s="92" t="s">
        <v>1</v>
      </c>
      <c r="H80" s="92" t="s">
        <v>1</v>
      </c>
      <c r="I80" s="92" t="s">
        <v>1</v>
      </c>
      <c r="J80" s="92" t="s">
        <v>1</v>
      </c>
      <c r="K80" s="92" t="s">
        <v>1</v>
      </c>
      <c r="L80" s="108">
        <v>98</v>
      </c>
      <c r="M80" s="92" t="s">
        <v>72</v>
      </c>
      <c r="N80" s="110" t="e">
        <f t="shared" si="3"/>
        <v>#VALUE!</v>
      </c>
      <c r="O80" s="32" t="s">
        <v>1</v>
      </c>
      <c r="P80" s="92" t="s">
        <v>1</v>
      </c>
      <c r="Q80" s="92" t="s">
        <v>1</v>
      </c>
      <c r="R80" s="92" t="s">
        <v>1</v>
      </c>
      <c r="S80" s="92" t="s">
        <v>1</v>
      </c>
      <c r="T80" s="92" t="s">
        <v>1</v>
      </c>
      <c r="U80" s="92" t="s">
        <v>1</v>
      </c>
      <c r="V80" s="7" t="s">
        <v>72</v>
      </c>
      <c r="W80" s="92" t="s">
        <v>1</v>
      </c>
      <c r="X80" s="7" t="s">
        <v>72</v>
      </c>
      <c r="Y80" s="92" t="s">
        <v>1</v>
      </c>
      <c r="Z80" s="7" t="s">
        <v>72</v>
      </c>
      <c r="AA80" s="92" t="s">
        <v>1</v>
      </c>
      <c r="AB80" s="7" t="s">
        <v>72</v>
      </c>
      <c r="AC80" s="92" t="s">
        <v>1</v>
      </c>
      <c r="AD80" s="92" t="s">
        <v>1</v>
      </c>
      <c r="AE80" s="92" t="s">
        <v>1</v>
      </c>
      <c r="AF80" s="7" t="s">
        <v>72</v>
      </c>
      <c r="AG80" s="92">
        <v>634</v>
      </c>
      <c r="AH80" s="7" t="s">
        <v>72</v>
      </c>
      <c r="AI80" s="92">
        <v>177</v>
      </c>
      <c r="AJ80" s="7" t="s">
        <v>72</v>
      </c>
      <c r="AK80" s="92">
        <v>6</v>
      </c>
      <c r="AL80" s="7" t="s">
        <v>72</v>
      </c>
      <c r="AM80" s="125">
        <v>1762</v>
      </c>
      <c r="AN80" s="7" t="s">
        <v>72</v>
      </c>
      <c r="AO80" s="92">
        <v>110</v>
      </c>
      <c r="AP80" s="7" t="s">
        <v>72</v>
      </c>
      <c r="AQ80" s="92">
        <v>36</v>
      </c>
      <c r="AR80" s="7" t="s">
        <v>72</v>
      </c>
      <c r="AS80" s="92" t="s">
        <v>1</v>
      </c>
      <c r="AT80" s="92" t="s">
        <v>1</v>
      </c>
      <c r="AU80" s="92">
        <v>23</v>
      </c>
      <c r="AV80" s="92" t="s">
        <v>1</v>
      </c>
      <c r="AW80" s="92" t="s">
        <v>1</v>
      </c>
      <c r="AX80" s="92" t="s">
        <v>1</v>
      </c>
      <c r="AY80" s="92">
        <v>1</v>
      </c>
      <c r="AZ80" s="92" t="s">
        <v>1</v>
      </c>
      <c r="BA80" s="92" t="s">
        <v>1</v>
      </c>
      <c r="BB80" s="92" t="s">
        <v>1</v>
      </c>
      <c r="BC80" s="92" t="s">
        <v>1</v>
      </c>
      <c r="BD80" s="92" t="s">
        <v>1</v>
      </c>
      <c r="BE80" s="92" t="s">
        <v>1</v>
      </c>
      <c r="BF80" s="92" t="s">
        <v>1</v>
      </c>
      <c r="BG80" s="108" t="s">
        <v>1</v>
      </c>
      <c r="BH80" s="92" t="s">
        <v>73</v>
      </c>
      <c r="BI80" s="92">
        <v>60</v>
      </c>
      <c r="BJ80" s="92">
        <v>127</v>
      </c>
      <c r="BK80" s="7" t="s">
        <v>72</v>
      </c>
      <c r="BL80" s="92" t="s">
        <v>1</v>
      </c>
      <c r="BM80" s="92" t="s">
        <v>1</v>
      </c>
      <c r="BN80" s="92" t="s">
        <v>1</v>
      </c>
      <c r="BO80" s="92" t="s">
        <v>1</v>
      </c>
      <c r="BP80" s="92" t="s">
        <v>1</v>
      </c>
      <c r="BQ80" s="92" t="s">
        <v>1</v>
      </c>
      <c r="BR80" s="92" t="s">
        <v>1</v>
      </c>
      <c r="BS80" s="92" t="s">
        <v>1</v>
      </c>
      <c r="BT80" s="92" t="s">
        <v>1</v>
      </c>
      <c r="BU80" s="92" t="s">
        <v>1</v>
      </c>
      <c r="BV80" s="92" t="s">
        <v>1</v>
      </c>
    </row>
    <row r="81" ht="25" customHeight="1" spans="1:74">
      <c r="A81" s="107">
        <v>45184</v>
      </c>
      <c r="B81" s="32" t="s">
        <v>1</v>
      </c>
      <c r="C81" s="32" t="s">
        <v>125</v>
      </c>
      <c r="D81" s="30" t="s">
        <v>1</v>
      </c>
      <c r="E81" s="30" t="s">
        <v>1</v>
      </c>
      <c r="F81" s="92" t="str">
        <f t="shared" si="2"/>
        <v/>
      </c>
      <c r="G81" s="92" t="s">
        <v>1</v>
      </c>
      <c r="H81" s="92" t="s">
        <v>1</v>
      </c>
      <c r="I81" s="92" t="s">
        <v>1</v>
      </c>
      <c r="J81" s="92" t="s">
        <v>1</v>
      </c>
      <c r="K81" s="92" t="s">
        <v>1</v>
      </c>
      <c r="L81" s="108">
        <v>0</v>
      </c>
      <c r="M81" s="108" t="s">
        <v>72</v>
      </c>
      <c r="N81" s="110" t="e">
        <f t="shared" si="3"/>
        <v>#VALUE!</v>
      </c>
      <c r="O81" s="32" t="s">
        <v>1</v>
      </c>
      <c r="P81" s="92" t="s">
        <v>1</v>
      </c>
      <c r="Q81" s="92" t="s">
        <v>1</v>
      </c>
      <c r="R81" s="92" t="s">
        <v>1</v>
      </c>
      <c r="S81" s="92" t="s">
        <v>1</v>
      </c>
      <c r="T81" s="92" t="s">
        <v>1</v>
      </c>
      <c r="U81" s="92" t="s">
        <v>1</v>
      </c>
      <c r="V81" s="7" t="s">
        <v>72</v>
      </c>
      <c r="W81" s="92" t="s">
        <v>1</v>
      </c>
      <c r="X81" s="7" t="s">
        <v>72</v>
      </c>
      <c r="Y81" s="92" t="s">
        <v>1</v>
      </c>
      <c r="Z81" s="7" t="s">
        <v>72</v>
      </c>
      <c r="AA81" s="92" t="s">
        <v>1</v>
      </c>
      <c r="AB81" s="7" t="s">
        <v>72</v>
      </c>
      <c r="AC81" s="92" t="s">
        <v>1</v>
      </c>
      <c r="AD81" s="92" t="s">
        <v>1</v>
      </c>
      <c r="AE81" s="92" t="s">
        <v>1</v>
      </c>
      <c r="AF81" s="7" t="s">
        <v>72</v>
      </c>
      <c r="AG81" s="92">
        <v>595</v>
      </c>
      <c r="AH81" s="92" t="s">
        <v>72</v>
      </c>
      <c r="AI81" s="92">
        <v>177</v>
      </c>
      <c r="AJ81" s="92" t="s">
        <v>72</v>
      </c>
      <c r="AK81" s="92">
        <v>3</v>
      </c>
      <c r="AL81" s="92" t="s">
        <v>72</v>
      </c>
      <c r="AM81" s="92">
        <v>1649</v>
      </c>
      <c r="AN81" s="92" t="s">
        <v>72</v>
      </c>
      <c r="AO81" s="92">
        <v>98</v>
      </c>
      <c r="AP81" s="92" t="s">
        <v>72</v>
      </c>
      <c r="AQ81" s="92">
        <v>23</v>
      </c>
      <c r="AR81" s="7" t="s">
        <v>72</v>
      </c>
      <c r="AS81" s="92" t="s">
        <v>1</v>
      </c>
      <c r="AT81" s="92" t="s">
        <v>1</v>
      </c>
      <c r="AU81" s="92">
        <v>15</v>
      </c>
      <c r="AV81" s="92" t="s">
        <v>1</v>
      </c>
      <c r="AW81" s="92" t="s">
        <v>1</v>
      </c>
      <c r="AX81" s="92" t="s">
        <v>1</v>
      </c>
      <c r="AY81" s="92">
        <v>0</v>
      </c>
      <c r="AZ81" s="92" t="s">
        <v>1</v>
      </c>
      <c r="BA81" s="92" t="s">
        <v>1</v>
      </c>
      <c r="BB81" s="92" t="s">
        <v>1</v>
      </c>
      <c r="BC81" s="92" t="s">
        <v>1</v>
      </c>
      <c r="BD81" s="92" t="s">
        <v>1</v>
      </c>
      <c r="BE81" s="92" t="s">
        <v>1</v>
      </c>
      <c r="BF81" s="92" t="s">
        <v>1</v>
      </c>
      <c r="BG81" s="108" t="s">
        <v>1</v>
      </c>
      <c r="BH81" s="92" t="s">
        <v>73</v>
      </c>
      <c r="BI81" s="92">
        <v>69</v>
      </c>
      <c r="BJ81" s="92">
        <v>120</v>
      </c>
      <c r="BK81" s="7" t="s">
        <v>72</v>
      </c>
      <c r="BL81" s="92" t="s">
        <v>1</v>
      </c>
      <c r="BM81" s="92" t="s">
        <v>1</v>
      </c>
      <c r="BN81" s="92" t="s">
        <v>1</v>
      </c>
      <c r="BO81" s="92" t="s">
        <v>1</v>
      </c>
      <c r="BP81" s="92" t="s">
        <v>1</v>
      </c>
      <c r="BQ81" s="92" t="s">
        <v>1</v>
      </c>
      <c r="BR81" s="92" t="s">
        <v>1</v>
      </c>
      <c r="BS81" s="92" t="s">
        <v>1</v>
      </c>
      <c r="BT81" s="92" t="s">
        <v>1</v>
      </c>
      <c r="BU81" s="92" t="s">
        <v>1</v>
      </c>
      <c r="BV81" s="92" t="s">
        <v>1</v>
      </c>
    </row>
    <row r="82" ht="25" customHeight="1" spans="1:74">
      <c r="A82" s="107">
        <v>45185</v>
      </c>
      <c r="B82" s="32" t="s">
        <v>1</v>
      </c>
      <c r="C82" s="32" t="s">
        <v>125</v>
      </c>
      <c r="D82" s="30" t="s">
        <v>1</v>
      </c>
      <c r="E82" s="30" t="s">
        <v>1</v>
      </c>
      <c r="F82" s="92" t="str">
        <f t="shared" si="2"/>
        <v/>
      </c>
      <c r="G82" s="92" t="s">
        <v>1</v>
      </c>
      <c r="H82" s="92" t="s">
        <v>1</v>
      </c>
      <c r="I82" s="92" t="s">
        <v>1</v>
      </c>
      <c r="J82" s="92" t="s">
        <v>1</v>
      </c>
      <c r="K82" s="92" t="s">
        <v>1</v>
      </c>
      <c r="L82" s="108">
        <v>0</v>
      </c>
      <c r="M82" s="108" t="s">
        <v>72</v>
      </c>
      <c r="N82" s="110" t="e">
        <f t="shared" si="3"/>
        <v>#VALUE!</v>
      </c>
      <c r="O82" s="32" t="s">
        <v>1</v>
      </c>
      <c r="P82" s="92" t="s">
        <v>1</v>
      </c>
      <c r="Q82" s="92" t="s">
        <v>1</v>
      </c>
      <c r="R82" s="92" t="s">
        <v>1</v>
      </c>
      <c r="S82" s="92" t="s">
        <v>1</v>
      </c>
      <c r="T82" s="92" t="s">
        <v>1</v>
      </c>
      <c r="U82" s="92" t="s">
        <v>1</v>
      </c>
      <c r="V82" s="7" t="s">
        <v>72</v>
      </c>
      <c r="W82" s="92" t="s">
        <v>1</v>
      </c>
      <c r="X82" s="7" t="s">
        <v>72</v>
      </c>
      <c r="Y82" s="92" t="s">
        <v>1</v>
      </c>
      <c r="Z82" s="7" t="s">
        <v>72</v>
      </c>
      <c r="AA82" s="92" t="s">
        <v>1</v>
      </c>
      <c r="AB82" s="7" t="s">
        <v>72</v>
      </c>
      <c r="AC82" s="92" t="s">
        <v>1</v>
      </c>
      <c r="AD82" s="92" t="s">
        <v>1</v>
      </c>
      <c r="AE82" s="92" t="s">
        <v>1</v>
      </c>
      <c r="AF82" s="7" t="s">
        <v>72</v>
      </c>
      <c r="AG82" s="92">
        <v>622</v>
      </c>
      <c r="AH82" s="92" t="s">
        <v>72</v>
      </c>
      <c r="AI82" s="92">
        <v>225</v>
      </c>
      <c r="AJ82" s="92" t="s">
        <v>72</v>
      </c>
      <c r="AK82" s="92">
        <v>3</v>
      </c>
      <c r="AL82" s="92" t="s">
        <v>72</v>
      </c>
      <c r="AM82" s="92">
        <v>1741</v>
      </c>
      <c r="AN82" s="92" t="s">
        <v>72</v>
      </c>
      <c r="AO82" s="92">
        <v>119</v>
      </c>
      <c r="AP82" s="92" t="s">
        <v>72</v>
      </c>
      <c r="AQ82" s="92">
        <v>52</v>
      </c>
      <c r="AR82" s="7" t="s">
        <v>72</v>
      </c>
      <c r="AS82" s="92" t="s">
        <v>1</v>
      </c>
      <c r="AT82" s="92" t="s">
        <v>1</v>
      </c>
      <c r="AU82" s="92">
        <v>23</v>
      </c>
      <c r="AV82" s="92" t="s">
        <v>1</v>
      </c>
      <c r="AW82" s="92" t="s">
        <v>1</v>
      </c>
      <c r="AX82" s="92" t="s">
        <v>1</v>
      </c>
      <c r="AY82" s="92">
        <v>1</v>
      </c>
      <c r="AZ82" s="92" t="s">
        <v>1</v>
      </c>
      <c r="BA82" s="92" t="s">
        <v>1</v>
      </c>
      <c r="BB82" s="92" t="s">
        <v>1</v>
      </c>
      <c r="BC82" s="92" t="s">
        <v>1</v>
      </c>
      <c r="BD82" s="92" t="s">
        <v>1</v>
      </c>
      <c r="BE82" s="92" t="s">
        <v>1</v>
      </c>
      <c r="BF82" s="92" t="s">
        <v>1</v>
      </c>
      <c r="BG82" s="108" t="s">
        <v>1</v>
      </c>
      <c r="BH82" s="92" t="s">
        <v>94</v>
      </c>
      <c r="BI82" s="92">
        <v>39</v>
      </c>
      <c r="BJ82" s="92">
        <v>231</v>
      </c>
      <c r="BK82" s="7" t="s">
        <v>72</v>
      </c>
      <c r="BL82" s="92" t="s">
        <v>264</v>
      </c>
      <c r="BM82" s="92" t="s">
        <v>265</v>
      </c>
      <c r="BN82" s="92" t="s">
        <v>296</v>
      </c>
      <c r="BO82" s="92" t="s">
        <v>266</v>
      </c>
      <c r="BP82" s="92" t="s">
        <v>286</v>
      </c>
      <c r="BQ82" s="92" t="s">
        <v>292</v>
      </c>
      <c r="BR82" s="92" t="s">
        <v>300</v>
      </c>
      <c r="BS82" s="92" t="s">
        <v>270</v>
      </c>
      <c r="BT82" s="92" t="s">
        <v>294</v>
      </c>
      <c r="BU82" s="92" t="s">
        <v>301</v>
      </c>
      <c r="BV82" s="92" t="s">
        <v>1</v>
      </c>
    </row>
    <row r="83" ht="25" customHeight="1" spans="1:74">
      <c r="A83" s="107">
        <v>45186</v>
      </c>
      <c r="B83" s="32" t="s">
        <v>1</v>
      </c>
      <c r="C83" s="32" t="s">
        <v>125</v>
      </c>
      <c r="D83" s="30" t="s">
        <v>1</v>
      </c>
      <c r="E83" s="30" t="s">
        <v>1</v>
      </c>
      <c r="F83" s="92" t="str">
        <f t="shared" si="2"/>
        <v/>
      </c>
      <c r="G83" s="92" t="s">
        <v>1</v>
      </c>
      <c r="H83" s="92" t="s">
        <v>1</v>
      </c>
      <c r="I83" s="92" t="s">
        <v>1</v>
      </c>
      <c r="J83" s="92" t="s">
        <v>1</v>
      </c>
      <c r="K83" s="92" t="s">
        <v>1</v>
      </c>
      <c r="L83" s="108">
        <v>17298</v>
      </c>
      <c r="M83" s="108" t="s">
        <v>72</v>
      </c>
      <c r="N83" s="110" t="e">
        <f t="shared" si="3"/>
        <v>#VALUE!</v>
      </c>
      <c r="O83" s="32" t="s">
        <v>1</v>
      </c>
      <c r="P83" s="92" t="s">
        <v>1</v>
      </c>
      <c r="Q83" s="92" t="s">
        <v>1</v>
      </c>
      <c r="R83" s="92" t="s">
        <v>1</v>
      </c>
      <c r="S83" s="92" t="s">
        <v>1</v>
      </c>
      <c r="T83" s="92" t="s">
        <v>1</v>
      </c>
      <c r="U83" s="92" t="s">
        <v>1</v>
      </c>
      <c r="V83" s="7" t="s">
        <v>72</v>
      </c>
      <c r="W83" s="92" t="s">
        <v>1</v>
      </c>
      <c r="X83" s="7" t="s">
        <v>72</v>
      </c>
      <c r="Y83" s="92" t="s">
        <v>1</v>
      </c>
      <c r="Z83" s="7" t="s">
        <v>72</v>
      </c>
      <c r="AA83" s="92" t="s">
        <v>1</v>
      </c>
      <c r="AB83" s="7" t="s">
        <v>72</v>
      </c>
      <c r="AC83" s="92" t="s">
        <v>1</v>
      </c>
      <c r="AD83" s="92" t="s">
        <v>1</v>
      </c>
      <c r="AE83" s="92" t="s">
        <v>1</v>
      </c>
      <c r="AF83" s="7" t="s">
        <v>72</v>
      </c>
      <c r="AG83" s="92">
        <v>737</v>
      </c>
      <c r="AH83" s="92" t="s">
        <v>72</v>
      </c>
      <c r="AI83" s="92">
        <v>253</v>
      </c>
      <c r="AJ83" s="92" t="s">
        <v>72</v>
      </c>
      <c r="AK83" s="92">
        <v>2</v>
      </c>
      <c r="AL83" s="92" t="s">
        <v>72</v>
      </c>
      <c r="AM83" s="92">
        <v>1681</v>
      </c>
      <c r="AN83" s="92" t="s">
        <v>72</v>
      </c>
      <c r="AO83" s="92">
        <v>165</v>
      </c>
      <c r="AP83" s="92" t="s">
        <v>72</v>
      </c>
      <c r="AQ83" s="92">
        <v>40</v>
      </c>
      <c r="AR83" s="7" t="s">
        <v>72</v>
      </c>
      <c r="AS83" s="92" t="s">
        <v>1</v>
      </c>
      <c r="AT83" s="92" t="s">
        <v>1</v>
      </c>
      <c r="AU83" s="92">
        <v>22</v>
      </c>
      <c r="AV83" s="92" t="s">
        <v>1</v>
      </c>
      <c r="AW83" s="92" t="s">
        <v>1</v>
      </c>
      <c r="AX83" s="92" t="s">
        <v>1</v>
      </c>
      <c r="AY83" s="92">
        <v>3</v>
      </c>
      <c r="AZ83" s="92" t="s">
        <v>1</v>
      </c>
      <c r="BA83" s="92" t="s">
        <v>1</v>
      </c>
      <c r="BB83" s="92" t="s">
        <v>1</v>
      </c>
      <c r="BC83" s="92" t="s">
        <v>1</v>
      </c>
      <c r="BD83" s="92" t="s">
        <v>1</v>
      </c>
      <c r="BE83" s="92" t="s">
        <v>1</v>
      </c>
      <c r="BF83" s="92" t="s">
        <v>1</v>
      </c>
      <c r="BG83" s="108" t="s">
        <v>1</v>
      </c>
      <c r="BH83" s="92" t="s">
        <v>94</v>
      </c>
      <c r="BI83" s="92">
        <v>30</v>
      </c>
      <c r="BJ83" s="92">
        <v>324</v>
      </c>
      <c r="BK83" s="7" t="s">
        <v>72</v>
      </c>
      <c r="BL83" s="92" t="s">
        <v>1</v>
      </c>
      <c r="BM83" s="92" t="s">
        <v>1</v>
      </c>
      <c r="BN83" s="92" t="s">
        <v>1</v>
      </c>
      <c r="BO83" s="92" t="s">
        <v>1</v>
      </c>
      <c r="BP83" s="92" t="s">
        <v>1</v>
      </c>
      <c r="BQ83" s="92" t="s">
        <v>1</v>
      </c>
      <c r="BR83" s="92" t="s">
        <v>1</v>
      </c>
      <c r="BS83" s="92" t="s">
        <v>1</v>
      </c>
      <c r="BT83" s="92" t="s">
        <v>1</v>
      </c>
      <c r="BU83" s="92" t="s">
        <v>1</v>
      </c>
      <c r="BV83" s="92" t="s">
        <v>1</v>
      </c>
    </row>
    <row r="84" ht="25" customHeight="1" spans="1:74">
      <c r="A84" s="107">
        <v>45187</v>
      </c>
      <c r="B84" s="32" t="s">
        <v>1</v>
      </c>
      <c r="C84" s="32" t="s">
        <v>75</v>
      </c>
      <c r="D84" s="30" t="s">
        <v>1</v>
      </c>
      <c r="E84" s="30" t="s">
        <v>1</v>
      </c>
      <c r="F84" s="92" t="str">
        <f t="shared" si="2"/>
        <v/>
      </c>
      <c r="G84" s="92" t="s">
        <v>1</v>
      </c>
      <c r="H84" s="92" t="s">
        <v>1</v>
      </c>
      <c r="I84" s="92" t="s">
        <v>1</v>
      </c>
      <c r="J84" s="92" t="s">
        <v>1</v>
      </c>
      <c r="K84" s="92" t="s">
        <v>1</v>
      </c>
      <c r="L84" s="1">
        <v>98</v>
      </c>
      <c r="M84" s="92" t="s">
        <v>72</v>
      </c>
      <c r="N84" s="110" t="e">
        <f t="shared" si="3"/>
        <v>#VALUE!</v>
      </c>
      <c r="O84" s="32" t="s">
        <v>1</v>
      </c>
      <c r="P84" s="92" t="s">
        <v>1</v>
      </c>
      <c r="Q84" s="92" t="s">
        <v>1</v>
      </c>
      <c r="R84" s="92" t="s">
        <v>1</v>
      </c>
      <c r="S84" s="92" t="s">
        <v>1</v>
      </c>
      <c r="T84" s="92" t="s">
        <v>1</v>
      </c>
      <c r="U84" s="92" t="s">
        <v>1</v>
      </c>
      <c r="V84" s="7" t="s">
        <v>72</v>
      </c>
      <c r="W84" s="92" t="s">
        <v>1</v>
      </c>
      <c r="X84" s="7" t="s">
        <v>72</v>
      </c>
      <c r="Y84" s="92" t="s">
        <v>1</v>
      </c>
      <c r="Z84" s="7" t="s">
        <v>72</v>
      </c>
      <c r="AA84" s="92" t="s">
        <v>1</v>
      </c>
      <c r="AB84" s="7" t="s">
        <v>72</v>
      </c>
      <c r="AC84" s="92" t="s">
        <v>1</v>
      </c>
      <c r="AD84" s="92" t="s">
        <v>1</v>
      </c>
      <c r="AE84" s="92" t="s">
        <v>1</v>
      </c>
      <c r="AF84" s="7" t="s">
        <v>72</v>
      </c>
      <c r="AG84" s="92">
        <v>883</v>
      </c>
      <c r="AH84" s="92" t="s">
        <v>72</v>
      </c>
      <c r="AI84" s="92">
        <v>238</v>
      </c>
      <c r="AJ84" s="92" t="s">
        <v>72</v>
      </c>
      <c r="AK84" s="92">
        <v>2</v>
      </c>
      <c r="AL84" s="92" t="s">
        <v>72</v>
      </c>
      <c r="AM84" s="92">
        <v>1557</v>
      </c>
      <c r="AN84" s="92" t="s">
        <v>72</v>
      </c>
      <c r="AO84" s="92">
        <v>155</v>
      </c>
      <c r="AP84" s="92" t="s">
        <v>72</v>
      </c>
      <c r="AQ84" s="92">
        <v>40</v>
      </c>
      <c r="AR84" s="7" t="s">
        <v>72</v>
      </c>
      <c r="AS84" s="92" t="s">
        <v>1</v>
      </c>
      <c r="AT84" s="92" t="s">
        <v>1</v>
      </c>
      <c r="AU84" s="92">
        <v>25</v>
      </c>
      <c r="AV84" s="92" t="s">
        <v>1</v>
      </c>
      <c r="AW84" s="92" t="s">
        <v>1</v>
      </c>
      <c r="AX84" s="92" t="s">
        <v>1</v>
      </c>
      <c r="AY84" s="92">
        <v>2</v>
      </c>
      <c r="AZ84" s="92" t="s">
        <v>1</v>
      </c>
      <c r="BA84" s="92" t="s">
        <v>1</v>
      </c>
      <c r="BB84" s="92" t="s">
        <v>1</v>
      </c>
      <c r="BC84" s="92" t="s">
        <v>1</v>
      </c>
      <c r="BD84" s="92" t="s">
        <v>1</v>
      </c>
      <c r="BE84" s="92" t="s">
        <v>1</v>
      </c>
      <c r="BF84" s="92" t="s">
        <v>1</v>
      </c>
      <c r="BG84" s="108" t="s">
        <v>1</v>
      </c>
      <c r="BH84" s="92" t="s">
        <v>94</v>
      </c>
      <c r="BI84" s="92">
        <v>36</v>
      </c>
      <c r="BJ84" s="92">
        <v>275</v>
      </c>
      <c r="BK84" s="7" t="s">
        <v>72</v>
      </c>
      <c r="BL84" s="92" t="s">
        <v>1</v>
      </c>
      <c r="BM84" s="92" t="s">
        <v>1</v>
      </c>
      <c r="BN84" s="92" t="s">
        <v>1</v>
      </c>
      <c r="BO84" s="92" t="s">
        <v>1</v>
      </c>
      <c r="BP84" s="92" t="s">
        <v>1</v>
      </c>
      <c r="BQ84" s="92" t="s">
        <v>1</v>
      </c>
      <c r="BR84" s="92" t="s">
        <v>1</v>
      </c>
      <c r="BS84" s="92" t="s">
        <v>1</v>
      </c>
      <c r="BT84" s="92" t="s">
        <v>1</v>
      </c>
      <c r="BU84" s="92" t="s">
        <v>1</v>
      </c>
      <c r="BV84" s="92" t="s">
        <v>1</v>
      </c>
    </row>
    <row r="85" ht="25" customHeight="1" spans="1:74">
      <c r="A85" s="107">
        <v>45188</v>
      </c>
      <c r="B85" s="32" t="s">
        <v>1</v>
      </c>
      <c r="C85" s="32" t="s">
        <v>1</v>
      </c>
      <c r="D85" s="30" t="s">
        <v>1</v>
      </c>
      <c r="E85" s="30" t="s">
        <v>1</v>
      </c>
      <c r="F85" s="92" t="str">
        <f t="shared" si="2"/>
        <v/>
      </c>
      <c r="G85" s="92" t="s">
        <v>1</v>
      </c>
      <c r="H85" s="92" t="s">
        <v>1</v>
      </c>
      <c r="I85" s="92" t="s">
        <v>1</v>
      </c>
      <c r="J85" s="92" t="s">
        <v>1</v>
      </c>
      <c r="K85" s="92" t="s">
        <v>1</v>
      </c>
      <c r="L85" s="108">
        <v>0</v>
      </c>
      <c r="M85" s="92" t="s">
        <v>72</v>
      </c>
      <c r="N85" s="110" t="e">
        <f t="shared" si="3"/>
        <v>#VALUE!</v>
      </c>
      <c r="O85" s="32" t="s">
        <v>1</v>
      </c>
      <c r="P85" s="92" t="s">
        <v>1</v>
      </c>
      <c r="Q85" s="92" t="s">
        <v>1</v>
      </c>
      <c r="R85" s="92" t="s">
        <v>1</v>
      </c>
      <c r="S85" s="92" t="s">
        <v>1</v>
      </c>
      <c r="T85" s="92" t="s">
        <v>1</v>
      </c>
      <c r="U85" s="92" t="s">
        <v>1</v>
      </c>
      <c r="V85" s="7" t="s">
        <v>72</v>
      </c>
      <c r="W85" s="92" t="s">
        <v>1</v>
      </c>
      <c r="X85" s="7" t="s">
        <v>72</v>
      </c>
      <c r="Y85" s="92" t="s">
        <v>1</v>
      </c>
      <c r="Z85" s="7" t="s">
        <v>72</v>
      </c>
      <c r="AA85" s="92" t="s">
        <v>1</v>
      </c>
      <c r="AB85" s="7" t="s">
        <v>72</v>
      </c>
      <c r="AC85" s="92" t="s">
        <v>1</v>
      </c>
      <c r="AD85" s="92" t="s">
        <v>1</v>
      </c>
      <c r="AE85" s="92" t="s">
        <v>1</v>
      </c>
      <c r="AF85" s="7" t="s">
        <v>72</v>
      </c>
      <c r="AG85" s="92">
        <v>726</v>
      </c>
      <c r="AH85" s="7" t="s">
        <v>72</v>
      </c>
      <c r="AI85" s="92">
        <v>244</v>
      </c>
      <c r="AJ85" s="7" t="s">
        <v>72</v>
      </c>
      <c r="AK85" s="92">
        <v>3</v>
      </c>
      <c r="AL85" s="7" t="s">
        <v>72</v>
      </c>
      <c r="AM85" s="125">
        <v>1415</v>
      </c>
      <c r="AN85" s="7" t="s">
        <v>72</v>
      </c>
      <c r="AO85" s="92">
        <v>108</v>
      </c>
      <c r="AP85" s="7" t="s">
        <v>72</v>
      </c>
      <c r="AQ85" s="92">
        <v>41</v>
      </c>
      <c r="AR85" s="7" t="s">
        <v>72</v>
      </c>
      <c r="AS85" s="92" t="s">
        <v>1</v>
      </c>
      <c r="AT85" s="92" t="s">
        <v>1</v>
      </c>
      <c r="AU85" s="92">
        <v>14</v>
      </c>
      <c r="AV85" s="92" t="s">
        <v>1</v>
      </c>
      <c r="AW85" s="92" t="s">
        <v>1</v>
      </c>
      <c r="AX85" s="92" t="s">
        <v>1</v>
      </c>
      <c r="AY85" s="92">
        <v>5</v>
      </c>
      <c r="AZ85" s="92" t="s">
        <v>1</v>
      </c>
      <c r="BA85" s="92" t="s">
        <v>1</v>
      </c>
      <c r="BB85" s="92" t="s">
        <v>1</v>
      </c>
      <c r="BC85" s="92" t="s">
        <v>1</v>
      </c>
      <c r="BD85" s="92" t="s">
        <v>1</v>
      </c>
      <c r="BE85" s="92" t="s">
        <v>1</v>
      </c>
      <c r="BF85" s="92" t="s">
        <v>1</v>
      </c>
      <c r="BG85" s="108" t="s">
        <v>1</v>
      </c>
      <c r="BH85" s="92" t="s">
        <v>94</v>
      </c>
      <c r="BI85" s="92">
        <v>42</v>
      </c>
      <c r="BJ85" s="92">
        <v>225</v>
      </c>
      <c r="BK85" s="7" t="s">
        <v>72</v>
      </c>
      <c r="BL85" s="92" t="s">
        <v>1</v>
      </c>
      <c r="BM85" s="92" t="s">
        <v>1</v>
      </c>
      <c r="BN85" s="92" t="s">
        <v>1</v>
      </c>
      <c r="BO85" s="92" t="s">
        <v>1</v>
      </c>
      <c r="BP85" s="92" t="s">
        <v>1</v>
      </c>
      <c r="BQ85" s="92" t="s">
        <v>1</v>
      </c>
      <c r="BR85" s="92" t="s">
        <v>1</v>
      </c>
      <c r="BS85" s="92" t="s">
        <v>1</v>
      </c>
      <c r="BT85" s="92" t="s">
        <v>1</v>
      </c>
      <c r="BU85" s="92" t="s">
        <v>1</v>
      </c>
      <c r="BV85" s="92" t="s">
        <v>1</v>
      </c>
    </row>
    <row r="86" ht="25" customHeight="1" spans="1:74">
      <c r="A86" s="107">
        <v>45189</v>
      </c>
      <c r="B86" s="32" t="s">
        <v>1</v>
      </c>
      <c r="C86" s="32" t="s">
        <v>253</v>
      </c>
      <c r="D86" s="30" t="s">
        <v>1</v>
      </c>
      <c r="E86" s="30" t="s">
        <v>1</v>
      </c>
      <c r="F86" s="92" t="str">
        <f t="shared" si="2"/>
        <v/>
      </c>
      <c r="G86" s="92" t="s">
        <v>1</v>
      </c>
      <c r="H86" s="92" t="s">
        <v>1</v>
      </c>
      <c r="I86" s="92" t="s">
        <v>1</v>
      </c>
      <c r="J86" s="92" t="s">
        <v>1</v>
      </c>
      <c r="K86" s="92" t="s">
        <v>1</v>
      </c>
      <c r="L86" s="108">
        <v>8099</v>
      </c>
      <c r="M86" s="92" t="s">
        <v>72</v>
      </c>
      <c r="N86" s="110" t="e">
        <f t="shared" si="3"/>
        <v>#VALUE!</v>
      </c>
      <c r="O86" s="32" t="s">
        <v>1</v>
      </c>
      <c r="P86" s="92" t="s">
        <v>1</v>
      </c>
      <c r="Q86" s="92" t="s">
        <v>1</v>
      </c>
      <c r="R86" s="92" t="s">
        <v>1</v>
      </c>
      <c r="S86" s="92" t="s">
        <v>1</v>
      </c>
      <c r="T86" s="92" t="s">
        <v>1</v>
      </c>
      <c r="U86" s="92" t="s">
        <v>1</v>
      </c>
      <c r="V86" s="7" t="s">
        <v>72</v>
      </c>
      <c r="W86" s="92" t="s">
        <v>1</v>
      </c>
      <c r="X86" s="7" t="s">
        <v>72</v>
      </c>
      <c r="Y86" s="92" t="s">
        <v>1</v>
      </c>
      <c r="Z86" s="7" t="s">
        <v>72</v>
      </c>
      <c r="AA86" s="92" t="s">
        <v>1</v>
      </c>
      <c r="AB86" s="7" t="s">
        <v>72</v>
      </c>
      <c r="AC86" s="92" t="s">
        <v>1</v>
      </c>
      <c r="AD86" s="92" t="s">
        <v>1</v>
      </c>
      <c r="AE86" s="92" t="s">
        <v>1</v>
      </c>
      <c r="AF86" s="7" t="s">
        <v>72</v>
      </c>
      <c r="AG86" s="92">
        <v>719</v>
      </c>
      <c r="AH86" s="92" t="s">
        <v>72</v>
      </c>
      <c r="AI86" s="92">
        <v>255</v>
      </c>
      <c r="AJ86" s="92" t="s">
        <v>72</v>
      </c>
      <c r="AK86" s="92">
        <v>2</v>
      </c>
      <c r="AL86" s="92" t="s">
        <v>72</v>
      </c>
      <c r="AM86" s="92">
        <v>1501</v>
      </c>
      <c r="AN86" s="92" t="s">
        <v>72</v>
      </c>
      <c r="AO86" s="92">
        <v>159</v>
      </c>
      <c r="AP86" s="92" t="s">
        <v>72</v>
      </c>
      <c r="AQ86" s="92">
        <v>45</v>
      </c>
      <c r="AR86" s="7" t="s">
        <v>72</v>
      </c>
      <c r="AS86" s="92" t="s">
        <v>1</v>
      </c>
      <c r="AT86" s="92" t="s">
        <v>1</v>
      </c>
      <c r="AU86" s="92">
        <v>24</v>
      </c>
      <c r="AV86" s="92" t="s">
        <v>1</v>
      </c>
      <c r="AW86" s="92" t="s">
        <v>1</v>
      </c>
      <c r="AX86" s="92" t="s">
        <v>1</v>
      </c>
      <c r="AY86" s="92">
        <v>1</v>
      </c>
      <c r="AZ86" s="92" t="s">
        <v>1</v>
      </c>
      <c r="BA86" s="92" t="s">
        <v>1</v>
      </c>
      <c r="BB86" s="92" t="s">
        <v>1</v>
      </c>
      <c r="BC86" s="92" t="s">
        <v>1</v>
      </c>
      <c r="BD86" s="92" t="s">
        <v>1</v>
      </c>
      <c r="BE86" s="92" t="s">
        <v>1</v>
      </c>
      <c r="BF86" s="92" t="s">
        <v>1</v>
      </c>
      <c r="BG86" s="108" t="s">
        <v>1</v>
      </c>
      <c r="BH86" s="92" t="s">
        <v>94</v>
      </c>
      <c r="BI86" s="92">
        <v>43</v>
      </c>
      <c r="BJ86" s="92">
        <v>191</v>
      </c>
      <c r="BK86" s="7" t="s">
        <v>72</v>
      </c>
      <c r="BL86" s="92" t="s">
        <v>1</v>
      </c>
      <c r="BM86" s="92" t="s">
        <v>1</v>
      </c>
      <c r="BN86" s="92" t="s">
        <v>1</v>
      </c>
      <c r="BO86" s="92" t="s">
        <v>1</v>
      </c>
      <c r="BP86" s="92" t="s">
        <v>1</v>
      </c>
      <c r="BQ86" s="92" t="s">
        <v>1</v>
      </c>
      <c r="BR86" s="92" t="s">
        <v>1</v>
      </c>
      <c r="BS86" s="92" t="s">
        <v>1</v>
      </c>
      <c r="BT86" s="92" t="s">
        <v>1</v>
      </c>
      <c r="BU86" s="92" t="s">
        <v>1</v>
      </c>
      <c r="BV86" s="92" t="s">
        <v>1</v>
      </c>
    </row>
    <row r="87" ht="25" customHeight="1" spans="1:74">
      <c r="A87" s="107">
        <v>45190</v>
      </c>
      <c r="B87" s="32" t="s">
        <v>1</v>
      </c>
      <c r="C87" s="32" t="s">
        <v>125</v>
      </c>
      <c r="D87" s="30" t="s">
        <v>1</v>
      </c>
      <c r="E87" s="30" t="s">
        <v>1</v>
      </c>
      <c r="F87" s="92" t="str">
        <f t="shared" si="2"/>
        <v/>
      </c>
      <c r="G87" s="92" t="s">
        <v>1</v>
      </c>
      <c r="H87" s="92" t="s">
        <v>1</v>
      </c>
      <c r="I87" s="92" t="s">
        <v>1</v>
      </c>
      <c r="J87" s="92" t="s">
        <v>1</v>
      </c>
      <c r="K87" s="92" t="s">
        <v>1</v>
      </c>
      <c r="L87" s="108">
        <v>0</v>
      </c>
      <c r="M87" s="92" t="s">
        <v>72</v>
      </c>
      <c r="N87" s="110" t="e">
        <f t="shared" si="3"/>
        <v>#VALUE!</v>
      </c>
      <c r="O87" s="32" t="s">
        <v>1</v>
      </c>
      <c r="P87" s="92" t="s">
        <v>1</v>
      </c>
      <c r="Q87" s="92" t="s">
        <v>1</v>
      </c>
      <c r="R87" s="92" t="s">
        <v>1</v>
      </c>
      <c r="S87" s="92" t="s">
        <v>1</v>
      </c>
      <c r="T87" s="92" t="s">
        <v>1</v>
      </c>
      <c r="U87" s="92" t="s">
        <v>1</v>
      </c>
      <c r="V87" s="7" t="s">
        <v>72</v>
      </c>
      <c r="W87" s="92" t="s">
        <v>1</v>
      </c>
      <c r="X87" s="7" t="s">
        <v>72</v>
      </c>
      <c r="Y87" s="92" t="s">
        <v>1</v>
      </c>
      <c r="Z87" s="7" t="s">
        <v>72</v>
      </c>
      <c r="AA87" s="92" t="s">
        <v>1</v>
      </c>
      <c r="AB87" s="7" t="s">
        <v>72</v>
      </c>
      <c r="AC87" s="92" t="s">
        <v>1</v>
      </c>
      <c r="AD87" s="92" t="s">
        <v>1</v>
      </c>
      <c r="AE87" s="92" t="s">
        <v>1</v>
      </c>
      <c r="AF87" s="7" t="s">
        <v>72</v>
      </c>
      <c r="AG87" s="92">
        <v>710</v>
      </c>
      <c r="AH87" s="92" t="s">
        <v>72</v>
      </c>
      <c r="AI87" s="92">
        <v>229</v>
      </c>
      <c r="AJ87" s="92" t="s">
        <v>72</v>
      </c>
      <c r="AK87" s="92">
        <v>8</v>
      </c>
      <c r="AL87" s="92" t="s">
        <v>72</v>
      </c>
      <c r="AM87" s="92">
        <v>1505</v>
      </c>
      <c r="AN87" s="92" t="s">
        <v>72</v>
      </c>
      <c r="AO87" s="92">
        <v>137</v>
      </c>
      <c r="AP87" s="92" t="s">
        <v>72</v>
      </c>
      <c r="AQ87" s="92">
        <v>44</v>
      </c>
      <c r="AR87" s="7" t="s">
        <v>72</v>
      </c>
      <c r="AS87" s="92" t="s">
        <v>1</v>
      </c>
      <c r="AT87" s="92" t="s">
        <v>1</v>
      </c>
      <c r="AU87" s="92">
        <v>18</v>
      </c>
      <c r="AV87" s="92" t="s">
        <v>1</v>
      </c>
      <c r="AW87" s="92" t="s">
        <v>1</v>
      </c>
      <c r="AX87" s="92" t="s">
        <v>1</v>
      </c>
      <c r="AY87" s="92">
        <v>1</v>
      </c>
      <c r="AZ87" s="92" t="s">
        <v>1</v>
      </c>
      <c r="BA87" s="92" t="s">
        <v>1</v>
      </c>
      <c r="BB87" s="92" t="s">
        <v>1</v>
      </c>
      <c r="BC87" s="92" t="s">
        <v>1</v>
      </c>
      <c r="BD87" s="92" t="s">
        <v>1</v>
      </c>
      <c r="BE87" s="92" t="s">
        <v>1</v>
      </c>
      <c r="BF87" s="92" t="s">
        <v>1</v>
      </c>
      <c r="BG87" s="108" t="s">
        <v>1</v>
      </c>
      <c r="BH87" s="92" t="s">
        <v>73</v>
      </c>
      <c r="BI87" s="92">
        <v>58</v>
      </c>
      <c r="BJ87" s="92">
        <v>180</v>
      </c>
      <c r="BK87" s="7" t="s">
        <v>72</v>
      </c>
      <c r="BL87" s="92" t="s">
        <v>1</v>
      </c>
      <c r="BM87" s="92" t="s">
        <v>1</v>
      </c>
      <c r="BN87" s="92" t="s">
        <v>1</v>
      </c>
      <c r="BO87" s="92" t="s">
        <v>1</v>
      </c>
      <c r="BP87" s="92" t="s">
        <v>1</v>
      </c>
      <c r="BQ87" s="92" t="s">
        <v>1</v>
      </c>
      <c r="BR87" s="92" t="s">
        <v>1</v>
      </c>
      <c r="BS87" s="92" t="s">
        <v>1</v>
      </c>
      <c r="BT87" s="92" t="s">
        <v>1</v>
      </c>
      <c r="BU87" s="92" t="s">
        <v>1</v>
      </c>
      <c r="BV87" s="92" t="s">
        <v>1</v>
      </c>
    </row>
    <row r="88" ht="25" customHeight="1" spans="1:74">
      <c r="A88" s="107">
        <v>45191</v>
      </c>
      <c r="B88" s="32" t="s">
        <v>1</v>
      </c>
      <c r="C88" s="32" t="s">
        <v>75</v>
      </c>
      <c r="D88" s="30" t="s">
        <v>1</v>
      </c>
      <c r="E88" s="30" t="s">
        <v>1</v>
      </c>
      <c r="F88" s="92" t="str">
        <f t="shared" si="2"/>
        <v/>
      </c>
      <c r="G88" s="92" t="s">
        <v>1</v>
      </c>
      <c r="H88" s="92" t="s">
        <v>1</v>
      </c>
      <c r="I88" s="92" t="s">
        <v>1</v>
      </c>
      <c r="J88" s="92" t="s">
        <v>1</v>
      </c>
      <c r="K88" s="92" t="s">
        <v>1</v>
      </c>
      <c r="L88" s="92">
        <v>0</v>
      </c>
      <c r="M88" s="92" t="s">
        <v>72</v>
      </c>
      <c r="N88" s="110" t="e">
        <f t="shared" si="3"/>
        <v>#VALUE!</v>
      </c>
      <c r="O88" s="32" t="s">
        <v>1</v>
      </c>
      <c r="P88" s="92" t="s">
        <v>1</v>
      </c>
      <c r="Q88" s="92" t="s">
        <v>1</v>
      </c>
      <c r="R88" s="92" t="s">
        <v>1</v>
      </c>
      <c r="S88" s="92" t="s">
        <v>1</v>
      </c>
      <c r="T88" s="92" t="s">
        <v>1</v>
      </c>
      <c r="U88" s="92" t="s">
        <v>1</v>
      </c>
      <c r="V88" s="7" t="s">
        <v>72</v>
      </c>
      <c r="W88" s="92" t="s">
        <v>1</v>
      </c>
      <c r="X88" s="7" t="s">
        <v>72</v>
      </c>
      <c r="Y88" s="92" t="s">
        <v>1</v>
      </c>
      <c r="Z88" s="7" t="s">
        <v>72</v>
      </c>
      <c r="AA88" s="92" t="s">
        <v>1</v>
      </c>
      <c r="AB88" s="7" t="s">
        <v>72</v>
      </c>
      <c r="AC88" s="92" t="s">
        <v>1</v>
      </c>
      <c r="AD88" s="92" t="s">
        <v>1</v>
      </c>
      <c r="AE88" s="92" t="s">
        <v>1</v>
      </c>
      <c r="AF88" s="7" t="s">
        <v>72</v>
      </c>
      <c r="AG88" s="92">
        <v>624</v>
      </c>
      <c r="AH88" s="92" t="s">
        <v>72</v>
      </c>
      <c r="AI88" s="92">
        <v>203</v>
      </c>
      <c r="AJ88" s="92" t="s">
        <v>72</v>
      </c>
      <c r="AK88" s="92">
        <v>5</v>
      </c>
      <c r="AL88" s="92" t="s">
        <v>72</v>
      </c>
      <c r="AM88" s="92">
        <v>1448</v>
      </c>
      <c r="AN88" s="92" t="s">
        <v>72</v>
      </c>
      <c r="AO88" s="92">
        <v>107</v>
      </c>
      <c r="AP88" s="92" t="s">
        <v>72</v>
      </c>
      <c r="AQ88" s="92">
        <v>34</v>
      </c>
      <c r="AR88" s="7" t="s">
        <v>72</v>
      </c>
      <c r="AS88" s="92" t="s">
        <v>1</v>
      </c>
      <c r="AT88" s="92" t="s">
        <v>1</v>
      </c>
      <c r="AU88" s="92">
        <v>20</v>
      </c>
      <c r="AV88" s="92" t="s">
        <v>1</v>
      </c>
      <c r="AW88" s="92" t="s">
        <v>1</v>
      </c>
      <c r="AX88" s="92" t="s">
        <v>1</v>
      </c>
      <c r="AY88" s="92">
        <v>0</v>
      </c>
      <c r="AZ88" s="92" t="s">
        <v>1</v>
      </c>
      <c r="BA88" s="92" t="s">
        <v>1</v>
      </c>
      <c r="BB88" s="92" t="s">
        <v>1</v>
      </c>
      <c r="BC88" s="92" t="s">
        <v>1</v>
      </c>
      <c r="BD88" s="92" t="s">
        <v>1</v>
      </c>
      <c r="BE88" s="92" t="s">
        <v>1</v>
      </c>
      <c r="BF88" s="92" t="s">
        <v>1</v>
      </c>
      <c r="BG88" s="108" t="s">
        <v>1</v>
      </c>
      <c r="BH88" s="92" t="s">
        <v>73</v>
      </c>
      <c r="BI88" s="92">
        <v>67</v>
      </c>
      <c r="BJ88" s="92">
        <v>138</v>
      </c>
      <c r="BK88" s="7" t="s">
        <v>72</v>
      </c>
      <c r="BL88" s="92" t="s">
        <v>1</v>
      </c>
      <c r="BM88" s="92" t="s">
        <v>1</v>
      </c>
      <c r="BN88" s="92" t="s">
        <v>1</v>
      </c>
      <c r="BO88" s="92" t="s">
        <v>1</v>
      </c>
      <c r="BP88" s="92" t="s">
        <v>1</v>
      </c>
      <c r="BQ88" s="92" t="s">
        <v>1</v>
      </c>
      <c r="BR88" s="92" t="s">
        <v>1</v>
      </c>
      <c r="BS88" s="92" t="s">
        <v>1</v>
      </c>
      <c r="BT88" s="92" t="s">
        <v>1</v>
      </c>
      <c r="BU88" s="92" t="s">
        <v>1</v>
      </c>
      <c r="BV88" s="92" t="s">
        <v>1</v>
      </c>
    </row>
    <row r="89" ht="25" customHeight="1" spans="1:74">
      <c r="A89" s="107">
        <v>45192</v>
      </c>
      <c r="B89" s="32" t="s">
        <v>1</v>
      </c>
      <c r="C89" s="32" t="s">
        <v>1</v>
      </c>
      <c r="D89" s="30" t="s">
        <v>1</v>
      </c>
      <c r="E89" s="30" t="s">
        <v>1</v>
      </c>
      <c r="F89" s="92" t="str">
        <f t="shared" si="2"/>
        <v/>
      </c>
      <c r="G89" s="92" t="s">
        <v>1</v>
      </c>
      <c r="H89" s="92" t="s">
        <v>1</v>
      </c>
      <c r="I89" s="92" t="s">
        <v>1</v>
      </c>
      <c r="J89" s="92" t="s">
        <v>1</v>
      </c>
      <c r="K89" s="92" t="s">
        <v>1</v>
      </c>
      <c r="L89" s="92">
        <v>98</v>
      </c>
      <c r="M89" s="92" t="s">
        <v>72</v>
      </c>
      <c r="N89" s="110" t="e">
        <f t="shared" si="3"/>
        <v>#VALUE!</v>
      </c>
      <c r="O89" s="32" t="s">
        <v>1</v>
      </c>
      <c r="P89" s="92" t="s">
        <v>1</v>
      </c>
      <c r="Q89" s="92" t="s">
        <v>1</v>
      </c>
      <c r="R89" s="92" t="s">
        <v>1</v>
      </c>
      <c r="S89" s="92" t="s">
        <v>1</v>
      </c>
      <c r="T89" s="92" t="s">
        <v>1</v>
      </c>
      <c r="U89" s="92" t="s">
        <v>1</v>
      </c>
      <c r="V89" s="7" t="s">
        <v>72</v>
      </c>
      <c r="W89" s="92" t="s">
        <v>1</v>
      </c>
      <c r="X89" s="7" t="s">
        <v>72</v>
      </c>
      <c r="Y89" s="92" t="s">
        <v>1</v>
      </c>
      <c r="Z89" s="7" t="s">
        <v>72</v>
      </c>
      <c r="AA89" s="92" t="s">
        <v>1</v>
      </c>
      <c r="AB89" s="7" t="s">
        <v>72</v>
      </c>
      <c r="AC89" s="92" t="s">
        <v>1</v>
      </c>
      <c r="AD89" s="92" t="s">
        <v>1</v>
      </c>
      <c r="AE89" s="92" t="s">
        <v>1</v>
      </c>
      <c r="AF89" s="7" t="s">
        <v>72</v>
      </c>
      <c r="AG89" s="92">
        <v>659</v>
      </c>
      <c r="AH89" s="92" t="s">
        <v>72</v>
      </c>
      <c r="AI89" s="92">
        <v>202</v>
      </c>
      <c r="AJ89" s="92" t="s">
        <v>72</v>
      </c>
      <c r="AK89" s="92">
        <v>3</v>
      </c>
      <c r="AL89" s="92" t="s">
        <v>72</v>
      </c>
      <c r="AM89" s="92">
        <v>1449</v>
      </c>
      <c r="AN89" s="92" t="s">
        <v>72</v>
      </c>
      <c r="AO89" s="92">
        <v>135</v>
      </c>
      <c r="AP89" s="92" t="s">
        <v>72</v>
      </c>
      <c r="AQ89" s="92">
        <v>35</v>
      </c>
      <c r="AR89" s="7" t="s">
        <v>72</v>
      </c>
      <c r="AS89" s="92" t="s">
        <v>1</v>
      </c>
      <c r="AT89" s="92" t="s">
        <v>1</v>
      </c>
      <c r="AU89" s="92">
        <v>19</v>
      </c>
      <c r="AV89" s="92" t="s">
        <v>1</v>
      </c>
      <c r="AW89" s="92" t="s">
        <v>1</v>
      </c>
      <c r="AX89" s="92" t="s">
        <v>1</v>
      </c>
      <c r="AY89" s="92">
        <v>0</v>
      </c>
      <c r="AZ89" s="92" t="s">
        <v>1</v>
      </c>
      <c r="BA89" s="92" t="s">
        <v>1</v>
      </c>
      <c r="BB89" s="92" t="s">
        <v>1</v>
      </c>
      <c r="BC89" s="92" t="s">
        <v>1</v>
      </c>
      <c r="BD89" s="92" t="s">
        <v>1</v>
      </c>
      <c r="BE89" s="92" t="s">
        <v>1</v>
      </c>
      <c r="BF89" s="92" t="s">
        <v>1</v>
      </c>
      <c r="BG89" s="108" t="s">
        <v>1</v>
      </c>
      <c r="BH89" s="92" t="s">
        <v>73</v>
      </c>
      <c r="BI89" s="92">
        <v>77</v>
      </c>
      <c r="BJ89" s="92">
        <v>153</v>
      </c>
      <c r="BK89" s="7" t="s">
        <v>72</v>
      </c>
      <c r="BL89" s="92" t="s">
        <v>1</v>
      </c>
      <c r="BM89" s="92" t="s">
        <v>1</v>
      </c>
      <c r="BN89" s="92" t="s">
        <v>1</v>
      </c>
      <c r="BO89" s="92" t="s">
        <v>1</v>
      </c>
      <c r="BP89" s="92" t="s">
        <v>1</v>
      </c>
      <c r="BQ89" s="92" t="s">
        <v>1</v>
      </c>
      <c r="BR89" s="92" t="s">
        <v>1</v>
      </c>
      <c r="BS89" s="92" t="s">
        <v>1</v>
      </c>
      <c r="BT89" s="92" t="s">
        <v>1</v>
      </c>
      <c r="BU89" s="92" t="s">
        <v>1</v>
      </c>
      <c r="BV89" s="92" t="s">
        <v>1</v>
      </c>
    </row>
    <row r="90" ht="25" customHeight="1" spans="1:74">
      <c r="A90" s="107">
        <v>45193</v>
      </c>
      <c r="B90" s="32" t="s">
        <v>1</v>
      </c>
      <c r="C90" s="32" t="s">
        <v>253</v>
      </c>
      <c r="D90" s="30" t="s">
        <v>1</v>
      </c>
      <c r="E90" s="30" t="s">
        <v>1</v>
      </c>
      <c r="F90" s="92" t="str">
        <f t="shared" si="2"/>
        <v/>
      </c>
      <c r="G90" s="92" t="s">
        <v>1</v>
      </c>
      <c r="H90" s="92" t="s">
        <v>1</v>
      </c>
      <c r="I90" s="92" t="s">
        <v>1</v>
      </c>
      <c r="J90" s="92" t="s">
        <v>1</v>
      </c>
      <c r="K90" s="92" t="s">
        <v>1</v>
      </c>
      <c r="L90" s="92">
        <v>0</v>
      </c>
      <c r="M90" s="92" t="s">
        <v>72</v>
      </c>
      <c r="N90" s="110" t="e">
        <f t="shared" si="3"/>
        <v>#VALUE!</v>
      </c>
      <c r="O90" s="32" t="s">
        <v>1</v>
      </c>
      <c r="P90" s="92" t="s">
        <v>1</v>
      </c>
      <c r="Q90" s="92" t="s">
        <v>1</v>
      </c>
      <c r="R90" s="92" t="s">
        <v>1</v>
      </c>
      <c r="S90" s="92" t="s">
        <v>1</v>
      </c>
      <c r="T90" s="92" t="s">
        <v>1</v>
      </c>
      <c r="U90" s="92" t="s">
        <v>1</v>
      </c>
      <c r="V90" s="7" t="s">
        <v>72</v>
      </c>
      <c r="W90" s="92" t="s">
        <v>1</v>
      </c>
      <c r="X90" s="7" t="s">
        <v>72</v>
      </c>
      <c r="Y90" s="92" t="s">
        <v>1</v>
      </c>
      <c r="Z90" s="7" t="s">
        <v>72</v>
      </c>
      <c r="AA90" s="92" t="s">
        <v>1</v>
      </c>
      <c r="AB90" s="7" t="s">
        <v>72</v>
      </c>
      <c r="AC90" s="92" t="s">
        <v>1</v>
      </c>
      <c r="AD90" s="92" t="s">
        <v>1</v>
      </c>
      <c r="AE90" s="92" t="s">
        <v>1</v>
      </c>
      <c r="AF90" s="7" t="s">
        <v>72</v>
      </c>
      <c r="AG90" s="92">
        <v>641</v>
      </c>
      <c r="AH90" s="92" t="s">
        <v>72</v>
      </c>
      <c r="AI90" s="92">
        <v>195</v>
      </c>
      <c r="AJ90" s="92" t="s">
        <v>72</v>
      </c>
      <c r="AK90" s="92">
        <v>8</v>
      </c>
      <c r="AL90" s="92" t="s">
        <v>72</v>
      </c>
      <c r="AM90" s="92">
        <v>1657</v>
      </c>
      <c r="AN90" s="92" t="s">
        <v>72</v>
      </c>
      <c r="AO90" s="92">
        <v>132</v>
      </c>
      <c r="AP90" s="92" t="s">
        <v>72</v>
      </c>
      <c r="AQ90" s="92">
        <v>40</v>
      </c>
      <c r="AR90" s="7" t="s">
        <v>72</v>
      </c>
      <c r="AS90" s="92" t="s">
        <v>1</v>
      </c>
      <c r="AT90" s="92" t="s">
        <v>1</v>
      </c>
      <c r="AU90" s="92">
        <v>18</v>
      </c>
      <c r="AV90" s="92" t="s">
        <v>1</v>
      </c>
      <c r="AW90" s="92" t="s">
        <v>1</v>
      </c>
      <c r="AX90" s="92" t="s">
        <v>1</v>
      </c>
      <c r="AY90" s="92">
        <v>1</v>
      </c>
      <c r="AZ90" s="92" t="s">
        <v>1</v>
      </c>
      <c r="BA90" s="92" t="s">
        <v>1</v>
      </c>
      <c r="BB90" s="92" t="s">
        <v>1</v>
      </c>
      <c r="BC90" s="92" t="s">
        <v>1</v>
      </c>
      <c r="BD90" s="92" t="s">
        <v>1</v>
      </c>
      <c r="BE90" s="92" t="s">
        <v>1</v>
      </c>
      <c r="BF90" s="92" t="s">
        <v>1</v>
      </c>
      <c r="BG90" s="108" t="s">
        <v>1</v>
      </c>
      <c r="BH90" s="92" t="s">
        <v>73</v>
      </c>
      <c r="BI90" s="92">
        <v>84</v>
      </c>
      <c r="BJ90" s="92">
        <v>142</v>
      </c>
      <c r="BK90" s="7" t="s">
        <v>72</v>
      </c>
      <c r="BL90" s="92" t="s">
        <v>1</v>
      </c>
      <c r="BM90" s="92" t="s">
        <v>1</v>
      </c>
      <c r="BN90" s="92" t="s">
        <v>1</v>
      </c>
      <c r="BO90" s="92" t="s">
        <v>1</v>
      </c>
      <c r="BP90" s="92" t="s">
        <v>1</v>
      </c>
      <c r="BQ90" s="92" t="s">
        <v>1</v>
      </c>
      <c r="BR90" s="92" t="s">
        <v>1</v>
      </c>
      <c r="BS90" s="92" t="s">
        <v>1</v>
      </c>
      <c r="BT90" s="92" t="s">
        <v>1</v>
      </c>
      <c r="BU90" s="92" t="s">
        <v>1</v>
      </c>
      <c r="BV90" s="92" t="s">
        <v>1</v>
      </c>
    </row>
    <row r="91" ht="25" customHeight="1" spans="1:74">
      <c r="A91" s="107">
        <v>45194</v>
      </c>
      <c r="B91" s="32" t="s">
        <v>1</v>
      </c>
      <c r="C91" s="32" t="s">
        <v>125</v>
      </c>
      <c r="D91" s="30" t="s">
        <v>1</v>
      </c>
      <c r="E91" s="30" t="s">
        <v>1</v>
      </c>
      <c r="F91" s="92" t="str">
        <f t="shared" si="2"/>
        <v/>
      </c>
      <c r="G91" s="92" t="s">
        <v>1</v>
      </c>
      <c r="H91" s="92" t="s">
        <v>1</v>
      </c>
      <c r="I91" s="92" t="s">
        <v>1</v>
      </c>
      <c r="J91" s="92" t="s">
        <v>1</v>
      </c>
      <c r="K91" s="92" t="s">
        <v>1</v>
      </c>
      <c r="L91" s="92">
        <v>196</v>
      </c>
      <c r="M91" s="92" t="s">
        <v>72</v>
      </c>
      <c r="N91" s="110" t="e">
        <f t="shared" si="3"/>
        <v>#VALUE!</v>
      </c>
      <c r="O91" s="32" t="s">
        <v>1</v>
      </c>
      <c r="P91" s="92" t="s">
        <v>1</v>
      </c>
      <c r="Q91" s="92" t="s">
        <v>1</v>
      </c>
      <c r="R91" s="92" t="s">
        <v>1</v>
      </c>
      <c r="S91" s="92" t="s">
        <v>1</v>
      </c>
      <c r="T91" s="92" t="s">
        <v>1</v>
      </c>
      <c r="U91" s="92" t="s">
        <v>1</v>
      </c>
      <c r="V91" s="7" t="s">
        <v>72</v>
      </c>
      <c r="W91" s="92" t="s">
        <v>1</v>
      </c>
      <c r="X91" s="7" t="s">
        <v>72</v>
      </c>
      <c r="Y91" s="92" t="s">
        <v>1</v>
      </c>
      <c r="Z91" s="7" t="s">
        <v>72</v>
      </c>
      <c r="AA91" s="92" t="s">
        <v>1</v>
      </c>
      <c r="AB91" s="7" t="s">
        <v>72</v>
      </c>
      <c r="AC91" s="92" t="s">
        <v>1</v>
      </c>
      <c r="AD91" s="92" t="s">
        <v>1</v>
      </c>
      <c r="AE91" s="92" t="s">
        <v>1</v>
      </c>
      <c r="AF91" s="7" t="s">
        <v>72</v>
      </c>
      <c r="AG91" s="92">
        <v>918</v>
      </c>
      <c r="AH91" s="92" t="s">
        <v>72</v>
      </c>
      <c r="AI91" s="92">
        <v>193</v>
      </c>
      <c r="AJ91" s="92" t="s">
        <v>72</v>
      </c>
      <c r="AK91" s="92">
        <v>3</v>
      </c>
      <c r="AL91" s="92" t="s">
        <v>72</v>
      </c>
      <c r="AM91" s="92">
        <v>1406</v>
      </c>
      <c r="AN91" s="92" t="s">
        <v>72</v>
      </c>
      <c r="AO91" s="92">
        <v>152</v>
      </c>
      <c r="AP91" s="92" t="s">
        <v>72</v>
      </c>
      <c r="AQ91" s="92">
        <v>33</v>
      </c>
      <c r="AR91" s="7" t="s">
        <v>72</v>
      </c>
      <c r="AS91" s="92" t="s">
        <v>1</v>
      </c>
      <c r="AT91" s="92" t="s">
        <v>1</v>
      </c>
      <c r="AU91" s="92">
        <v>28</v>
      </c>
      <c r="AV91" s="92" t="s">
        <v>1</v>
      </c>
      <c r="AW91" s="92" t="s">
        <v>1</v>
      </c>
      <c r="AX91" s="92" t="s">
        <v>1</v>
      </c>
      <c r="AY91" s="92">
        <v>1</v>
      </c>
      <c r="AZ91" s="92" t="s">
        <v>1</v>
      </c>
      <c r="BA91" s="92" t="s">
        <v>1</v>
      </c>
      <c r="BB91" s="92" t="s">
        <v>1</v>
      </c>
      <c r="BC91" s="92" t="s">
        <v>1</v>
      </c>
      <c r="BD91" s="92" t="s">
        <v>1</v>
      </c>
      <c r="BE91" s="92" t="s">
        <v>1</v>
      </c>
      <c r="BF91" s="92" t="s">
        <v>1</v>
      </c>
      <c r="BG91" s="108" t="s">
        <v>1</v>
      </c>
      <c r="BH91" s="92" t="s">
        <v>73</v>
      </c>
      <c r="BI91" s="126">
        <v>69</v>
      </c>
      <c r="BJ91" s="126">
        <v>168</v>
      </c>
      <c r="BK91" s="7" t="s">
        <v>72</v>
      </c>
      <c r="BL91" s="92" t="s">
        <v>1</v>
      </c>
      <c r="BM91" s="92" t="s">
        <v>1</v>
      </c>
      <c r="BN91" s="92" t="s">
        <v>1</v>
      </c>
      <c r="BO91" s="92" t="s">
        <v>1</v>
      </c>
      <c r="BP91" s="92" t="s">
        <v>1</v>
      </c>
      <c r="BQ91" s="92" t="s">
        <v>1</v>
      </c>
      <c r="BR91" s="92" t="s">
        <v>1</v>
      </c>
      <c r="BS91" s="92" t="s">
        <v>1</v>
      </c>
      <c r="BT91" s="92" t="s">
        <v>1</v>
      </c>
      <c r="BU91" s="92" t="s">
        <v>1</v>
      </c>
      <c r="BV91" s="92" t="s">
        <v>1</v>
      </c>
    </row>
    <row r="92" ht="25" customHeight="1" spans="1:74">
      <c r="A92" s="107">
        <v>45195</v>
      </c>
      <c r="B92" s="32" t="s">
        <v>1</v>
      </c>
      <c r="C92" s="32" t="s">
        <v>125</v>
      </c>
      <c r="D92" s="30" t="s">
        <v>1</v>
      </c>
      <c r="E92" s="30" t="s">
        <v>1</v>
      </c>
      <c r="F92" s="92" t="str">
        <f t="shared" si="2"/>
        <v/>
      </c>
      <c r="G92" s="92" t="s">
        <v>1</v>
      </c>
      <c r="H92" s="92" t="s">
        <v>1</v>
      </c>
      <c r="I92" s="92" t="s">
        <v>1</v>
      </c>
      <c r="J92" s="92" t="s">
        <v>1</v>
      </c>
      <c r="K92" s="92" t="s">
        <v>1</v>
      </c>
      <c r="L92" s="92">
        <v>0</v>
      </c>
      <c r="M92" s="92" t="s">
        <v>72</v>
      </c>
      <c r="N92" s="110" t="e">
        <f t="shared" si="3"/>
        <v>#VALUE!</v>
      </c>
      <c r="O92" s="32" t="s">
        <v>1</v>
      </c>
      <c r="P92" s="92" t="s">
        <v>1</v>
      </c>
      <c r="Q92" s="92" t="s">
        <v>1</v>
      </c>
      <c r="R92" s="92" t="s">
        <v>1</v>
      </c>
      <c r="S92" s="92" t="s">
        <v>1</v>
      </c>
      <c r="T92" s="92" t="s">
        <v>1</v>
      </c>
      <c r="U92" s="92" t="s">
        <v>1</v>
      </c>
      <c r="V92" s="7" t="s">
        <v>72</v>
      </c>
      <c r="W92" s="92" t="s">
        <v>1</v>
      </c>
      <c r="X92" s="7" t="s">
        <v>72</v>
      </c>
      <c r="Y92" s="92" t="s">
        <v>1</v>
      </c>
      <c r="Z92" s="7" t="s">
        <v>72</v>
      </c>
      <c r="AA92" s="92" t="s">
        <v>1</v>
      </c>
      <c r="AB92" s="7" t="s">
        <v>72</v>
      </c>
      <c r="AC92" s="92" t="s">
        <v>1</v>
      </c>
      <c r="AD92" s="92" t="s">
        <v>1</v>
      </c>
      <c r="AE92" s="92" t="s">
        <v>1</v>
      </c>
      <c r="AF92" s="7" t="s">
        <v>72</v>
      </c>
      <c r="AG92" s="92">
        <v>1736</v>
      </c>
      <c r="AH92" s="92" t="s">
        <v>72</v>
      </c>
      <c r="AI92" s="92">
        <v>178</v>
      </c>
      <c r="AJ92" s="92" t="s">
        <v>72</v>
      </c>
      <c r="AK92" s="92">
        <v>6</v>
      </c>
      <c r="AL92" s="92" t="s">
        <v>72</v>
      </c>
      <c r="AM92" s="92">
        <v>30</v>
      </c>
      <c r="AN92" s="92" t="s">
        <v>72</v>
      </c>
      <c r="AO92" s="92">
        <v>92</v>
      </c>
      <c r="AP92" s="92" t="s">
        <v>72</v>
      </c>
      <c r="AQ92" s="92">
        <v>34</v>
      </c>
      <c r="AR92" s="7" t="s">
        <v>72</v>
      </c>
      <c r="AS92" s="92" t="s">
        <v>1</v>
      </c>
      <c r="AT92" s="92" t="s">
        <v>1</v>
      </c>
      <c r="AU92" s="92">
        <v>20</v>
      </c>
      <c r="AV92" s="92" t="s">
        <v>1</v>
      </c>
      <c r="AW92" s="92" t="s">
        <v>1</v>
      </c>
      <c r="AX92" s="92" t="s">
        <v>1</v>
      </c>
      <c r="AY92" s="92">
        <v>0</v>
      </c>
      <c r="AZ92" s="92" t="s">
        <v>1</v>
      </c>
      <c r="BA92" s="92" t="s">
        <v>1</v>
      </c>
      <c r="BB92" s="92" t="s">
        <v>1</v>
      </c>
      <c r="BC92" s="92" t="s">
        <v>1</v>
      </c>
      <c r="BD92" s="92" t="s">
        <v>1</v>
      </c>
      <c r="BE92" s="92" t="s">
        <v>1</v>
      </c>
      <c r="BF92" s="92" t="s">
        <v>1</v>
      </c>
      <c r="BG92" s="108" t="s">
        <v>1</v>
      </c>
      <c r="BH92" s="92" t="s">
        <v>73</v>
      </c>
      <c r="BI92" s="92">
        <v>104</v>
      </c>
      <c r="BJ92" s="92">
        <v>89</v>
      </c>
      <c r="BK92" s="7" t="s">
        <v>72</v>
      </c>
      <c r="BL92" s="92" t="s">
        <v>1</v>
      </c>
      <c r="BM92" s="92" t="s">
        <v>1</v>
      </c>
      <c r="BN92" s="92" t="s">
        <v>1</v>
      </c>
      <c r="BO92" s="92" t="s">
        <v>1</v>
      </c>
      <c r="BP92" s="92" t="s">
        <v>1</v>
      </c>
      <c r="BQ92" s="92" t="s">
        <v>1</v>
      </c>
      <c r="BR92" s="92" t="s">
        <v>1</v>
      </c>
      <c r="BS92" s="92" t="s">
        <v>1</v>
      </c>
      <c r="BT92" s="92" t="s">
        <v>1</v>
      </c>
      <c r="BU92" s="92" t="s">
        <v>1</v>
      </c>
      <c r="BV92" s="92" t="s">
        <v>1</v>
      </c>
    </row>
    <row r="93" ht="25" customHeight="1" spans="1:74">
      <c r="A93" s="107">
        <v>45196</v>
      </c>
      <c r="B93" s="32" t="s">
        <v>1</v>
      </c>
      <c r="C93" s="32" t="s">
        <v>125</v>
      </c>
      <c r="D93" s="30" t="s">
        <v>1</v>
      </c>
      <c r="E93" s="30" t="s">
        <v>1</v>
      </c>
      <c r="F93" s="92" t="str">
        <f t="shared" si="2"/>
        <v/>
      </c>
      <c r="G93" s="92" t="s">
        <v>1</v>
      </c>
      <c r="H93" s="92" t="s">
        <v>1</v>
      </c>
      <c r="I93" s="92" t="s">
        <v>1</v>
      </c>
      <c r="J93" s="92" t="s">
        <v>1</v>
      </c>
      <c r="K93" s="92" t="s">
        <v>1</v>
      </c>
      <c r="L93" s="73">
        <v>9799</v>
      </c>
      <c r="M93" s="73" t="s">
        <v>72</v>
      </c>
      <c r="N93" s="110" t="e">
        <f t="shared" si="3"/>
        <v>#VALUE!</v>
      </c>
      <c r="O93" s="32" t="s">
        <v>1</v>
      </c>
      <c r="P93" s="92" t="s">
        <v>1</v>
      </c>
      <c r="Q93" s="92" t="s">
        <v>1</v>
      </c>
      <c r="R93" s="92" t="s">
        <v>1</v>
      </c>
      <c r="S93" s="92" t="s">
        <v>1</v>
      </c>
      <c r="T93" s="92" t="s">
        <v>1</v>
      </c>
      <c r="U93" s="92" t="s">
        <v>1</v>
      </c>
      <c r="V93" s="7" t="s">
        <v>72</v>
      </c>
      <c r="W93" s="92" t="s">
        <v>1</v>
      </c>
      <c r="X93" s="7" t="s">
        <v>72</v>
      </c>
      <c r="Y93" s="92" t="s">
        <v>1</v>
      </c>
      <c r="Z93" s="7" t="s">
        <v>72</v>
      </c>
      <c r="AA93" s="92" t="s">
        <v>1</v>
      </c>
      <c r="AB93" s="7" t="s">
        <v>72</v>
      </c>
      <c r="AC93" s="92" t="s">
        <v>1</v>
      </c>
      <c r="AD93" s="92" t="s">
        <v>1</v>
      </c>
      <c r="AE93" s="92" t="s">
        <v>1</v>
      </c>
      <c r="AF93" s="7" t="s">
        <v>72</v>
      </c>
      <c r="AG93" s="92">
        <v>1687</v>
      </c>
      <c r="AH93" s="92" t="s">
        <v>72</v>
      </c>
      <c r="AI93" s="92">
        <v>188</v>
      </c>
      <c r="AJ93" s="92" t="s">
        <v>72</v>
      </c>
      <c r="AK93" s="92">
        <v>5</v>
      </c>
      <c r="AL93" s="92" t="s">
        <v>72</v>
      </c>
      <c r="AM93" s="92">
        <v>27</v>
      </c>
      <c r="AN93" s="92" t="s">
        <v>72</v>
      </c>
      <c r="AO93" s="92">
        <v>77</v>
      </c>
      <c r="AP93" s="92" t="s">
        <v>72</v>
      </c>
      <c r="AQ93" s="92">
        <v>26</v>
      </c>
      <c r="AR93" s="7" t="s">
        <v>72</v>
      </c>
      <c r="AS93" s="92" t="s">
        <v>1</v>
      </c>
      <c r="AT93" s="92" t="s">
        <v>1</v>
      </c>
      <c r="AU93" s="92">
        <v>24</v>
      </c>
      <c r="AV93" s="92" t="s">
        <v>1</v>
      </c>
      <c r="AW93" s="92" t="s">
        <v>1</v>
      </c>
      <c r="AX93" s="92" t="s">
        <v>1</v>
      </c>
      <c r="AY93" s="92">
        <v>1</v>
      </c>
      <c r="AZ93" s="92" t="s">
        <v>1</v>
      </c>
      <c r="BA93" s="92" t="s">
        <v>1</v>
      </c>
      <c r="BB93" s="92" t="s">
        <v>1</v>
      </c>
      <c r="BC93" s="92" t="s">
        <v>1</v>
      </c>
      <c r="BD93" s="92" t="s">
        <v>1</v>
      </c>
      <c r="BE93" s="92" t="s">
        <v>1</v>
      </c>
      <c r="BF93" s="92" t="s">
        <v>1</v>
      </c>
      <c r="BG93" s="108" t="s">
        <v>1</v>
      </c>
      <c r="BH93" s="92" t="s">
        <v>74</v>
      </c>
      <c r="BI93" s="92">
        <v>115</v>
      </c>
      <c r="BJ93" s="92">
        <v>98</v>
      </c>
      <c r="BK93" s="7" t="s">
        <v>72</v>
      </c>
      <c r="BL93" s="92" t="s">
        <v>1</v>
      </c>
      <c r="BM93" s="92" t="s">
        <v>1</v>
      </c>
      <c r="BN93" s="92" t="s">
        <v>1</v>
      </c>
      <c r="BO93" s="92" t="s">
        <v>1</v>
      </c>
      <c r="BP93" s="92" t="s">
        <v>1</v>
      </c>
      <c r="BQ93" s="92" t="s">
        <v>1</v>
      </c>
      <c r="BR93" s="92" t="s">
        <v>1</v>
      </c>
      <c r="BS93" s="92" t="s">
        <v>1</v>
      </c>
      <c r="BT93" s="92" t="s">
        <v>1</v>
      </c>
      <c r="BU93" s="92" t="s">
        <v>1</v>
      </c>
      <c r="BV93" s="92" t="s">
        <v>1</v>
      </c>
    </row>
    <row r="94" ht="25" customHeight="1" spans="1:74">
      <c r="A94" s="107">
        <v>45197</v>
      </c>
      <c r="B94" s="32" t="s">
        <v>1</v>
      </c>
      <c r="C94" s="32" t="s">
        <v>75</v>
      </c>
      <c r="D94" s="30" t="s">
        <v>1</v>
      </c>
      <c r="E94" s="30" t="s">
        <v>1</v>
      </c>
      <c r="F94" s="92" t="str">
        <f t="shared" si="2"/>
        <v/>
      </c>
      <c r="G94" s="92" t="s">
        <v>1</v>
      </c>
      <c r="H94" s="92" t="s">
        <v>1</v>
      </c>
      <c r="I94" s="92" t="s">
        <v>1</v>
      </c>
      <c r="J94" s="92" t="s">
        <v>1</v>
      </c>
      <c r="K94" s="74" t="s">
        <v>1</v>
      </c>
      <c r="L94" s="127">
        <v>20798</v>
      </c>
      <c r="M94" s="73" t="s">
        <v>72</v>
      </c>
      <c r="N94" s="128" t="e">
        <f t="shared" si="3"/>
        <v>#VALUE!</v>
      </c>
      <c r="O94" s="32" t="s">
        <v>1</v>
      </c>
      <c r="P94" s="92" t="s">
        <v>1</v>
      </c>
      <c r="Q94" s="92" t="s">
        <v>1</v>
      </c>
      <c r="R94" s="92" t="s">
        <v>1</v>
      </c>
      <c r="S94" s="92" t="s">
        <v>1</v>
      </c>
      <c r="T94" s="92" t="s">
        <v>1</v>
      </c>
      <c r="U94" s="92" t="s">
        <v>1</v>
      </c>
      <c r="V94" s="7" t="s">
        <v>72</v>
      </c>
      <c r="W94" s="92" t="s">
        <v>1</v>
      </c>
      <c r="X94" s="7" t="s">
        <v>72</v>
      </c>
      <c r="Y94" s="92" t="s">
        <v>1</v>
      </c>
      <c r="Z94" s="7" t="s">
        <v>72</v>
      </c>
      <c r="AA94" s="92" t="s">
        <v>1</v>
      </c>
      <c r="AB94" s="7" t="s">
        <v>72</v>
      </c>
      <c r="AC94" s="92" t="s">
        <v>1</v>
      </c>
      <c r="AD94" s="92" t="s">
        <v>1</v>
      </c>
      <c r="AE94" s="92" t="s">
        <v>1</v>
      </c>
      <c r="AF94" s="7" t="s">
        <v>72</v>
      </c>
      <c r="AG94" s="92">
        <v>1504</v>
      </c>
      <c r="AH94" s="92" t="s">
        <v>72</v>
      </c>
      <c r="AI94" s="92">
        <v>164</v>
      </c>
      <c r="AJ94" s="92" t="s">
        <v>72</v>
      </c>
      <c r="AK94" s="92">
        <v>3</v>
      </c>
      <c r="AL94" s="92" t="s">
        <v>72</v>
      </c>
      <c r="AM94" s="92">
        <v>31</v>
      </c>
      <c r="AN94" s="92" t="s">
        <v>72</v>
      </c>
      <c r="AO94" s="92">
        <v>86</v>
      </c>
      <c r="AP94" s="92" t="s">
        <v>72</v>
      </c>
      <c r="AQ94" s="92">
        <v>26</v>
      </c>
      <c r="AR94" s="7" t="s">
        <v>72</v>
      </c>
      <c r="AS94" s="92" t="s">
        <v>1</v>
      </c>
      <c r="AT94" s="92" t="s">
        <v>1</v>
      </c>
      <c r="AU94" s="92">
        <v>18</v>
      </c>
      <c r="AV94" s="92" t="s">
        <v>1</v>
      </c>
      <c r="AW94" s="92" t="s">
        <v>1</v>
      </c>
      <c r="AX94" s="92" t="s">
        <v>1</v>
      </c>
      <c r="AY94" s="92">
        <v>2</v>
      </c>
      <c r="AZ94" s="92" t="s">
        <v>1</v>
      </c>
      <c r="BA94" s="92" t="s">
        <v>1</v>
      </c>
      <c r="BB94" s="92" t="s">
        <v>1</v>
      </c>
      <c r="BC94" s="92" t="s">
        <v>1</v>
      </c>
      <c r="BD94" s="92" t="s">
        <v>1</v>
      </c>
      <c r="BE94" s="92" t="s">
        <v>1</v>
      </c>
      <c r="BF94" s="92" t="s">
        <v>1</v>
      </c>
      <c r="BG94" s="108" t="s">
        <v>1</v>
      </c>
      <c r="BH94" s="92" t="s">
        <v>74</v>
      </c>
      <c r="BI94" s="92">
        <v>113</v>
      </c>
      <c r="BJ94" s="92">
        <v>83</v>
      </c>
      <c r="BK94" s="7" t="s">
        <v>72</v>
      </c>
      <c r="BL94" s="92" t="s">
        <v>1</v>
      </c>
      <c r="BM94" s="92" t="s">
        <v>1</v>
      </c>
      <c r="BN94" s="92" t="s">
        <v>1</v>
      </c>
      <c r="BO94" s="92" t="s">
        <v>1</v>
      </c>
      <c r="BP94" s="92" t="s">
        <v>1</v>
      </c>
      <c r="BQ94" s="92" t="s">
        <v>1</v>
      </c>
      <c r="BR94" s="92" t="s">
        <v>1</v>
      </c>
      <c r="BS94" s="92" t="s">
        <v>1</v>
      </c>
      <c r="BT94" s="92" t="s">
        <v>1</v>
      </c>
      <c r="BU94" s="92" t="s">
        <v>1</v>
      </c>
      <c r="BV94" s="92" t="s">
        <v>1</v>
      </c>
    </row>
    <row r="95" ht="25" customHeight="1" spans="1:74">
      <c r="A95" s="107">
        <v>45198</v>
      </c>
      <c r="B95" s="32" t="s">
        <v>1</v>
      </c>
      <c r="C95" s="32" t="s">
        <v>1</v>
      </c>
      <c r="D95" s="30" t="s">
        <v>1</v>
      </c>
      <c r="E95" s="30" t="s">
        <v>1</v>
      </c>
      <c r="F95" s="92" t="str">
        <f t="shared" si="2"/>
        <v/>
      </c>
      <c r="G95" s="92" t="s">
        <v>1</v>
      </c>
      <c r="H95" s="92" t="s">
        <v>1</v>
      </c>
      <c r="I95" s="92" t="s">
        <v>1</v>
      </c>
      <c r="J95" s="92" t="s">
        <v>1</v>
      </c>
      <c r="K95" s="74" t="s">
        <v>1</v>
      </c>
      <c r="L95" s="127">
        <v>8899</v>
      </c>
      <c r="M95" s="73" t="s">
        <v>72</v>
      </c>
      <c r="N95" s="128" t="e">
        <f t="shared" si="3"/>
        <v>#VALUE!</v>
      </c>
      <c r="O95" s="32" t="s">
        <v>1</v>
      </c>
      <c r="P95" s="92" t="s">
        <v>1</v>
      </c>
      <c r="Q95" s="92" t="s">
        <v>1</v>
      </c>
      <c r="R95" s="92" t="s">
        <v>1</v>
      </c>
      <c r="S95" s="92" t="s">
        <v>1</v>
      </c>
      <c r="T95" s="92" t="s">
        <v>1</v>
      </c>
      <c r="U95" s="92" t="s">
        <v>1</v>
      </c>
      <c r="V95" s="7" t="s">
        <v>72</v>
      </c>
      <c r="W95" s="92" t="s">
        <v>1</v>
      </c>
      <c r="X95" s="7" t="s">
        <v>72</v>
      </c>
      <c r="Y95" s="92" t="s">
        <v>1</v>
      </c>
      <c r="Z95" s="7" t="s">
        <v>72</v>
      </c>
      <c r="AA95" s="92" t="s">
        <v>1</v>
      </c>
      <c r="AB95" s="7" t="s">
        <v>72</v>
      </c>
      <c r="AC95" s="92" t="s">
        <v>1</v>
      </c>
      <c r="AD95" s="92" t="s">
        <v>1</v>
      </c>
      <c r="AE95" s="92" t="s">
        <v>1</v>
      </c>
      <c r="AF95" s="7" t="s">
        <v>72</v>
      </c>
      <c r="AG95" s="92">
        <v>1469</v>
      </c>
      <c r="AH95" s="92" t="s">
        <v>72</v>
      </c>
      <c r="AI95" s="92">
        <v>142</v>
      </c>
      <c r="AJ95" s="92" t="s">
        <v>72</v>
      </c>
      <c r="AK95" s="92">
        <v>5</v>
      </c>
      <c r="AL95" s="92" t="s">
        <v>72</v>
      </c>
      <c r="AM95" s="92">
        <v>29</v>
      </c>
      <c r="AN95" s="92" t="s">
        <v>72</v>
      </c>
      <c r="AO95" s="92">
        <v>102</v>
      </c>
      <c r="AP95" s="92" t="s">
        <v>72</v>
      </c>
      <c r="AQ95" s="92">
        <v>21</v>
      </c>
      <c r="AR95" s="7" t="s">
        <v>72</v>
      </c>
      <c r="AS95" s="92" t="s">
        <v>1</v>
      </c>
      <c r="AT95" s="92" t="s">
        <v>1</v>
      </c>
      <c r="AU95" s="92">
        <v>11</v>
      </c>
      <c r="AV95" s="92" t="s">
        <v>1</v>
      </c>
      <c r="AW95" s="92" t="s">
        <v>1</v>
      </c>
      <c r="AX95" s="92" t="s">
        <v>1</v>
      </c>
      <c r="AY95" s="92">
        <v>2</v>
      </c>
      <c r="AZ95" s="92" t="s">
        <v>1</v>
      </c>
      <c r="BA95" s="92" t="s">
        <v>1</v>
      </c>
      <c r="BB95" s="92" t="s">
        <v>1</v>
      </c>
      <c r="BC95" s="92" t="s">
        <v>1</v>
      </c>
      <c r="BD95" s="92" t="s">
        <v>1</v>
      </c>
      <c r="BE95" s="92" t="s">
        <v>1</v>
      </c>
      <c r="BF95" s="92" t="s">
        <v>1</v>
      </c>
      <c r="BG95" s="108" t="s">
        <v>1</v>
      </c>
      <c r="BH95" s="92" t="s">
        <v>73</v>
      </c>
      <c r="BI95" s="92">
        <v>71</v>
      </c>
      <c r="BJ95" s="92">
        <v>134</v>
      </c>
      <c r="BK95" s="7" t="s">
        <v>72</v>
      </c>
      <c r="BL95" s="92" t="s">
        <v>1</v>
      </c>
      <c r="BM95" s="92" t="s">
        <v>1</v>
      </c>
      <c r="BN95" s="92" t="s">
        <v>1</v>
      </c>
      <c r="BO95" s="92" t="s">
        <v>1</v>
      </c>
      <c r="BP95" s="92" t="s">
        <v>1</v>
      </c>
      <c r="BQ95" s="92" t="s">
        <v>1</v>
      </c>
      <c r="BR95" s="92" t="s">
        <v>1</v>
      </c>
      <c r="BS95" s="92" t="s">
        <v>1</v>
      </c>
      <c r="BT95" s="92" t="s">
        <v>1</v>
      </c>
      <c r="BU95" s="92" t="s">
        <v>1</v>
      </c>
      <c r="BV95" s="92" t="s">
        <v>1</v>
      </c>
    </row>
    <row r="96" ht="25" customHeight="1" spans="1:74">
      <c r="A96" s="107">
        <v>45199</v>
      </c>
      <c r="B96" s="32" t="s">
        <v>1</v>
      </c>
      <c r="C96" s="32" t="s">
        <v>253</v>
      </c>
      <c r="D96" s="30" t="s">
        <v>1</v>
      </c>
      <c r="E96" s="30" t="s">
        <v>1</v>
      </c>
      <c r="F96" s="92" t="str">
        <f t="shared" si="2"/>
        <v/>
      </c>
      <c r="G96" s="92" t="s">
        <v>1</v>
      </c>
      <c r="H96" s="92" t="s">
        <v>1</v>
      </c>
      <c r="I96" s="92" t="s">
        <v>1</v>
      </c>
      <c r="J96" s="92" t="s">
        <v>1</v>
      </c>
      <c r="K96" s="74" t="s">
        <v>1</v>
      </c>
      <c r="L96" s="127">
        <v>196</v>
      </c>
      <c r="M96" s="73" t="s">
        <v>72</v>
      </c>
      <c r="N96" s="128" t="e">
        <f t="shared" si="3"/>
        <v>#VALUE!</v>
      </c>
      <c r="O96" s="32" t="s">
        <v>1</v>
      </c>
      <c r="P96" s="92" t="s">
        <v>1</v>
      </c>
      <c r="Q96" s="92" t="s">
        <v>1</v>
      </c>
      <c r="R96" s="92" t="s">
        <v>1</v>
      </c>
      <c r="S96" s="92" t="s">
        <v>1</v>
      </c>
      <c r="T96" s="92" t="s">
        <v>1</v>
      </c>
      <c r="U96" s="92" t="s">
        <v>1</v>
      </c>
      <c r="V96" s="7" t="s">
        <v>72</v>
      </c>
      <c r="W96" s="92" t="s">
        <v>1</v>
      </c>
      <c r="X96" s="7" t="s">
        <v>72</v>
      </c>
      <c r="Y96" s="92" t="s">
        <v>1</v>
      </c>
      <c r="Z96" s="7" t="s">
        <v>72</v>
      </c>
      <c r="AA96" s="92" t="s">
        <v>1</v>
      </c>
      <c r="AB96" s="7" t="s">
        <v>72</v>
      </c>
      <c r="AC96" s="92" t="s">
        <v>1</v>
      </c>
      <c r="AD96" s="92" t="s">
        <v>1</v>
      </c>
      <c r="AE96" s="92" t="s">
        <v>1</v>
      </c>
      <c r="AF96" s="7" t="s">
        <v>72</v>
      </c>
      <c r="AG96" s="92">
        <v>1667</v>
      </c>
      <c r="AH96" s="92" t="s">
        <v>72</v>
      </c>
      <c r="AI96" s="92">
        <v>176</v>
      </c>
      <c r="AJ96" s="92" t="s">
        <v>72</v>
      </c>
      <c r="AK96" s="92">
        <v>1</v>
      </c>
      <c r="AL96" s="92" t="s">
        <v>72</v>
      </c>
      <c r="AM96" s="92">
        <v>30</v>
      </c>
      <c r="AN96" s="92" t="s">
        <v>72</v>
      </c>
      <c r="AO96" s="92">
        <v>115</v>
      </c>
      <c r="AP96" s="92" t="s">
        <v>72</v>
      </c>
      <c r="AQ96" s="92">
        <v>35</v>
      </c>
      <c r="AR96" s="7" t="s">
        <v>72</v>
      </c>
      <c r="AS96" s="92" t="s">
        <v>1</v>
      </c>
      <c r="AT96" s="92" t="s">
        <v>1</v>
      </c>
      <c r="AU96" s="92">
        <v>13</v>
      </c>
      <c r="AV96" s="92" t="s">
        <v>1</v>
      </c>
      <c r="AW96" s="92" t="s">
        <v>1</v>
      </c>
      <c r="AX96" s="92" t="s">
        <v>1</v>
      </c>
      <c r="AY96" s="92">
        <v>1</v>
      </c>
      <c r="AZ96" s="92" t="s">
        <v>1</v>
      </c>
      <c r="BA96" s="92" t="s">
        <v>1</v>
      </c>
      <c r="BB96" s="92" t="s">
        <v>1</v>
      </c>
      <c r="BC96" s="92" t="s">
        <v>1</v>
      </c>
      <c r="BD96" s="92" t="s">
        <v>1</v>
      </c>
      <c r="BE96" s="92" t="s">
        <v>1</v>
      </c>
      <c r="BF96" s="92" t="s">
        <v>1</v>
      </c>
      <c r="BG96" s="108" t="s">
        <v>1</v>
      </c>
      <c r="BH96" s="92" t="s">
        <v>73</v>
      </c>
      <c r="BI96" s="92">
        <v>81</v>
      </c>
      <c r="BJ96" s="92">
        <v>133</v>
      </c>
      <c r="BK96" s="7" t="s">
        <v>72</v>
      </c>
      <c r="BL96" s="92" t="s">
        <v>1</v>
      </c>
      <c r="BM96" s="92" t="s">
        <v>1</v>
      </c>
      <c r="BN96" s="92" t="s">
        <v>1</v>
      </c>
      <c r="BO96" s="92" t="s">
        <v>1</v>
      </c>
      <c r="BP96" s="92" t="s">
        <v>1</v>
      </c>
      <c r="BQ96" s="92" t="s">
        <v>1</v>
      </c>
      <c r="BR96" s="92" t="s">
        <v>1</v>
      </c>
      <c r="BS96" s="92" t="s">
        <v>1</v>
      </c>
      <c r="BT96" s="92" t="s">
        <v>1</v>
      </c>
      <c r="BU96" s="92" t="s">
        <v>1</v>
      </c>
      <c r="BV96" s="92" t="s">
        <v>1</v>
      </c>
    </row>
    <row r="97" ht="25" customHeight="1" spans="1:74">
      <c r="A97" s="107">
        <v>45200</v>
      </c>
      <c r="B97" s="32" t="s">
        <v>1</v>
      </c>
      <c r="C97" s="32" t="s">
        <v>1</v>
      </c>
      <c r="D97" s="30" t="s">
        <v>1</v>
      </c>
      <c r="E97" s="30" t="s">
        <v>1</v>
      </c>
      <c r="F97" s="92" t="str">
        <f t="shared" si="2"/>
        <v/>
      </c>
      <c r="G97" s="92" t="s">
        <v>1</v>
      </c>
      <c r="H97" s="92" t="s">
        <v>1</v>
      </c>
      <c r="I97" s="92" t="s">
        <v>1</v>
      </c>
      <c r="J97" s="92" t="s">
        <v>1</v>
      </c>
      <c r="K97" s="74" t="s">
        <v>1</v>
      </c>
      <c r="L97" s="127">
        <v>15798</v>
      </c>
      <c r="M97" s="73" t="s">
        <v>72</v>
      </c>
      <c r="N97" s="128" t="e">
        <f t="shared" si="3"/>
        <v>#VALUE!</v>
      </c>
      <c r="O97" s="32" t="s">
        <v>1</v>
      </c>
      <c r="P97" s="92" t="s">
        <v>1</v>
      </c>
      <c r="Q97" s="92" t="s">
        <v>1</v>
      </c>
      <c r="R97" s="92" t="s">
        <v>1</v>
      </c>
      <c r="S97" s="92" t="s">
        <v>1</v>
      </c>
      <c r="T97" s="92" t="s">
        <v>1</v>
      </c>
      <c r="U97" s="92" t="s">
        <v>1</v>
      </c>
      <c r="V97" s="7" t="s">
        <v>72</v>
      </c>
      <c r="W97" s="92" t="s">
        <v>1</v>
      </c>
      <c r="X97" s="7" t="s">
        <v>72</v>
      </c>
      <c r="Y97" s="92" t="s">
        <v>1</v>
      </c>
      <c r="Z97" s="7" t="s">
        <v>72</v>
      </c>
      <c r="AA97" s="92" t="s">
        <v>1</v>
      </c>
      <c r="AB97" s="7" t="s">
        <v>72</v>
      </c>
      <c r="AC97" s="92" t="s">
        <v>1</v>
      </c>
      <c r="AD97" s="92" t="s">
        <v>1</v>
      </c>
      <c r="AE97" s="92" t="s">
        <v>1</v>
      </c>
      <c r="AF97" s="7" t="s">
        <v>72</v>
      </c>
      <c r="AG97" s="92">
        <v>1669</v>
      </c>
      <c r="AH97" s="92" t="s">
        <v>72</v>
      </c>
      <c r="AI97" s="92">
        <v>203</v>
      </c>
      <c r="AJ97" s="92" t="s">
        <v>72</v>
      </c>
      <c r="AK97" s="92">
        <v>3</v>
      </c>
      <c r="AL97" s="92" t="s">
        <v>72</v>
      </c>
      <c r="AM97" s="92">
        <v>35</v>
      </c>
      <c r="AN97" s="92" t="s">
        <v>72</v>
      </c>
      <c r="AO97" s="92">
        <v>89</v>
      </c>
      <c r="AP97" s="92" t="s">
        <v>72</v>
      </c>
      <c r="AQ97" s="92">
        <v>35</v>
      </c>
      <c r="AR97" s="7" t="s">
        <v>72</v>
      </c>
      <c r="AS97" s="92" t="s">
        <v>1</v>
      </c>
      <c r="AT97" s="92" t="s">
        <v>1</v>
      </c>
      <c r="AU97" s="92" t="s">
        <v>1</v>
      </c>
      <c r="AV97" s="92" t="s">
        <v>1</v>
      </c>
      <c r="AW97" s="92" t="s">
        <v>1</v>
      </c>
      <c r="AX97" s="92" t="s">
        <v>1</v>
      </c>
      <c r="AY97" s="92" t="s">
        <v>1</v>
      </c>
      <c r="AZ97" s="92" t="s">
        <v>1</v>
      </c>
      <c r="BA97" s="92" t="s">
        <v>1</v>
      </c>
      <c r="BB97" s="92" t="s">
        <v>1</v>
      </c>
      <c r="BC97" s="92" t="s">
        <v>1</v>
      </c>
      <c r="BD97" s="92" t="s">
        <v>1</v>
      </c>
      <c r="BE97" s="92" t="s">
        <v>1</v>
      </c>
      <c r="BF97" s="92" t="s">
        <v>1</v>
      </c>
      <c r="BG97" s="108" t="s">
        <v>1</v>
      </c>
      <c r="BH97" s="92" t="s">
        <v>73</v>
      </c>
      <c r="BI97" s="92">
        <v>89</v>
      </c>
      <c r="BJ97" s="92">
        <v>124</v>
      </c>
      <c r="BK97" s="7" t="s">
        <v>72</v>
      </c>
      <c r="BL97" s="92" t="s">
        <v>1</v>
      </c>
      <c r="BM97" s="92" t="s">
        <v>1</v>
      </c>
      <c r="BN97" s="92" t="s">
        <v>1</v>
      </c>
      <c r="BO97" s="92" t="s">
        <v>1</v>
      </c>
      <c r="BP97" s="92" t="s">
        <v>1</v>
      </c>
      <c r="BQ97" s="92" t="s">
        <v>1</v>
      </c>
      <c r="BR97" s="92" t="s">
        <v>1</v>
      </c>
      <c r="BS97" s="92" t="s">
        <v>1</v>
      </c>
      <c r="BT97" s="92" t="s">
        <v>1</v>
      </c>
      <c r="BU97" s="92" t="s">
        <v>1</v>
      </c>
      <c r="BV97" s="92" t="s">
        <v>1</v>
      </c>
    </row>
    <row r="98" ht="25" customHeight="1" spans="1:74">
      <c r="A98" s="107">
        <v>45201</v>
      </c>
      <c r="B98" s="32" t="s">
        <v>1</v>
      </c>
      <c r="C98" s="32" t="s">
        <v>1</v>
      </c>
      <c r="D98" s="30" t="s">
        <v>1</v>
      </c>
      <c r="E98" s="30" t="s">
        <v>1</v>
      </c>
      <c r="F98" s="92" t="str">
        <f t="shared" si="2"/>
        <v/>
      </c>
      <c r="G98" s="92" t="s">
        <v>1</v>
      </c>
      <c r="H98" s="92" t="s">
        <v>1</v>
      </c>
      <c r="I98" s="92" t="s">
        <v>1</v>
      </c>
      <c r="J98" s="92" t="s">
        <v>1</v>
      </c>
      <c r="K98" s="74" t="s">
        <v>1</v>
      </c>
      <c r="L98" s="127">
        <v>8600</v>
      </c>
      <c r="M98" s="73" t="s">
        <v>72</v>
      </c>
      <c r="N98" s="128" t="e">
        <f t="shared" si="3"/>
        <v>#VALUE!</v>
      </c>
      <c r="O98" s="32" t="s">
        <v>1</v>
      </c>
      <c r="P98" s="92" t="s">
        <v>1</v>
      </c>
      <c r="Q98" s="92" t="s">
        <v>1</v>
      </c>
      <c r="R98" s="92" t="s">
        <v>1</v>
      </c>
      <c r="S98" s="92" t="s">
        <v>1</v>
      </c>
      <c r="T98" s="92" t="s">
        <v>1</v>
      </c>
      <c r="U98" s="92" t="s">
        <v>1</v>
      </c>
      <c r="V98" s="7" t="s">
        <v>72</v>
      </c>
      <c r="W98" s="92" t="s">
        <v>1</v>
      </c>
      <c r="X98" s="7" t="s">
        <v>72</v>
      </c>
      <c r="Y98" s="92" t="s">
        <v>1</v>
      </c>
      <c r="Z98" s="7" t="s">
        <v>72</v>
      </c>
      <c r="AA98" s="92" t="s">
        <v>1</v>
      </c>
      <c r="AB98" s="7" t="s">
        <v>72</v>
      </c>
      <c r="AC98" s="92" t="s">
        <v>1</v>
      </c>
      <c r="AD98" s="92" t="s">
        <v>1</v>
      </c>
      <c r="AE98" s="92" t="s">
        <v>1</v>
      </c>
      <c r="AF98" s="7" t="s">
        <v>72</v>
      </c>
      <c r="AG98" s="92">
        <v>1674</v>
      </c>
      <c r="AH98" s="92" t="s">
        <v>72</v>
      </c>
      <c r="AI98" s="92">
        <v>226</v>
      </c>
      <c r="AJ98" s="92" t="s">
        <v>72</v>
      </c>
      <c r="AK98" s="92">
        <v>3</v>
      </c>
      <c r="AL98" s="92" t="s">
        <v>72</v>
      </c>
      <c r="AM98" s="92">
        <v>43</v>
      </c>
      <c r="AN98" s="92" t="s">
        <v>72</v>
      </c>
      <c r="AO98" s="92">
        <v>98</v>
      </c>
      <c r="AP98" s="92" t="s">
        <v>72</v>
      </c>
      <c r="AQ98" s="92">
        <v>30</v>
      </c>
      <c r="AR98" s="7" t="s">
        <v>72</v>
      </c>
      <c r="AS98" s="92" t="s">
        <v>1</v>
      </c>
      <c r="AT98" s="92" t="s">
        <v>1</v>
      </c>
      <c r="AU98" s="92" t="s">
        <v>1</v>
      </c>
      <c r="AV98" s="92" t="s">
        <v>1</v>
      </c>
      <c r="AW98" s="92" t="s">
        <v>1</v>
      </c>
      <c r="AX98" s="92" t="s">
        <v>1</v>
      </c>
      <c r="AY98" s="92" t="s">
        <v>1</v>
      </c>
      <c r="AZ98" s="92" t="s">
        <v>1</v>
      </c>
      <c r="BA98" s="92" t="s">
        <v>1</v>
      </c>
      <c r="BB98" s="92" t="s">
        <v>1</v>
      </c>
      <c r="BC98" s="92" t="s">
        <v>1</v>
      </c>
      <c r="BD98" s="92" t="s">
        <v>1</v>
      </c>
      <c r="BE98" s="92" t="s">
        <v>1</v>
      </c>
      <c r="BF98" s="92" t="s">
        <v>1</v>
      </c>
      <c r="BG98" s="108" t="s">
        <v>1</v>
      </c>
      <c r="BH98" s="92" t="s">
        <v>73</v>
      </c>
      <c r="BI98" s="92">
        <v>99</v>
      </c>
      <c r="BJ98" s="92">
        <v>126</v>
      </c>
      <c r="BK98" s="7" t="s">
        <v>72</v>
      </c>
      <c r="BL98" s="92" t="s">
        <v>1</v>
      </c>
      <c r="BM98" s="92" t="s">
        <v>1</v>
      </c>
      <c r="BN98" s="92" t="s">
        <v>1</v>
      </c>
      <c r="BO98" s="92" t="s">
        <v>1</v>
      </c>
      <c r="BP98" s="92" t="s">
        <v>1</v>
      </c>
      <c r="BQ98" s="92" t="s">
        <v>1</v>
      </c>
      <c r="BR98" s="92" t="s">
        <v>1</v>
      </c>
      <c r="BS98" s="92" t="s">
        <v>1</v>
      </c>
      <c r="BT98" s="92" t="s">
        <v>1</v>
      </c>
      <c r="BU98" s="92" t="s">
        <v>1</v>
      </c>
      <c r="BV98" s="92" t="s">
        <v>1</v>
      </c>
    </row>
    <row r="99" ht="25" customHeight="1" spans="1:74">
      <c r="A99" s="107">
        <v>45202</v>
      </c>
      <c r="B99" s="32" t="s">
        <v>1</v>
      </c>
      <c r="C99" s="32" t="s">
        <v>1</v>
      </c>
      <c r="D99" s="30" t="s">
        <v>1</v>
      </c>
      <c r="E99" s="30" t="s">
        <v>1</v>
      </c>
      <c r="F99" s="92" t="str">
        <f t="shared" si="2"/>
        <v/>
      </c>
      <c r="G99" s="92" t="s">
        <v>1</v>
      </c>
      <c r="H99" s="92" t="s">
        <v>1</v>
      </c>
      <c r="I99" s="92" t="s">
        <v>1</v>
      </c>
      <c r="J99" s="92" t="s">
        <v>1</v>
      </c>
      <c r="K99" s="74" t="s">
        <v>1</v>
      </c>
      <c r="L99" s="127">
        <v>8999</v>
      </c>
      <c r="M99" s="73" t="s">
        <v>72</v>
      </c>
      <c r="N99" s="128" t="e">
        <f t="shared" si="3"/>
        <v>#VALUE!</v>
      </c>
      <c r="O99" s="32" t="s">
        <v>1</v>
      </c>
      <c r="P99" s="92" t="s">
        <v>1</v>
      </c>
      <c r="Q99" s="92" t="s">
        <v>1</v>
      </c>
      <c r="R99" s="92" t="s">
        <v>1</v>
      </c>
      <c r="S99" s="92" t="s">
        <v>1</v>
      </c>
      <c r="T99" s="92" t="s">
        <v>1</v>
      </c>
      <c r="U99" s="92" t="s">
        <v>1</v>
      </c>
      <c r="V99" s="7" t="s">
        <v>72</v>
      </c>
      <c r="W99" s="92" t="s">
        <v>1</v>
      </c>
      <c r="X99" s="7" t="s">
        <v>72</v>
      </c>
      <c r="Y99" s="92" t="s">
        <v>1</v>
      </c>
      <c r="Z99" s="7" t="s">
        <v>72</v>
      </c>
      <c r="AA99" s="92" t="s">
        <v>1</v>
      </c>
      <c r="AB99" s="7" t="s">
        <v>72</v>
      </c>
      <c r="AC99" s="92" t="s">
        <v>1</v>
      </c>
      <c r="AD99" s="92" t="s">
        <v>1</v>
      </c>
      <c r="AE99" s="92" t="s">
        <v>1</v>
      </c>
      <c r="AF99" s="7" t="s">
        <v>72</v>
      </c>
      <c r="AG99" s="92">
        <v>1942</v>
      </c>
      <c r="AH99" s="92" t="s">
        <v>72</v>
      </c>
      <c r="AI99" s="92">
        <v>194</v>
      </c>
      <c r="AJ99" s="92" t="s">
        <v>72</v>
      </c>
      <c r="AK99" s="92">
        <v>1</v>
      </c>
      <c r="AL99" s="92" t="s">
        <v>72</v>
      </c>
      <c r="AM99" s="92">
        <v>51</v>
      </c>
      <c r="AN99" s="92" t="s">
        <v>72</v>
      </c>
      <c r="AO99" s="92">
        <v>108</v>
      </c>
      <c r="AP99" s="92" t="s">
        <v>72</v>
      </c>
      <c r="AQ99" s="92">
        <v>32</v>
      </c>
      <c r="AR99" s="7" t="s">
        <v>72</v>
      </c>
      <c r="AS99" s="92" t="s">
        <v>1</v>
      </c>
      <c r="AT99" s="92" t="s">
        <v>1</v>
      </c>
      <c r="AU99" s="92" t="s">
        <v>1</v>
      </c>
      <c r="AV99" s="92" t="s">
        <v>1</v>
      </c>
      <c r="AW99" s="92" t="s">
        <v>1</v>
      </c>
      <c r="AX99" s="92" t="s">
        <v>1</v>
      </c>
      <c r="AY99" s="92" t="s">
        <v>1</v>
      </c>
      <c r="AZ99" s="92" t="s">
        <v>1</v>
      </c>
      <c r="BA99" s="92" t="s">
        <v>1</v>
      </c>
      <c r="BB99" s="92" t="s">
        <v>1</v>
      </c>
      <c r="BC99" s="92" t="s">
        <v>1</v>
      </c>
      <c r="BD99" s="92" t="s">
        <v>1</v>
      </c>
      <c r="BE99" s="92" t="s">
        <v>1</v>
      </c>
      <c r="BF99" s="92" t="s">
        <v>1</v>
      </c>
      <c r="BG99" s="108" t="s">
        <v>1</v>
      </c>
      <c r="BH99" s="92" t="s">
        <v>74</v>
      </c>
      <c r="BI99" s="92">
        <v>116</v>
      </c>
      <c r="BJ99" s="92">
        <v>88</v>
      </c>
      <c r="BK99" s="7" t="s">
        <v>72</v>
      </c>
      <c r="BL99" s="92" t="s">
        <v>1</v>
      </c>
      <c r="BM99" s="92" t="s">
        <v>1</v>
      </c>
      <c r="BN99" s="92" t="s">
        <v>1</v>
      </c>
      <c r="BO99" s="92" t="s">
        <v>1</v>
      </c>
      <c r="BP99" s="92" t="s">
        <v>1</v>
      </c>
      <c r="BQ99" s="92" t="s">
        <v>1</v>
      </c>
      <c r="BR99" s="92" t="s">
        <v>1</v>
      </c>
      <c r="BS99" s="92" t="s">
        <v>1</v>
      </c>
      <c r="BT99" s="92" t="s">
        <v>1</v>
      </c>
      <c r="BU99" s="92" t="s">
        <v>1</v>
      </c>
      <c r="BV99" s="92" t="s">
        <v>1</v>
      </c>
    </row>
    <row r="100" ht="25" customHeight="1" spans="1:74">
      <c r="A100" s="107">
        <v>45203</v>
      </c>
      <c r="B100" s="32" t="s">
        <v>1</v>
      </c>
      <c r="C100" s="32" t="s">
        <v>1</v>
      </c>
      <c r="D100" s="30" t="s">
        <v>1</v>
      </c>
      <c r="E100" s="30" t="s">
        <v>1</v>
      </c>
      <c r="F100" s="92" t="str">
        <f t="shared" si="2"/>
        <v/>
      </c>
      <c r="G100" s="92" t="s">
        <v>1</v>
      </c>
      <c r="H100" s="92" t="s">
        <v>1</v>
      </c>
      <c r="I100" s="92" t="s">
        <v>1</v>
      </c>
      <c r="J100" s="92" t="s">
        <v>1</v>
      </c>
      <c r="K100" s="74" t="s">
        <v>1</v>
      </c>
      <c r="L100" s="127">
        <v>10300</v>
      </c>
      <c r="M100" s="73" t="s">
        <v>72</v>
      </c>
      <c r="N100" s="128" t="e">
        <f t="shared" si="3"/>
        <v>#VALUE!</v>
      </c>
      <c r="O100" s="32" t="s">
        <v>1</v>
      </c>
      <c r="P100" s="92" t="s">
        <v>1</v>
      </c>
      <c r="Q100" s="92" t="s">
        <v>1</v>
      </c>
      <c r="R100" s="92" t="s">
        <v>1</v>
      </c>
      <c r="S100" s="92" t="s">
        <v>1</v>
      </c>
      <c r="T100" s="92" t="s">
        <v>1</v>
      </c>
      <c r="U100" s="92" t="s">
        <v>1</v>
      </c>
      <c r="V100" s="7" t="s">
        <v>72</v>
      </c>
      <c r="W100" s="92" t="s">
        <v>1</v>
      </c>
      <c r="X100" s="7" t="s">
        <v>72</v>
      </c>
      <c r="Y100" s="92" t="s">
        <v>1</v>
      </c>
      <c r="Z100" s="7" t="s">
        <v>72</v>
      </c>
      <c r="AA100" s="92" t="s">
        <v>1</v>
      </c>
      <c r="AB100" s="7" t="s">
        <v>72</v>
      </c>
      <c r="AC100" s="92" t="s">
        <v>1</v>
      </c>
      <c r="AD100" s="92" t="s">
        <v>1</v>
      </c>
      <c r="AE100" s="92" t="s">
        <v>1</v>
      </c>
      <c r="AF100" s="7" t="s">
        <v>72</v>
      </c>
      <c r="AG100" s="92">
        <v>1817</v>
      </c>
      <c r="AH100" s="92" t="s">
        <v>72</v>
      </c>
      <c r="AI100" s="92">
        <v>187</v>
      </c>
      <c r="AJ100" s="92" t="s">
        <v>72</v>
      </c>
      <c r="AK100" s="92">
        <v>5</v>
      </c>
      <c r="AL100" s="92" t="s">
        <v>72</v>
      </c>
      <c r="AM100" s="92">
        <v>39</v>
      </c>
      <c r="AN100" s="92" t="s">
        <v>72</v>
      </c>
      <c r="AO100" s="92">
        <v>134</v>
      </c>
      <c r="AP100" s="92" t="s">
        <v>72</v>
      </c>
      <c r="AQ100" s="92">
        <v>36</v>
      </c>
      <c r="AR100" s="7" t="s">
        <v>72</v>
      </c>
      <c r="AS100" s="92" t="s">
        <v>1</v>
      </c>
      <c r="AT100" s="92" t="s">
        <v>1</v>
      </c>
      <c r="AU100" s="92" t="s">
        <v>1</v>
      </c>
      <c r="AV100" s="92" t="s">
        <v>1</v>
      </c>
      <c r="AW100" s="92" t="s">
        <v>1</v>
      </c>
      <c r="AX100" s="92" t="s">
        <v>1</v>
      </c>
      <c r="AY100" s="92" t="s">
        <v>1</v>
      </c>
      <c r="AZ100" s="92" t="s">
        <v>1</v>
      </c>
      <c r="BA100" s="92" t="s">
        <v>1</v>
      </c>
      <c r="BB100" s="92" t="s">
        <v>1</v>
      </c>
      <c r="BC100" s="92" t="s">
        <v>1</v>
      </c>
      <c r="BD100" s="92" t="s">
        <v>1</v>
      </c>
      <c r="BE100" s="92" t="s">
        <v>1</v>
      </c>
      <c r="BF100" s="92" t="s">
        <v>1</v>
      </c>
      <c r="BG100" s="108" t="s">
        <v>1</v>
      </c>
      <c r="BH100" s="92" t="s">
        <v>73</v>
      </c>
      <c r="BI100" s="92">
        <v>86</v>
      </c>
      <c r="BJ100" s="92">
        <v>136</v>
      </c>
      <c r="BK100" s="7" t="s">
        <v>72</v>
      </c>
      <c r="BL100" s="92" t="s">
        <v>1</v>
      </c>
      <c r="BM100" s="92" t="s">
        <v>1</v>
      </c>
      <c r="BN100" s="92" t="s">
        <v>1</v>
      </c>
      <c r="BO100" s="92" t="s">
        <v>1</v>
      </c>
      <c r="BP100" s="92" t="s">
        <v>1</v>
      </c>
      <c r="BQ100" s="92" t="s">
        <v>1</v>
      </c>
      <c r="BR100" s="92" t="s">
        <v>1</v>
      </c>
      <c r="BS100" s="92" t="s">
        <v>1</v>
      </c>
      <c r="BT100" s="92" t="s">
        <v>1</v>
      </c>
      <c r="BU100" s="92" t="s">
        <v>1</v>
      </c>
      <c r="BV100" s="92" t="s">
        <v>1</v>
      </c>
    </row>
    <row r="101" ht="25" customHeight="1" spans="1:74">
      <c r="A101" s="107">
        <v>45204</v>
      </c>
      <c r="B101" s="32" t="s">
        <v>1</v>
      </c>
      <c r="C101" s="32" t="s">
        <v>1</v>
      </c>
      <c r="D101" s="30" t="s">
        <v>1</v>
      </c>
      <c r="E101" s="30" t="s">
        <v>1</v>
      </c>
      <c r="F101" s="92" t="str">
        <f t="shared" si="2"/>
        <v/>
      </c>
      <c r="G101" s="92" t="s">
        <v>1</v>
      </c>
      <c r="H101" s="92" t="s">
        <v>1</v>
      </c>
      <c r="I101" s="92" t="s">
        <v>1</v>
      </c>
      <c r="J101" s="92" t="s">
        <v>1</v>
      </c>
      <c r="K101" s="74" t="s">
        <v>1</v>
      </c>
      <c r="L101" s="127">
        <v>19898</v>
      </c>
      <c r="M101" s="73" t="s">
        <v>72</v>
      </c>
      <c r="N101" s="128" t="e">
        <f t="shared" si="3"/>
        <v>#VALUE!</v>
      </c>
      <c r="O101" s="32" t="s">
        <v>1</v>
      </c>
      <c r="P101" s="92" t="s">
        <v>1</v>
      </c>
      <c r="Q101" s="92" t="s">
        <v>1</v>
      </c>
      <c r="R101" s="92" t="s">
        <v>1</v>
      </c>
      <c r="S101" s="92" t="s">
        <v>1</v>
      </c>
      <c r="T101" s="92" t="s">
        <v>1</v>
      </c>
      <c r="U101" s="92" t="s">
        <v>1</v>
      </c>
      <c r="V101" s="7" t="s">
        <v>72</v>
      </c>
      <c r="W101" s="92" t="s">
        <v>1</v>
      </c>
      <c r="X101" s="7" t="s">
        <v>72</v>
      </c>
      <c r="Y101" s="92" t="s">
        <v>1</v>
      </c>
      <c r="Z101" s="7" t="s">
        <v>72</v>
      </c>
      <c r="AA101" s="92" t="s">
        <v>1</v>
      </c>
      <c r="AB101" s="7" t="s">
        <v>72</v>
      </c>
      <c r="AC101" s="92" t="s">
        <v>1</v>
      </c>
      <c r="AD101" s="92" t="s">
        <v>1</v>
      </c>
      <c r="AE101" s="92" t="s">
        <v>1</v>
      </c>
      <c r="AF101" s="7" t="s">
        <v>72</v>
      </c>
      <c r="AG101" s="92">
        <v>2062</v>
      </c>
      <c r="AH101" s="92" t="s">
        <v>72</v>
      </c>
      <c r="AI101" s="92">
        <v>203</v>
      </c>
      <c r="AJ101" s="92" t="s">
        <v>72</v>
      </c>
      <c r="AK101" s="92">
        <v>4</v>
      </c>
      <c r="AL101" s="92" t="s">
        <v>72</v>
      </c>
      <c r="AM101" s="92">
        <v>49</v>
      </c>
      <c r="AN101" s="92" t="s">
        <v>72</v>
      </c>
      <c r="AO101" s="92">
        <v>164</v>
      </c>
      <c r="AP101" s="92" t="s">
        <v>72</v>
      </c>
      <c r="AQ101" s="92">
        <v>49</v>
      </c>
      <c r="AR101" s="7" t="s">
        <v>72</v>
      </c>
      <c r="AS101" s="92" t="s">
        <v>1</v>
      </c>
      <c r="AT101" s="92" t="s">
        <v>1</v>
      </c>
      <c r="AU101" s="92" t="s">
        <v>1</v>
      </c>
      <c r="AV101" s="92" t="s">
        <v>1</v>
      </c>
      <c r="AW101" s="92" t="s">
        <v>1</v>
      </c>
      <c r="AX101" s="92" t="s">
        <v>1</v>
      </c>
      <c r="AY101" s="92" t="s">
        <v>1</v>
      </c>
      <c r="AZ101" s="92" t="s">
        <v>1</v>
      </c>
      <c r="BA101" s="92" t="s">
        <v>1</v>
      </c>
      <c r="BB101" s="92" t="s">
        <v>1</v>
      </c>
      <c r="BC101" s="92" t="s">
        <v>1</v>
      </c>
      <c r="BD101" s="92" t="s">
        <v>1</v>
      </c>
      <c r="BE101" s="92" t="s">
        <v>1</v>
      </c>
      <c r="BF101" s="92" t="s">
        <v>1</v>
      </c>
      <c r="BG101" s="108" t="s">
        <v>1</v>
      </c>
      <c r="BH101" s="92" t="s">
        <v>73</v>
      </c>
      <c r="BI101" s="92">
        <v>75</v>
      </c>
      <c r="BJ101" s="92">
        <v>195</v>
      </c>
      <c r="BK101" s="7" t="s">
        <v>72</v>
      </c>
      <c r="BL101" s="92" t="s">
        <v>1</v>
      </c>
      <c r="BM101" s="92" t="s">
        <v>1</v>
      </c>
      <c r="BN101" s="92" t="s">
        <v>1</v>
      </c>
      <c r="BO101" s="92" t="s">
        <v>1</v>
      </c>
      <c r="BP101" s="92" t="s">
        <v>1</v>
      </c>
      <c r="BQ101" s="92" t="s">
        <v>1</v>
      </c>
      <c r="BR101" s="92" t="s">
        <v>1</v>
      </c>
      <c r="BS101" s="92" t="s">
        <v>1</v>
      </c>
      <c r="BT101" s="92" t="s">
        <v>1</v>
      </c>
      <c r="BU101" s="92" t="s">
        <v>1</v>
      </c>
      <c r="BV101" s="92" t="s">
        <v>1</v>
      </c>
    </row>
    <row r="102" ht="25" customHeight="1" spans="1:74">
      <c r="A102" s="107">
        <v>45205</v>
      </c>
      <c r="B102" s="32" t="s">
        <v>1</v>
      </c>
      <c r="C102" s="32" t="s">
        <v>1</v>
      </c>
      <c r="D102" s="30" t="s">
        <v>1</v>
      </c>
      <c r="E102" s="30" t="s">
        <v>1</v>
      </c>
      <c r="F102" s="92" t="str">
        <f t="shared" si="2"/>
        <v/>
      </c>
      <c r="G102" s="92" t="s">
        <v>1</v>
      </c>
      <c r="H102" s="92" t="s">
        <v>1</v>
      </c>
      <c r="I102" s="92" t="s">
        <v>1</v>
      </c>
      <c r="J102" s="92" t="s">
        <v>1</v>
      </c>
      <c r="K102" s="74" t="s">
        <v>1</v>
      </c>
      <c r="L102" s="129">
        <v>9799</v>
      </c>
      <c r="M102" s="18" t="s">
        <v>72</v>
      </c>
      <c r="N102" s="128" t="e">
        <f t="shared" si="3"/>
        <v>#VALUE!</v>
      </c>
      <c r="O102" s="32" t="s">
        <v>1</v>
      </c>
      <c r="P102" s="92" t="s">
        <v>1</v>
      </c>
      <c r="Q102" s="92" t="s">
        <v>1</v>
      </c>
      <c r="R102" s="92" t="s">
        <v>1</v>
      </c>
      <c r="S102" s="92" t="s">
        <v>1</v>
      </c>
      <c r="T102" s="92" t="s">
        <v>1</v>
      </c>
      <c r="U102" s="92" t="s">
        <v>1</v>
      </c>
      <c r="V102" s="7" t="s">
        <v>72</v>
      </c>
      <c r="W102" s="92" t="s">
        <v>1</v>
      </c>
      <c r="X102" s="7" t="s">
        <v>72</v>
      </c>
      <c r="Y102" s="92" t="s">
        <v>1</v>
      </c>
      <c r="Z102" s="7" t="s">
        <v>72</v>
      </c>
      <c r="AA102" s="92" t="s">
        <v>1</v>
      </c>
      <c r="AB102" s="7" t="s">
        <v>72</v>
      </c>
      <c r="AC102" s="92" t="s">
        <v>1</v>
      </c>
      <c r="AD102" s="92" t="s">
        <v>1</v>
      </c>
      <c r="AE102" s="92" t="s">
        <v>1</v>
      </c>
      <c r="AF102" s="7" t="s">
        <v>72</v>
      </c>
      <c r="AG102" s="92">
        <v>1778</v>
      </c>
      <c r="AH102" s="92" t="s">
        <v>72</v>
      </c>
      <c r="AI102" s="92">
        <v>218</v>
      </c>
      <c r="AJ102" s="92" t="s">
        <v>72</v>
      </c>
      <c r="AK102" s="92">
        <v>16</v>
      </c>
      <c r="AL102" s="92" t="s">
        <v>72</v>
      </c>
      <c r="AM102" s="92">
        <v>38</v>
      </c>
      <c r="AN102" s="92" t="s">
        <v>72</v>
      </c>
      <c r="AO102" s="92">
        <v>162</v>
      </c>
      <c r="AP102" s="92" t="s">
        <v>72</v>
      </c>
      <c r="AQ102" s="92">
        <v>34</v>
      </c>
      <c r="AR102" s="7" t="s">
        <v>72</v>
      </c>
      <c r="AS102" s="92" t="s">
        <v>1</v>
      </c>
      <c r="AT102" s="92" t="s">
        <v>1</v>
      </c>
      <c r="AU102" s="92" t="s">
        <v>1</v>
      </c>
      <c r="AV102" s="92" t="s">
        <v>1</v>
      </c>
      <c r="AW102" s="92" t="s">
        <v>1</v>
      </c>
      <c r="AX102" s="92" t="s">
        <v>1</v>
      </c>
      <c r="AY102" s="92" t="s">
        <v>1</v>
      </c>
      <c r="AZ102" s="92" t="s">
        <v>1</v>
      </c>
      <c r="BA102" s="92" t="s">
        <v>1</v>
      </c>
      <c r="BB102" s="92" t="s">
        <v>1</v>
      </c>
      <c r="BC102" s="92" t="s">
        <v>1</v>
      </c>
      <c r="BD102" s="92" t="s">
        <v>1</v>
      </c>
      <c r="BE102" s="92" t="s">
        <v>1</v>
      </c>
      <c r="BF102" s="92" t="s">
        <v>1</v>
      </c>
      <c r="BG102" s="108" t="s">
        <v>1</v>
      </c>
      <c r="BH102" s="92" t="s">
        <v>73</v>
      </c>
      <c r="BI102" s="92">
        <v>88</v>
      </c>
      <c r="BJ102" s="92">
        <v>181</v>
      </c>
      <c r="BK102" s="7" t="s">
        <v>72</v>
      </c>
      <c r="BL102" s="92" t="s">
        <v>1</v>
      </c>
      <c r="BM102" s="92" t="s">
        <v>1</v>
      </c>
      <c r="BN102" s="92" t="s">
        <v>1</v>
      </c>
      <c r="BO102" s="92" t="s">
        <v>1</v>
      </c>
      <c r="BP102" s="92" t="s">
        <v>1</v>
      </c>
      <c r="BQ102" s="92" t="s">
        <v>1</v>
      </c>
      <c r="BR102" s="92" t="s">
        <v>1</v>
      </c>
      <c r="BS102" s="92" t="s">
        <v>1</v>
      </c>
      <c r="BT102" s="92" t="s">
        <v>1</v>
      </c>
      <c r="BU102" s="92" t="s">
        <v>1</v>
      </c>
      <c r="BV102" s="92" t="s">
        <v>1</v>
      </c>
    </row>
    <row r="103" ht="25" customHeight="1" spans="1:74">
      <c r="A103" s="107">
        <v>45206</v>
      </c>
      <c r="B103" s="32" t="s">
        <v>1</v>
      </c>
      <c r="C103" s="32" t="s">
        <v>1</v>
      </c>
      <c r="D103" s="30" t="s">
        <v>1</v>
      </c>
      <c r="E103" s="30" t="s">
        <v>1</v>
      </c>
      <c r="F103" s="92" t="str">
        <f t="shared" si="2"/>
        <v/>
      </c>
      <c r="G103" s="92" t="s">
        <v>1</v>
      </c>
      <c r="H103" s="92" t="s">
        <v>1</v>
      </c>
      <c r="I103" s="92" t="s">
        <v>1</v>
      </c>
      <c r="J103" s="92" t="s">
        <v>1</v>
      </c>
      <c r="K103" s="92" t="s">
        <v>1</v>
      </c>
      <c r="L103" s="91">
        <v>8899</v>
      </c>
      <c r="M103" s="18" t="s">
        <v>72</v>
      </c>
      <c r="N103" s="128" t="e">
        <f t="shared" si="3"/>
        <v>#VALUE!</v>
      </c>
      <c r="O103" s="32" t="s">
        <v>1</v>
      </c>
      <c r="P103" s="92" t="s">
        <v>1</v>
      </c>
      <c r="Q103" s="92" t="s">
        <v>1</v>
      </c>
      <c r="R103" s="92" t="s">
        <v>1</v>
      </c>
      <c r="S103" s="92" t="s">
        <v>1</v>
      </c>
      <c r="T103" s="92" t="s">
        <v>1</v>
      </c>
      <c r="U103" s="92" t="s">
        <v>1</v>
      </c>
      <c r="V103" s="7" t="s">
        <v>72</v>
      </c>
      <c r="W103" s="92" t="s">
        <v>1</v>
      </c>
      <c r="X103" s="7" t="s">
        <v>72</v>
      </c>
      <c r="Y103" s="92" t="s">
        <v>1</v>
      </c>
      <c r="Z103" s="7" t="s">
        <v>72</v>
      </c>
      <c r="AA103" s="92" t="s">
        <v>1</v>
      </c>
      <c r="AB103" s="7" t="s">
        <v>72</v>
      </c>
      <c r="AC103" s="92" t="s">
        <v>1</v>
      </c>
      <c r="AD103" s="92" t="s">
        <v>1</v>
      </c>
      <c r="AE103" s="92" t="s">
        <v>1</v>
      </c>
      <c r="AF103" s="7" t="s">
        <v>72</v>
      </c>
      <c r="AG103" s="125">
        <v>2105</v>
      </c>
      <c r="AH103" s="92" t="s">
        <v>72</v>
      </c>
      <c r="AI103" s="92">
        <v>204</v>
      </c>
      <c r="AJ103" s="92" t="s">
        <v>72</v>
      </c>
      <c r="AK103" s="92">
        <v>2</v>
      </c>
      <c r="AL103" s="92" t="s">
        <v>72</v>
      </c>
      <c r="AM103" s="92">
        <v>47</v>
      </c>
      <c r="AN103" s="92" t="s">
        <v>72</v>
      </c>
      <c r="AO103" s="92">
        <v>168</v>
      </c>
      <c r="AP103" s="92" t="s">
        <v>72</v>
      </c>
      <c r="AQ103" s="92">
        <v>40</v>
      </c>
      <c r="AR103" s="7" t="s">
        <v>72</v>
      </c>
      <c r="AS103" s="92" t="s">
        <v>1</v>
      </c>
      <c r="AT103" s="92" t="s">
        <v>1</v>
      </c>
      <c r="AU103" s="92" t="s">
        <v>1</v>
      </c>
      <c r="AV103" s="92" t="s">
        <v>1</v>
      </c>
      <c r="AW103" s="92" t="s">
        <v>1</v>
      </c>
      <c r="AX103" s="92" t="s">
        <v>1</v>
      </c>
      <c r="AY103" s="92" t="s">
        <v>1</v>
      </c>
      <c r="AZ103" s="92" t="s">
        <v>1</v>
      </c>
      <c r="BA103" s="92" t="s">
        <v>1</v>
      </c>
      <c r="BB103" s="92" t="s">
        <v>1</v>
      </c>
      <c r="BC103" s="92" t="s">
        <v>1</v>
      </c>
      <c r="BD103" s="92" t="s">
        <v>1</v>
      </c>
      <c r="BE103" s="92" t="s">
        <v>1</v>
      </c>
      <c r="BF103" s="92" t="s">
        <v>1</v>
      </c>
      <c r="BG103" s="108" t="s">
        <v>1</v>
      </c>
      <c r="BH103" s="92" t="s">
        <v>73</v>
      </c>
      <c r="BI103" s="92">
        <v>73</v>
      </c>
      <c r="BJ103" s="92">
        <v>212</v>
      </c>
      <c r="BK103" s="7" t="s">
        <v>1</v>
      </c>
      <c r="BL103" s="92" t="s">
        <v>1</v>
      </c>
      <c r="BM103" s="92" t="s">
        <v>1</v>
      </c>
      <c r="BN103" s="92" t="s">
        <v>1</v>
      </c>
      <c r="BO103" s="92" t="s">
        <v>1</v>
      </c>
      <c r="BP103" s="92" t="s">
        <v>1</v>
      </c>
      <c r="BQ103" s="92" t="s">
        <v>1</v>
      </c>
      <c r="BR103" s="92" t="s">
        <v>1</v>
      </c>
      <c r="BS103" s="92" t="s">
        <v>1</v>
      </c>
      <c r="BT103" s="92" t="s">
        <v>1</v>
      </c>
      <c r="BU103" s="92" t="s">
        <v>1</v>
      </c>
      <c r="BV103" s="92" t="s">
        <v>1</v>
      </c>
    </row>
    <row r="104" ht="25" customHeight="1" spans="1:74">
      <c r="A104" s="107">
        <v>45207</v>
      </c>
      <c r="B104" s="32" t="s">
        <v>1</v>
      </c>
      <c r="C104" s="32" t="s">
        <v>1</v>
      </c>
      <c r="D104" s="30" t="s">
        <v>1</v>
      </c>
      <c r="E104" s="30" t="s">
        <v>1</v>
      </c>
      <c r="F104" s="92" t="str">
        <f t="shared" si="2"/>
        <v/>
      </c>
      <c r="G104" s="92" t="s">
        <v>1</v>
      </c>
      <c r="H104" s="92" t="s">
        <v>1</v>
      </c>
      <c r="I104" s="92" t="s">
        <v>1</v>
      </c>
      <c r="J104" s="92" t="s">
        <v>1</v>
      </c>
      <c r="K104" s="92" t="s">
        <v>1</v>
      </c>
      <c r="L104" s="92">
        <v>0</v>
      </c>
      <c r="M104" s="18" t="s">
        <v>72</v>
      </c>
      <c r="N104" s="110" t="s">
        <v>1</v>
      </c>
      <c r="O104" s="32" t="s">
        <v>1</v>
      </c>
      <c r="P104" s="92" t="s">
        <v>1</v>
      </c>
      <c r="Q104" s="92" t="s">
        <v>1</v>
      </c>
      <c r="R104" s="92" t="s">
        <v>1</v>
      </c>
      <c r="S104" s="92" t="s">
        <v>1</v>
      </c>
      <c r="T104" s="92" t="s">
        <v>1</v>
      </c>
      <c r="U104" s="92" t="s">
        <v>1</v>
      </c>
      <c r="V104" s="7" t="s">
        <v>72</v>
      </c>
      <c r="W104" s="92" t="s">
        <v>1</v>
      </c>
      <c r="X104" s="7" t="s">
        <v>72</v>
      </c>
      <c r="Y104" s="92" t="s">
        <v>1</v>
      </c>
      <c r="Z104" s="7" t="s">
        <v>72</v>
      </c>
      <c r="AA104" s="92" t="s">
        <v>1</v>
      </c>
      <c r="AB104" s="7" t="s">
        <v>72</v>
      </c>
      <c r="AC104" s="92" t="s">
        <v>1</v>
      </c>
      <c r="AD104" s="92" t="s">
        <v>1</v>
      </c>
      <c r="AE104" s="92" t="s">
        <v>1</v>
      </c>
      <c r="AF104" s="7" t="s">
        <v>72</v>
      </c>
      <c r="AG104" s="125">
        <v>1827</v>
      </c>
      <c r="AH104" s="92" t="s">
        <v>72</v>
      </c>
      <c r="AI104" s="92">
        <v>193</v>
      </c>
      <c r="AJ104" s="92" t="s">
        <v>72</v>
      </c>
      <c r="AK104" s="92">
        <v>6</v>
      </c>
      <c r="AL104" s="92" t="s">
        <v>72</v>
      </c>
      <c r="AM104" s="92">
        <v>34</v>
      </c>
      <c r="AN104" s="92" t="s">
        <v>72</v>
      </c>
      <c r="AO104" s="92">
        <v>162</v>
      </c>
      <c r="AP104" s="92" t="s">
        <v>72</v>
      </c>
      <c r="AQ104" s="92">
        <v>46</v>
      </c>
      <c r="AR104" s="7" t="s">
        <v>72</v>
      </c>
      <c r="AS104" s="92" t="s">
        <v>1</v>
      </c>
      <c r="AT104" s="92" t="s">
        <v>1</v>
      </c>
      <c r="AU104" s="92" t="s">
        <v>1</v>
      </c>
      <c r="AV104" s="92" t="s">
        <v>1</v>
      </c>
      <c r="AW104" s="92" t="s">
        <v>1</v>
      </c>
      <c r="AX104" s="92" t="s">
        <v>1</v>
      </c>
      <c r="AY104" s="92" t="s">
        <v>1</v>
      </c>
      <c r="AZ104" s="92" t="s">
        <v>1</v>
      </c>
      <c r="BA104" s="92" t="s">
        <v>1</v>
      </c>
      <c r="BB104" s="92" t="s">
        <v>1</v>
      </c>
      <c r="BC104" s="92" t="s">
        <v>1</v>
      </c>
      <c r="BD104" s="92" t="s">
        <v>1</v>
      </c>
      <c r="BE104" s="92" t="s">
        <v>1</v>
      </c>
      <c r="BF104" s="92" t="s">
        <v>1</v>
      </c>
      <c r="BG104" s="108" t="s">
        <v>1</v>
      </c>
      <c r="BH104" s="92" t="s">
        <v>1</v>
      </c>
      <c r="BI104" s="92" t="s">
        <v>1</v>
      </c>
      <c r="BJ104" s="92" t="s">
        <v>1</v>
      </c>
      <c r="BK104" s="7" t="s">
        <v>1</v>
      </c>
      <c r="BL104" s="92" t="s">
        <v>1</v>
      </c>
      <c r="BM104" s="92" t="s">
        <v>1</v>
      </c>
      <c r="BN104" s="92" t="s">
        <v>1</v>
      </c>
      <c r="BO104" s="92" t="s">
        <v>1</v>
      </c>
      <c r="BP104" s="92" t="s">
        <v>1</v>
      </c>
      <c r="BQ104" s="92" t="s">
        <v>1</v>
      </c>
      <c r="BR104" s="92" t="s">
        <v>1</v>
      </c>
      <c r="BS104" s="92" t="s">
        <v>1</v>
      </c>
      <c r="BT104" s="92" t="s">
        <v>1</v>
      </c>
      <c r="BU104" s="92" t="s">
        <v>1</v>
      </c>
      <c r="BV104" s="92" t="s">
        <v>1</v>
      </c>
    </row>
    <row r="105" ht="25" customHeight="1" spans="1:74">
      <c r="A105" s="107">
        <v>45208</v>
      </c>
      <c r="B105" s="32" t="s">
        <v>1</v>
      </c>
      <c r="C105" s="32" t="s">
        <v>1</v>
      </c>
      <c r="D105" s="30" t="s">
        <v>1</v>
      </c>
      <c r="E105" s="30" t="s">
        <v>1</v>
      </c>
      <c r="F105" s="92" t="str">
        <f t="shared" si="2"/>
        <v/>
      </c>
      <c r="G105" s="92" t="s">
        <v>1</v>
      </c>
      <c r="H105" s="92" t="s">
        <v>1</v>
      </c>
      <c r="I105" s="92" t="s">
        <v>1</v>
      </c>
      <c r="J105" s="92" t="s">
        <v>1</v>
      </c>
      <c r="K105" s="92" t="s">
        <v>1</v>
      </c>
      <c r="L105" s="92">
        <v>17798</v>
      </c>
      <c r="M105" s="18" t="s">
        <v>72</v>
      </c>
      <c r="N105" s="110" t="s">
        <v>1</v>
      </c>
      <c r="O105" s="32" t="s">
        <v>1</v>
      </c>
      <c r="P105" s="92" t="s">
        <v>1</v>
      </c>
      <c r="Q105" s="92" t="s">
        <v>1</v>
      </c>
      <c r="R105" s="92" t="s">
        <v>1</v>
      </c>
      <c r="S105" s="92" t="s">
        <v>1</v>
      </c>
      <c r="T105" s="92" t="s">
        <v>1</v>
      </c>
      <c r="U105" s="92" t="s">
        <v>1</v>
      </c>
      <c r="V105" s="7" t="s">
        <v>72</v>
      </c>
      <c r="W105" s="92" t="s">
        <v>1</v>
      </c>
      <c r="X105" s="7" t="s">
        <v>72</v>
      </c>
      <c r="Y105" s="92" t="s">
        <v>1</v>
      </c>
      <c r="Z105" s="7" t="s">
        <v>72</v>
      </c>
      <c r="AA105" s="92" t="s">
        <v>1</v>
      </c>
      <c r="AB105" s="7" t="s">
        <v>72</v>
      </c>
      <c r="AC105" s="92" t="s">
        <v>1</v>
      </c>
      <c r="AD105" s="92" t="s">
        <v>1</v>
      </c>
      <c r="AE105" s="92" t="s">
        <v>1</v>
      </c>
      <c r="AF105" s="7" t="s">
        <v>72</v>
      </c>
      <c r="AG105" s="92" t="s">
        <v>1</v>
      </c>
      <c r="AH105" s="92" t="s">
        <v>72</v>
      </c>
      <c r="AI105" s="92" t="s">
        <v>1</v>
      </c>
      <c r="AJ105" s="92" t="s">
        <v>72</v>
      </c>
      <c r="AK105" s="92" t="s">
        <v>1</v>
      </c>
      <c r="AL105" s="92" t="s">
        <v>72</v>
      </c>
      <c r="AM105" s="92" t="s">
        <v>1</v>
      </c>
      <c r="AN105" s="92" t="s">
        <v>72</v>
      </c>
      <c r="AO105" s="92" t="s">
        <v>1</v>
      </c>
      <c r="AP105" s="92" t="s">
        <v>72</v>
      </c>
      <c r="AQ105" s="92" t="s">
        <v>1</v>
      </c>
      <c r="AR105" s="7" t="s">
        <v>72</v>
      </c>
      <c r="AS105" s="92" t="s">
        <v>1</v>
      </c>
      <c r="AT105" s="92" t="s">
        <v>1</v>
      </c>
      <c r="AU105" s="92" t="s">
        <v>1</v>
      </c>
      <c r="AV105" s="92" t="s">
        <v>1</v>
      </c>
      <c r="AW105" s="92" t="s">
        <v>1</v>
      </c>
      <c r="AX105" s="92" t="s">
        <v>1</v>
      </c>
      <c r="AY105" s="92" t="s">
        <v>1</v>
      </c>
      <c r="AZ105" s="92" t="s">
        <v>1</v>
      </c>
      <c r="BA105" s="92" t="s">
        <v>1</v>
      </c>
      <c r="BB105" s="92" t="s">
        <v>1</v>
      </c>
      <c r="BC105" s="92" t="s">
        <v>1</v>
      </c>
      <c r="BD105" s="92" t="s">
        <v>1</v>
      </c>
      <c r="BE105" s="92" t="s">
        <v>1</v>
      </c>
      <c r="BF105" s="92" t="s">
        <v>1</v>
      </c>
      <c r="BG105" s="108" t="s">
        <v>1</v>
      </c>
      <c r="BH105" s="92" t="s">
        <v>1</v>
      </c>
      <c r="BI105" s="92" t="s">
        <v>1</v>
      </c>
      <c r="BJ105" s="92" t="s">
        <v>1</v>
      </c>
      <c r="BK105" s="7" t="s">
        <v>1</v>
      </c>
      <c r="BL105" s="92" t="s">
        <v>1</v>
      </c>
      <c r="BM105" s="92" t="s">
        <v>1</v>
      </c>
      <c r="BN105" s="92" t="s">
        <v>1</v>
      </c>
      <c r="BO105" s="92" t="s">
        <v>1</v>
      </c>
      <c r="BP105" s="92" t="s">
        <v>1</v>
      </c>
      <c r="BQ105" s="92" t="s">
        <v>1</v>
      </c>
      <c r="BR105" s="92" t="s">
        <v>1</v>
      </c>
      <c r="BS105" s="92" t="s">
        <v>1</v>
      </c>
      <c r="BT105" s="92" t="s">
        <v>1</v>
      </c>
      <c r="BU105" s="92" t="s">
        <v>1</v>
      </c>
      <c r="BV105" s="92" t="s">
        <v>1</v>
      </c>
    </row>
    <row r="106" ht="25" customHeight="1" spans="1:74">
      <c r="A106" s="107">
        <v>45209</v>
      </c>
      <c r="B106" s="32" t="s">
        <v>1</v>
      </c>
      <c r="C106" s="32" t="s">
        <v>1</v>
      </c>
      <c r="D106" s="30" t="s">
        <v>1</v>
      </c>
      <c r="E106" s="30" t="s">
        <v>1</v>
      </c>
      <c r="F106" s="92" t="str">
        <f t="shared" si="2"/>
        <v/>
      </c>
      <c r="G106" s="92" t="s">
        <v>1</v>
      </c>
      <c r="H106" s="92" t="s">
        <v>1</v>
      </c>
      <c r="I106" s="92" t="s">
        <v>1</v>
      </c>
      <c r="J106" s="92" t="s">
        <v>1</v>
      </c>
      <c r="K106" s="92" t="s">
        <v>1</v>
      </c>
      <c r="L106" s="92">
        <v>0</v>
      </c>
      <c r="M106" s="18" t="s">
        <v>72</v>
      </c>
      <c r="N106" s="110" t="s">
        <v>1</v>
      </c>
      <c r="O106" s="32" t="s">
        <v>1</v>
      </c>
      <c r="P106" s="92" t="s">
        <v>1</v>
      </c>
      <c r="Q106" s="92" t="s">
        <v>1</v>
      </c>
      <c r="R106" s="92" t="s">
        <v>1</v>
      </c>
      <c r="S106" s="92" t="s">
        <v>1</v>
      </c>
      <c r="T106" s="92" t="s">
        <v>1</v>
      </c>
      <c r="U106" s="92" t="s">
        <v>1</v>
      </c>
      <c r="V106" s="7" t="s">
        <v>72</v>
      </c>
      <c r="W106" s="92" t="s">
        <v>1</v>
      </c>
      <c r="X106" s="7" t="s">
        <v>72</v>
      </c>
      <c r="Y106" s="92" t="s">
        <v>1</v>
      </c>
      <c r="Z106" s="7" t="s">
        <v>72</v>
      </c>
      <c r="AA106" s="92" t="s">
        <v>1</v>
      </c>
      <c r="AB106" s="7" t="s">
        <v>72</v>
      </c>
      <c r="AC106" s="92" t="s">
        <v>1</v>
      </c>
      <c r="AD106" s="92" t="s">
        <v>1</v>
      </c>
      <c r="AE106" s="92" t="s">
        <v>1</v>
      </c>
      <c r="AF106" s="7" t="s">
        <v>72</v>
      </c>
      <c r="AG106" s="92" t="s">
        <v>1</v>
      </c>
      <c r="AH106" s="92" t="s">
        <v>72</v>
      </c>
      <c r="AI106" s="92" t="s">
        <v>1</v>
      </c>
      <c r="AJ106" s="92" t="s">
        <v>72</v>
      </c>
      <c r="AK106" s="92" t="s">
        <v>1</v>
      </c>
      <c r="AL106" s="92" t="s">
        <v>72</v>
      </c>
      <c r="AM106" s="92" t="s">
        <v>1</v>
      </c>
      <c r="AN106" s="92" t="s">
        <v>72</v>
      </c>
      <c r="AO106" s="92" t="s">
        <v>1</v>
      </c>
      <c r="AP106" s="92" t="s">
        <v>72</v>
      </c>
      <c r="AQ106" s="92" t="s">
        <v>1</v>
      </c>
      <c r="AR106" s="7" t="s">
        <v>72</v>
      </c>
      <c r="AS106" s="92" t="s">
        <v>1</v>
      </c>
      <c r="AT106" s="92" t="s">
        <v>1</v>
      </c>
      <c r="AU106" s="92" t="s">
        <v>1</v>
      </c>
      <c r="AV106" s="92" t="s">
        <v>1</v>
      </c>
      <c r="AW106" s="92" t="s">
        <v>1</v>
      </c>
      <c r="AX106" s="92" t="s">
        <v>1</v>
      </c>
      <c r="AY106" s="92" t="s">
        <v>1</v>
      </c>
      <c r="AZ106" s="92" t="s">
        <v>1</v>
      </c>
      <c r="BA106" s="92" t="s">
        <v>1</v>
      </c>
      <c r="BB106" s="92" t="s">
        <v>1</v>
      </c>
      <c r="BC106" s="92" t="s">
        <v>1</v>
      </c>
      <c r="BD106" s="92" t="s">
        <v>1</v>
      </c>
      <c r="BE106" s="92" t="s">
        <v>1</v>
      </c>
      <c r="BF106" s="92" t="s">
        <v>1</v>
      </c>
      <c r="BG106" s="108" t="s">
        <v>1</v>
      </c>
      <c r="BH106" s="92" t="s">
        <v>1</v>
      </c>
      <c r="BI106" s="92" t="s">
        <v>1</v>
      </c>
      <c r="BJ106" s="92" t="s">
        <v>1</v>
      </c>
      <c r="BK106" s="7" t="s">
        <v>1</v>
      </c>
      <c r="BL106" s="92" t="s">
        <v>1</v>
      </c>
      <c r="BM106" s="92" t="s">
        <v>1</v>
      </c>
      <c r="BN106" s="92" t="s">
        <v>1</v>
      </c>
      <c r="BO106" s="92" t="s">
        <v>1</v>
      </c>
      <c r="BP106" s="92" t="s">
        <v>1</v>
      </c>
      <c r="BQ106" s="92" t="s">
        <v>1</v>
      </c>
      <c r="BR106" s="92" t="s">
        <v>1</v>
      </c>
      <c r="BS106" s="92" t="s">
        <v>1</v>
      </c>
      <c r="BT106" s="92" t="s">
        <v>1</v>
      </c>
      <c r="BU106" s="92" t="s">
        <v>1</v>
      </c>
      <c r="BV106" s="92" t="s">
        <v>1</v>
      </c>
    </row>
    <row r="107" ht="25" customHeight="1" spans="1:74">
      <c r="A107" s="107">
        <v>45210</v>
      </c>
      <c r="B107" s="32" t="s">
        <v>1</v>
      </c>
      <c r="C107" s="32" t="s">
        <v>1</v>
      </c>
      <c r="D107" s="30" t="s">
        <v>1</v>
      </c>
      <c r="E107" s="30" t="s">
        <v>1</v>
      </c>
      <c r="F107" s="92" t="str">
        <f t="shared" si="2"/>
        <v/>
      </c>
      <c r="G107" s="92" t="s">
        <v>1</v>
      </c>
      <c r="H107" s="92" t="s">
        <v>1</v>
      </c>
      <c r="I107" s="92" t="s">
        <v>1</v>
      </c>
      <c r="J107" s="92" t="s">
        <v>1</v>
      </c>
      <c r="K107" s="92" t="s">
        <v>1</v>
      </c>
      <c r="L107" s="92">
        <v>11099</v>
      </c>
      <c r="M107" s="18" t="s">
        <v>72</v>
      </c>
      <c r="N107" s="110" t="s">
        <v>1</v>
      </c>
      <c r="O107" s="32" t="s">
        <v>1</v>
      </c>
      <c r="P107" s="92" t="s">
        <v>1</v>
      </c>
      <c r="Q107" s="92" t="s">
        <v>1</v>
      </c>
      <c r="R107" s="92" t="s">
        <v>1</v>
      </c>
      <c r="S107" s="92" t="s">
        <v>1</v>
      </c>
      <c r="T107" s="92" t="s">
        <v>1</v>
      </c>
      <c r="U107" s="92" t="s">
        <v>1</v>
      </c>
      <c r="V107" s="7" t="s">
        <v>72</v>
      </c>
      <c r="W107" s="92" t="s">
        <v>1</v>
      </c>
      <c r="X107" s="7" t="s">
        <v>72</v>
      </c>
      <c r="Y107" s="92" t="s">
        <v>1</v>
      </c>
      <c r="Z107" s="7" t="s">
        <v>72</v>
      </c>
      <c r="AA107" s="92" t="s">
        <v>1</v>
      </c>
      <c r="AB107" s="7" t="s">
        <v>72</v>
      </c>
      <c r="AC107" s="92" t="s">
        <v>1</v>
      </c>
      <c r="AD107" s="92" t="s">
        <v>1</v>
      </c>
      <c r="AE107" s="92" t="s">
        <v>1</v>
      </c>
      <c r="AF107" s="7" t="s">
        <v>72</v>
      </c>
      <c r="AG107" s="92" t="s">
        <v>1</v>
      </c>
      <c r="AH107" s="92" t="s">
        <v>72</v>
      </c>
      <c r="AI107" s="92" t="s">
        <v>1</v>
      </c>
      <c r="AJ107" s="92" t="s">
        <v>72</v>
      </c>
      <c r="AK107" s="92" t="s">
        <v>1</v>
      </c>
      <c r="AL107" s="92" t="s">
        <v>72</v>
      </c>
      <c r="AM107" s="92" t="s">
        <v>1</v>
      </c>
      <c r="AN107" s="92" t="s">
        <v>72</v>
      </c>
      <c r="AO107" s="92" t="s">
        <v>1</v>
      </c>
      <c r="AP107" s="92" t="s">
        <v>72</v>
      </c>
      <c r="AQ107" s="92" t="s">
        <v>1</v>
      </c>
      <c r="AR107" s="7" t="s">
        <v>72</v>
      </c>
      <c r="AS107" s="92" t="s">
        <v>1</v>
      </c>
      <c r="AT107" s="92" t="s">
        <v>1</v>
      </c>
      <c r="AU107" s="92" t="s">
        <v>1</v>
      </c>
      <c r="AV107" s="92" t="s">
        <v>1</v>
      </c>
      <c r="AW107" s="92" t="s">
        <v>1</v>
      </c>
      <c r="AX107" s="92" t="s">
        <v>1</v>
      </c>
      <c r="AY107" s="92" t="s">
        <v>1</v>
      </c>
      <c r="AZ107" s="92" t="s">
        <v>1</v>
      </c>
      <c r="BA107" s="92" t="s">
        <v>1</v>
      </c>
      <c r="BB107" s="92" t="s">
        <v>1</v>
      </c>
      <c r="BC107" s="92" t="s">
        <v>1</v>
      </c>
      <c r="BD107" s="92" t="s">
        <v>1</v>
      </c>
      <c r="BE107" s="92" t="s">
        <v>1</v>
      </c>
      <c r="BF107" s="92" t="s">
        <v>1</v>
      </c>
      <c r="BG107" s="108" t="s">
        <v>1</v>
      </c>
      <c r="BH107" s="92" t="s">
        <v>1</v>
      </c>
      <c r="BI107" s="92" t="s">
        <v>1</v>
      </c>
      <c r="BJ107" s="92" t="s">
        <v>1</v>
      </c>
      <c r="BK107" s="7" t="s">
        <v>1</v>
      </c>
      <c r="BL107" s="92" t="s">
        <v>1</v>
      </c>
      <c r="BM107" s="92" t="s">
        <v>1</v>
      </c>
      <c r="BN107" s="92" t="s">
        <v>1</v>
      </c>
      <c r="BO107" s="92" t="s">
        <v>1</v>
      </c>
      <c r="BP107" s="92" t="s">
        <v>1</v>
      </c>
      <c r="BQ107" s="92" t="s">
        <v>1</v>
      </c>
      <c r="BR107" s="92" t="s">
        <v>1</v>
      </c>
      <c r="BS107" s="92" t="s">
        <v>1</v>
      </c>
      <c r="BT107" s="92" t="s">
        <v>1</v>
      </c>
      <c r="BU107" s="92" t="s">
        <v>1</v>
      </c>
      <c r="BV107" s="92" t="s">
        <v>1</v>
      </c>
    </row>
    <row r="108" ht="25" customHeight="1" spans="1:74">
      <c r="A108" s="107">
        <v>45211</v>
      </c>
      <c r="B108" s="32" t="s">
        <v>1</v>
      </c>
      <c r="C108" s="32" t="s">
        <v>1</v>
      </c>
      <c r="D108" s="30" t="s">
        <v>1</v>
      </c>
      <c r="E108" s="30" t="s">
        <v>1</v>
      </c>
      <c r="F108" s="92" t="str">
        <f t="shared" si="2"/>
        <v/>
      </c>
      <c r="G108" s="92" t="s">
        <v>1</v>
      </c>
      <c r="H108" s="92" t="s">
        <v>1</v>
      </c>
      <c r="I108" s="92" t="s">
        <v>1</v>
      </c>
      <c r="J108" s="92" t="s">
        <v>1</v>
      </c>
      <c r="K108" s="92" t="s">
        <v>1</v>
      </c>
      <c r="L108" s="92">
        <v>100</v>
      </c>
      <c r="M108" s="18" t="s">
        <v>72</v>
      </c>
      <c r="N108" s="110" t="s">
        <v>1</v>
      </c>
      <c r="O108" s="32" t="s">
        <v>1</v>
      </c>
      <c r="P108" s="92" t="s">
        <v>1</v>
      </c>
      <c r="Q108" s="92" t="s">
        <v>1</v>
      </c>
      <c r="R108" s="92" t="s">
        <v>1</v>
      </c>
      <c r="S108" s="92" t="s">
        <v>1</v>
      </c>
      <c r="T108" s="92" t="s">
        <v>1</v>
      </c>
      <c r="U108" s="92" t="s">
        <v>1</v>
      </c>
      <c r="V108" s="7" t="s">
        <v>72</v>
      </c>
      <c r="W108" s="92" t="s">
        <v>1</v>
      </c>
      <c r="X108" s="7" t="s">
        <v>72</v>
      </c>
      <c r="Y108" s="92" t="s">
        <v>1</v>
      </c>
      <c r="Z108" s="7" t="s">
        <v>72</v>
      </c>
      <c r="AA108" s="92" t="s">
        <v>1</v>
      </c>
      <c r="AB108" s="7" t="s">
        <v>72</v>
      </c>
      <c r="AC108" s="92" t="s">
        <v>1</v>
      </c>
      <c r="AD108" s="92" t="s">
        <v>1</v>
      </c>
      <c r="AE108" s="92" t="s">
        <v>1</v>
      </c>
      <c r="AF108" s="7" t="s">
        <v>72</v>
      </c>
      <c r="AG108" s="92" t="s">
        <v>1</v>
      </c>
      <c r="AH108" s="92" t="s">
        <v>72</v>
      </c>
      <c r="AI108" s="92" t="s">
        <v>1</v>
      </c>
      <c r="AJ108" s="92" t="s">
        <v>72</v>
      </c>
      <c r="AK108" s="92" t="s">
        <v>1</v>
      </c>
      <c r="AL108" s="92" t="s">
        <v>72</v>
      </c>
      <c r="AM108" s="92" t="s">
        <v>1</v>
      </c>
      <c r="AN108" s="92" t="s">
        <v>72</v>
      </c>
      <c r="AO108" s="92" t="s">
        <v>1</v>
      </c>
      <c r="AP108" s="92" t="s">
        <v>72</v>
      </c>
      <c r="AQ108" s="92" t="s">
        <v>1</v>
      </c>
      <c r="AR108" s="7" t="s">
        <v>72</v>
      </c>
      <c r="AS108" s="92" t="s">
        <v>1</v>
      </c>
      <c r="AT108" s="92" t="s">
        <v>1</v>
      </c>
      <c r="AU108" s="92" t="s">
        <v>1</v>
      </c>
      <c r="AV108" s="92" t="s">
        <v>1</v>
      </c>
      <c r="AW108" s="92" t="s">
        <v>1</v>
      </c>
      <c r="AX108" s="92" t="s">
        <v>1</v>
      </c>
      <c r="AY108" s="92" t="s">
        <v>1</v>
      </c>
      <c r="AZ108" s="92" t="s">
        <v>1</v>
      </c>
      <c r="BA108" s="92" t="s">
        <v>1</v>
      </c>
      <c r="BB108" s="92" t="s">
        <v>1</v>
      </c>
      <c r="BC108" s="92" t="s">
        <v>1</v>
      </c>
      <c r="BD108" s="92" t="s">
        <v>1</v>
      </c>
      <c r="BE108" s="92" t="s">
        <v>1</v>
      </c>
      <c r="BF108" s="92" t="s">
        <v>1</v>
      </c>
      <c r="BG108" s="108" t="s">
        <v>1</v>
      </c>
      <c r="BH108" s="92" t="s">
        <v>1</v>
      </c>
      <c r="BI108" s="92" t="s">
        <v>1</v>
      </c>
      <c r="BJ108" s="92" t="s">
        <v>1</v>
      </c>
      <c r="BK108" s="7" t="s">
        <v>1</v>
      </c>
      <c r="BL108" s="92" t="s">
        <v>1</v>
      </c>
      <c r="BM108" s="92" t="s">
        <v>1</v>
      </c>
      <c r="BN108" s="92" t="s">
        <v>1</v>
      </c>
      <c r="BO108" s="92" t="s">
        <v>1</v>
      </c>
      <c r="BP108" s="92" t="s">
        <v>1</v>
      </c>
      <c r="BQ108" s="92" t="s">
        <v>1</v>
      </c>
      <c r="BR108" s="92" t="s">
        <v>1</v>
      </c>
      <c r="BS108" s="92" t="s">
        <v>1</v>
      </c>
      <c r="BT108" s="92" t="s">
        <v>1</v>
      </c>
      <c r="BU108" s="92" t="s">
        <v>1</v>
      </c>
      <c r="BV108" s="92" t="s">
        <v>1</v>
      </c>
    </row>
    <row r="109" ht="25" customHeight="1" spans="1:74">
      <c r="A109" s="107">
        <v>45212</v>
      </c>
      <c r="B109" s="32" t="s">
        <v>1</v>
      </c>
      <c r="C109" s="32" t="s">
        <v>1</v>
      </c>
      <c r="D109" s="30" t="s">
        <v>1</v>
      </c>
      <c r="E109" s="30" t="s">
        <v>1</v>
      </c>
      <c r="F109" s="92" t="str">
        <f t="shared" si="2"/>
        <v/>
      </c>
      <c r="G109" s="92" t="s">
        <v>1</v>
      </c>
      <c r="H109" s="92" t="s">
        <v>1</v>
      </c>
      <c r="I109" s="92" t="s">
        <v>1</v>
      </c>
      <c r="J109" s="92" t="s">
        <v>1</v>
      </c>
      <c r="K109" s="92" t="s">
        <v>1</v>
      </c>
      <c r="L109" s="92">
        <v>8899</v>
      </c>
      <c r="M109" s="18" t="s">
        <v>72</v>
      </c>
      <c r="N109" s="110" t="s">
        <v>1</v>
      </c>
      <c r="O109" s="32" t="s">
        <v>1</v>
      </c>
      <c r="P109" s="92" t="s">
        <v>1</v>
      </c>
      <c r="Q109" s="92" t="s">
        <v>1</v>
      </c>
      <c r="R109" s="92" t="s">
        <v>1</v>
      </c>
      <c r="S109" s="92" t="s">
        <v>1</v>
      </c>
      <c r="T109" s="92" t="s">
        <v>1</v>
      </c>
      <c r="U109" s="92" t="s">
        <v>1</v>
      </c>
      <c r="V109" s="7" t="s">
        <v>72</v>
      </c>
      <c r="W109" s="92" t="s">
        <v>1</v>
      </c>
      <c r="X109" s="7" t="s">
        <v>72</v>
      </c>
      <c r="Y109" s="92" t="s">
        <v>1</v>
      </c>
      <c r="Z109" s="7" t="s">
        <v>72</v>
      </c>
      <c r="AA109" s="92" t="s">
        <v>1</v>
      </c>
      <c r="AB109" s="7" t="s">
        <v>72</v>
      </c>
      <c r="AC109" s="92" t="s">
        <v>1</v>
      </c>
      <c r="AD109" s="92" t="s">
        <v>1</v>
      </c>
      <c r="AE109" s="92" t="s">
        <v>1</v>
      </c>
      <c r="AF109" s="7" t="s">
        <v>72</v>
      </c>
      <c r="AG109" s="92" t="s">
        <v>1</v>
      </c>
      <c r="AH109" s="92" t="s">
        <v>72</v>
      </c>
      <c r="AI109" s="92" t="s">
        <v>1</v>
      </c>
      <c r="AJ109" s="92" t="s">
        <v>72</v>
      </c>
      <c r="AK109" s="92" t="s">
        <v>1</v>
      </c>
      <c r="AL109" s="92" t="s">
        <v>72</v>
      </c>
      <c r="AM109" s="92" t="s">
        <v>1</v>
      </c>
      <c r="AN109" s="92" t="s">
        <v>72</v>
      </c>
      <c r="AO109" s="92" t="s">
        <v>1</v>
      </c>
      <c r="AP109" s="92" t="s">
        <v>72</v>
      </c>
      <c r="AQ109" s="92" t="s">
        <v>1</v>
      </c>
      <c r="AR109" s="7" t="s">
        <v>72</v>
      </c>
      <c r="AS109" s="92" t="s">
        <v>1</v>
      </c>
      <c r="AT109" s="92" t="s">
        <v>1</v>
      </c>
      <c r="AU109" s="92" t="s">
        <v>1</v>
      </c>
      <c r="AV109" s="92" t="s">
        <v>1</v>
      </c>
      <c r="AW109" s="92" t="s">
        <v>1</v>
      </c>
      <c r="AX109" s="92" t="s">
        <v>1</v>
      </c>
      <c r="AY109" s="92" t="s">
        <v>1</v>
      </c>
      <c r="AZ109" s="92" t="s">
        <v>1</v>
      </c>
      <c r="BA109" s="92" t="s">
        <v>1</v>
      </c>
      <c r="BB109" s="92" t="s">
        <v>1</v>
      </c>
      <c r="BC109" s="92" t="s">
        <v>1</v>
      </c>
      <c r="BD109" s="92" t="s">
        <v>1</v>
      </c>
      <c r="BE109" s="92" t="s">
        <v>1</v>
      </c>
      <c r="BF109" s="92" t="s">
        <v>1</v>
      </c>
      <c r="BG109" s="108" t="s">
        <v>1</v>
      </c>
      <c r="BH109" s="92" t="s">
        <v>1</v>
      </c>
      <c r="BI109" s="92" t="s">
        <v>1</v>
      </c>
      <c r="BJ109" s="92" t="s">
        <v>1</v>
      </c>
      <c r="BK109" s="7" t="s">
        <v>1</v>
      </c>
      <c r="BL109" s="92" t="s">
        <v>1</v>
      </c>
      <c r="BM109" s="92" t="s">
        <v>1</v>
      </c>
      <c r="BN109" s="92" t="s">
        <v>1</v>
      </c>
      <c r="BO109" s="92" t="s">
        <v>1</v>
      </c>
      <c r="BP109" s="92" t="s">
        <v>1</v>
      </c>
      <c r="BQ109" s="92" t="s">
        <v>1</v>
      </c>
      <c r="BR109" s="92" t="s">
        <v>1</v>
      </c>
      <c r="BS109" s="92" t="s">
        <v>1</v>
      </c>
      <c r="BT109" s="92" t="s">
        <v>1</v>
      </c>
      <c r="BU109" s="92" t="s">
        <v>1</v>
      </c>
      <c r="BV109" s="92" t="s">
        <v>1</v>
      </c>
    </row>
    <row r="110" ht="25" customHeight="1" spans="1:74">
      <c r="A110" s="107">
        <v>45213</v>
      </c>
      <c r="B110" s="32" t="s">
        <v>1</v>
      </c>
      <c r="C110" s="32" t="s">
        <v>1</v>
      </c>
      <c r="D110" s="30" t="s">
        <v>1</v>
      </c>
      <c r="E110" s="30" t="s">
        <v>1</v>
      </c>
      <c r="F110" s="92" t="str">
        <f t="shared" si="2"/>
        <v/>
      </c>
      <c r="G110" s="92" t="s">
        <v>1</v>
      </c>
      <c r="H110" s="92" t="s">
        <v>1</v>
      </c>
      <c r="I110" s="92" t="s">
        <v>1</v>
      </c>
      <c r="J110" s="92" t="s">
        <v>1</v>
      </c>
      <c r="K110" s="92" t="s">
        <v>1</v>
      </c>
      <c r="L110" s="92">
        <v>8899</v>
      </c>
      <c r="M110" s="18" t="s">
        <v>72</v>
      </c>
      <c r="N110" s="110" t="s">
        <v>1</v>
      </c>
      <c r="O110" s="32" t="s">
        <v>1</v>
      </c>
      <c r="P110" s="92" t="s">
        <v>1</v>
      </c>
      <c r="Q110" s="92" t="s">
        <v>1</v>
      </c>
      <c r="R110" s="92" t="s">
        <v>1</v>
      </c>
      <c r="S110" s="92" t="s">
        <v>1</v>
      </c>
      <c r="T110" s="92" t="s">
        <v>1</v>
      </c>
      <c r="U110" s="92" t="s">
        <v>1</v>
      </c>
      <c r="V110" s="7" t="s">
        <v>72</v>
      </c>
      <c r="W110" s="92" t="s">
        <v>1</v>
      </c>
      <c r="X110" s="7" t="s">
        <v>72</v>
      </c>
      <c r="Y110" s="92" t="s">
        <v>1</v>
      </c>
      <c r="Z110" s="7" t="s">
        <v>72</v>
      </c>
      <c r="AA110" s="92" t="s">
        <v>1</v>
      </c>
      <c r="AB110" s="7" t="s">
        <v>72</v>
      </c>
      <c r="AC110" s="92" t="s">
        <v>1</v>
      </c>
      <c r="AD110" s="92" t="s">
        <v>1</v>
      </c>
      <c r="AE110" s="92" t="s">
        <v>1</v>
      </c>
      <c r="AF110" s="7" t="s">
        <v>72</v>
      </c>
      <c r="AG110" s="92" t="s">
        <v>1</v>
      </c>
      <c r="AH110" s="92" t="s">
        <v>72</v>
      </c>
      <c r="AI110" s="92" t="s">
        <v>1</v>
      </c>
      <c r="AJ110" s="92" t="s">
        <v>72</v>
      </c>
      <c r="AK110" s="92" t="s">
        <v>1</v>
      </c>
      <c r="AL110" s="92" t="s">
        <v>72</v>
      </c>
      <c r="AM110" s="92" t="s">
        <v>1</v>
      </c>
      <c r="AN110" s="92" t="s">
        <v>72</v>
      </c>
      <c r="AO110" s="92" t="s">
        <v>1</v>
      </c>
      <c r="AP110" s="92" t="s">
        <v>72</v>
      </c>
      <c r="AQ110" s="92" t="s">
        <v>1</v>
      </c>
      <c r="AR110" s="7" t="s">
        <v>72</v>
      </c>
      <c r="AS110" s="92" t="s">
        <v>1</v>
      </c>
      <c r="AT110" s="92" t="s">
        <v>1</v>
      </c>
      <c r="AU110" s="92" t="s">
        <v>1</v>
      </c>
      <c r="AV110" s="92" t="s">
        <v>1</v>
      </c>
      <c r="AW110" s="92" t="s">
        <v>1</v>
      </c>
      <c r="AX110" s="92" t="s">
        <v>1</v>
      </c>
      <c r="AY110" s="92" t="s">
        <v>1</v>
      </c>
      <c r="AZ110" s="92" t="s">
        <v>1</v>
      </c>
      <c r="BA110" s="92" t="s">
        <v>1</v>
      </c>
      <c r="BB110" s="92" t="s">
        <v>1</v>
      </c>
      <c r="BC110" s="92" t="s">
        <v>1</v>
      </c>
      <c r="BD110" s="92" t="s">
        <v>1</v>
      </c>
      <c r="BE110" s="92" t="s">
        <v>1</v>
      </c>
      <c r="BF110" s="92" t="s">
        <v>1</v>
      </c>
      <c r="BG110" s="108" t="s">
        <v>1</v>
      </c>
      <c r="BH110" s="92" t="s">
        <v>1</v>
      </c>
      <c r="BI110" s="92" t="s">
        <v>1</v>
      </c>
      <c r="BJ110" s="92" t="s">
        <v>1</v>
      </c>
      <c r="BK110" s="7" t="s">
        <v>1</v>
      </c>
      <c r="BL110" s="92" t="s">
        <v>1</v>
      </c>
      <c r="BM110" s="92" t="s">
        <v>1</v>
      </c>
      <c r="BN110" s="92" t="s">
        <v>1</v>
      </c>
      <c r="BO110" s="92" t="s">
        <v>1</v>
      </c>
      <c r="BP110" s="92" t="s">
        <v>1</v>
      </c>
      <c r="BQ110" s="92" t="s">
        <v>1</v>
      </c>
      <c r="BR110" s="92" t="s">
        <v>1</v>
      </c>
      <c r="BS110" s="92" t="s">
        <v>1</v>
      </c>
      <c r="BT110" s="92" t="s">
        <v>1</v>
      </c>
      <c r="BU110" s="92" t="s">
        <v>1</v>
      </c>
      <c r="BV110" s="92" t="s">
        <v>1</v>
      </c>
    </row>
    <row r="111" ht="25" customHeight="1" spans="1:74">
      <c r="A111" s="107">
        <v>45214</v>
      </c>
      <c r="B111" s="32" t="s">
        <v>1</v>
      </c>
      <c r="C111" s="32" t="s">
        <v>1</v>
      </c>
      <c r="D111" s="30" t="s">
        <v>1</v>
      </c>
      <c r="E111" s="30" t="s">
        <v>1</v>
      </c>
      <c r="F111" s="92" t="str">
        <f t="shared" si="2"/>
        <v/>
      </c>
      <c r="G111" s="92" t="s">
        <v>1</v>
      </c>
      <c r="H111" s="92" t="s">
        <v>1</v>
      </c>
      <c r="I111" s="92" t="s">
        <v>1</v>
      </c>
      <c r="J111" s="92" t="s">
        <v>1</v>
      </c>
      <c r="K111" s="92" t="s">
        <v>1</v>
      </c>
      <c r="L111" s="73">
        <v>0</v>
      </c>
      <c r="M111" s="18" t="s">
        <v>72</v>
      </c>
      <c r="N111" s="110" t="s">
        <v>1</v>
      </c>
      <c r="O111" s="32" t="s">
        <v>1</v>
      </c>
      <c r="P111" s="92" t="s">
        <v>1</v>
      </c>
      <c r="Q111" s="92" t="s">
        <v>1</v>
      </c>
      <c r="R111" s="92" t="s">
        <v>1</v>
      </c>
      <c r="S111" s="92" t="s">
        <v>1</v>
      </c>
      <c r="T111" s="92" t="s">
        <v>1</v>
      </c>
      <c r="U111" s="92" t="s">
        <v>1</v>
      </c>
      <c r="V111" s="7" t="s">
        <v>72</v>
      </c>
      <c r="W111" s="92" t="s">
        <v>1</v>
      </c>
      <c r="X111" s="7" t="s">
        <v>72</v>
      </c>
      <c r="Y111" s="92" t="s">
        <v>1</v>
      </c>
      <c r="Z111" s="7" t="s">
        <v>72</v>
      </c>
      <c r="AA111" s="92" t="s">
        <v>1</v>
      </c>
      <c r="AB111" s="7" t="s">
        <v>72</v>
      </c>
      <c r="AC111" s="92" t="s">
        <v>1</v>
      </c>
      <c r="AD111" s="92" t="s">
        <v>1</v>
      </c>
      <c r="AE111" s="92" t="s">
        <v>1</v>
      </c>
      <c r="AF111" s="7" t="s">
        <v>72</v>
      </c>
      <c r="AG111" s="92" t="s">
        <v>1</v>
      </c>
      <c r="AH111" s="92" t="s">
        <v>72</v>
      </c>
      <c r="AI111" s="92" t="s">
        <v>1</v>
      </c>
      <c r="AJ111" s="92" t="s">
        <v>72</v>
      </c>
      <c r="AK111" s="92" t="s">
        <v>1</v>
      </c>
      <c r="AL111" s="92" t="s">
        <v>72</v>
      </c>
      <c r="AM111" s="92" t="s">
        <v>1</v>
      </c>
      <c r="AN111" s="92" t="s">
        <v>72</v>
      </c>
      <c r="AO111" s="92" t="s">
        <v>1</v>
      </c>
      <c r="AP111" s="92" t="s">
        <v>72</v>
      </c>
      <c r="AQ111" s="92" t="s">
        <v>1</v>
      </c>
      <c r="AR111" s="7" t="s">
        <v>72</v>
      </c>
      <c r="AS111" s="92" t="s">
        <v>1</v>
      </c>
      <c r="AT111" s="92" t="s">
        <v>1</v>
      </c>
      <c r="AU111" s="92" t="s">
        <v>1</v>
      </c>
      <c r="AV111" s="92" t="s">
        <v>1</v>
      </c>
      <c r="AW111" s="92" t="s">
        <v>1</v>
      </c>
      <c r="AX111" s="92" t="s">
        <v>1</v>
      </c>
      <c r="AY111" s="92" t="s">
        <v>1</v>
      </c>
      <c r="AZ111" s="92" t="s">
        <v>1</v>
      </c>
      <c r="BA111" s="92" t="s">
        <v>1</v>
      </c>
      <c r="BB111" s="92" t="s">
        <v>1</v>
      </c>
      <c r="BC111" s="92" t="s">
        <v>1</v>
      </c>
      <c r="BD111" s="92" t="s">
        <v>1</v>
      </c>
      <c r="BE111" s="92" t="s">
        <v>1</v>
      </c>
      <c r="BF111" s="92" t="s">
        <v>1</v>
      </c>
      <c r="BG111" s="108" t="s">
        <v>1</v>
      </c>
      <c r="BH111" s="92" t="s">
        <v>1</v>
      </c>
      <c r="BI111" s="92" t="s">
        <v>1</v>
      </c>
      <c r="BJ111" s="92" t="s">
        <v>1</v>
      </c>
      <c r="BK111" s="7" t="s">
        <v>1</v>
      </c>
      <c r="BL111" s="92" t="s">
        <v>1</v>
      </c>
      <c r="BM111" s="92" t="s">
        <v>1</v>
      </c>
      <c r="BN111" s="92" t="s">
        <v>1</v>
      </c>
      <c r="BO111" s="92" t="s">
        <v>1</v>
      </c>
      <c r="BP111" s="92" t="s">
        <v>1</v>
      </c>
      <c r="BQ111" s="92" t="s">
        <v>1</v>
      </c>
      <c r="BR111" s="92" t="s">
        <v>1</v>
      </c>
      <c r="BS111" s="92" t="s">
        <v>1</v>
      </c>
      <c r="BT111" s="92" t="s">
        <v>1</v>
      </c>
      <c r="BU111" s="92" t="s">
        <v>1</v>
      </c>
      <c r="BV111" s="92" t="s">
        <v>1</v>
      </c>
    </row>
    <row r="112" ht="25" customHeight="1" spans="1:74">
      <c r="A112" s="107">
        <v>45215</v>
      </c>
      <c r="B112" s="32" t="s">
        <v>1</v>
      </c>
      <c r="C112" s="32" t="s">
        <v>1</v>
      </c>
      <c r="D112" s="30" t="s">
        <v>1</v>
      </c>
      <c r="E112" s="30" t="s">
        <v>1</v>
      </c>
      <c r="F112" s="92" t="str">
        <f t="shared" si="2"/>
        <v/>
      </c>
      <c r="G112" s="92" t="s">
        <v>1</v>
      </c>
      <c r="H112" s="92" t="s">
        <v>1</v>
      </c>
      <c r="I112" s="92" t="s">
        <v>1</v>
      </c>
      <c r="J112" s="92" t="s">
        <v>1</v>
      </c>
      <c r="K112" s="74" t="s">
        <v>1</v>
      </c>
      <c r="L112" s="18">
        <v>19898</v>
      </c>
      <c r="M112" s="18" t="s">
        <v>72</v>
      </c>
      <c r="N112" s="110" t="s">
        <v>1</v>
      </c>
      <c r="O112" s="32" t="s">
        <v>1</v>
      </c>
      <c r="P112" s="92" t="s">
        <v>1</v>
      </c>
      <c r="Q112" s="92" t="s">
        <v>1</v>
      </c>
      <c r="R112" s="92" t="s">
        <v>1</v>
      </c>
      <c r="S112" s="92" t="s">
        <v>1</v>
      </c>
      <c r="T112" s="92" t="s">
        <v>1</v>
      </c>
      <c r="U112" s="92" t="s">
        <v>1</v>
      </c>
      <c r="V112" s="7" t="s">
        <v>72</v>
      </c>
      <c r="W112" s="92" t="s">
        <v>1</v>
      </c>
      <c r="X112" s="7" t="s">
        <v>72</v>
      </c>
      <c r="Y112" s="92" t="s">
        <v>1</v>
      </c>
      <c r="Z112" s="7" t="s">
        <v>72</v>
      </c>
      <c r="AA112" s="92" t="s">
        <v>1</v>
      </c>
      <c r="AB112" s="7" t="s">
        <v>72</v>
      </c>
      <c r="AC112" s="92" t="s">
        <v>1</v>
      </c>
      <c r="AD112" s="92" t="s">
        <v>1</v>
      </c>
      <c r="AE112" s="92" t="s">
        <v>1</v>
      </c>
      <c r="AF112" s="7" t="s">
        <v>72</v>
      </c>
      <c r="AG112" s="92" t="s">
        <v>1</v>
      </c>
      <c r="AH112" s="92" t="s">
        <v>72</v>
      </c>
      <c r="AI112" s="92" t="s">
        <v>1</v>
      </c>
      <c r="AJ112" s="92" t="s">
        <v>72</v>
      </c>
      <c r="AK112" s="92" t="s">
        <v>1</v>
      </c>
      <c r="AL112" s="92" t="s">
        <v>72</v>
      </c>
      <c r="AM112" s="92" t="s">
        <v>1</v>
      </c>
      <c r="AN112" s="92" t="s">
        <v>72</v>
      </c>
      <c r="AO112" s="92" t="s">
        <v>1</v>
      </c>
      <c r="AP112" s="92" t="s">
        <v>72</v>
      </c>
      <c r="AQ112" s="92" t="s">
        <v>1</v>
      </c>
      <c r="AR112" s="7" t="s">
        <v>72</v>
      </c>
      <c r="AS112" s="92" t="s">
        <v>1</v>
      </c>
      <c r="AT112" s="92" t="s">
        <v>1</v>
      </c>
      <c r="AU112" s="92" t="s">
        <v>1</v>
      </c>
      <c r="AV112" s="92" t="s">
        <v>1</v>
      </c>
      <c r="AW112" s="92" t="s">
        <v>1</v>
      </c>
      <c r="AX112" s="92" t="s">
        <v>1</v>
      </c>
      <c r="AY112" s="92" t="s">
        <v>1</v>
      </c>
      <c r="AZ112" s="92" t="s">
        <v>1</v>
      </c>
      <c r="BA112" s="92" t="s">
        <v>1</v>
      </c>
      <c r="BB112" s="92" t="s">
        <v>1</v>
      </c>
      <c r="BC112" s="92" t="s">
        <v>1</v>
      </c>
      <c r="BD112" s="92" t="s">
        <v>1</v>
      </c>
      <c r="BE112" s="92" t="s">
        <v>1</v>
      </c>
      <c r="BF112" s="92" t="s">
        <v>1</v>
      </c>
      <c r="BG112" s="108" t="s">
        <v>1</v>
      </c>
      <c r="BH112" s="92" t="s">
        <v>1</v>
      </c>
      <c r="BI112" s="92" t="s">
        <v>1</v>
      </c>
      <c r="BJ112" s="92" t="s">
        <v>1</v>
      </c>
      <c r="BK112" s="7" t="s">
        <v>1</v>
      </c>
      <c r="BL112" s="92" t="s">
        <v>1</v>
      </c>
      <c r="BM112" s="92" t="s">
        <v>1</v>
      </c>
      <c r="BN112" s="92" t="s">
        <v>1</v>
      </c>
      <c r="BO112" s="92" t="s">
        <v>1</v>
      </c>
      <c r="BP112" s="92" t="s">
        <v>1</v>
      </c>
      <c r="BQ112" s="92" t="s">
        <v>1</v>
      </c>
      <c r="BR112" s="92" t="s">
        <v>1</v>
      </c>
      <c r="BS112" s="92" t="s">
        <v>1</v>
      </c>
      <c r="BT112" s="92" t="s">
        <v>1</v>
      </c>
      <c r="BU112" s="92" t="s">
        <v>1</v>
      </c>
      <c r="BV112" s="92" t="s">
        <v>1</v>
      </c>
    </row>
    <row r="113" ht="25" customHeight="1" spans="1:74">
      <c r="A113" s="107">
        <v>45216</v>
      </c>
      <c r="B113" s="32" t="s">
        <v>1</v>
      </c>
      <c r="C113" s="32" t="s">
        <v>1</v>
      </c>
      <c r="D113" s="30" t="s">
        <v>1</v>
      </c>
      <c r="E113" s="30" t="s">
        <v>1</v>
      </c>
      <c r="F113" s="92" t="str">
        <f t="shared" si="2"/>
        <v/>
      </c>
      <c r="G113" s="92" t="s">
        <v>1</v>
      </c>
      <c r="H113" s="92" t="s">
        <v>1</v>
      </c>
      <c r="I113" s="92" t="s">
        <v>1</v>
      </c>
      <c r="J113" s="92" t="s">
        <v>1</v>
      </c>
      <c r="K113" s="74" t="s">
        <v>1</v>
      </c>
      <c r="L113" s="7">
        <v>98</v>
      </c>
      <c r="M113" s="18" t="s">
        <v>72</v>
      </c>
      <c r="N113" s="110" t="s">
        <v>1</v>
      </c>
      <c r="O113" s="32" t="s">
        <v>1</v>
      </c>
      <c r="P113" s="92" t="s">
        <v>1</v>
      </c>
      <c r="Q113" s="92" t="s">
        <v>1</v>
      </c>
      <c r="R113" s="92" t="s">
        <v>1</v>
      </c>
      <c r="S113" s="92" t="s">
        <v>1</v>
      </c>
      <c r="T113" s="92" t="s">
        <v>1</v>
      </c>
      <c r="U113" s="92" t="s">
        <v>1</v>
      </c>
      <c r="V113" s="7" t="s">
        <v>72</v>
      </c>
      <c r="W113" s="92" t="s">
        <v>1</v>
      </c>
      <c r="X113" s="7" t="s">
        <v>72</v>
      </c>
      <c r="Y113" s="92" t="s">
        <v>1</v>
      </c>
      <c r="Z113" s="7" t="s">
        <v>72</v>
      </c>
      <c r="AA113" s="92" t="s">
        <v>1</v>
      </c>
      <c r="AB113" s="7" t="s">
        <v>72</v>
      </c>
      <c r="AC113" s="92" t="s">
        <v>1</v>
      </c>
      <c r="AD113" s="92" t="s">
        <v>1</v>
      </c>
      <c r="AE113" s="92" t="s">
        <v>1</v>
      </c>
      <c r="AF113" s="7" t="s">
        <v>72</v>
      </c>
      <c r="AG113" s="92" t="s">
        <v>1</v>
      </c>
      <c r="AH113" s="92" t="s">
        <v>72</v>
      </c>
      <c r="AI113" s="92" t="s">
        <v>1</v>
      </c>
      <c r="AJ113" s="92" t="s">
        <v>72</v>
      </c>
      <c r="AK113" s="92" t="s">
        <v>1</v>
      </c>
      <c r="AL113" s="92" t="s">
        <v>72</v>
      </c>
      <c r="AM113" s="92" t="s">
        <v>1</v>
      </c>
      <c r="AN113" s="92" t="s">
        <v>72</v>
      </c>
      <c r="AO113" s="92" t="s">
        <v>1</v>
      </c>
      <c r="AP113" s="92" t="s">
        <v>72</v>
      </c>
      <c r="AQ113" s="92" t="s">
        <v>1</v>
      </c>
      <c r="AR113" s="7" t="s">
        <v>72</v>
      </c>
      <c r="AS113" s="92" t="s">
        <v>1</v>
      </c>
      <c r="AT113" s="92" t="s">
        <v>1</v>
      </c>
      <c r="AU113" s="92" t="s">
        <v>1</v>
      </c>
      <c r="AV113" s="92" t="s">
        <v>1</v>
      </c>
      <c r="AW113" s="92" t="s">
        <v>1</v>
      </c>
      <c r="AX113" s="92" t="s">
        <v>1</v>
      </c>
      <c r="AY113" s="92" t="s">
        <v>1</v>
      </c>
      <c r="AZ113" s="92" t="s">
        <v>1</v>
      </c>
      <c r="BA113" s="92" t="s">
        <v>1</v>
      </c>
      <c r="BB113" s="92" t="s">
        <v>1</v>
      </c>
      <c r="BC113" s="92" t="s">
        <v>1</v>
      </c>
      <c r="BD113" s="92" t="s">
        <v>1</v>
      </c>
      <c r="BE113" s="92" t="s">
        <v>1</v>
      </c>
      <c r="BF113" s="92" t="s">
        <v>1</v>
      </c>
      <c r="BG113" s="108" t="s">
        <v>1</v>
      </c>
      <c r="BH113" s="92" t="s">
        <v>1</v>
      </c>
      <c r="BI113" s="92" t="s">
        <v>1</v>
      </c>
      <c r="BJ113" s="92" t="s">
        <v>1</v>
      </c>
      <c r="BK113" s="7" t="s">
        <v>1</v>
      </c>
      <c r="BL113" s="92" t="s">
        <v>1</v>
      </c>
      <c r="BM113" s="92" t="s">
        <v>1</v>
      </c>
      <c r="BN113" s="92" t="s">
        <v>1</v>
      </c>
      <c r="BO113" s="92" t="s">
        <v>1</v>
      </c>
      <c r="BP113" s="92" t="s">
        <v>1</v>
      </c>
      <c r="BQ113" s="92" t="s">
        <v>1</v>
      </c>
      <c r="BR113" s="92" t="s">
        <v>1</v>
      </c>
      <c r="BS113" s="92" t="s">
        <v>1</v>
      </c>
      <c r="BT113" s="92" t="s">
        <v>1</v>
      </c>
      <c r="BU113" s="92" t="s">
        <v>1</v>
      </c>
      <c r="BV113" s="92" t="s">
        <v>1</v>
      </c>
    </row>
    <row r="114" ht="25" customHeight="1" spans="1:74">
      <c r="A114" s="107">
        <v>45217</v>
      </c>
      <c r="B114" s="32" t="s">
        <v>1</v>
      </c>
      <c r="C114" s="32" t="s">
        <v>1</v>
      </c>
      <c r="D114" s="30" t="s">
        <v>1</v>
      </c>
      <c r="E114" s="30" t="s">
        <v>1</v>
      </c>
      <c r="F114" s="92" t="str">
        <f t="shared" si="2"/>
        <v/>
      </c>
      <c r="G114" s="92" t="s">
        <v>1</v>
      </c>
      <c r="H114" s="92" t="s">
        <v>1</v>
      </c>
      <c r="I114" s="92" t="s">
        <v>1</v>
      </c>
      <c r="J114" s="92" t="s">
        <v>1</v>
      </c>
      <c r="K114" s="74" t="s">
        <v>1</v>
      </c>
      <c r="L114" s="7">
        <v>8900</v>
      </c>
      <c r="M114" s="18" t="s">
        <v>72</v>
      </c>
      <c r="N114" s="110" t="s">
        <v>1</v>
      </c>
      <c r="O114" s="32" t="s">
        <v>1</v>
      </c>
      <c r="P114" s="92" t="s">
        <v>1</v>
      </c>
      <c r="Q114" s="92" t="s">
        <v>1</v>
      </c>
      <c r="R114" s="92" t="s">
        <v>1</v>
      </c>
      <c r="S114" s="92" t="s">
        <v>1</v>
      </c>
      <c r="T114" s="92" t="s">
        <v>1</v>
      </c>
      <c r="U114" s="92" t="s">
        <v>1</v>
      </c>
      <c r="V114" s="7" t="s">
        <v>72</v>
      </c>
      <c r="W114" s="92" t="s">
        <v>1</v>
      </c>
      <c r="X114" s="7" t="s">
        <v>72</v>
      </c>
      <c r="Y114" s="92" t="s">
        <v>1</v>
      </c>
      <c r="Z114" s="7" t="s">
        <v>72</v>
      </c>
      <c r="AA114" s="92" t="s">
        <v>1</v>
      </c>
      <c r="AB114" s="7" t="s">
        <v>72</v>
      </c>
      <c r="AC114" s="92" t="s">
        <v>1</v>
      </c>
      <c r="AD114" s="92" t="s">
        <v>1</v>
      </c>
      <c r="AE114" s="92" t="s">
        <v>1</v>
      </c>
      <c r="AF114" s="7" t="s">
        <v>72</v>
      </c>
      <c r="AG114" s="92" t="s">
        <v>1</v>
      </c>
      <c r="AH114" s="92" t="s">
        <v>72</v>
      </c>
      <c r="AI114" s="92" t="s">
        <v>1</v>
      </c>
      <c r="AJ114" s="92" t="s">
        <v>72</v>
      </c>
      <c r="AK114" s="92" t="s">
        <v>1</v>
      </c>
      <c r="AL114" s="92" t="s">
        <v>72</v>
      </c>
      <c r="AM114" s="92" t="s">
        <v>1</v>
      </c>
      <c r="AN114" s="92" t="s">
        <v>72</v>
      </c>
      <c r="AO114" s="92" t="s">
        <v>1</v>
      </c>
      <c r="AP114" s="92" t="s">
        <v>72</v>
      </c>
      <c r="AQ114" s="92" t="s">
        <v>1</v>
      </c>
      <c r="AR114" s="7" t="s">
        <v>72</v>
      </c>
      <c r="AS114" s="92" t="s">
        <v>1</v>
      </c>
      <c r="AT114" s="92" t="s">
        <v>1</v>
      </c>
      <c r="AU114" s="92" t="s">
        <v>1</v>
      </c>
      <c r="AV114" s="92" t="s">
        <v>1</v>
      </c>
      <c r="AW114" s="92" t="s">
        <v>1</v>
      </c>
      <c r="AX114" s="92" t="s">
        <v>1</v>
      </c>
      <c r="AY114" s="92" t="s">
        <v>1</v>
      </c>
      <c r="AZ114" s="92" t="s">
        <v>1</v>
      </c>
      <c r="BA114" s="92" t="s">
        <v>1</v>
      </c>
      <c r="BB114" s="92" t="s">
        <v>1</v>
      </c>
      <c r="BC114" s="92" t="s">
        <v>1</v>
      </c>
      <c r="BD114" s="92" t="s">
        <v>1</v>
      </c>
      <c r="BE114" s="92" t="s">
        <v>1</v>
      </c>
      <c r="BF114" s="92" t="s">
        <v>1</v>
      </c>
      <c r="BG114" s="108" t="s">
        <v>1</v>
      </c>
      <c r="BH114" s="92" t="s">
        <v>1</v>
      </c>
      <c r="BI114" s="92" t="s">
        <v>1</v>
      </c>
      <c r="BJ114" s="92" t="s">
        <v>1</v>
      </c>
      <c r="BK114" s="7" t="s">
        <v>1</v>
      </c>
      <c r="BL114" s="92" t="s">
        <v>1</v>
      </c>
      <c r="BM114" s="92" t="s">
        <v>1</v>
      </c>
      <c r="BN114" s="92" t="s">
        <v>1</v>
      </c>
      <c r="BO114" s="92" t="s">
        <v>1</v>
      </c>
      <c r="BP114" s="92" t="s">
        <v>1</v>
      </c>
      <c r="BQ114" s="92" t="s">
        <v>1</v>
      </c>
      <c r="BR114" s="92" t="s">
        <v>1</v>
      </c>
      <c r="BS114" s="92" t="s">
        <v>1</v>
      </c>
      <c r="BT114" s="92" t="s">
        <v>1</v>
      </c>
      <c r="BU114" s="92" t="s">
        <v>1</v>
      </c>
      <c r="BV114" s="92" t="s">
        <v>1</v>
      </c>
    </row>
    <row r="115" ht="25" customHeight="1" spans="1:74">
      <c r="A115" s="107">
        <v>45218</v>
      </c>
      <c r="B115" s="32" t="s">
        <v>1</v>
      </c>
      <c r="C115" s="32" t="s">
        <v>1</v>
      </c>
      <c r="D115" s="30" t="s">
        <v>1</v>
      </c>
      <c r="E115" s="30" t="s">
        <v>1</v>
      </c>
      <c r="F115" s="92" t="str">
        <f t="shared" si="2"/>
        <v/>
      </c>
      <c r="G115" s="92" t="s">
        <v>1</v>
      </c>
      <c r="H115" s="92" t="s">
        <v>1</v>
      </c>
      <c r="I115" s="92" t="s">
        <v>1</v>
      </c>
      <c r="J115" s="92" t="s">
        <v>1</v>
      </c>
      <c r="K115" s="92" t="s">
        <v>1</v>
      </c>
      <c r="L115" s="91">
        <v>11197</v>
      </c>
      <c r="M115" s="92" t="s">
        <v>1</v>
      </c>
      <c r="N115" s="110" t="s">
        <v>1</v>
      </c>
      <c r="O115" s="32" t="s">
        <v>1</v>
      </c>
      <c r="P115" s="92" t="s">
        <v>1</v>
      </c>
      <c r="Q115" s="92" t="s">
        <v>1</v>
      </c>
      <c r="R115" s="92" t="s">
        <v>1</v>
      </c>
      <c r="S115" s="92" t="s">
        <v>1</v>
      </c>
      <c r="T115" s="92" t="s">
        <v>1</v>
      </c>
      <c r="U115" s="92" t="s">
        <v>1</v>
      </c>
      <c r="V115" s="7" t="s">
        <v>72</v>
      </c>
      <c r="W115" s="92" t="s">
        <v>1</v>
      </c>
      <c r="X115" s="7" t="s">
        <v>72</v>
      </c>
      <c r="Y115" s="92" t="s">
        <v>1</v>
      </c>
      <c r="Z115" s="7" t="s">
        <v>72</v>
      </c>
      <c r="AA115" s="92" t="s">
        <v>1</v>
      </c>
      <c r="AB115" s="7" t="s">
        <v>72</v>
      </c>
      <c r="AC115" s="92" t="s">
        <v>1</v>
      </c>
      <c r="AD115" s="92" t="s">
        <v>1</v>
      </c>
      <c r="AE115" s="92" t="s">
        <v>1</v>
      </c>
      <c r="AF115" s="7" t="s">
        <v>72</v>
      </c>
      <c r="AG115" s="92" t="s">
        <v>1</v>
      </c>
      <c r="AH115" s="92" t="s">
        <v>72</v>
      </c>
      <c r="AI115" s="92" t="s">
        <v>1</v>
      </c>
      <c r="AJ115" s="92" t="s">
        <v>72</v>
      </c>
      <c r="AK115" s="92" t="s">
        <v>1</v>
      </c>
      <c r="AL115" s="92" t="s">
        <v>72</v>
      </c>
      <c r="AM115" s="92" t="s">
        <v>1</v>
      </c>
      <c r="AN115" s="92" t="s">
        <v>72</v>
      </c>
      <c r="AO115" s="92" t="s">
        <v>1</v>
      </c>
      <c r="AP115" s="92" t="s">
        <v>72</v>
      </c>
      <c r="AQ115" s="92" t="s">
        <v>1</v>
      </c>
      <c r="AR115" s="7" t="s">
        <v>72</v>
      </c>
      <c r="AS115" s="92" t="s">
        <v>1</v>
      </c>
      <c r="AT115" s="92" t="s">
        <v>1</v>
      </c>
      <c r="AU115" s="92" t="s">
        <v>1</v>
      </c>
      <c r="AV115" s="92" t="s">
        <v>1</v>
      </c>
      <c r="AW115" s="92" t="s">
        <v>1</v>
      </c>
      <c r="AX115" s="92" t="s">
        <v>1</v>
      </c>
      <c r="AY115" s="92" t="s">
        <v>1</v>
      </c>
      <c r="AZ115" s="92" t="s">
        <v>1</v>
      </c>
      <c r="BA115" s="92" t="s">
        <v>1</v>
      </c>
      <c r="BB115" s="92" t="s">
        <v>1</v>
      </c>
      <c r="BC115" s="92" t="s">
        <v>1</v>
      </c>
      <c r="BD115" s="92" t="s">
        <v>1</v>
      </c>
      <c r="BE115" s="92" t="s">
        <v>1</v>
      </c>
      <c r="BF115" s="92" t="s">
        <v>1</v>
      </c>
      <c r="BG115" s="108" t="s">
        <v>1</v>
      </c>
      <c r="BH115" s="92" t="s">
        <v>1</v>
      </c>
      <c r="BI115" s="92" t="s">
        <v>1</v>
      </c>
      <c r="BJ115" s="92" t="s">
        <v>1</v>
      </c>
      <c r="BK115" s="7" t="s">
        <v>1</v>
      </c>
      <c r="BL115" s="92" t="s">
        <v>1</v>
      </c>
      <c r="BM115" s="92" t="s">
        <v>1</v>
      </c>
      <c r="BN115" s="92" t="s">
        <v>1</v>
      </c>
      <c r="BO115" s="92" t="s">
        <v>1</v>
      </c>
      <c r="BP115" s="92" t="s">
        <v>1</v>
      </c>
      <c r="BQ115" s="92" t="s">
        <v>1</v>
      </c>
      <c r="BR115" s="92" t="s">
        <v>1</v>
      </c>
      <c r="BS115" s="92" t="s">
        <v>1</v>
      </c>
      <c r="BT115" s="92" t="s">
        <v>1</v>
      </c>
      <c r="BU115" s="92" t="s">
        <v>1</v>
      </c>
      <c r="BV115" s="92" t="s">
        <v>1</v>
      </c>
    </row>
    <row r="116" ht="25" customHeight="1" spans="1:74">
      <c r="A116" s="107">
        <v>45219</v>
      </c>
      <c r="B116" s="32" t="s">
        <v>1</v>
      </c>
      <c r="C116" s="32" t="s">
        <v>1</v>
      </c>
      <c r="D116" s="30" t="s">
        <v>1</v>
      </c>
      <c r="E116" s="30" t="s">
        <v>1</v>
      </c>
      <c r="F116" s="92" t="str">
        <f t="shared" si="2"/>
        <v/>
      </c>
      <c r="G116" s="92" t="s">
        <v>1</v>
      </c>
      <c r="H116" s="92" t="s">
        <v>1</v>
      </c>
      <c r="I116" s="92" t="s">
        <v>1</v>
      </c>
      <c r="J116" s="92" t="s">
        <v>1</v>
      </c>
      <c r="K116" s="92" t="s">
        <v>1</v>
      </c>
      <c r="L116" s="92" t="s">
        <v>1</v>
      </c>
      <c r="M116" s="92" t="s">
        <v>1</v>
      </c>
      <c r="N116" s="110" t="s">
        <v>1</v>
      </c>
      <c r="O116" s="32" t="s">
        <v>1</v>
      </c>
      <c r="P116" s="92" t="s">
        <v>1</v>
      </c>
      <c r="Q116" s="92" t="s">
        <v>1</v>
      </c>
      <c r="R116" s="92" t="s">
        <v>1</v>
      </c>
      <c r="S116" s="92" t="s">
        <v>1</v>
      </c>
      <c r="T116" s="92" t="s">
        <v>1</v>
      </c>
      <c r="U116" s="92" t="s">
        <v>1</v>
      </c>
      <c r="V116" s="7" t="s">
        <v>72</v>
      </c>
      <c r="W116" s="92" t="s">
        <v>1</v>
      </c>
      <c r="X116" s="7" t="s">
        <v>72</v>
      </c>
      <c r="Y116" s="92" t="s">
        <v>1</v>
      </c>
      <c r="Z116" s="7" t="s">
        <v>72</v>
      </c>
      <c r="AA116" s="92" t="s">
        <v>1</v>
      </c>
      <c r="AB116" s="7" t="s">
        <v>72</v>
      </c>
      <c r="AC116" s="92" t="s">
        <v>1</v>
      </c>
      <c r="AD116" s="92" t="s">
        <v>1</v>
      </c>
      <c r="AE116" s="92" t="s">
        <v>1</v>
      </c>
      <c r="AF116" s="7" t="s">
        <v>72</v>
      </c>
      <c r="AG116" s="92" t="s">
        <v>1</v>
      </c>
      <c r="AH116" s="92" t="s">
        <v>72</v>
      </c>
      <c r="AI116" s="92" t="s">
        <v>1</v>
      </c>
      <c r="AJ116" s="92" t="s">
        <v>72</v>
      </c>
      <c r="AK116" s="92" t="s">
        <v>1</v>
      </c>
      <c r="AL116" s="92" t="s">
        <v>72</v>
      </c>
      <c r="AM116" s="92" t="s">
        <v>1</v>
      </c>
      <c r="AN116" s="92" t="s">
        <v>72</v>
      </c>
      <c r="AO116" s="92" t="s">
        <v>1</v>
      </c>
      <c r="AP116" s="92" t="s">
        <v>72</v>
      </c>
      <c r="AQ116" s="92" t="s">
        <v>1</v>
      </c>
      <c r="AR116" s="7" t="s">
        <v>72</v>
      </c>
      <c r="AS116" s="92" t="s">
        <v>1</v>
      </c>
      <c r="AT116" s="92" t="s">
        <v>1</v>
      </c>
      <c r="AU116" s="92" t="s">
        <v>1</v>
      </c>
      <c r="AV116" s="92" t="s">
        <v>1</v>
      </c>
      <c r="AW116" s="92" t="s">
        <v>1</v>
      </c>
      <c r="AX116" s="92" t="s">
        <v>1</v>
      </c>
      <c r="AY116" s="92" t="s">
        <v>1</v>
      </c>
      <c r="AZ116" s="92" t="s">
        <v>1</v>
      </c>
      <c r="BA116" s="92" t="s">
        <v>1</v>
      </c>
      <c r="BB116" s="92" t="s">
        <v>1</v>
      </c>
      <c r="BC116" s="92" t="s">
        <v>1</v>
      </c>
      <c r="BD116" s="92" t="s">
        <v>1</v>
      </c>
      <c r="BE116" s="92" t="s">
        <v>1</v>
      </c>
      <c r="BF116" s="92" t="s">
        <v>1</v>
      </c>
      <c r="BG116" s="108" t="s">
        <v>1</v>
      </c>
      <c r="BH116" s="92" t="s">
        <v>1</v>
      </c>
      <c r="BI116" s="92" t="s">
        <v>1</v>
      </c>
      <c r="BJ116" s="92" t="s">
        <v>1</v>
      </c>
      <c r="BK116" s="7" t="s">
        <v>1</v>
      </c>
      <c r="BL116" s="92" t="s">
        <v>1</v>
      </c>
      <c r="BM116" s="92" t="s">
        <v>1</v>
      </c>
      <c r="BN116" s="92" t="s">
        <v>1</v>
      </c>
      <c r="BO116" s="92" t="s">
        <v>1</v>
      </c>
      <c r="BP116" s="92" t="s">
        <v>1</v>
      </c>
      <c r="BQ116" s="92" t="s">
        <v>1</v>
      </c>
      <c r="BR116" s="92" t="s">
        <v>1</v>
      </c>
      <c r="BS116" s="92" t="s">
        <v>1</v>
      </c>
      <c r="BT116" s="92" t="s">
        <v>1</v>
      </c>
      <c r="BU116" s="92" t="s">
        <v>1</v>
      </c>
      <c r="BV116" s="92" t="s">
        <v>1</v>
      </c>
    </row>
    <row r="117" ht="25" customHeight="1" spans="1:74">
      <c r="A117" s="107">
        <v>45220</v>
      </c>
      <c r="B117" s="32" t="s">
        <v>1</v>
      </c>
      <c r="C117" s="32" t="s">
        <v>1</v>
      </c>
      <c r="D117" s="30" t="s">
        <v>1</v>
      </c>
      <c r="E117" s="30" t="s">
        <v>1</v>
      </c>
      <c r="F117" s="92" t="str">
        <f t="shared" si="2"/>
        <v/>
      </c>
      <c r="G117" s="92" t="s">
        <v>1</v>
      </c>
      <c r="H117" s="92" t="s">
        <v>1</v>
      </c>
      <c r="I117" s="92" t="s">
        <v>1</v>
      </c>
      <c r="J117" s="92" t="s">
        <v>1</v>
      </c>
      <c r="K117" s="92" t="s">
        <v>1</v>
      </c>
      <c r="L117" s="92" t="s">
        <v>1</v>
      </c>
      <c r="M117" s="92" t="s">
        <v>1</v>
      </c>
      <c r="N117" s="110" t="s">
        <v>1</v>
      </c>
      <c r="O117" s="32" t="s">
        <v>1</v>
      </c>
      <c r="P117" s="92" t="s">
        <v>1</v>
      </c>
      <c r="Q117" s="92" t="s">
        <v>1</v>
      </c>
      <c r="R117" s="92" t="s">
        <v>1</v>
      </c>
      <c r="S117" s="92" t="s">
        <v>1</v>
      </c>
      <c r="T117" s="92" t="s">
        <v>1</v>
      </c>
      <c r="U117" s="92" t="s">
        <v>1</v>
      </c>
      <c r="V117" s="7" t="s">
        <v>72</v>
      </c>
      <c r="W117" s="92" t="s">
        <v>1</v>
      </c>
      <c r="X117" s="7" t="s">
        <v>72</v>
      </c>
      <c r="Y117" s="92" t="s">
        <v>1</v>
      </c>
      <c r="Z117" s="7" t="s">
        <v>72</v>
      </c>
      <c r="AA117" s="92" t="s">
        <v>1</v>
      </c>
      <c r="AB117" s="7" t="s">
        <v>72</v>
      </c>
      <c r="AC117" s="92" t="s">
        <v>1</v>
      </c>
      <c r="AD117" s="92" t="s">
        <v>1</v>
      </c>
      <c r="AE117" s="92" t="s">
        <v>1</v>
      </c>
      <c r="AF117" s="7" t="s">
        <v>72</v>
      </c>
      <c r="AG117" s="92" t="s">
        <v>1</v>
      </c>
      <c r="AH117" s="92" t="s">
        <v>72</v>
      </c>
      <c r="AI117" s="92" t="s">
        <v>1</v>
      </c>
      <c r="AJ117" s="92" t="s">
        <v>72</v>
      </c>
      <c r="AK117" s="92" t="s">
        <v>1</v>
      </c>
      <c r="AL117" s="92" t="s">
        <v>72</v>
      </c>
      <c r="AM117" s="92" t="s">
        <v>1</v>
      </c>
      <c r="AN117" s="92" t="s">
        <v>72</v>
      </c>
      <c r="AO117" s="92" t="s">
        <v>1</v>
      </c>
      <c r="AP117" s="92" t="s">
        <v>72</v>
      </c>
      <c r="AQ117" s="92" t="s">
        <v>1</v>
      </c>
      <c r="AR117" s="7" t="s">
        <v>72</v>
      </c>
      <c r="AS117" s="92" t="s">
        <v>1</v>
      </c>
      <c r="AT117" s="92" t="s">
        <v>1</v>
      </c>
      <c r="AU117" s="92" t="s">
        <v>1</v>
      </c>
      <c r="AV117" s="92" t="s">
        <v>1</v>
      </c>
      <c r="AW117" s="92" t="s">
        <v>1</v>
      </c>
      <c r="AX117" s="92" t="s">
        <v>1</v>
      </c>
      <c r="AY117" s="92" t="s">
        <v>1</v>
      </c>
      <c r="AZ117" s="92" t="s">
        <v>1</v>
      </c>
      <c r="BA117" s="92" t="s">
        <v>1</v>
      </c>
      <c r="BB117" s="92" t="s">
        <v>1</v>
      </c>
      <c r="BC117" s="92" t="s">
        <v>1</v>
      </c>
      <c r="BD117" s="92" t="s">
        <v>1</v>
      </c>
      <c r="BE117" s="92" t="s">
        <v>1</v>
      </c>
      <c r="BF117" s="92" t="s">
        <v>1</v>
      </c>
      <c r="BG117" s="108" t="s">
        <v>1</v>
      </c>
      <c r="BH117" s="92" t="s">
        <v>1</v>
      </c>
      <c r="BI117" s="92" t="s">
        <v>1</v>
      </c>
      <c r="BJ117" s="92" t="s">
        <v>1</v>
      </c>
      <c r="BK117" s="7" t="s">
        <v>1</v>
      </c>
      <c r="BL117" s="92" t="s">
        <v>1</v>
      </c>
      <c r="BM117" s="92" t="s">
        <v>1</v>
      </c>
      <c r="BN117" s="92" t="s">
        <v>1</v>
      </c>
      <c r="BO117" s="92" t="s">
        <v>1</v>
      </c>
      <c r="BP117" s="92" t="s">
        <v>1</v>
      </c>
      <c r="BQ117" s="92" t="s">
        <v>1</v>
      </c>
      <c r="BR117" s="92" t="s">
        <v>1</v>
      </c>
      <c r="BS117" s="92" t="s">
        <v>1</v>
      </c>
      <c r="BT117" s="92" t="s">
        <v>1</v>
      </c>
      <c r="BU117" s="92" t="s">
        <v>1</v>
      </c>
      <c r="BV117" s="92" t="s">
        <v>1</v>
      </c>
    </row>
    <row r="118" ht="25" customHeight="1" spans="1:74">
      <c r="A118" s="107">
        <v>45221</v>
      </c>
      <c r="B118" s="32" t="s">
        <v>1</v>
      </c>
      <c r="C118" s="32" t="s">
        <v>1</v>
      </c>
      <c r="D118" s="30" t="s">
        <v>1</v>
      </c>
      <c r="E118" s="30" t="s">
        <v>1</v>
      </c>
      <c r="F118" s="92" t="str">
        <f t="shared" si="2"/>
        <v/>
      </c>
      <c r="G118" s="92" t="s">
        <v>1</v>
      </c>
      <c r="H118" s="92" t="s">
        <v>1</v>
      </c>
      <c r="I118" s="92" t="s">
        <v>1</v>
      </c>
      <c r="J118" s="92" t="s">
        <v>1</v>
      </c>
      <c r="K118" s="92" t="s">
        <v>1</v>
      </c>
      <c r="L118" s="92" t="s">
        <v>1</v>
      </c>
      <c r="M118" s="92" t="s">
        <v>1</v>
      </c>
      <c r="N118" s="110" t="s">
        <v>1</v>
      </c>
      <c r="O118" s="32" t="s">
        <v>1</v>
      </c>
      <c r="P118" s="92" t="s">
        <v>1</v>
      </c>
      <c r="Q118" s="92" t="s">
        <v>1</v>
      </c>
      <c r="R118" s="92" t="s">
        <v>1</v>
      </c>
      <c r="S118" s="92" t="s">
        <v>1</v>
      </c>
      <c r="T118" s="92" t="s">
        <v>1</v>
      </c>
      <c r="U118" s="92" t="s">
        <v>1</v>
      </c>
      <c r="V118" s="7" t="s">
        <v>72</v>
      </c>
      <c r="W118" s="92" t="s">
        <v>1</v>
      </c>
      <c r="X118" s="7" t="s">
        <v>72</v>
      </c>
      <c r="Y118" s="92" t="s">
        <v>1</v>
      </c>
      <c r="Z118" s="7" t="s">
        <v>72</v>
      </c>
      <c r="AA118" s="92" t="s">
        <v>1</v>
      </c>
      <c r="AB118" s="7" t="s">
        <v>72</v>
      </c>
      <c r="AC118" s="92" t="s">
        <v>1</v>
      </c>
      <c r="AD118" s="92" t="s">
        <v>1</v>
      </c>
      <c r="AE118" s="92" t="s">
        <v>1</v>
      </c>
      <c r="AF118" s="7" t="s">
        <v>72</v>
      </c>
      <c r="AG118" s="92" t="s">
        <v>1</v>
      </c>
      <c r="AH118" s="92" t="s">
        <v>72</v>
      </c>
      <c r="AI118" s="92" t="s">
        <v>1</v>
      </c>
      <c r="AJ118" s="92" t="s">
        <v>72</v>
      </c>
      <c r="AK118" s="92" t="s">
        <v>1</v>
      </c>
      <c r="AL118" s="92" t="s">
        <v>72</v>
      </c>
      <c r="AM118" s="92" t="s">
        <v>1</v>
      </c>
      <c r="AN118" s="92" t="s">
        <v>72</v>
      </c>
      <c r="AO118" s="92" t="s">
        <v>1</v>
      </c>
      <c r="AP118" s="92" t="s">
        <v>72</v>
      </c>
      <c r="AQ118" s="92" t="s">
        <v>1</v>
      </c>
      <c r="AR118" s="7" t="s">
        <v>72</v>
      </c>
      <c r="AS118" s="92" t="s">
        <v>1</v>
      </c>
      <c r="AT118" s="92" t="s">
        <v>1</v>
      </c>
      <c r="AU118" s="92" t="s">
        <v>1</v>
      </c>
      <c r="AV118" s="92" t="s">
        <v>1</v>
      </c>
      <c r="AW118" s="92" t="s">
        <v>1</v>
      </c>
      <c r="AX118" s="92" t="s">
        <v>1</v>
      </c>
      <c r="AY118" s="92" t="s">
        <v>1</v>
      </c>
      <c r="AZ118" s="92" t="s">
        <v>1</v>
      </c>
      <c r="BA118" s="92" t="s">
        <v>1</v>
      </c>
      <c r="BB118" s="92" t="s">
        <v>1</v>
      </c>
      <c r="BC118" s="92" t="s">
        <v>1</v>
      </c>
      <c r="BD118" s="92" t="s">
        <v>1</v>
      </c>
      <c r="BE118" s="92" t="s">
        <v>1</v>
      </c>
      <c r="BF118" s="92" t="s">
        <v>1</v>
      </c>
      <c r="BG118" s="108" t="s">
        <v>1</v>
      </c>
      <c r="BH118" s="92" t="s">
        <v>1</v>
      </c>
      <c r="BI118" s="92" t="s">
        <v>1</v>
      </c>
      <c r="BJ118" s="92" t="s">
        <v>1</v>
      </c>
      <c r="BK118" s="7" t="s">
        <v>1</v>
      </c>
      <c r="BL118" s="92" t="s">
        <v>1</v>
      </c>
      <c r="BM118" s="92" t="s">
        <v>1</v>
      </c>
      <c r="BN118" s="92" t="s">
        <v>1</v>
      </c>
      <c r="BO118" s="92" t="s">
        <v>1</v>
      </c>
      <c r="BP118" s="92" t="s">
        <v>1</v>
      </c>
      <c r="BQ118" s="92" t="s">
        <v>1</v>
      </c>
      <c r="BR118" s="92" t="s">
        <v>1</v>
      </c>
      <c r="BS118" s="92" t="s">
        <v>1</v>
      </c>
      <c r="BT118" s="92" t="s">
        <v>1</v>
      </c>
      <c r="BU118" s="92" t="s">
        <v>1</v>
      </c>
      <c r="BV118" s="92" t="s">
        <v>1</v>
      </c>
    </row>
    <row r="119" ht="25" customHeight="1" spans="1:74">
      <c r="A119" s="107">
        <v>45222</v>
      </c>
      <c r="B119" s="32" t="s">
        <v>1</v>
      </c>
      <c r="C119" s="32" t="s">
        <v>1</v>
      </c>
      <c r="D119" s="30" t="s">
        <v>1</v>
      </c>
      <c r="E119" s="30" t="s">
        <v>1</v>
      </c>
      <c r="F119" s="92" t="str">
        <f t="shared" si="2"/>
        <v/>
      </c>
      <c r="G119" s="92" t="s">
        <v>1</v>
      </c>
      <c r="H119" s="92" t="s">
        <v>1</v>
      </c>
      <c r="I119" s="92" t="s">
        <v>1</v>
      </c>
      <c r="J119" s="92" t="s">
        <v>1</v>
      </c>
      <c r="K119" s="92" t="s">
        <v>1</v>
      </c>
      <c r="L119" s="92" t="s">
        <v>1</v>
      </c>
      <c r="M119" s="92" t="s">
        <v>1</v>
      </c>
      <c r="N119" s="110" t="s">
        <v>1</v>
      </c>
      <c r="O119" s="32" t="s">
        <v>1</v>
      </c>
      <c r="P119" s="92" t="s">
        <v>1</v>
      </c>
      <c r="Q119" s="92" t="s">
        <v>1</v>
      </c>
      <c r="R119" s="92" t="s">
        <v>1</v>
      </c>
      <c r="S119" s="92" t="s">
        <v>1</v>
      </c>
      <c r="T119" s="92" t="s">
        <v>1</v>
      </c>
      <c r="U119" s="92" t="s">
        <v>1</v>
      </c>
      <c r="V119" s="7" t="s">
        <v>72</v>
      </c>
      <c r="W119" s="92" t="s">
        <v>1</v>
      </c>
      <c r="X119" s="7" t="s">
        <v>72</v>
      </c>
      <c r="Y119" s="92" t="s">
        <v>1</v>
      </c>
      <c r="Z119" s="7" t="s">
        <v>72</v>
      </c>
      <c r="AA119" s="92" t="s">
        <v>1</v>
      </c>
      <c r="AB119" s="7" t="s">
        <v>72</v>
      </c>
      <c r="AC119" s="92" t="s">
        <v>1</v>
      </c>
      <c r="AD119" s="92" t="s">
        <v>1</v>
      </c>
      <c r="AE119" s="92" t="s">
        <v>1</v>
      </c>
      <c r="AF119" s="7" t="s">
        <v>72</v>
      </c>
      <c r="AG119" s="92" t="s">
        <v>1</v>
      </c>
      <c r="AH119" s="92" t="s">
        <v>72</v>
      </c>
      <c r="AI119" s="92" t="s">
        <v>1</v>
      </c>
      <c r="AJ119" s="92" t="s">
        <v>72</v>
      </c>
      <c r="AK119" s="92" t="s">
        <v>1</v>
      </c>
      <c r="AL119" s="92" t="s">
        <v>72</v>
      </c>
      <c r="AM119" s="92" t="s">
        <v>1</v>
      </c>
      <c r="AN119" s="92" t="s">
        <v>72</v>
      </c>
      <c r="AO119" s="92" t="s">
        <v>1</v>
      </c>
      <c r="AP119" s="92" t="s">
        <v>72</v>
      </c>
      <c r="AQ119" s="92" t="s">
        <v>1</v>
      </c>
      <c r="AR119" s="7" t="s">
        <v>72</v>
      </c>
      <c r="AS119" s="92" t="s">
        <v>1</v>
      </c>
      <c r="AT119" s="92" t="s">
        <v>1</v>
      </c>
      <c r="AU119" s="92" t="s">
        <v>1</v>
      </c>
      <c r="AV119" s="92" t="s">
        <v>1</v>
      </c>
      <c r="AW119" s="92" t="s">
        <v>1</v>
      </c>
      <c r="AX119" s="92" t="s">
        <v>1</v>
      </c>
      <c r="AY119" s="92" t="s">
        <v>1</v>
      </c>
      <c r="AZ119" s="92" t="s">
        <v>1</v>
      </c>
      <c r="BA119" s="92" t="s">
        <v>1</v>
      </c>
      <c r="BB119" s="92" t="s">
        <v>1</v>
      </c>
      <c r="BC119" s="92" t="s">
        <v>1</v>
      </c>
      <c r="BD119" s="92" t="s">
        <v>1</v>
      </c>
      <c r="BE119" s="92" t="s">
        <v>1</v>
      </c>
      <c r="BF119" s="92" t="s">
        <v>1</v>
      </c>
      <c r="BG119" s="108" t="s">
        <v>1</v>
      </c>
      <c r="BH119" s="92" t="s">
        <v>1</v>
      </c>
      <c r="BI119" s="92" t="s">
        <v>1</v>
      </c>
      <c r="BJ119" s="92" t="s">
        <v>1</v>
      </c>
      <c r="BK119" s="7" t="s">
        <v>1</v>
      </c>
      <c r="BL119" s="92" t="s">
        <v>1</v>
      </c>
      <c r="BM119" s="92" t="s">
        <v>1</v>
      </c>
      <c r="BN119" s="92" t="s">
        <v>1</v>
      </c>
      <c r="BO119" s="92" t="s">
        <v>1</v>
      </c>
      <c r="BP119" s="92" t="s">
        <v>1</v>
      </c>
      <c r="BQ119" s="92" t="s">
        <v>1</v>
      </c>
      <c r="BR119" s="92" t="s">
        <v>1</v>
      </c>
      <c r="BS119" s="92" t="s">
        <v>1</v>
      </c>
      <c r="BT119" s="92" t="s">
        <v>1</v>
      </c>
      <c r="BU119" s="92" t="s">
        <v>1</v>
      </c>
      <c r="BV119" s="92" t="s">
        <v>1</v>
      </c>
    </row>
    <row r="120" ht="25" customHeight="1" spans="1:74">
      <c r="A120" s="107">
        <v>45223</v>
      </c>
      <c r="B120" s="32" t="s">
        <v>1</v>
      </c>
      <c r="C120" s="32" t="s">
        <v>1</v>
      </c>
      <c r="D120" s="30" t="s">
        <v>1</v>
      </c>
      <c r="E120" s="30" t="s">
        <v>1</v>
      </c>
      <c r="F120" s="92" t="str">
        <f t="shared" si="2"/>
        <v/>
      </c>
      <c r="G120" s="92" t="s">
        <v>1</v>
      </c>
      <c r="H120" s="92" t="s">
        <v>1</v>
      </c>
      <c r="I120" s="92" t="s">
        <v>1</v>
      </c>
      <c r="J120" s="92" t="s">
        <v>1</v>
      </c>
      <c r="K120" s="92" t="s">
        <v>1</v>
      </c>
      <c r="L120" s="92" t="s">
        <v>1</v>
      </c>
      <c r="M120" s="92" t="s">
        <v>1</v>
      </c>
      <c r="N120" s="110" t="s">
        <v>1</v>
      </c>
      <c r="O120" s="32" t="s">
        <v>1</v>
      </c>
      <c r="P120" s="92" t="s">
        <v>1</v>
      </c>
      <c r="Q120" s="92" t="s">
        <v>1</v>
      </c>
      <c r="R120" s="92" t="s">
        <v>1</v>
      </c>
      <c r="S120" s="92" t="s">
        <v>1</v>
      </c>
      <c r="T120" s="92" t="s">
        <v>1</v>
      </c>
      <c r="U120" s="92" t="s">
        <v>1</v>
      </c>
      <c r="V120" s="7" t="s">
        <v>72</v>
      </c>
      <c r="W120" s="92" t="s">
        <v>1</v>
      </c>
      <c r="X120" s="7" t="s">
        <v>72</v>
      </c>
      <c r="Y120" s="92" t="s">
        <v>1</v>
      </c>
      <c r="Z120" s="7" t="s">
        <v>72</v>
      </c>
      <c r="AA120" s="92" t="s">
        <v>1</v>
      </c>
      <c r="AB120" s="7" t="s">
        <v>72</v>
      </c>
      <c r="AC120" s="92" t="s">
        <v>1</v>
      </c>
      <c r="AD120" s="92" t="s">
        <v>1</v>
      </c>
      <c r="AE120" s="92" t="s">
        <v>1</v>
      </c>
      <c r="AF120" s="7" t="s">
        <v>72</v>
      </c>
      <c r="AG120" s="92" t="s">
        <v>1</v>
      </c>
      <c r="AH120" s="92" t="s">
        <v>72</v>
      </c>
      <c r="AI120" s="92" t="s">
        <v>1</v>
      </c>
      <c r="AJ120" s="92" t="s">
        <v>72</v>
      </c>
      <c r="AK120" s="92" t="s">
        <v>1</v>
      </c>
      <c r="AL120" s="92" t="s">
        <v>72</v>
      </c>
      <c r="AM120" s="92" t="s">
        <v>1</v>
      </c>
      <c r="AN120" s="92" t="s">
        <v>72</v>
      </c>
      <c r="AO120" s="92" t="s">
        <v>1</v>
      </c>
      <c r="AP120" s="92" t="s">
        <v>72</v>
      </c>
      <c r="AQ120" s="92" t="s">
        <v>1</v>
      </c>
      <c r="AR120" s="7" t="s">
        <v>72</v>
      </c>
      <c r="AS120" s="92" t="s">
        <v>1</v>
      </c>
      <c r="AT120" s="92" t="s">
        <v>1</v>
      </c>
      <c r="AU120" s="92" t="s">
        <v>1</v>
      </c>
      <c r="AV120" s="92" t="s">
        <v>1</v>
      </c>
      <c r="AW120" s="92" t="s">
        <v>1</v>
      </c>
      <c r="AX120" s="92" t="s">
        <v>1</v>
      </c>
      <c r="AY120" s="92" t="s">
        <v>1</v>
      </c>
      <c r="AZ120" s="92" t="s">
        <v>1</v>
      </c>
      <c r="BA120" s="92" t="s">
        <v>1</v>
      </c>
      <c r="BB120" s="92" t="s">
        <v>1</v>
      </c>
      <c r="BC120" s="92" t="s">
        <v>1</v>
      </c>
      <c r="BD120" s="92" t="s">
        <v>1</v>
      </c>
      <c r="BE120" s="92" t="s">
        <v>1</v>
      </c>
      <c r="BF120" s="92" t="s">
        <v>1</v>
      </c>
      <c r="BG120" s="108" t="s">
        <v>1</v>
      </c>
      <c r="BH120" s="92" t="s">
        <v>1</v>
      </c>
      <c r="BI120" s="92" t="s">
        <v>1</v>
      </c>
      <c r="BJ120" s="92" t="s">
        <v>1</v>
      </c>
      <c r="BK120" s="7" t="s">
        <v>1</v>
      </c>
      <c r="BL120" s="92" t="s">
        <v>1</v>
      </c>
      <c r="BM120" s="92" t="s">
        <v>1</v>
      </c>
      <c r="BN120" s="92" t="s">
        <v>1</v>
      </c>
      <c r="BO120" s="92" t="s">
        <v>1</v>
      </c>
      <c r="BP120" s="92" t="s">
        <v>1</v>
      </c>
      <c r="BQ120" s="92" t="s">
        <v>1</v>
      </c>
      <c r="BR120" s="92" t="s">
        <v>1</v>
      </c>
      <c r="BS120" s="92" t="s">
        <v>1</v>
      </c>
      <c r="BT120" s="92" t="s">
        <v>1</v>
      </c>
      <c r="BU120" s="92" t="s">
        <v>1</v>
      </c>
      <c r="BV120" s="92" t="s">
        <v>1</v>
      </c>
    </row>
    <row r="121" ht="25" customHeight="1" spans="1:74">
      <c r="A121" s="107">
        <v>45224</v>
      </c>
      <c r="B121" s="32" t="s">
        <v>1</v>
      </c>
      <c r="C121" s="32" t="s">
        <v>1</v>
      </c>
      <c r="D121" s="30" t="s">
        <v>1</v>
      </c>
      <c r="E121" s="30" t="s">
        <v>1</v>
      </c>
      <c r="F121" s="92" t="str">
        <f t="shared" si="2"/>
        <v/>
      </c>
      <c r="G121" s="92" t="s">
        <v>1</v>
      </c>
      <c r="H121" s="92" t="s">
        <v>1</v>
      </c>
      <c r="I121" s="92" t="s">
        <v>1</v>
      </c>
      <c r="J121" s="92" t="s">
        <v>1</v>
      </c>
      <c r="K121" s="92" t="s">
        <v>1</v>
      </c>
      <c r="L121" s="92" t="s">
        <v>1</v>
      </c>
      <c r="M121" s="92" t="s">
        <v>1</v>
      </c>
      <c r="N121" s="110" t="s">
        <v>1</v>
      </c>
      <c r="O121" s="32" t="s">
        <v>1</v>
      </c>
      <c r="P121" s="92" t="s">
        <v>1</v>
      </c>
      <c r="Q121" s="92" t="s">
        <v>1</v>
      </c>
      <c r="R121" s="92" t="s">
        <v>1</v>
      </c>
      <c r="S121" s="92" t="s">
        <v>1</v>
      </c>
      <c r="T121" s="92" t="s">
        <v>1</v>
      </c>
      <c r="U121" s="92" t="s">
        <v>1</v>
      </c>
      <c r="V121" s="7" t="s">
        <v>72</v>
      </c>
      <c r="W121" s="92" t="s">
        <v>1</v>
      </c>
      <c r="X121" s="7" t="s">
        <v>72</v>
      </c>
      <c r="Y121" s="92" t="s">
        <v>1</v>
      </c>
      <c r="Z121" s="7" t="s">
        <v>72</v>
      </c>
      <c r="AA121" s="92" t="s">
        <v>1</v>
      </c>
      <c r="AB121" s="7" t="s">
        <v>72</v>
      </c>
      <c r="AC121" s="92" t="s">
        <v>1</v>
      </c>
      <c r="AD121" s="92" t="s">
        <v>1</v>
      </c>
      <c r="AE121" s="92" t="s">
        <v>1</v>
      </c>
      <c r="AF121" s="7" t="s">
        <v>72</v>
      </c>
      <c r="AG121" s="92" t="s">
        <v>1</v>
      </c>
      <c r="AH121" s="92" t="s">
        <v>72</v>
      </c>
      <c r="AI121" s="92" t="s">
        <v>1</v>
      </c>
      <c r="AJ121" s="92" t="s">
        <v>72</v>
      </c>
      <c r="AK121" s="92" t="s">
        <v>1</v>
      </c>
      <c r="AL121" s="92" t="s">
        <v>72</v>
      </c>
      <c r="AM121" s="92" t="s">
        <v>1</v>
      </c>
      <c r="AN121" s="92" t="s">
        <v>72</v>
      </c>
      <c r="AO121" s="92" t="s">
        <v>1</v>
      </c>
      <c r="AP121" s="92" t="s">
        <v>72</v>
      </c>
      <c r="AQ121" s="92" t="s">
        <v>1</v>
      </c>
      <c r="AR121" s="7" t="s">
        <v>72</v>
      </c>
      <c r="AS121" s="92" t="s">
        <v>1</v>
      </c>
      <c r="AT121" s="92" t="s">
        <v>1</v>
      </c>
      <c r="AU121" s="92" t="s">
        <v>1</v>
      </c>
      <c r="AV121" s="92" t="s">
        <v>1</v>
      </c>
      <c r="AW121" s="92" t="s">
        <v>1</v>
      </c>
      <c r="AX121" s="92" t="s">
        <v>1</v>
      </c>
      <c r="AY121" s="92" t="s">
        <v>1</v>
      </c>
      <c r="AZ121" s="92" t="s">
        <v>1</v>
      </c>
      <c r="BA121" s="92" t="s">
        <v>1</v>
      </c>
      <c r="BB121" s="92" t="s">
        <v>1</v>
      </c>
      <c r="BC121" s="92" t="s">
        <v>1</v>
      </c>
      <c r="BD121" s="92" t="s">
        <v>1</v>
      </c>
      <c r="BE121" s="92" t="s">
        <v>1</v>
      </c>
      <c r="BF121" s="92" t="s">
        <v>1</v>
      </c>
      <c r="BG121" s="108" t="s">
        <v>1</v>
      </c>
      <c r="BH121" s="92" t="s">
        <v>1</v>
      </c>
      <c r="BI121" s="92" t="s">
        <v>1</v>
      </c>
      <c r="BJ121" s="92" t="s">
        <v>1</v>
      </c>
      <c r="BK121" s="7" t="s">
        <v>1</v>
      </c>
      <c r="BL121" s="92" t="s">
        <v>1</v>
      </c>
      <c r="BM121" s="92" t="s">
        <v>1</v>
      </c>
      <c r="BN121" s="92" t="s">
        <v>1</v>
      </c>
      <c r="BO121" s="92" t="s">
        <v>1</v>
      </c>
      <c r="BP121" s="92" t="s">
        <v>1</v>
      </c>
      <c r="BQ121" s="92" t="s">
        <v>1</v>
      </c>
      <c r="BR121" s="92" t="s">
        <v>1</v>
      </c>
      <c r="BS121" s="92" t="s">
        <v>1</v>
      </c>
      <c r="BT121" s="92" t="s">
        <v>1</v>
      </c>
      <c r="BU121" s="92" t="s">
        <v>1</v>
      </c>
      <c r="BV121" s="92" t="s">
        <v>1</v>
      </c>
    </row>
    <row r="122" ht="25" customHeight="1" spans="1:74">
      <c r="A122" s="107">
        <v>45225</v>
      </c>
      <c r="B122" s="32" t="s">
        <v>1</v>
      </c>
      <c r="C122" s="32" t="s">
        <v>1</v>
      </c>
      <c r="D122" s="30" t="s">
        <v>1</v>
      </c>
      <c r="E122" s="30" t="s">
        <v>1</v>
      </c>
      <c r="F122" s="92" t="str">
        <f t="shared" si="2"/>
        <v/>
      </c>
      <c r="G122" s="92" t="s">
        <v>1</v>
      </c>
      <c r="H122" s="92" t="s">
        <v>1</v>
      </c>
      <c r="I122" s="92" t="s">
        <v>1</v>
      </c>
      <c r="J122" s="92" t="s">
        <v>1</v>
      </c>
      <c r="K122" s="92" t="s">
        <v>1</v>
      </c>
      <c r="L122" s="92" t="s">
        <v>1</v>
      </c>
      <c r="M122" s="92" t="s">
        <v>1</v>
      </c>
      <c r="N122" s="110" t="s">
        <v>1</v>
      </c>
      <c r="O122" s="32" t="s">
        <v>1</v>
      </c>
      <c r="P122" s="92" t="s">
        <v>1</v>
      </c>
      <c r="Q122" s="92" t="s">
        <v>1</v>
      </c>
      <c r="R122" s="92" t="s">
        <v>1</v>
      </c>
      <c r="S122" s="92" t="s">
        <v>1</v>
      </c>
      <c r="T122" s="92" t="s">
        <v>1</v>
      </c>
      <c r="U122" s="92" t="s">
        <v>1</v>
      </c>
      <c r="V122" s="7" t="s">
        <v>72</v>
      </c>
      <c r="W122" s="92" t="s">
        <v>1</v>
      </c>
      <c r="X122" s="7" t="s">
        <v>72</v>
      </c>
      <c r="Y122" s="92" t="s">
        <v>1</v>
      </c>
      <c r="Z122" s="7" t="s">
        <v>72</v>
      </c>
      <c r="AA122" s="92" t="s">
        <v>1</v>
      </c>
      <c r="AB122" s="7" t="s">
        <v>72</v>
      </c>
      <c r="AC122" s="92" t="s">
        <v>1</v>
      </c>
      <c r="AD122" s="92" t="s">
        <v>1</v>
      </c>
      <c r="AE122" s="92" t="s">
        <v>1</v>
      </c>
      <c r="AF122" s="7" t="s">
        <v>72</v>
      </c>
      <c r="AG122" s="92" t="s">
        <v>1</v>
      </c>
      <c r="AH122" s="92" t="s">
        <v>72</v>
      </c>
      <c r="AI122" s="92" t="s">
        <v>1</v>
      </c>
      <c r="AJ122" s="92" t="s">
        <v>72</v>
      </c>
      <c r="AK122" s="92" t="s">
        <v>1</v>
      </c>
      <c r="AL122" s="92" t="s">
        <v>72</v>
      </c>
      <c r="AM122" s="92" t="s">
        <v>1</v>
      </c>
      <c r="AN122" s="92" t="s">
        <v>72</v>
      </c>
      <c r="AO122" s="92" t="s">
        <v>1</v>
      </c>
      <c r="AP122" s="92" t="s">
        <v>72</v>
      </c>
      <c r="AQ122" s="92" t="s">
        <v>1</v>
      </c>
      <c r="AR122" s="7" t="s">
        <v>72</v>
      </c>
      <c r="AS122" s="92" t="s">
        <v>1</v>
      </c>
      <c r="AT122" s="92" t="s">
        <v>1</v>
      </c>
      <c r="AU122" s="92" t="s">
        <v>1</v>
      </c>
      <c r="AV122" s="92" t="s">
        <v>1</v>
      </c>
      <c r="AW122" s="92" t="s">
        <v>1</v>
      </c>
      <c r="AX122" s="92" t="s">
        <v>1</v>
      </c>
      <c r="AY122" s="92" t="s">
        <v>1</v>
      </c>
      <c r="AZ122" s="92" t="s">
        <v>1</v>
      </c>
      <c r="BA122" s="92" t="s">
        <v>1</v>
      </c>
      <c r="BB122" s="92" t="s">
        <v>1</v>
      </c>
      <c r="BC122" s="92" t="s">
        <v>1</v>
      </c>
      <c r="BD122" s="92" t="s">
        <v>1</v>
      </c>
      <c r="BE122" s="92" t="s">
        <v>1</v>
      </c>
      <c r="BF122" s="92" t="s">
        <v>1</v>
      </c>
      <c r="BG122" s="108" t="s">
        <v>1</v>
      </c>
      <c r="BH122" s="92" t="s">
        <v>1</v>
      </c>
      <c r="BI122" s="92" t="s">
        <v>1</v>
      </c>
      <c r="BJ122" s="92" t="s">
        <v>1</v>
      </c>
      <c r="BK122" s="7" t="s">
        <v>1</v>
      </c>
      <c r="BL122" s="92" t="s">
        <v>1</v>
      </c>
      <c r="BM122" s="92" t="s">
        <v>1</v>
      </c>
      <c r="BN122" s="92" t="s">
        <v>1</v>
      </c>
      <c r="BO122" s="92" t="s">
        <v>1</v>
      </c>
      <c r="BP122" s="92" t="s">
        <v>1</v>
      </c>
      <c r="BQ122" s="92" t="s">
        <v>1</v>
      </c>
      <c r="BR122" s="92" t="s">
        <v>1</v>
      </c>
      <c r="BS122" s="92" t="s">
        <v>1</v>
      </c>
      <c r="BT122" s="92" t="s">
        <v>1</v>
      </c>
      <c r="BU122" s="92" t="s">
        <v>1</v>
      </c>
      <c r="BV122" s="92" t="s">
        <v>1</v>
      </c>
    </row>
    <row r="123" ht="25" customHeight="1" spans="1:74">
      <c r="A123" s="107">
        <v>45226</v>
      </c>
      <c r="B123" s="32" t="s">
        <v>1</v>
      </c>
      <c r="C123" s="32" t="s">
        <v>1</v>
      </c>
      <c r="D123" s="30" t="s">
        <v>1</v>
      </c>
      <c r="E123" s="30" t="s">
        <v>1</v>
      </c>
      <c r="F123" s="92" t="str">
        <f t="shared" si="2"/>
        <v/>
      </c>
      <c r="G123" s="92" t="s">
        <v>1</v>
      </c>
      <c r="H123" s="92" t="s">
        <v>1</v>
      </c>
      <c r="I123" s="92" t="s">
        <v>1</v>
      </c>
      <c r="J123" s="92" t="s">
        <v>1</v>
      </c>
      <c r="K123" s="92" t="s">
        <v>1</v>
      </c>
      <c r="L123" s="92" t="s">
        <v>1</v>
      </c>
      <c r="M123" s="92" t="s">
        <v>1</v>
      </c>
      <c r="N123" s="110" t="s">
        <v>1</v>
      </c>
      <c r="O123" s="32" t="s">
        <v>1</v>
      </c>
      <c r="P123" s="92" t="s">
        <v>1</v>
      </c>
      <c r="Q123" s="92" t="s">
        <v>1</v>
      </c>
      <c r="R123" s="92" t="s">
        <v>1</v>
      </c>
      <c r="S123" s="92" t="s">
        <v>1</v>
      </c>
      <c r="T123" s="92" t="s">
        <v>1</v>
      </c>
      <c r="U123" s="92" t="s">
        <v>1</v>
      </c>
      <c r="V123" s="7" t="s">
        <v>72</v>
      </c>
      <c r="W123" s="92" t="s">
        <v>1</v>
      </c>
      <c r="X123" s="7" t="s">
        <v>72</v>
      </c>
      <c r="Y123" s="92" t="s">
        <v>1</v>
      </c>
      <c r="Z123" s="7" t="s">
        <v>72</v>
      </c>
      <c r="AA123" s="92" t="s">
        <v>1</v>
      </c>
      <c r="AB123" s="7" t="s">
        <v>72</v>
      </c>
      <c r="AC123" s="92" t="s">
        <v>1</v>
      </c>
      <c r="AD123" s="92" t="s">
        <v>1</v>
      </c>
      <c r="AE123" s="92" t="s">
        <v>1</v>
      </c>
      <c r="AF123" s="7" t="s">
        <v>72</v>
      </c>
      <c r="AG123" s="92" t="s">
        <v>1</v>
      </c>
      <c r="AH123" s="92" t="s">
        <v>72</v>
      </c>
      <c r="AI123" s="92" t="s">
        <v>1</v>
      </c>
      <c r="AJ123" s="92" t="s">
        <v>72</v>
      </c>
      <c r="AK123" s="92" t="s">
        <v>1</v>
      </c>
      <c r="AL123" s="92" t="s">
        <v>72</v>
      </c>
      <c r="AM123" s="92" t="s">
        <v>1</v>
      </c>
      <c r="AN123" s="92" t="s">
        <v>72</v>
      </c>
      <c r="AO123" s="92" t="s">
        <v>1</v>
      </c>
      <c r="AP123" s="92" t="s">
        <v>72</v>
      </c>
      <c r="AQ123" s="92" t="s">
        <v>1</v>
      </c>
      <c r="AR123" s="7" t="s">
        <v>72</v>
      </c>
      <c r="AS123" s="92" t="s">
        <v>1</v>
      </c>
      <c r="AT123" s="92" t="s">
        <v>1</v>
      </c>
      <c r="AU123" s="92" t="s">
        <v>1</v>
      </c>
      <c r="AV123" s="92" t="s">
        <v>1</v>
      </c>
      <c r="AW123" s="92" t="s">
        <v>1</v>
      </c>
      <c r="AX123" s="92" t="s">
        <v>1</v>
      </c>
      <c r="AY123" s="92" t="s">
        <v>1</v>
      </c>
      <c r="AZ123" s="92" t="s">
        <v>1</v>
      </c>
      <c r="BA123" s="92" t="s">
        <v>1</v>
      </c>
      <c r="BB123" s="92" t="s">
        <v>1</v>
      </c>
      <c r="BC123" s="92" t="s">
        <v>1</v>
      </c>
      <c r="BD123" s="92" t="s">
        <v>1</v>
      </c>
      <c r="BE123" s="92" t="s">
        <v>1</v>
      </c>
      <c r="BF123" s="92" t="s">
        <v>1</v>
      </c>
      <c r="BG123" s="108" t="s">
        <v>1</v>
      </c>
      <c r="BH123" s="92" t="s">
        <v>1</v>
      </c>
      <c r="BI123" s="92" t="s">
        <v>1</v>
      </c>
      <c r="BJ123" s="92" t="s">
        <v>1</v>
      </c>
      <c r="BK123" s="7" t="s">
        <v>1</v>
      </c>
      <c r="BL123" s="92" t="s">
        <v>1</v>
      </c>
      <c r="BM123" s="92" t="s">
        <v>1</v>
      </c>
      <c r="BN123" s="92" t="s">
        <v>1</v>
      </c>
      <c r="BO123" s="92" t="s">
        <v>1</v>
      </c>
      <c r="BP123" s="92" t="s">
        <v>1</v>
      </c>
      <c r="BQ123" s="92" t="s">
        <v>1</v>
      </c>
      <c r="BR123" s="92" t="s">
        <v>1</v>
      </c>
      <c r="BS123" s="92" t="s">
        <v>1</v>
      </c>
      <c r="BT123" s="92" t="s">
        <v>1</v>
      </c>
      <c r="BU123" s="92" t="s">
        <v>1</v>
      </c>
      <c r="BV123" s="92" t="s">
        <v>1</v>
      </c>
    </row>
    <row r="124" ht="25" customHeight="1" spans="1:74">
      <c r="A124" s="107">
        <v>45227</v>
      </c>
      <c r="B124" s="32" t="s">
        <v>1</v>
      </c>
      <c r="C124" s="32" t="s">
        <v>1</v>
      </c>
      <c r="D124" s="30" t="s">
        <v>1</v>
      </c>
      <c r="E124" s="30" t="s">
        <v>1</v>
      </c>
      <c r="F124" s="92" t="str">
        <f t="shared" si="2"/>
        <v/>
      </c>
      <c r="G124" s="92" t="s">
        <v>1</v>
      </c>
      <c r="H124" s="92" t="s">
        <v>1</v>
      </c>
      <c r="I124" s="92" t="s">
        <v>1</v>
      </c>
      <c r="J124" s="92" t="s">
        <v>1</v>
      </c>
      <c r="K124" s="92" t="s">
        <v>1</v>
      </c>
      <c r="L124" s="92" t="s">
        <v>1</v>
      </c>
      <c r="M124" s="92" t="s">
        <v>1</v>
      </c>
      <c r="N124" s="110" t="s">
        <v>1</v>
      </c>
      <c r="O124" s="32" t="s">
        <v>1</v>
      </c>
      <c r="P124" s="92" t="s">
        <v>1</v>
      </c>
      <c r="Q124" s="92" t="s">
        <v>1</v>
      </c>
      <c r="R124" s="92" t="s">
        <v>1</v>
      </c>
      <c r="S124" s="92" t="s">
        <v>1</v>
      </c>
      <c r="T124" s="92" t="s">
        <v>1</v>
      </c>
      <c r="U124" s="92" t="s">
        <v>1</v>
      </c>
      <c r="V124" s="7" t="s">
        <v>72</v>
      </c>
      <c r="W124" s="92" t="s">
        <v>1</v>
      </c>
      <c r="X124" s="7" t="s">
        <v>72</v>
      </c>
      <c r="Y124" s="92" t="s">
        <v>1</v>
      </c>
      <c r="Z124" s="7" t="s">
        <v>72</v>
      </c>
      <c r="AA124" s="92" t="s">
        <v>1</v>
      </c>
      <c r="AB124" s="7" t="s">
        <v>72</v>
      </c>
      <c r="AC124" s="92" t="s">
        <v>1</v>
      </c>
      <c r="AD124" s="92" t="s">
        <v>1</v>
      </c>
      <c r="AE124" s="92" t="s">
        <v>1</v>
      </c>
      <c r="AF124" s="7" t="s">
        <v>72</v>
      </c>
      <c r="AG124" s="92" t="s">
        <v>1</v>
      </c>
      <c r="AH124" s="92" t="s">
        <v>72</v>
      </c>
      <c r="AI124" s="92" t="s">
        <v>1</v>
      </c>
      <c r="AJ124" s="92" t="s">
        <v>72</v>
      </c>
      <c r="AK124" s="92" t="s">
        <v>1</v>
      </c>
      <c r="AL124" s="92" t="s">
        <v>72</v>
      </c>
      <c r="AM124" s="92" t="s">
        <v>1</v>
      </c>
      <c r="AN124" s="92" t="s">
        <v>72</v>
      </c>
      <c r="AO124" s="92" t="s">
        <v>1</v>
      </c>
      <c r="AP124" s="92" t="s">
        <v>72</v>
      </c>
      <c r="AQ124" s="92" t="s">
        <v>1</v>
      </c>
      <c r="AR124" s="7" t="s">
        <v>72</v>
      </c>
      <c r="AS124" s="92" t="s">
        <v>1</v>
      </c>
      <c r="AT124" s="92" t="s">
        <v>1</v>
      </c>
      <c r="AU124" s="92" t="s">
        <v>1</v>
      </c>
      <c r="AV124" s="92" t="s">
        <v>1</v>
      </c>
      <c r="AW124" s="92" t="s">
        <v>1</v>
      </c>
      <c r="AX124" s="92" t="s">
        <v>1</v>
      </c>
      <c r="AY124" s="92" t="s">
        <v>1</v>
      </c>
      <c r="AZ124" s="92" t="s">
        <v>1</v>
      </c>
      <c r="BA124" s="92" t="s">
        <v>1</v>
      </c>
      <c r="BB124" s="92" t="s">
        <v>1</v>
      </c>
      <c r="BC124" s="92" t="s">
        <v>1</v>
      </c>
      <c r="BD124" s="92" t="s">
        <v>1</v>
      </c>
      <c r="BE124" s="92" t="s">
        <v>1</v>
      </c>
      <c r="BF124" s="92" t="s">
        <v>1</v>
      </c>
      <c r="BG124" s="108" t="s">
        <v>1</v>
      </c>
      <c r="BH124" s="92" t="s">
        <v>1</v>
      </c>
      <c r="BI124" s="92" t="s">
        <v>1</v>
      </c>
      <c r="BJ124" s="92" t="s">
        <v>1</v>
      </c>
      <c r="BK124" s="7" t="s">
        <v>1</v>
      </c>
      <c r="BL124" s="92" t="s">
        <v>1</v>
      </c>
      <c r="BM124" s="92" t="s">
        <v>1</v>
      </c>
      <c r="BN124" s="92" t="s">
        <v>1</v>
      </c>
      <c r="BO124" s="92" t="s">
        <v>1</v>
      </c>
      <c r="BP124" s="92" t="s">
        <v>1</v>
      </c>
      <c r="BQ124" s="92" t="s">
        <v>1</v>
      </c>
      <c r="BR124" s="92" t="s">
        <v>1</v>
      </c>
      <c r="BS124" s="92" t="s">
        <v>1</v>
      </c>
      <c r="BT124" s="92" t="s">
        <v>1</v>
      </c>
      <c r="BU124" s="92" t="s">
        <v>1</v>
      </c>
      <c r="BV124" s="92" t="s">
        <v>1</v>
      </c>
    </row>
    <row r="125" ht="25" customHeight="1" spans="1:74">
      <c r="A125" s="107">
        <v>45228</v>
      </c>
      <c r="B125" s="32" t="s">
        <v>1</v>
      </c>
      <c r="C125" s="32" t="s">
        <v>1</v>
      </c>
      <c r="D125" s="30" t="s">
        <v>1</v>
      </c>
      <c r="E125" s="30" t="s">
        <v>1</v>
      </c>
      <c r="F125" s="92" t="str">
        <f t="shared" si="2"/>
        <v/>
      </c>
      <c r="G125" s="92" t="s">
        <v>1</v>
      </c>
      <c r="H125" s="92" t="s">
        <v>1</v>
      </c>
      <c r="I125" s="92" t="s">
        <v>1</v>
      </c>
      <c r="J125" s="92" t="s">
        <v>1</v>
      </c>
      <c r="K125" s="92" t="s">
        <v>1</v>
      </c>
      <c r="L125" s="92" t="s">
        <v>1</v>
      </c>
      <c r="M125" s="92" t="s">
        <v>1</v>
      </c>
      <c r="N125" s="110" t="s">
        <v>1</v>
      </c>
      <c r="O125" s="32" t="s">
        <v>1</v>
      </c>
      <c r="P125" s="92" t="s">
        <v>1</v>
      </c>
      <c r="Q125" s="92" t="s">
        <v>1</v>
      </c>
      <c r="R125" s="92" t="s">
        <v>1</v>
      </c>
      <c r="S125" s="92" t="s">
        <v>1</v>
      </c>
      <c r="T125" s="92" t="s">
        <v>1</v>
      </c>
      <c r="U125" s="92" t="s">
        <v>1</v>
      </c>
      <c r="V125" s="7" t="s">
        <v>72</v>
      </c>
      <c r="W125" s="92" t="s">
        <v>1</v>
      </c>
      <c r="X125" s="7" t="s">
        <v>72</v>
      </c>
      <c r="Y125" s="92" t="s">
        <v>1</v>
      </c>
      <c r="Z125" s="7" t="s">
        <v>72</v>
      </c>
      <c r="AA125" s="92" t="s">
        <v>1</v>
      </c>
      <c r="AB125" s="7" t="s">
        <v>72</v>
      </c>
      <c r="AC125" s="92" t="s">
        <v>1</v>
      </c>
      <c r="AD125" s="92" t="s">
        <v>1</v>
      </c>
      <c r="AE125" s="92" t="s">
        <v>1</v>
      </c>
      <c r="AF125" s="7" t="s">
        <v>72</v>
      </c>
      <c r="AG125" s="92" t="s">
        <v>1</v>
      </c>
      <c r="AH125" s="92" t="s">
        <v>72</v>
      </c>
      <c r="AI125" s="92" t="s">
        <v>1</v>
      </c>
      <c r="AJ125" s="92" t="s">
        <v>72</v>
      </c>
      <c r="AK125" s="92" t="s">
        <v>1</v>
      </c>
      <c r="AL125" s="92" t="s">
        <v>72</v>
      </c>
      <c r="AM125" s="92" t="s">
        <v>1</v>
      </c>
      <c r="AN125" s="92" t="s">
        <v>72</v>
      </c>
      <c r="AO125" s="92" t="s">
        <v>1</v>
      </c>
      <c r="AP125" s="92" t="s">
        <v>72</v>
      </c>
      <c r="AQ125" s="92" t="s">
        <v>1</v>
      </c>
      <c r="AR125" s="7" t="s">
        <v>72</v>
      </c>
      <c r="AS125" s="92" t="s">
        <v>1</v>
      </c>
      <c r="AT125" s="92" t="s">
        <v>1</v>
      </c>
      <c r="AU125" s="92" t="s">
        <v>1</v>
      </c>
      <c r="AV125" s="92" t="s">
        <v>1</v>
      </c>
      <c r="AW125" s="92" t="s">
        <v>1</v>
      </c>
      <c r="AX125" s="92" t="s">
        <v>1</v>
      </c>
      <c r="AY125" s="92" t="s">
        <v>1</v>
      </c>
      <c r="AZ125" s="92" t="s">
        <v>1</v>
      </c>
      <c r="BA125" s="92" t="s">
        <v>1</v>
      </c>
      <c r="BB125" s="92" t="s">
        <v>1</v>
      </c>
      <c r="BC125" s="92" t="s">
        <v>1</v>
      </c>
      <c r="BD125" s="92" t="s">
        <v>1</v>
      </c>
      <c r="BE125" s="92" t="s">
        <v>1</v>
      </c>
      <c r="BF125" s="92" t="s">
        <v>1</v>
      </c>
      <c r="BG125" s="108" t="s">
        <v>1</v>
      </c>
      <c r="BH125" s="92" t="s">
        <v>1</v>
      </c>
      <c r="BI125" s="92" t="s">
        <v>1</v>
      </c>
      <c r="BJ125" s="92" t="s">
        <v>1</v>
      </c>
      <c r="BK125" s="7" t="s">
        <v>1</v>
      </c>
      <c r="BL125" s="92" t="s">
        <v>1</v>
      </c>
      <c r="BM125" s="92" t="s">
        <v>1</v>
      </c>
      <c r="BN125" s="92" t="s">
        <v>1</v>
      </c>
      <c r="BO125" s="92" t="s">
        <v>1</v>
      </c>
      <c r="BP125" s="92" t="s">
        <v>1</v>
      </c>
      <c r="BQ125" s="92" t="s">
        <v>1</v>
      </c>
      <c r="BR125" s="92" t="s">
        <v>1</v>
      </c>
      <c r="BS125" s="92" t="s">
        <v>1</v>
      </c>
      <c r="BT125" s="92" t="s">
        <v>1</v>
      </c>
      <c r="BU125" s="92" t="s">
        <v>1</v>
      </c>
      <c r="BV125" s="92" t="s">
        <v>1</v>
      </c>
    </row>
    <row r="126" ht="25" customHeight="1" spans="1:74">
      <c r="A126" s="107">
        <v>45229</v>
      </c>
      <c r="B126" s="32" t="s">
        <v>1</v>
      </c>
      <c r="C126" s="32" t="s">
        <v>1</v>
      </c>
      <c r="D126" s="30" t="s">
        <v>1</v>
      </c>
      <c r="E126" s="30" t="s">
        <v>1</v>
      </c>
      <c r="F126" s="92" t="str">
        <f t="shared" si="2"/>
        <v/>
      </c>
      <c r="G126" s="92" t="s">
        <v>1</v>
      </c>
      <c r="H126" s="92" t="s">
        <v>1</v>
      </c>
      <c r="I126" s="92" t="s">
        <v>1</v>
      </c>
      <c r="J126" s="92" t="s">
        <v>1</v>
      </c>
      <c r="K126" s="92" t="s">
        <v>1</v>
      </c>
      <c r="L126" s="92" t="s">
        <v>1</v>
      </c>
      <c r="M126" s="92" t="s">
        <v>1</v>
      </c>
      <c r="N126" s="110" t="s">
        <v>1</v>
      </c>
      <c r="O126" s="32" t="s">
        <v>1</v>
      </c>
      <c r="P126" s="92" t="s">
        <v>1</v>
      </c>
      <c r="Q126" s="92" t="s">
        <v>1</v>
      </c>
      <c r="R126" s="92" t="s">
        <v>1</v>
      </c>
      <c r="S126" s="92" t="s">
        <v>1</v>
      </c>
      <c r="T126" s="92" t="s">
        <v>1</v>
      </c>
      <c r="U126" s="92" t="s">
        <v>1</v>
      </c>
      <c r="V126" s="7" t="s">
        <v>72</v>
      </c>
      <c r="W126" s="92" t="s">
        <v>1</v>
      </c>
      <c r="X126" s="7" t="s">
        <v>72</v>
      </c>
      <c r="Y126" s="92" t="s">
        <v>1</v>
      </c>
      <c r="Z126" s="7" t="s">
        <v>72</v>
      </c>
      <c r="AA126" s="92" t="s">
        <v>1</v>
      </c>
      <c r="AB126" s="7" t="s">
        <v>72</v>
      </c>
      <c r="AC126" s="92" t="s">
        <v>1</v>
      </c>
      <c r="AD126" s="92" t="s">
        <v>1</v>
      </c>
      <c r="AE126" s="92" t="s">
        <v>1</v>
      </c>
      <c r="AF126" s="7" t="s">
        <v>72</v>
      </c>
      <c r="AG126" s="92" t="s">
        <v>1</v>
      </c>
      <c r="AH126" s="92" t="s">
        <v>72</v>
      </c>
      <c r="AI126" s="92" t="s">
        <v>1</v>
      </c>
      <c r="AJ126" s="92" t="s">
        <v>72</v>
      </c>
      <c r="AK126" s="92" t="s">
        <v>1</v>
      </c>
      <c r="AL126" s="92" t="s">
        <v>72</v>
      </c>
      <c r="AM126" s="92" t="s">
        <v>1</v>
      </c>
      <c r="AN126" s="92" t="s">
        <v>72</v>
      </c>
      <c r="AO126" s="92" t="s">
        <v>1</v>
      </c>
      <c r="AP126" s="92" t="s">
        <v>72</v>
      </c>
      <c r="AQ126" s="92" t="s">
        <v>1</v>
      </c>
      <c r="AR126" s="7" t="s">
        <v>72</v>
      </c>
      <c r="AS126" s="92" t="s">
        <v>1</v>
      </c>
      <c r="AT126" s="92" t="s">
        <v>1</v>
      </c>
      <c r="AU126" s="92" t="s">
        <v>1</v>
      </c>
      <c r="AV126" s="92" t="s">
        <v>1</v>
      </c>
      <c r="AW126" s="92" t="s">
        <v>1</v>
      </c>
      <c r="AX126" s="92" t="s">
        <v>1</v>
      </c>
      <c r="AY126" s="92" t="s">
        <v>1</v>
      </c>
      <c r="AZ126" s="92" t="s">
        <v>1</v>
      </c>
      <c r="BA126" s="92" t="s">
        <v>1</v>
      </c>
      <c r="BB126" s="92" t="s">
        <v>1</v>
      </c>
      <c r="BC126" s="92" t="s">
        <v>1</v>
      </c>
      <c r="BD126" s="92" t="s">
        <v>1</v>
      </c>
      <c r="BE126" s="92" t="s">
        <v>1</v>
      </c>
      <c r="BF126" s="92" t="s">
        <v>1</v>
      </c>
      <c r="BG126" s="108" t="s">
        <v>1</v>
      </c>
      <c r="BH126" s="92" t="s">
        <v>1</v>
      </c>
      <c r="BI126" s="92" t="s">
        <v>1</v>
      </c>
      <c r="BJ126" s="92" t="s">
        <v>1</v>
      </c>
      <c r="BK126" s="7" t="s">
        <v>1</v>
      </c>
      <c r="BL126" s="92" t="s">
        <v>1</v>
      </c>
      <c r="BM126" s="92" t="s">
        <v>1</v>
      </c>
      <c r="BN126" s="92" t="s">
        <v>1</v>
      </c>
      <c r="BO126" s="92" t="s">
        <v>1</v>
      </c>
      <c r="BP126" s="92" t="s">
        <v>1</v>
      </c>
      <c r="BQ126" s="92" t="s">
        <v>1</v>
      </c>
      <c r="BR126" s="92" t="s">
        <v>1</v>
      </c>
      <c r="BS126" s="92" t="s">
        <v>1</v>
      </c>
      <c r="BT126" s="92" t="s">
        <v>1</v>
      </c>
      <c r="BU126" s="92" t="s">
        <v>1</v>
      </c>
      <c r="BV126" s="92" t="s">
        <v>1</v>
      </c>
    </row>
    <row r="127" ht="25" customHeight="1" spans="1:74">
      <c r="A127" s="107">
        <v>45230</v>
      </c>
      <c r="B127" s="32" t="s">
        <v>1</v>
      </c>
      <c r="C127" s="32" t="s">
        <v>1</v>
      </c>
      <c r="D127" s="30" t="s">
        <v>1</v>
      </c>
      <c r="E127" s="30" t="s">
        <v>1</v>
      </c>
      <c r="F127" s="92" t="str">
        <f t="shared" si="2"/>
        <v/>
      </c>
      <c r="G127" s="92" t="s">
        <v>1</v>
      </c>
      <c r="H127" s="92" t="s">
        <v>1</v>
      </c>
      <c r="I127" s="92" t="s">
        <v>1</v>
      </c>
      <c r="J127" s="92" t="s">
        <v>1</v>
      </c>
      <c r="K127" s="92" t="s">
        <v>1</v>
      </c>
      <c r="L127" s="92" t="s">
        <v>1</v>
      </c>
      <c r="M127" s="92" t="s">
        <v>1</v>
      </c>
      <c r="N127" s="110" t="s">
        <v>1</v>
      </c>
      <c r="O127" s="32" t="s">
        <v>1</v>
      </c>
      <c r="P127" s="92" t="s">
        <v>1</v>
      </c>
      <c r="Q127" s="92" t="s">
        <v>1</v>
      </c>
      <c r="R127" s="92" t="s">
        <v>1</v>
      </c>
      <c r="S127" s="92" t="s">
        <v>1</v>
      </c>
      <c r="T127" s="92" t="s">
        <v>1</v>
      </c>
      <c r="U127" s="92" t="s">
        <v>1</v>
      </c>
      <c r="V127" s="7" t="s">
        <v>72</v>
      </c>
      <c r="W127" s="92" t="s">
        <v>1</v>
      </c>
      <c r="X127" s="7" t="s">
        <v>72</v>
      </c>
      <c r="Y127" s="92" t="s">
        <v>1</v>
      </c>
      <c r="Z127" s="7" t="s">
        <v>72</v>
      </c>
      <c r="AA127" s="92" t="s">
        <v>1</v>
      </c>
      <c r="AB127" s="7" t="s">
        <v>72</v>
      </c>
      <c r="AC127" s="92" t="s">
        <v>1</v>
      </c>
      <c r="AD127" s="92" t="s">
        <v>1</v>
      </c>
      <c r="AE127" s="92" t="s">
        <v>1</v>
      </c>
      <c r="AF127" s="7" t="s">
        <v>72</v>
      </c>
      <c r="AG127" s="92" t="s">
        <v>1</v>
      </c>
      <c r="AH127" s="92" t="s">
        <v>72</v>
      </c>
      <c r="AI127" s="92" t="s">
        <v>1</v>
      </c>
      <c r="AJ127" s="92" t="s">
        <v>72</v>
      </c>
      <c r="AK127" s="92" t="s">
        <v>1</v>
      </c>
      <c r="AL127" s="92" t="s">
        <v>72</v>
      </c>
      <c r="AM127" s="92" t="s">
        <v>1</v>
      </c>
      <c r="AN127" s="92" t="s">
        <v>72</v>
      </c>
      <c r="AO127" s="92" t="s">
        <v>1</v>
      </c>
      <c r="AP127" s="92" t="s">
        <v>72</v>
      </c>
      <c r="AQ127" s="92" t="s">
        <v>1</v>
      </c>
      <c r="AR127" s="7" t="s">
        <v>72</v>
      </c>
      <c r="AS127" s="92" t="s">
        <v>1</v>
      </c>
      <c r="AT127" s="92" t="s">
        <v>1</v>
      </c>
      <c r="AU127" s="92" t="s">
        <v>1</v>
      </c>
      <c r="AV127" s="92" t="s">
        <v>1</v>
      </c>
      <c r="AW127" s="92" t="s">
        <v>1</v>
      </c>
      <c r="AX127" s="92" t="s">
        <v>1</v>
      </c>
      <c r="AY127" s="92" t="s">
        <v>1</v>
      </c>
      <c r="AZ127" s="92" t="s">
        <v>1</v>
      </c>
      <c r="BA127" s="92" t="s">
        <v>1</v>
      </c>
      <c r="BB127" s="92" t="s">
        <v>1</v>
      </c>
      <c r="BC127" s="92" t="s">
        <v>1</v>
      </c>
      <c r="BD127" s="92" t="s">
        <v>1</v>
      </c>
      <c r="BE127" s="92" t="s">
        <v>1</v>
      </c>
      <c r="BF127" s="92" t="s">
        <v>1</v>
      </c>
      <c r="BG127" s="108" t="s">
        <v>1</v>
      </c>
      <c r="BH127" s="92" t="s">
        <v>1</v>
      </c>
      <c r="BI127" s="92" t="s">
        <v>1</v>
      </c>
      <c r="BJ127" s="92" t="s">
        <v>1</v>
      </c>
      <c r="BK127" s="7" t="s">
        <v>1</v>
      </c>
      <c r="BL127" s="92" t="s">
        <v>1</v>
      </c>
      <c r="BM127" s="92" t="s">
        <v>1</v>
      </c>
      <c r="BN127" s="92" t="s">
        <v>1</v>
      </c>
      <c r="BO127" s="92" t="s">
        <v>1</v>
      </c>
      <c r="BP127" s="92" t="s">
        <v>1</v>
      </c>
      <c r="BQ127" s="92" t="s">
        <v>1</v>
      </c>
      <c r="BR127" s="92" t="s">
        <v>1</v>
      </c>
      <c r="BS127" s="92" t="s">
        <v>1</v>
      </c>
      <c r="BT127" s="92" t="s">
        <v>1</v>
      </c>
      <c r="BU127" s="92" t="s">
        <v>1</v>
      </c>
      <c r="BV127" s="92" t="s">
        <v>1</v>
      </c>
    </row>
    <row r="128" ht="25" customHeight="1" spans="1:74">
      <c r="A128" s="1" t="s">
        <v>1</v>
      </c>
      <c r="B128" s="1" t="s">
        <v>1</v>
      </c>
      <c r="C128" s="1" t="s">
        <v>1</v>
      </c>
      <c r="D128" s="30" t="s">
        <v>1</v>
      </c>
      <c r="E128" s="30" t="s">
        <v>1</v>
      </c>
      <c r="F128" s="1" t="s">
        <v>1</v>
      </c>
      <c r="G128" s="130" t="s">
        <v>1</v>
      </c>
      <c r="H128" s="130" t="s">
        <v>1</v>
      </c>
      <c r="I128" s="130" t="s">
        <v>1</v>
      </c>
      <c r="J128" s="130" t="s">
        <v>1</v>
      </c>
      <c r="K128" s="130" t="s">
        <v>1</v>
      </c>
      <c r="L128" s="130" t="s">
        <v>1</v>
      </c>
      <c r="M128" s="130" t="s">
        <v>1</v>
      </c>
      <c r="N128" s="130" t="s">
        <v>1</v>
      </c>
      <c r="O128" s="130" t="s">
        <v>1</v>
      </c>
      <c r="P128" s="130" t="s">
        <v>1</v>
      </c>
      <c r="Q128" s="130" t="s">
        <v>1</v>
      </c>
      <c r="R128" s="130" t="s">
        <v>1</v>
      </c>
      <c r="S128" s="130" t="s">
        <v>1</v>
      </c>
      <c r="T128" s="130" t="s">
        <v>1</v>
      </c>
      <c r="U128" s="92" t="s">
        <v>1</v>
      </c>
      <c r="V128" s="7" t="s">
        <v>1</v>
      </c>
      <c r="W128" s="92" t="s">
        <v>1</v>
      </c>
      <c r="X128" s="4" t="s">
        <v>1</v>
      </c>
      <c r="Y128" s="4" t="s">
        <v>1</v>
      </c>
      <c r="Z128" s="4" t="s">
        <v>1</v>
      </c>
      <c r="AA128" s="4" t="s">
        <v>1</v>
      </c>
      <c r="AB128" s="4" t="s">
        <v>1</v>
      </c>
      <c r="AC128" s="4" t="s">
        <v>1</v>
      </c>
      <c r="AD128" s="4" t="s">
        <v>1</v>
      </c>
      <c r="AE128" s="4" t="s">
        <v>1</v>
      </c>
      <c r="AF128" s="4" t="s">
        <v>1</v>
      </c>
      <c r="AG128" s="4" t="s">
        <v>1</v>
      </c>
      <c r="AH128" s="92" t="s">
        <v>1</v>
      </c>
      <c r="AI128" s="4" t="s">
        <v>1</v>
      </c>
      <c r="AJ128" s="92" t="s">
        <v>1</v>
      </c>
      <c r="AK128" s="4" t="s">
        <v>1</v>
      </c>
      <c r="AL128" s="92" t="s">
        <v>1</v>
      </c>
      <c r="AM128" s="4" t="s">
        <v>1</v>
      </c>
      <c r="AN128" s="92" t="s">
        <v>1</v>
      </c>
      <c r="AO128" s="131" t="s">
        <v>302</v>
      </c>
      <c r="AP128" s="131" t="s">
        <v>1</v>
      </c>
      <c r="AQ128" s="131" t="s">
        <v>1</v>
      </c>
      <c r="AR128" s="131" t="e">
        <f>#REF!</f>
        <v>#REF!</v>
      </c>
      <c r="AS128" s="131" t="s">
        <v>1</v>
      </c>
      <c r="AT128" s="131" t="s">
        <v>1</v>
      </c>
      <c r="AU128" s="131" t="s">
        <v>1</v>
      </c>
      <c r="AV128" s="132" t="s">
        <v>1</v>
      </c>
      <c r="AW128" s="132" t="s">
        <v>1</v>
      </c>
      <c r="AX128" s="132" t="s">
        <v>1</v>
      </c>
      <c r="AY128" s="92" t="s">
        <v>1</v>
      </c>
      <c r="AZ128" s="133" t="s">
        <v>1</v>
      </c>
      <c r="BA128" s="134" t="s">
        <v>1</v>
      </c>
      <c r="BB128" s="133" t="s">
        <v>1</v>
      </c>
      <c r="BC128" s="133" t="s">
        <v>1</v>
      </c>
      <c r="BD128" s="133" t="s">
        <v>1</v>
      </c>
      <c r="BE128" s="133" t="s">
        <v>1</v>
      </c>
      <c r="BF128" s="133" t="s">
        <v>1</v>
      </c>
      <c r="BG128" s="135" t="s">
        <v>1</v>
      </c>
      <c r="BH128" s="136" t="s">
        <v>1</v>
      </c>
      <c r="BI128" s="137" t="s">
        <v>1</v>
      </c>
      <c r="BJ128" s="137" t="s">
        <v>1</v>
      </c>
      <c r="BK128" s="137" t="s">
        <v>1</v>
      </c>
      <c r="BL128" s="138" t="s">
        <v>1</v>
      </c>
      <c r="BM128" s="138" t="s">
        <v>1</v>
      </c>
      <c r="BN128" s="138" t="s">
        <v>1</v>
      </c>
      <c r="BO128" s="138" t="s">
        <v>1</v>
      </c>
      <c r="BP128" s="138" t="s">
        <v>1</v>
      </c>
      <c r="BQ128" s="138" t="s">
        <v>1</v>
      </c>
      <c r="BR128" s="138" t="s">
        <v>1</v>
      </c>
      <c r="BS128" s="138" t="s">
        <v>1</v>
      </c>
      <c r="BT128" s="138" t="s">
        <v>1</v>
      </c>
      <c r="BU128" s="138" t="s">
        <v>1</v>
      </c>
    </row>
    <row r="129" ht="25" customHeight="1" spans="1:74">
      <c r="A129" s="1" t="s">
        <v>1</v>
      </c>
      <c r="B129" s="1" t="s">
        <v>1</v>
      </c>
      <c r="C129" s="1" t="s">
        <v>1</v>
      </c>
      <c r="D129" s="1" t="s">
        <v>1</v>
      </c>
      <c r="E129" s="1" t="s">
        <v>1</v>
      </c>
      <c r="F129" s="1" t="s">
        <v>1</v>
      </c>
      <c r="G129" s="130" t="s">
        <v>1</v>
      </c>
      <c r="H129" s="130" t="s">
        <v>1</v>
      </c>
      <c r="I129" s="130" t="s">
        <v>1</v>
      </c>
      <c r="J129" s="130" t="s">
        <v>1</v>
      </c>
      <c r="K129" s="130" t="s">
        <v>1</v>
      </c>
      <c r="L129" s="130" t="s">
        <v>1</v>
      </c>
      <c r="M129" s="130" t="s">
        <v>1</v>
      </c>
      <c r="N129" s="130" t="s">
        <v>1</v>
      </c>
      <c r="O129" s="130" t="s">
        <v>1</v>
      </c>
      <c r="P129" s="130" t="s">
        <v>1</v>
      </c>
      <c r="Q129" s="130" t="s">
        <v>1</v>
      </c>
      <c r="R129" s="130" t="s">
        <v>1</v>
      </c>
      <c r="S129" s="130" t="s">
        <v>1</v>
      </c>
      <c r="T129" s="130" t="s">
        <v>1</v>
      </c>
      <c r="U129" s="4" t="s">
        <v>1</v>
      </c>
      <c r="V129" s="4" t="s">
        <v>1</v>
      </c>
      <c r="W129" s="4" t="s">
        <v>1</v>
      </c>
      <c r="X129" s="4" t="s">
        <v>1</v>
      </c>
      <c r="Y129" s="4" t="s">
        <v>1</v>
      </c>
      <c r="Z129" s="4" t="s">
        <v>1</v>
      </c>
      <c r="AA129" s="4" t="s">
        <v>1</v>
      </c>
      <c r="AB129" s="4" t="s">
        <v>1</v>
      </c>
      <c r="AC129" s="4" t="s">
        <v>1</v>
      </c>
      <c r="AD129" s="4" t="s">
        <v>1</v>
      </c>
      <c r="AE129" s="4" t="s">
        <v>1</v>
      </c>
      <c r="AF129" s="4" t="s">
        <v>1</v>
      </c>
      <c r="AG129" s="4" t="s">
        <v>1</v>
      </c>
      <c r="AH129" s="139" t="s">
        <v>1</v>
      </c>
      <c r="AI129" s="138" t="s">
        <v>1</v>
      </c>
      <c r="AJ129" s="138" t="s">
        <v>1</v>
      </c>
      <c r="AK129" s="1" t="s">
        <v>1</v>
      </c>
      <c r="AL129" s="1" t="s">
        <v>1</v>
      </c>
      <c r="AM129" s="1" t="s">
        <v>1</v>
      </c>
      <c r="AN129" s="1" t="s">
        <v>1</v>
      </c>
      <c r="AO129" s="131" t="s">
        <v>1</v>
      </c>
      <c r="AP129" s="131" t="s">
        <v>1</v>
      </c>
      <c r="AQ129" s="131" t="s">
        <v>1</v>
      </c>
      <c r="AR129" s="131" t="s">
        <v>1</v>
      </c>
      <c r="AS129" s="131" t="s">
        <v>1</v>
      </c>
      <c r="AT129" s="131" t="s">
        <v>1</v>
      </c>
      <c r="AU129" s="131" t="s">
        <v>1</v>
      </c>
      <c r="AV129" s="132" t="s">
        <v>1</v>
      </c>
      <c r="AW129" s="132" t="s">
        <v>1</v>
      </c>
      <c r="AX129" s="132" t="s">
        <v>1</v>
      </c>
      <c r="AY129" s="140" t="s">
        <v>1</v>
      </c>
      <c r="AZ129" s="133" t="s">
        <v>1</v>
      </c>
      <c r="BA129" s="134" t="s">
        <v>1</v>
      </c>
      <c r="BB129" s="133" t="s">
        <v>1</v>
      </c>
      <c r="BC129" s="133" t="s">
        <v>1</v>
      </c>
      <c r="BD129" s="133" t="s">
        <v>1</v>
      </c>
      <c r="BE129" s="133" t="s">
        <v>1</v>
      </c>
      <c r="BF129" s="133" t="s">
        <v>1</v>
      </c>
      <c r="BG129" s="135" t="s">
        <v>1</v>
      </c>
      <c r="BH129" s="136" t="s">
        <v>1</v>
      </c>
      <c r="BI129" s="137" t="s">
        <v>1</v>
      </c>
      <c r="BJ129" s="137" t="s">
        <v>1</v>
      </c>
      <c r="BK129" s="137" t="s">
        <v>1</v>
      </c>
      <c r="BL129" s="138" t="s">
        <v>1</v>
      </c>
      <c r="BM129" s="138" t="s">
        <v>1</v>
      </c>
      <c r="BN129" s="138" t="s">
        <v>1</v>
      </c>
      <c r="BO129" s="138" t="s">
        <v>1</v>
      </c>
      <c r="BP129" s="138" t="s">
        <v>1</v>
      </c>
      <c r="BQ129" s="138" t="s">
        <v>1</v>
      </c>
      <c r="BR129" s="138" t="s">
        <v>1</v>
      </c>
      <c r="BS129" s="138" t="s">
        <v>1</v>
      </c>
      <c r="BT129" s="138" t="s">
        <v>1</v>
      </c>
      <c r="BU129" s="138" t="s">
        <v>1</v>
      </c>
    </row>
    <row r="130" ht="25" customHeight="1" spans="1:74">
      <c r="A130" s="63" t="s">
        <v>245</v>
      </c>
      <c r="B130" s="64" t="s">
        <v>1</v>
      </c>
      <c r="C130" s="64" t="s">
        <v>1</v>
      </c>
      <c r="D130" s="65" t="s">
        <v>2</v>
      </c>
      <c r="E130" s="65" t="s">
        <v>1</v>
      </c>
      <c r="F130" s="65" t="s">
        <v>1</v>
      </c>
      <c r="G130" s="65" t="s">
        <v>1</v>
      </c>
      <c r="H130" s="65" t="s">
        <v>1</v>
      </c>
      <c r="I130" s="65" t="s">
        <v>1</v>
      </c>
      <c r="J130" s="65" t="s">
        <v>1</v>
      </c>
      <c r="K130" s="65" t="s">
        <v>1</v>
      </c>
      <c r="L130" s="65" t="s">
        <v>1</v>
      </c>
      <c r="M130" s="65" t="s">
        <v>1</v>
      </c>
      <c r="N130" s="65" t="s">
        <v>1</v>
      </c>
      <c r="O130" s="65" t="s">
        <v>1</v>
      </c>
      <c r="P130" s="65" t="s">
        <v>1</v>
      </c>
      <c r="Q130" s="65" t="s">
        <v>1</v>
      </c>
      <c r="R130" s="65" t="s">
        <v>1</v>
      </c>
      <c r="S130" s="65" t="s">
        <v>1</v>
      </c>
      <c r="T130" s="65" t="s">
        <v>1</v>
      </c>
      <c r="U130" s="66" t="s">
        <v>3</v>
      </c>
      <c r="V130" s="67" t="s">
        <v>1</v>
      </c>
      <c r="W130" s="67" t="s">
        <v>1</v>
      </c>
      <c r="X130" s="67" t="s">
        <v>1</v>
      </c>
      <c r="Y130" s="67" t="s">
        <v>1</v>
      </c>
      <c r="Z130" s="67" t="s">
        <v>1</v>
      </c>
      <c r="AA130" s="67" t="s">
        <v>1</v>
      </c>
      <c r="AB130" s="67" t="s">
        <v>1</v>
      </c>
      <c r="AC130" s="67" t="s">
        <v>1</v>
      </c>
      <c r="AD130" s="67" t="s">
        <v>1</v>
      </c>
      <c r="AE130" s="67" t="s">
        <v>1</v>
      </c>
      <c r="AF130" s="67" t="s">
        <v>1</v>
      </c>
      <c r="AG130" s="67" t="s">
        <v>1</v>
      </c>
      <c r="AH130" s="67" t="s">
        <v>1</v>
      </c>
      <c r="AI130" s="67" t="s">
        <v>1</v>
      </c>
      <c r="AJ130" s="67" t="s">
        <v>1</v>
      </c>
      <c r="AK130" s="67" t="s">
        <v>1</v>
      </c>
      <c r="AL130" s="67" t="s">
        <v>1</v>
      </c>
      <c r="AM130" s="67" t="s">
        <v>1</v>
      </c>
      <c r="AN130" s="67" t="s">
        <v>1</v>
      </c>
      <c r="AO130" s="67" t="s">
        <v>1</v>
      </c>
      <c r="AP130" s="67" t="s">
        <v>1</v>
      </c>
      <c r="AQ130" s="67" t="s">
        <v>1</v>
      </c>
      <c r="AR130" s="67" t="s">
        <v>1</v>
      </c>
      <c r="AS130" s="68" t="s">
        <v>4</v>
      </c>
      <c r="AT130" s="68" t="s">
        <v>1</v>
      </c>
      <c r="AU130" s="68" t="s">
        <v>1</v>
      </c>
      <c r="AV130" s="68" t="s">
        <v>1</v>
      </c>
      <c r="AW130" s="68" t="s">
        <v>1</v>
      </c>
      <c r="AX130" s="68" t="s">
        <v>1</v>
      </c>
      <c r="AY130" s="68" t="s">
        <v>1</v>
      </c>
      <c r="AZ130" s="68" t="s">
        <v>1</v>
      </c>
      <c r="BA130" s="68" t="s">
        <v>1</v>
      </c>
      <c r="BB130" s="68" t="s">
        <v>1</v>
      </c>
      <c r="BC130" s="68" t="s">
        <v>1</v>
      </c>
      <c r="BD130" s="68" t="s">
        <v>1</v>
      </c>
      <c r="BE130" s="68" t="s">
        <v>1</v>
      </c>
      <c r="BF130" s="68" t="s">
        <v>1</v>
      </c>
      <c r="BG130" s="69" t="s">
        <v>247</v>
      </c>
      <c r="BH130" s="70" t="s">
        <v>6</v>
      </c>
      <c r="BI130" s="70" t="s">
        <v>1</v>
      </c>
      <c r="BJ130" s="70" t="s">
        <v>1</v>
      </c>
      <c r="BK130" s="70" t="s">
        <v>1</v>
      </c>
      <c r="BL130" s="71" t="s">
        <v>7</v>
      </c>
      <c r="BM130" s="71" t="s">
        <v>1</v>
      </c>
      <c r="BN130" s="71" t="s">
        <v>1</v>
      </c>
      <c r="BO130" s="71" t="s">
        <v>1</v>
      </c>
      <c r="BP130" s="71" t="s">
        <v>1</v>
      </c>
      <c r="BQ130" s="71" t="s">
        <v>1</v>
      </c>
      <c r="BR130" s="71" t="s">
        <v>1</v>
      </c>
      <c r="BS130" s="71" t="s">
        <v>1</v>
      </c>
      <c r="BT130" s="71" t="s">
        <v>1</v>
      </c>
      <c r="BU130" s="71" t="s">
        <v>1</v>
      </c>
      <c r="BV130" s="72" t="s">
        <v>178</v>
      </c>
    </row>
    <row r="131" ht="25" customHeight="1" spans="1:74">
      <c r="A131" s="73" t="s">
        <v>9</v>
      </c>
      <c r="B131" s="74" t="s">
        <v>10</v>
      </c>
      <c r="C131" s="75" t="s">
        <v>1</v>
      </c>
      <c r="D131" s="76" t="s">
        <v>11</v>
      </c>
      <c r="E131" s="77" t="s">
        <v>1</v>
      </c>
      <c r="F131" s="77" t="s">
        <v>1</v>
      </c>
      <c r="G131" s="77" t="s">
        <v>1</v>
      </c>
      <c r="H131" s="77" t="s">
        <v>1</v>
      </c>
      <c r="I131" s="77" t="s">
        <v>1</v>
      </c>
      <c r="J131" s="77" t="s">
        <v>1</v>
      </c>
      <c r="K131" s="77" t="s">
        <v>1</v>
      </c>
      <c r="L131" s="76" t="s">
        <v>12</v>
      </c>
      <c r="M131" s="77" t="s">
        <v>1</v>
      </c>
      <c r="N131" s="77" t="s">
        <v>1</v>
      </c>
      <c r="O131" s="77" t="s">
        <v>1</v>
      </c>
      <c r="P131" s="77" t="s">
        <v>1</v>
      </c>
      <c r="Q131" s="77" t="s">
        <v>1</v>
      </c>
      <c r="R131" s="77" t="s">
        <v>1</v>
      </c>
      <c r="S131" s="77" t="s">
        <v>1</v>
      </c>
      <c r="T131" s="78" t="s">
        <v>1</v>
      </c>
      <c r="U131" s="79" t="s">
        <v>13</v>
      </c>
      <c r="V131" s="80" t="s">
        <v>1</v>
      </c>
      <c r="W131" s="81" t="s">
        <v>14</v>
      </c>
      <c r="X131" s="82" t="s">
        <v>1</v>
      </c>
      <c r="Y131" s="81" t="s">
        <v>15</v>
      </c>
      <c r="Z131" s="82" t="s">
        <v>1</v>
      </c>
      <c r="AA131" s="81" t="s">
        <v>16</v>
      </c>
      <c r="AB131" s="82" t="s">
        <v>1</v>
      </c>
      <c r="AC131" s="81" t="s">
        <v>17</v>
      </c>
      <c r="AD131" s="82" t="s">
        <v>1</v>
      </c>
      <c r="AE131" s="81" t="s">
        <v>18</v>
      </c>
      <c r="AF131" s="82" t="s">
        <v>1</v>
      </c>
      <c r="AG131" s="83" t="s">
        <v>19</v>
      </c>
      <c r="AH131" s="84" t="s">
        <v>1</v>
      </c>
      <c r="AI131" s="83" t="s">
        <v>20</v>
      </c>
      <c r="AJ131" s="84" t="s">
        <v>1</v>
      </c>
      <c r="AK131" s="83" t="s">
        <v>21</v>
      </c>
      <c r="AL131" s="84" t="s">
        <v>1</v>
      </c>
      <c r="AM131" s="83" t="s">
        <v>22</v>
      </c>
      <c r="AN131" s="84" t="s">
        <v>1</v>
      </c>
      <c r="AO131" s="85" t="s">
        <v>23</v>
      </c>
      <c r="AP131" s="86" t="s">
        <v>1</v>
      </c>
      <c r="AQ131" s="85" t="s">
        <v>24</v>
      </c>
      <c r="AR131" s="86" t="s">
        <v>1</v>
      </c>
      <c r="AS131" s="68" t="s">
        <v>25</v>
      </c>
      <c r="AT131" s="68" t="s">
        <v>1</v>
      </c>
      <c r="AU131" s="87" t="s">
        <v>26</v>
      </c>
      <c r="AV131" s="87" t="s">
        <v>1</v>
      </c>
      <c r="AW131" s="87" t="s">
        <v>27</v>
      </c>
      <c r="AX131" s="87" t="s">
        <v>1</v>
      </c>
      <c r="AY131" s="88" t="s">
        <v>28</v>
      </c>
      <c r="AZ131" s="88" t="s">
        <v>1</v>
      </c>
      <c r="BA131" s="87" t="s">
        <v>29</v>
      </c>
      <c r="BB131" s="87" t="s">
        <v>1</v>
      </c>
      <c r="BC131" s="89" t="s">
        <v>30</v>
      </c>
      <c r="BD131" s="89" t="s">
        <v>1</v>
      </c>
      <c r="BE131" s="89" t="s">
        <v>31</v>
      </c>
      <c r="BF131" s="89" t="s">
        <v>1</v>
      </c>
      <c r="BG131" s="69" t="s">
        <v>1</v>
      </c>
      <c r="BH131" s="70" t="s">
        <v>252</v>
      </c>
      <c r="BI131" s="70" t="s">
        <v>1</v>
      </c>
      <c r="BJ131" s="70" t="s">
        <v>1</v>
      </c>
      <c r="BK131" s="70" t="s">
        <v>1</v>
      </c>
      <c r="BL131" s="71" t="s">
        <v>34</v>
      </c>
      <c r="BM131" s="71" t="s">
        <v>1</v>
      </c>
      <c r="BN131" s="71" t="s">
        <v>1</v>
      </c>
      <c r="BO131" s="71" t="s">
        <v>1</v>
      </c>
      <c r="BP131" s="90" t="s">
        <v>1</v>
      </c>
      <c r="BQ131" s="71" t="s">
        <v>35</v>
      </c>
      <c r="BR131" s="71" t="s">
        <v>1</v>
      </c>
      <c r="BS131" s="71" t="s">
        <v>1</v>
      </c>
      <c r="BT131" s="71" t="s">
        <v>1</v>
      </c>
      <c r="BU131" s="71" t="s">
        <v>1</v>
      </c>
      <c r="BV131" s="72" t="s">
        <v>1</v>
      </c>
    </row>
    <row r="132" ht="36" customHeight="1" spans="1:74">
      <c r="A132" s="91" t="s">
        <v>1</v>
      </c>
      <c r="B132" s="92" t="s">
        <v>36</v>
      </c>
      <c r="C132" s="92" t="s">
        <v>37</v>
      </c>
      <c r="D132" s="93" t="s">
        <v>38</v>
      </c>
      <c r="E132" s="93" t="s">
        <v>39</v>
      </c>
      <c r="F132" s="93" t="s">
        <v>40</v>
      </c>
      <c r="G132" s="65" t="s">
        <v>41</v>
      </c>
      <c r="H132" s="65" t="s">
        <v>42</v>
      </c>
      <c r="I132" s="65" t="s">
        <v>43</v>
      </c>
      <c r="J132" s="65" t="s">
        <v>44</v>
      </c>
      <c r="K132" s="65" t="s">
        <v>45</v>
      </c>
      <c r="L132" s="65" t="s">
        <v>46</v>
      </c>
      <c r="M132" s="65" t="s">
        <v>42</v>
      </c>
      <c r="N132" s="65" t="s">
        <v>47</v>
      </c>
      <c r="O132" s="65" t="s">
        <v>48</v>
      </c>
      <c r="P132" s="65" t="s">
        <v>42</v>
      </c>
      <c r="Q132" s="65" t="s">
        <v>47</v>
      </c>
      <c r="R132" s="65" t="s">
        <v>179</v>
      </c>
      <c r="S132" s="65" t="s">
        <v>42</v>
      </c>
      <c r="T132" s="65" t="s">
        <v>47</v>
      </c>
      <c r="U132" s="94" t="s">
        <v>36</v>
      </c>
      <c r="V132" s="94" t="s">
        <v>37</v>
      </c>
      <c r="W132" s="95" t="s">
        <v>36</v>
      </c>
      <c r="X132" s="95" t="s">
        <v>37</v>
      </c>
      <c r="Y132" s="95" t="s">
        <v>36</v>
      </c>
      <c r="Z132" s="95" t="s">
        <v>37</v>
      </c>
      <c r="AA132" s="95" t="s">
        <v>36</v>
      </c>
      <c r="AB132" s="95" t="s">
        <v>37</v>
      </c>
      <c r="AC132" s="95" t="s">
        <v>36</v>
      </c>
      <c r="AD132" s="95" t="s">
        <v>37</v>
      </c>
      <c r="AE132" s="95" t="s">
        <v>36</v>
      </c>
      <c r="AF132" s="95" t="s">
        <v>37</v>
      </c>
      <c r="AG132" s="96" t="s">
        <v>36</v>
      </c>
      <c r="AH132" s="96" t="s">
        <v>37</v>
      </c>
      <c r="AI132" s="96" t="s">
        <v>36</v>
      </c>
      <c r="AJ132" s="96" t="s">
        <v>37</v>
      </c>
      <c r="AK132" s="96" t="s">
        <v>36</v>
      </c>
      <c r="AL132" s="96" t="s">
        <v>37</v>
      </c>
      <c r="AM132" s="96" t="s">
        <v>36</v>
      </c>
      <c r="AN132" s="96" t="s">
        <v>37</v>
      </c>
      <c r="AO132" s="97" t="s">
        <v>36</v>
      </c>
      <c r="AP132" s="97" t="s">
        <v>37</v>
      </c>
      <c r="AQ132" s="97" t="s">
        <v>36</v>
      </c>
      <c r="AR132" s="97" t="s">
        <v>37</v>
      </c>
      <c r="AS132" s="68" t="s">
        <v>36</v>
      </c>
      <c r="AT132" s="68" t="s">
        <v>37</v>
      </c>
      <c r="AU132" s="98" t="s">
        <v>36</v>
      </c>
      <c r="AV132" s="98" t="s">
        <v>37</v>
      </c>
      <c r="AW132" s="98" t="s">
        <v>36</v>
      </c>
      <c r="AX132" s="98" t="s">
        <v>37</v>
      </c>
      <c r="AY132" s="68" t="s">
        <v>36</v>
      </c>
      <c r="AZ132" s="68" t="s">
        <v>37</v>
      </c>
      <c r="BA132" s="98" t="s">
        <v>36</v>
      </c>
      <c r="BB132" s="98" t="s">
        <v>37</v>
      </c>
      <c r="BC132" s="99" t="s">
        <v>36</v>
      </c>
      <c r="BD132" s="99" t="s">
        <v>37</v>
      </c>
      <c r="BE132" s="99" t="s">
        <v>36</v>
      </c>
      <c r="BF132" s="99" t="s">
        <v>37</v>
      </c>
      <c r="BG132" s="69" t="s">
        <v>1</v>
      </c>
      <c r="BH132" s="100" t="s">
        <v>49</v>
      </c>
      <c r="BI132" s="100" t="s">
        <v>50</v>
      </c>
      <c r="BJ132" s="100" t="s">
        <v>51</v>
      </c>
      <c r="BK132" s="101" t="s">
        <v>52</v>
      </c>
      <c r="BL132" s="90" t="s">
        <v>53</v>
      </c>
      <c r="BM132" s="90" t="s">
        <v>54</v>
      </c>
      <c r="BN132" s="90" t="s">
        <v>55</v>
      </c>
      <c r="BO132" s="90" t="s">
        <v>56</v>
      </c>
      <c r="BP132" s="90" t="s">
        <v>57</v>
      </c>
      <c r="BQ132" s="90" t="s">
        <v>53</v>
      </c>
      <c r="BR132" s="90" t="s">
        <v>54</v>
      </c>
      <c r="BS132" s="90" t="s">
        <v>55</v>
      </c>
      <c r="BT132" s="90" t="s">
        <v>56</v>
      </c>
      <c r="BU132" s="90" t="s">
        <v>57</v>
      </c>
      <c r="BV132" s="72" t="s">
        <v>1</v>
      </c>
    </row>
    <row r="133" ht="36" customHeight="1" spans="1:74">
      <c r="A133" s="102" t="s">
        <v>63</v>
      </c>
      <c r="B133" s="103" t="s">
        <v>64</v>
      </c>
      <c r="C133" s="103" t="s">
        <v>64</v>
      </c>
      <c r="D133" s="103" t="s">
        <v>65</v>
      </c>
      <c r="E133" s="103" t="s">
        <v>65</v>
      </c>
      <c r="F133" s="103" t="s">
        <v>64</v>
      </c>
      <c r="G133" s="103" t="s">
        <v>65</v>
      </c>
      <c r="H133" s="103" t="s">
        <v>65</v>
      </c>
      <c r="I133" s="103" t="s">
        <v>65</v>
      </c>
      <c r="J133" s="103" t="s">
        <v>65</v>
      </c>
      <c r="K133" s="103" t="s">
        <v>65</v>
      </c>
      <c r="L133" s="103" t="s">
        <v>66</v>
      </c>
      <c r="M133" s="103" t="s">
        <v>66</v>
      </c>
      <c r="N133" s="103" t="s">
        <v>66</v>
      </c>
      <c r="O133" s="103" t="s">
        <v>67</v>
      </c>
      <c r="P133" s="103" t="s">
        <v>67</v>
      </c>
      <c r="Q133" s="103" t="s">
        <v>67</v>
      </c>
      <c r="R133" s="103" t="s">
        <v>68</v>
      </c>
      <c r="S133" s="103" t="s">
        <v>68</v>
      </c>
      <c r="T133" s="103" t="s">
        <v>68</v>
      </c>
      <c r="U133" s="103" t="s">
        <v>64</v>
      </c>
      <c r="V133" s="103" t="s">
        <v>64</v>
      </c>
      <c r="W133" s="103" t="s">
        <v>64</v>
      </c>
      <c r="X133" s="103" t="s">
        <v>64</v>
      </c>
      <c r="Y133" s="103" t="s">
        <v>64</v>
      </c>
      <c r="Z133" s="103" t="s">
        <v>64</v>
      </c>
      <c r="AA133" s="103" t="s">
        <v>64</v>
      </c>
      <c r="AB133" s="103" t="s">
        <v>64</v>
      </c>
      <c r="AC133" s="103" t="s">
        <v>64</v>
      </c>
      <c r="AD133" s="103" t="s">
        <v>64</v>
      </c>
      <c r="AE133" s="103" t="s">
        <v>64</v>
      </c>
      <c r="AF133" s="103" t="s">
        <v>64</v>
      </c>
      <c r="AG133" s="103" t="s">
        <v>64</v>
      </c>
      <c r="AH133" s="103" t="s">
        <v>64</v>
      </c>
      <c r="AI133" s="103" t="s">
        <v>64</v>
      </c>
      <c r="AJ133" s="103" t="s">
        <v>64</v>
      </c>
      <c r="AK133" s="103" t="s">
        <v>64</v>
      </c>
      <c r="AL133" s="103" t="s">
        <v>64</v>
      </c>
      <c r="AM133" s="103" t="s">
        <v>64</v>
      </c>
      <c r="AN133" s="103" t="s">
        <v>64</v>
      </c>
      <c r="AO133" s="103" t="s">
        <v>64</v>
      </c>
      <c r="AP133" s="103" t="s">
        <v>64</v>
      </c>
      <c r="AQ133" s="103" t="s">
        <v>64</v>
      </c>
      <c r="AR133" s="103" t="s">
        <v>64</v>
      </c>
      <c r="AS133" s="103" t="s">
        <v>67</v>
      </c>
      <c r="AT133" s="103" t="s">
        <v>67</v>
      </c>
      <c r="AU133" s="103" t="s">
        <v>67</v>
      </c>
      <c r="AV133" s="103" t="s">
        <v>67</v>
      </c>
      <c r="AW133" s="103" t="s">
        <v>67</v>
      </c>
      <c r="AX133" s="103" t="s">
        <v>67</v>
      </c>
      <c r="AY133" s="103" t="s">
        <v>67</v>
      </c>
      <c r="AZ133" s="103" t="s">
        <v>67</v>
      </c>
      <c r="BA133" s="103" t="s">
        <v>67</v>
      </c>
      <c r="BB133" s="103" t="s">
        <v>67</v>
      </c>
      <c r="BC133" s="103" t="s">
        <v>67</v>
      </c>
      <c r="BD133" s="103" t="s">
        <v>67</v>
      </c>
      <c r="BE133" s="103" t="s">
        <v>67</v>
      </c>
      <c r="BF133" s="103" t="s">
        <v>67</v>
      </c>
      <c r="BG133" s="105" t="s">
        <v>69</v>
      </c>
      <c r="BH133" s="103" t="s">
        <v>64</v>
      </c>
      <c r="BI133" s="103" t="s">
        <v>64</v>
      </c>
      <c r="BJ133" s="103" t="s">
        <v>64</v>
      </c>
      <c r="BK133" s="103" t="s">
        <v>64</v>
      </c>
      <c r="BL133" s="106" t="s">
        <v>64</v>
      </c>
      <c r="BM133" s="103" t="s">
        <v>64</v>
      </c>
      <c r="BN133" s="103" t="s">
        <v>64</v>
      </c>
      <c r="BO133" s="103" t="s">
        <v>64</v>
      </c>
      <c r="BP133" s="103" t="s">
        <v>64</v>
      </c>
      <c r="BQ133" s="103" t="s">
        <v>64</v>
      </c>
      <c r="BR133" s="103" t="s">
        <v>64</v>
      </c>
      <c r="BS133" s="103" t="s">
        <v>64</v>
      </c>
      <c r="BT133" s="103" t="s">
        <v>64</v>
      </c>
      <c r="BU133" s="103" t="s">
        <v>64</v>
      </c>
      <c r="BV133" s="103" t="s">
        <v>64</v>
      </c>
    </row>
    <row r="134" ht="25" customHeight="1" spans="1:74">
      <c r="A134" s="108" t="s">
        <v>135</v>
      </c>
      <c r="B134" s="124" t="s">
        <v>1</v>
      </c>
      <c r="C134" s="124" t="s">
        <v>1</v>
      </c>
      <c r="D134" s="124">
        <f>SUM(D5:D11)</f>
        <v>0</v>
      </c>
      <c r="E134" s="124">
        <f>SUM(E5:E11)</f>
        <v>0</v>
      </c>
      <c r="F134" s="124">
        <f>SUM(F5:F11)</f>
        <v>4.7295</v>
      </c>
      <c r="G134" s="141">
        <f>D134/F134-1</f>
        <v>-1</v>
      </c>
      <c r="H134" s="124">
        <f>SUM(H5:H11)</f>
        <v>0</v>
      </c>
      <c r="I134" s="141" t="e">
        <f>D134/H134</f>
        <v>#DIV/0!</v>
      </c>
      <c r="J134" s="124">
        <f>SUM(J5:J11)</f>
        <v>0</v>
      </c>
      <c r="K134" s="124" t="s">
        <v>1</v>
      </c>
      <c r="L134" s="141" t="e">
        <f>J134/D134</f>
        <v>#DIV/0!</v>
      </c>
      <c r="M134" s="124">
        <f t="shared" ref="M134:U134" si="4">SUM(M5:M11)</f>
        <v>0</v>
      </c>
      <c r="N134" s="124" t="e">
        <f t="shared" si="4"/>
        <v>#VALUE!</v>
      </c>
      <c r="O134" s="124">
        <f t="shared" si="4"/>
        <v>0</v>
      </c>
      <c r="P134" s="124">
        <f t="shared" si="4"/>
        <v>0</v>
      </c>
      <c r="Q134" s="124">
        <f t="shared" si="4"/>
        <v>0</v>
      </c>
      <c r="R134" s="124">
        <f t="shared" si="4"/>
        <v>0</v>
      </c>
      <c r="S134" s="124">
        <f t="shared" si="4"/>
        <v>0</v>
      </c>
      <c r="T134" s="124">
        <f t="shared" si="4"/>
        <v>0</v>
      </c>
      <c r="U134" s="124">
        <f t="shared" si="4"/>
        <v>0</v>
      </c>
      <c r="V134" s="124" t="s">
        <v>1</v>
      </c>
      <c r="W134" s="124">
        <f>SUM(W5:W11)</f>
        <v>0</v>
      </c>
      <c r="X134" s="124">
        <f>SUM(X5:X11)</f>
        <v>0</v>
      </c>
      <c r="Y134" s="124">
        <f>SUM(Y5:Y11)</f>
        <v>0</v>
      </c>
      <c r="Z134" s="124">
        <f>SUM(Z5:Z11)</f>
        <v>0</v>
      </c>
      <c r="AA134" s="142">
        <f>SUM(AA5:AA11)/7</f>
        <v>0</v>
      </c>
      <c r="AB134" s="142">
        <f>SUM(AB5:AB11)/7</f>
        <v>0</v>
      </c>
      <c r="AC134" s="143">
        <f>SUM(AC5:AC11)/7</f>
        <v>1.57142857142857</v>
      </c>
      <c r="AD134" s="143">
        <f>SUM(AD5:AD11)/7</f>
        <v>0</v>
      </c>
      <c r="AE134" s="124">
        <f t="shared" ref="AE134:AN134" si="5">SUM(AE5:AE11)</f>
        <v>0</v>
      </c>
      <c r="AF134" s="143">
        <f t="shared" si="5"/>
        <v>0</v>
      </c>
      <c r="AG134" s="143">
        <f t="shared" si="5"/>
        <v>2355</v>
      </c>
      <c r="AH134" s="143">
        <f t="shared" si="5"/>
        <v>0</v>
      </c>
      <c r="AI134" s="143">
        <f t="shared" si="5"/>
        <v>1250</v>
      </c>
      <c r="AJ134" s="143">
        <f t="shared" si="5"/>
        <v>0</v>
      </c>
      <c r="AK134" s="143">
        <f t="shared" si="5"/>
        <v>49</v>
      </c>
      <c r="AL134" s="143">
        <f t="shared" si="5"/>
        <v>0</v>
      </c>
      <c r="AM134" s="143">
        <f t="shared" si="5"/>
        <v>2077</v>
      </c>
      <c r="AN134" s="143">
        <f t="shared" si="5"/>
        <v>0</v>
      </c>
      <c r="AO134" s="141">
        <f>AM134/(AE134+AG134+AI134+AK134)</f>
        <v>0.568418171866448</v>
      </c>
      <c r="AP134" s="124">
        <f>SUM(AP5:AP11)</f>
        <v>0</v>
      </c>
      <c r="AQ134" s="124">
        <f>SUM(AQ5:AQ11)</f>
        <v>173</v>
      </c>
      <c r="AR134" s="144">
        <f>SUM(AR5:AR11)/7</f>
        <v>0</v>
      </c>
      <c r="AS134" s="144">
        <f>SUM(AS5:AS11)/7</f>
        <v>0</v>
      </c>
      <c r="AT134" s="124">
        <f>SUM(AT5:AT11)</f>
        <v>0</v>
      </c>
      <c r="AU134" s="124">
        <f>SUM(AU5:AU11)</f>
        <v>0</v>
      </c>
      <c r="AV134" s="124">
        <f>SUM(AV5:AV11)</f>
        <v>0</v>
      </c>
      <c r="AW134" s="124">
        <f>SUM(AW5:AW11)</f>
        <v>0</v>
      </c>
      <c r="AX134" s="144">
        <f>SUM(AX5:AX11)/7</f>
        <v>0</v>
      </c>
      <c r="AY134" s="144">
        <f>SUM(AY5:AY11)/7</f>
        <v>0</v>
      </c>
      <c r="AZ134" s="124">
        <f>SUM(AZ5:AZ11)</f>
        <v>0</v>
      </c>
      <c r="BA134" s="124">
        <f>SUM(BA5:BA11)</f>
        <v>0</v>
      </c>
      <c r="BB134" s="144">
        <f>SUM(BB5:BB11)/7</f>
        <v>0</v>
      </c>
      <c r="BC134" s="144">
        <f>SUM(BC5:BC11)/7</f>
        <v>0</v>
      </c>
      <c r="BD134" s="124">
        <f>SUM(BD5:BD11)</f>
        <v>0</v>
      </c>
      <c r="BE134" s="124">
        <f>SUM(BE5:BE11)</f>
        <v>0</v>
      </c>
      <c r="BF134" s="145">
        <f>SUM(BF5:BF11)/7</f>
        <v>0</v>
      </c>
      <c r="BG134" s="145">
        <f>SUM(BG5:BG11)/7</f>
        <v>39.7142857142857</v>
      </c>
      <c r="BH134" s="124">
        <f t="shared" ref="BH134:BO134" si="6">SUM(BH5:BH11)</f>
        <v>0</v>
      </c>
      <c r="BI134" s="124">
        <f t="shared" si="6"/>
        <v>387</v>
      </c>
      <c r="BJ134" s="124">
        <f t="shared" si="6"/>
        <v>864</v>
      </c>
      <c r="BK134" s="124">
        <f t="shared" si="6"/>
        <v>0</v>
      </c>
      <c r="BL134" s="124">
        <f t="shared" si="6"/>
        <v>0</v>
      </c>
      <c r="BM134" s="124">
        <f t="shared" si="6"/>
        <v>0</v>
      </c>
      <c r="BN134" s="124">
        <f t="shared" si="6"/>
        <v>0</v>
      </c>
      <c r="BO134" s="124">
        <f t="shared" si="6"/>
        <v>0</v>
      </c>
      <c r="BP134" s="146" t="s">
        <v>1</v>
      </c>
      <c r="BQ134" s="146" t="s">
        <v>1</v>
      </c>
      <c r="BR134" s="146" t="s">
        <v>1</v>
      </c>
      <c r="BS134" s="146" t="s">
        <v>1</v>
      </c>
      <c r="BT134" s="146" t="s">
        <v>1</v>
      </c>
      <c r="BU134" s="146" t="s">
        <v>1</v>
      </c>
      <c r="BV134" s="108" t="s">
        <v>1</v>
      </c>
    </row>
    <row r="135" ht="25" customHeight="1" spans="1:74">
      <c r="A135" s="108" t="s">
        <v>136</v>
      </c>
      <c r="B135" s="124" t="s">
        <v>1</v>
      </c>
      <c r="C135" s="124" t="s">
        <v>1</v>
      </c>
      <c r="D135" s="124">
        <f>SUM(D12:D18)</f>
        <v>0</v>
      </c>
      <c r="E135" s="124">
        <f>SUM(E12:E18)</f>
        <v>0</v>
      </c>
      <c r="F135" s="124">
        <f>SUM(F12:F18)</f>
        <v>7.8291</v>
      </c>
      <c r="G135" s="141">
        <f>D135/F135-1</f>
        <v>-1</v>
      </c>
      <c r="H135" s="124">
        <f>SUM(H12:H18)</f>
        <v>0</v>
      </c>
      <c r="I135" s="141" t="e">
        <f>D135/H135</f>
        <v>#DIV/0!</v>
      </c>
      <c r="J135" s="124">
        <f>SUM(J12:J18)</f>
        <v>0</v>
      </c>
      <c r="K135" s="124" t="s">
        <v>1</v>
      </c>
      <c r="L135" s="141" t="e">
        <f>J135/D135</f>
        <v>#DIV/0!</v>
      </c>
      <c r="M135" s="124">
        <f t="shared" ref="M135:U135" si="7">SUM(M12:M18)</f>
        <v>0</v>
      </c>
      <c r="N135" s="124" t="e">
        <f t="shared" si="7"/>
        <v>#VALUE!</v>
      </c>
      <c r="O135" s="124">
        <f t="shared" si="7"/>
        <v>0</v>
      </c>
      <c r="P135" s="124">
        <f t="shared" si="7"/>
        <v>0</v>
      </c>
      <c r="Q135" s="124">
        <f t="shared" si="7"/>
        <v>0</v>
      </c>
      <c r="R135" s="124">
        <f t="shared" si="7"/>
        <v>0</v>
      </c>
      <c r="S135" s="124">
        <f t="shared" si="7"/>
        <v>0</v>
      </c>
      <c r="T135" s="124">
        <f t="shared" si="7"/>
        <v>0</v>
      </c>
      <c r="U135" s="124">
        <f t="shared" si="7"/>
        <v>0</v>
      </c>
      <c r="V135" s="124" t="s">
        <v>1</v>
      </c>
      <c r="W135" s="124">
        <f>SUM(W12:W18)</f>
        <v>0</v>
      </c>
      <c r="X135" s="124">
        <f>SUM(X12:X18)</f>
        <v>0</v>
      </c>
      <c r="Y135" s="124">
        <f>SUM(Y12:Y18)</f>
        <v>0</v>
      </c>
      <c r="Z135" s="124">
        <f>SUM(Z12:Z18)</f>
        <v>0</v>
      </c>
      <c r="AA135" s="142">
        <f>SUM(AA6:AA12)/7</f>
        <v>0</v>
      </c>
      <c r="AB135" s="142">
        <f>SUM(AB6:AB12)/7</f>
        <v>0</v>
      </c>
      <c r="AC135" s="143">
        <f>SUM(AC6:AC12)/7</f>
        <v>2.28571428571429</v>
      </c>
      <c r="AD135" s="143">
        <f>SUM(AD6:AD12)/7</f>
        <v>0</v>
      </c>
      <c r="AE135" s="124">
        <f t="shared" ref="AE135:AN135" si="8">SUM(AE12:AE18)</f>
        <v>0</v>
      </c>
      <c r="AF135" s="143">
        <f t="shared" si="8"/>
        <v>0</v>
      </c>
      <c r="AG135" s="143">
        <f t="shared" si="8"/>
        <v>2689</v>
      </c>
      <c r="AH135" s="143">
        <f t="shared" si="8"/>
        <v>0</v>
      </c>
      <c r="AI135" s="143">
        <f t="shared" si="8"/>
        <v>1487</v>
      </c>
      <c r="AJ135" s="143">
        <f t="shared" si="8"/>
        <v>0</v>
      </c>
      <c r="AK135" s="143">
        <f t="shared" si="8"/>
        <v>43</v>
      </c>
      <c r="AL135" s="143">
        <f t="shared" si="8"/>
        <v>0</v>
      </c>
      <c r="AM135" s="143">
        <f t="shared" si="8"/>
        <v>2404</v>
      </c>
      <c r="AN135" s="143">
        <f t="shared" si="8"/>
        <v>0</v>
      </c>
      <c r="AO135" s="141">
        <f>AM135/(AE135+AG135+AI135+AK135)</f>
        <v>0.569803270917279</v>
      </c>
      <c r="AP135" s="124">
        <f>SUM(AP12:AP18)</f>
        <v>0</v>
      </c>
      <c r="AQ135" s="124">
        <f>SUM(AQ12:AQ18)</f>
        <v>229</v>
      </c>
      <c r="AR135" s="144">
        <f>SUM(AR6:AR12)/7</f>
        <v>0</v>
      </c>
      <c r="AS135" s="144">
        <f>SUM(AS6:AS12)/7</f>
        <v>0</v>
      </c>
      <c r="AT135" s="124">
        <f>SUM(AT12:AT18)</f>
        <v>0</v>
      </c>
      <c r="AU135" s="124">
        <f>SUM(AU12:AU18)</f>
        <v>0</v>
      </c>
      <c r="AV135" s="124">
        <f>SUM(AV12:AV18)</f>
        <v>0</v>
      </c>
      <c r="AW135" s="124">
        <f>SUM(AW12:AW18)</f>
        <v>0</v>
      </c>
      <c r="AX135" s="144">
        <f>SUM(AX6:AX12)/7</f>
        <v>0</v>
      </c>
      <c r="AY135" s="144">
        <f>SUM(AY6:AY12)/7</f>
        <v>0</v>
      </c>
      <c r="AZ135" s="124">
        <f>SUM(AZ12:AZ18)</f>
        <v>0</v>
      </c>
      <c r="BA135" s="124">
        <f>SUM(BA12:BA18)</f>
        <v>0</v>
      </c>
      <c r="BB135" s="144">
        <f>SUM(BB6:BB12)/7</f>
        <v>0</v>
      </c>
      <c r="BC135" s="144">
        <f>SUM(BC6:BC12)/7</f>
        <v>0</v>
      </c>
      <c r="BD135" s="124">
        <f>SUM(BD12:BD18)</f>
        <v>0</v>
      </c>
      <c r="BE135" s="124">
        <f>SUM(BE12:BE18)</f>
        <v>0</v>
      </c>
      <c r="BF135" s="145">
        <f>SUM(BF6:BF12)/7</f>
        <v>0</v>
      </c>
      <c r="BG135" s="145">
        <f>SUM(BG6:BG12)/7</f>
        <v>39.7142857142857</v>
      </c>
      <c r="BH135" s="124">
        <f t="shared" ref="BH135:BO135" si="9">SUM(BH12:BH18)</f>
        <v>0</v>
      </c>
      <c r="BI135" s="124">
        <f t="shared" si="9"/>
        <v>335</v>
      </c>
      <c r="BJ135" s="124">
        <f t="shared" si="9"/>
        <v>1148</v>
      </c>
      <c r="BK135" s="124">
        <f t="shared" si="9"/>
        <v>0</v>
      </c>
      <c r="BL135" s="124">
        <f t="shared" si="9"/>
        <v>0</v>
      </c>
      <c r="BM135" s="124">
        <f t="shared" si="9"/>
        <v>0</v>
      </c>
      <c r="BN135" s="124">
        <f t="shared" si="9"/>
        <v>0</v>
      </c>
      <c r="BO135" s="124">
        <f t="shared" si="9"/>
        <v>0</v>
      </c>
      <c r="BP135" s="146" t="s">
        <v>1</v>
      </c>
      <c r="BQ135" s="146" t="s">
        <v>1</v>
      </c>
      <c r="BR135" s="146" t="s">
        <v>1</v>
      </c>
      <c r="BS135" s="146" t="s">
        <v>1</v>
      </c>
      <c r="BT135" s="146" t="s">
        <v>1</v>
      </c>
      <c r="BU135" s="146" t="s">
        <v>1</v>
      </c>
      <c r="BV135" s="108" t="s">
        <v>1</v>
      </c>
    </row>
    <row r="136" ht="25" customHeight="1" spans="1:74">
      <c r="A136" s="108" t="s">
        <v>137</v>
      </c>
      <c r="B136" s="124" t="s">
        <v>1</v>
      </c>
      <c r="C136" s="124" t="s">
        <v>1</v>
      </c>
      <c r="D136" s="124">
        <f>SUM(D19:D25)</f>
        <v>0</v>
      </c>
      <c r="E136" s="124">
        <f>SUM(E19:E25)</f>
        <v>0</v>
      </c>
      <c r="F136" s="124">
        <f>SUM(F19:F25)</f>
        <v>8.699</v>
      </c>
      <c r="G136" s="141">
        <f>D136/F136-1</f>
        <v>-1</v>
      </c>
      <c r="H136" s="124">
        <f>SUM(H19:H25)</f>
        <v>0</v>
      </c>
      <c r="I136" s="141" t="e">
        <f>D136/H136</f>
        <v>#DIV/0!</v>
      </c>
      <c r="J136" s="124">
        <f>SUM(J19:J25)</f>
        <v>0</v>
      </c>
      <c r="K136" s="124" t="s">
        <v>1</v>
      </c>
      <c r="L136" s="141" t="e">
        <f>J136/D136</f>
        <v>#DIV/0!</v>
      </c>
      <c r="M136" s="124">
        <f t="shared" ref="M136:U136" si="10">SUM(M19:M25)</f>
        <v>0</v>
      </c>
      <c r="N136" s="124" t="e">
        <f t="shared" si="10"/>
        <v>#VALUE!</v>
      </c>
      <c r="O136" s="124">
        <f t="shared" si="10"/>
        <v>0</v>
      </c>
      <c r="P136" s="124">
        <f t="shared" si="10"/>
        <v>0</v>
      </c>
      <c r="Q136" s="124">
        <f t="shared" si="10"/>
        <v>0</v>
      </c>
      <c r="R136" s="124">
        <f t="shared" si="10"/>
        <v>0</v>
      </c>
      <c r="S136" s="124">
        <f t="shared" si="10"/>
        <v>0</v>
      </c>
      <c r="T136" s="124">
        <f t="shared" si="10"/>
        <v>0</v>
      </c>
      <c r="U136" s="124">
        <f t="shared" si="10"/>
        <v>0</v>
      </c>
      <c r="V136" s="124" t="s">
        <v>1</v>
      </c>
      <c r="W136" s="124">
        <f>SUM(W19:W25)</f>
        <v>0</v>
      </c>
      <c r="X136" s="124">
        <f>SUM(X19:X25)</f>
        <v>0</v>
      </c>
      <c r="Y136" s="124">
        <f>SUM(Y19:Y25)</f>
        <v>0</v>
      </c>
      <c r="Z136" s="124">
        <f>SUM(Z19:Z25)</f>
        <v>0</v>
      </c>
      <c r="AA136" s="142">
        <f>SUM(AA7:AA13)/7</f>
        <v>0</v>
      </c>
      <c r="AB136" s="142">
        <f>SUM(AB7:AB13)/7</f>
        <v>0</v>
      </c>
      <c r="AC136" s="143">
        <f>SUM(AC7:AC13)/7</f>
        <v>2.42857142857143</v>
      </c>
      <c r="AD136" s="143">
        <f>SUM(AD7:AD13)/7</f>
        <v>0</v>
      </c>
      <c r="AE136" s="124">
        <f t="shared" ref="AE136:AN136" si="11">SUM(AE19:AE25)</f>
        <v>0</v>
      </c>
      <c r="AF136" s="143">
        <f t="shared" si="11"/>
        <v>0</v>
      </c>
      <c r="AG136" s="143">
        <f t="shared" si="11"/>
        <v>3295</v>
      </c>
      <c r="AH136" s="143">
        <f t="shared" si="11"/>
        <v>0</v>
      </c>
      <c r="AI136" s="143">
        <f t="shared" si="11"/>
        <v>1204</v>
      </c>
      <c r="AJ136" s="143">
        <f t="shared" si="11"/>
        <v>0</v>
      </c>
      <c r="AK136" s="143">
        <f t="shared" si="11"/>
        <v>51</v>
      </c>
      <c r="AL136" s="143">
        <f t="shared" si="11"/>
        <v>0</v>
      </c>
      <c r="AM136" s="143">
        <f t="shared" si="11"/>
        <v>2224</v>
      </c>
      <c r="AN136" s="143">
        <f t="shared" si="11"/>
        <v>0</v>
      </c>
      <c r="AO136" s="141">
        <f>AM136/(AE136+AG136+AI136+AK136)</f>
        <v>0.488791208791209</v>
      </c>
      <c r="AP136" s="124">
        <f>SUM(AP19:AP25)</f>
        <v>0</v>
      </c>
      <c r="AQ136" s="124">
        <f>SUM(AQ19:AQ25)</f>
        <v>678</v>
      </c>
      <c r="AR136" s="144">
        <f>SUM(AR7:AR13)/7</f>
        <v>0</v>
      </c>
      <c r="AS136" s="144">
        <f>SUM(AS7:AS13)/7</f>
        <v>0</v>
      </c>
      <c r="AT136" s="124">
        <f>SUM(AT19:AT25)</f>
        <v>0</v>
      </c>
      <c r="AU136" s="124">
        <f>SUM(AU19:AU25)</f>
        <v>0</v>
      </c>
      <c r="AV136" s="124">
        <f>SUM(AV19:AV25)</f>
        <v>0</v>
      </c>
      <c r="AW136" s="124">
        <f>SUM(AW19:AW25)</f>
        <v>0</v>
      </c>
      <c r="AX136" s="144">
        <f>SUM(AX7:AX13)/7</f>
        <v>0</v>
      </c>
      <c r="AY136" s="144">
        <f>SUM(AY7:AY13)/7</f>
        <v>0</v>
      </c>
      <c r="AZ136" s="124">
        <f>SUM(AZ19:AZ25)</f>
        <v>0</v>
      </c>
      <c r="BA136" s="124">
        <f>SUM(BA19:BA25)</f>
        <v>0</v>
      </c>
      <c r="BB136" s="144">
        <f>SUM(BB7:BB13)/7</f>
        <v>0</v>
      </c>
      <c r="BC136" s="144">
        <f>SUM(BC7:BC13)/7</f>
        <v>0</v>
      </c>
      <c r="BD136" s="124">
        <f>SUM(BD19:BD25)</f>
        <v>0</v>
      </c>
      <c r="BE136" s="124">
        <f>SUM(BE19:BE25)</f>
        <v>0</v>
      </c>
      <c r="BF136" s="145">
        <f>SUM(BF7:BF13)/7</f>
        <v>0</v>
      </c>
      <c r="BG136" s="145">
        <f>SUM(BG7:BG12)/7</f>
        <v>39.7142857142857</v>
      </c>
      <c r="BH136" s="124">
        <f t="shared" ref="BH136:BO136" si="12">SUM(BH19:BH25)</f>
        <v>0</v>
      </c>
      <c r="BI136" s="124">
        <f t="shared" si="12"/>
        <v>346</v>
      </c>
      <c r="BJ136" s="124">
        <f t="shared" si="12"/>
        <v>1085</v>
      </c>
      <c r="BK136" s="124">
        <f t="shared" si="12"/>
        <v>0</v>
      </c>
      <c r="BL136" s="124">
        <f t="shared" si="12"/>
        <v>0</v>
      </c>
      <c r="BM136" s="124">
        <f t="shared" si="12"/>
        <v>0</v>
      </c>
      <c r="BN136" s="124">
        <f t="shared" si="12"/>
        <v>0</v>
      </c>
      <c r="BO136" s="124">
        <f t="shared" si="12"/>
        <v>0</v>
      </c>
      <c r="BP136" s="146" t="s">
        <v>1</v>
      </c>
      <c r="BQ136" s="146" t="s">
        <v>1</v>
      </c>
      <c r="BR136" s="146" t="s">
        <v>1</v>
      </c>
      <c r="BS136" s="146" t="s">
        <v>1</v>
      </c>
      <c r="BT136" s="146" t="s">
        <v>1</v>
      </c>
      <c r="BU136" s="146" t="s">
        <v>1</v>
      </c>
      <c r="BV136" s="108" t="s">
        <v>1</v>
      </c>
    </row>
    <row r="137" ht="25" customHeight="1" spans="1:74">
      <c r="A137" s="108" t="s">
        <v>138</v>
      </c>
      <c r="B137" s="124" t="s">
        <v>1</v>
      </c>
      <c r="C137" s="124" t="s">
        <v>1</v>
      </c>
      <c r="D137" s="124">
        <f>SUM(D26:D32)</f>
        <v>0</v>
      </c>
      <c r="E137" s="124">
        <f>SUM(E26:E32)</f>
        <v>0</v>
      </c>
      <c r="F137" s="124">
        <f>SUM(F26:F32)</f>
        <v>6.0893</v>
      </c>
      <c r="G137" s="141">
        <f>D137/F137-1</f>
        <v>-1</v>
      </c>
      <c r="H137" s="124">
        <f>SUM(H26:H32)</f>
        <v>0</v>
      </c>
      <c r="I137" s="141" t="e">
        <f>D137/H137</f>
        <v>#DIV/0!</v>
      </c>
      <c r="J137" s="124">
        <f>SUM(J26:J32)</f>
        <v>0</v>
      </c>
      <c r="K137" s="124" t="s">
        <v>1</v>
      </c>
      <c r="L137" s="141" t="e">
        <f>J137/D137</f>
        <v>#DIV/0!</v>
      </c>
      <c r="M137" s="124">
        <f t="shared" ref="M137:U137" si="13">SUM(M26:M32)</f>
        <v>0</v>
      </c>
      <c r="N137" s="124" t="e">
        <f t="shared" si="13"/>
        <v>#VALUE!</v>
      </c>
      <c r="O137" s="124">
        <f t="shared" si="13"/>
        <v>0</v>
      </c>
      <c r="P137" s="124">
        <f t="shared" si="13"/>
        <v>0</v>
      </c>
      <c r="Q137" s="124">
        <f t="shared" si="13"/>
        <v>0</v>
      </c>
      <c r="R137" s="124">
        <f t="shared" si="13"/>
        <v>0</v>
      </c>
      <c r="S137" s="124">
        <f t="shared" si="13"/>
        <v>0</v>
      </c>
      <c r="T137" s="124">
        <f t="shared" si="13"/>
        <v>0</v>
      </c>
      <c r="U137" s="124">
        <f t="shared" si="13"/>
        <v>0</v>
      </c>
      <c r="V137" s="124" t="s">
        <v>1</v>
      </c>
      <c r="W137" s="124">
        <f>SUM(W26:W32)</f>
        <v>0</v>
      </c>
      <c r="X137" s="124">
        <f>SUM(X26:X32)</f>
        <v>0</v>
      </c>
      <c r="Y137" s="124">
        <f>SUM(Y26:Y32)</f>
        <v>0</v>
      </c>
      <c r="Z137" s="124">
        <f>SUM(Z26:Z32)</f>
        <v>0</v>
      </c>
      <c r="AA137" s="142">
        <f>SUM(AA8:AA14)/7</f>
        <v>0</v>
      </c>
      <c r="AB137" s="142">
        <f>SUM(AB8:AB14)/7</f>
        <v>0</v>
      </c>
      <c r="AC137" s="143">
        <f>SUM(AC8:AC14)/7</f>
        <v>2.14285714285714</v>
      </c>
      <c r="AD137" s="143">
        <f>SUM(AD8:AD14)/7</f>
        <v>0</v>
      </c>
      <c r="AE137" s="124">
        <f t="shared" ref="AE137:AN137" si="14">SUM(AE26:AE32)</f>
        <v>0</v>
      </c>
      <c r="AF137" s="143">
        <f t="shared" si="14"/>
        <v>0</v>
      </c>
      <c r="AG137" s="143">
        <f t="shared" si="14"/>
        <v>3350</v>
      </c>
      <c r="AH137" s="143">
        <f t="shared" si="14"/>
        <v>0</v>
      </c>
      <c r="AI137" s="143">
        <f t="shared" si="14"/>
        <v>1023</v>
      </c>
      <c r="AJ137" s="143">
        <f t="shared" si="14"/>
        <v>0</v>
      </c>
      <c r="AK137" s="143">
        <f t="shared" si="14"/>
        <v>119</v>
      </c>
      <c r="AL137" s="143">
        <f t="shared" si="14"/>
        <v>0</v>
      </c>
      <c r="AM137" s="143">
        <f t="shared" si="14"/>
        <v>2125</v>
      </c>
      <c r="AN137" s="143">
        <f t="shared" si="14"/>
        <v>0</v>
      </c>
      <c r="AO137" s="141">
        <f>AM137/(AE137+AG137+AI137+AK137)</f>
        <v>0.473063223508459</v>
      </c>
      <c r="AP137" s="124">
        <f>SUM(AP26:AP32)</f>
        <v>0</v>
      </c>
      <c r="AQ137" s="124">
        <f>SUM(AQ26:AQ32)</f>
        <v>878</v>
      </c>
      <c r="AR137" s="144">
        <f>SUM(AR8:AR14)/7</f>
        <v>0</v>
      </c>
      <c r="AS137" s="144">
        <f>SUM(AS8:AS14)/7</f>
        <v>0</v>
      </c>
      <c r="AT137" s="124">
        <f>SUM(AT26:AT32)</f>
        <v>0</v>
      </c>
      <c r="AU137" s="124">
        <f>SUM(AU26:AU32)</f>
        <v>0</v>
      </c>
      <c r="AV137" s="124">
        <f>SUM(AV26:AV32)</f>
        <v>0</v>
      </c>
      <c r="AW137" s="124">
        <f>SUM(AW26:AW32)</f>
        <v>0</v>
      </c>
      <c r="AX137" s="144">
        <f>SUM(AX8:AX14)/7</f>
        <v>0</v>
      </c>
      <c r="AY137" s="144">
        <f>SUM(AY8:AY14)/7</f>
        <v>0</v>
      </c>
      <c r="AZ137" s="124">
        <f>SUM(AZ26:AZ32)</f>
        <v>0</v>
      </c>
      <c r="BA137" s="124">
        <f>SUM(BA26:BA32)</f>
        <v>0</v>
      </c>
      <c r="BB137" s="144">
        <f>SUM(BB8:BB14)/7</f>
        <v>0</v>
      </c>
      <c r="BC137" s="144">
        <f>SUM(BC8:BC14)/7</f>
        <v>0</v>
      </c>
      <c r="BD137" s="124">
        <f>SUM(BD26:BD32)</f>
        <v>0</v>
      </c>
      <c r="BE137" s="124">
        <f>SUM(BE26:BE32)</f>
        <v>0</v>
      </c>
      <c r="BF137" s="145">
        <f>SUM(BF8:BF14)/7</f>
        <v>0</v>
      </c>
      <c r="BG137" s="145">
        <f>SUM(BG8:BG14)/7</f>
        <v>38.4285714285714</v>
      </c>
      <c r="BH137" s="124">
        <f t="shared" ref="BH137:BO137" si="15">SUM(BH26:BH32)</f>
        <v>0</v>
      </c>
      <c r="BI137" s="124">
        <f t="shared" si="15"/>
        <v>313</v>
      </c>
      <c r="BJ137" s="124">
        <f t="shared" si="15"/>
        <v>1205</v>
      </c>
      <c r="BK137" s="124">
        <f t="shared" si="15"/>
        <v>0</v>
      </c>
      <c r="BL137" s="124">
        <f t="shared" si="15"/>
        <v>0</v>
      </c>
      <c r="BM137" s="124">
        <f t="shared" si="15"/>
        <v>0</v>
      </c>
      <c r="BN137" s="124">
        <f t="shared" si="15"/>
        <v>0</v>
      </c>
      <c r="BO137" s="124">
        <f t="shared" si="15"/>
        <v>0</v>
      </c>
      <c r="BP137" s="146" t="s">
        <v>1</v>
      </c>
      <c r="BQ137" s="146" t="s">
        <v>1</v>
      </c>
      <c r="BR137" s="146" t="s">
        <v>1</v>
      </c>
      <c r="BS137" s="146" t="s">
        <v>1</v>
      </c>
      <c r="BT137" s="146" t="s">
        <v>1</v>
      </c>
      <c r="BU137" s="146" t="s">
        <v>1</v>
      </c>
      <c r="BV137" s="147" t="s">
        <v>1</v>
      </c>
    </row>
    <row r="138" ht="25" customHeight="1" spans="1:74">
      <c r="A138" s="108" t="s">
        <v>139</v>
      </c>
      <c r="B138" s="124" t="s">
        <v>1</v>
      </c>
      <c r="C138" s="124" t="s">
        <v>1</v>
      </c>
      <c r="D138" s="124">
        <f>SUM(D33:D35)</f>
        <v>0</v>
      </c>
      <c r="E138" s="124">
        <f>SUM(E33:E35)</f>
        <v>0</v>
      </c>
      <c r="F138" s="124">
        <f>SUM(F33:F35)</f>
        <v>0.8699</v>
      </c>
      <c r="G138" s="141">
        <f>D138/F138-1</f>
        <v>-1</v>
      </c>
      <c r="H138" s="124">
        <f>SUM(H33:H35)</f>
        <v>0</v>
      </c>
      <c r="I138" s="141" t="e">
        <f>D138/H138</f>
        <v>#DIV/0!</v>
      </c>
      <c r="J138" s="124">
        <f>SUM(J33:J35)</f>
        <v>0</v>
      </c>
      <c r="K138" s="124" t="s">
        <v>1</v>
      </c>
      <c r="L138" s="141" t="e">
        <f>J138/D138</f>
        <v>#DIV/0!</v>
      </c>
      <c r="M138" s="124">
        <f t="shared" ref="M138:U138" si="16">SUM(M33:M35)</f>
        <v>0</v>
      </c>
      <c r="N138" s="124" t="e">
        <f t="shared" si="16"/>
        <v>#VALUE!</v>
      </c>
      <c r="O138" s="124">
        <f t="shared" si="16"/>
        <v>0</v>
      </c>
      <c r="P138" s="124">
        <f t="shared" si="16"/>
        <v>0</v>
      </c>
      <c r="Q138" s="124">
        <f t="shared" si="16"/>
        <v>0</v>
      </c>
      <c r="R138" s="124">
        <f t="shared" si="16"/>
        <v>0</v>
      </c>
      <c r="S138" s="124">
        <f t="shared" si="16"/>
        <v>0</v>
      </c>
      <c r="T138" s="124">
        <f t="shared" si="16"/>
        <v>0</v>
      </c>
      <c r="U138" s="124">
        <f t="shared" si="16"/>
        <v>0</v>
      </c>
      <c r="V138" s="124" t="s">
        <v>1</v>
      </c>
      <c r="W138" s="124">
        <f>SUM(W33:W35)</f>
        <v>0</v>
      </c>
      <c r="X138" s="124">
        <f>SUM(X33:X35)</f>
        <v>0</v>
      </c>
      <c r="Y138" s="124">
        <f>SUM(Y33:Y35)</f>
        <v>0</v>
      </c>
      <c r="Z138" s="124">
        <f>SUM(Z33:Z35)</f>
        <v>0</v>
      </c>
      <c r="AA138" s="142">
        <f>SUM(AA33:AA35)/2</f>
        <v>0</v>
      </c>
      <c r="AB138" s="142">
        <f>SUM(AB33:AB35)/2</f>
        <v>0</v>
      </c>
      <c r="AC138" s="143">
        <f>SUM(AC33:AC35)/2</f>
        <v>1</v>
      </c>
      <c r="AD138" s="143">
        <f>SUM(AD33:AD35)/2</f>
        <v>0</v>
      </c>
      <c r="AE138" s="124">
        <f t="shared" ref="AE138:AN138" si="17">SUM(AE33:AE35)</f>
        <v>0</v>
      </c>
      <c r="AF138" s="143">
        <f t="shared" si="17"/>
        <v>0</v>
      </c>
      <c r="AG138" s="143">
        <f t="shared" si="17"/>
        <v>1064</v>
      </c>
      <c r="AH138" s="143">
        <f t="shared" si="17"/>
        <v>0</v>
      </c>
      <c r="AI138" s="143">
        <f t="shared" si="17"/>
        <v>399</v>
      </c>
      <c r="AJ138" s="143">
        <f t="shared" si="17"/>
        <v>0</v>
      </c>
      <c r="AK138" s="143">
        <f t="shared" si="17"/>
        <v>14</v>
      </c>
      <c r="AL138" s="143">
        <f t="shared" si="17"/>
        <v>0</v>
      </c>
      <c r="AM138" s="143">
        <f t="shared" si="17"/>
        <v>933</v>
      </c>
      <c r="AN138" s="143">
        <f t="shared" si="17"/>
        <v>0</v>
      </c>
      <c r="AO138" s="141">
        <f>AM138/(AE138+AG138+AI138+AK138)</f>
        <v>0.631685849695328</v>
      </c>
      <c r="AP138" s="124">
        <f>SUM(AP33:AP35)</f>
        <v>0</v>
      </c>
      <c r="AQ138" s="124">
        <f>SUM(AQ33:AQ35)</f>
        <v>98</v>
      </c>
      <c r="AR138" s="144">
        <f>SUM(AR33:AR35)/2</f>
        <v>0</v>
      </c>
      <c r="AS138" s="144">
        <f>SUM(AS33:AS35)/2</f>
        <v>0</v>
      </c>
      <c r="AT138" s="124">
        <f>SUM(AT33:AT35)</f>
        <v>0</v>
      </c>
      <c r="AU138" s="124">
        <f>SUM(AU33:AU35)</f>
        <v>0</v>
      </c>
      <c r="AV138" s="124">
        <f>SUM(AV33:AV35)</f>
        <v>0</v>
      </c>
      <c r="AW138" s="124">
        <f>SUM(AW33:AW35)</f>
        <v>0</v>
      </c>
      <c r="AX138" s="144">
        <f>SUM(AX33:AX35)/2</f>
        <v>0</v>
      </c>
      <c r="AY138" s="144">
        <f>SUM(AY33:AY35)/2</f>
        <v>0</v>
      </c>
      <c r="AZ138" s="124">
        <f>SUM(AZ33:AZ35)</f>
        <v>0</v>
      </c>
      <c r="BA138" s="124">
        <f>SUM(BA33:BA35)</f>
        <v>0</v>
      </c>
      <c r="BB138" s="144">
        <f>SUM(BB33:BB35)/2</f>
        <v>0</v>
      </c>
      <c r="BC138" s="144">
        <f>SUM(BC33:BC35)/2</f>
        <v>0</v>
      </c>
      <c r="BD138" s="124">
        <f>SUM(BD33:BD35)</f>
        <v>0</v>
      </c>
      <c r="BE138" s="124">
        <f>SUM(BE33:BE35)</f>
        <v>0</v>
      </c>
      <c r="BF138" s="145">
        <f>SUM(BF33:BF35)/2</f>
        <v>0</v>
      </c>
      <c r="BG138" s="145">
        <f>SUM(BG33:BG35)/2</f>
        <v>34.5</v>
      </c>
      <c r="BH138" s="124">
        <f t="shared" ref="BH138:BO138" si="18">SUM(BH33:BH35)</f>
        <v>0</v>
      </c>
      <c r="BI138" s="124">
        <f t="shared" si="18"/>
        <v>121</v>
      </c>
      <c r="BJ138" s="124">
        <f t="shared" si="18"/>
        <v>536</v>
      </c>
      <c r="BK138" s="124">
        <f t="shared" si="18"/>
        <v>0</v>
      </c>
      <c r="BL138" s="124">
        <f t="shared" si="18"/>
        <v>0</v>
      </c>
      <c r="BM138" s="124">
        <f t="shared" si="18"/>
        <v>0</v>
      </c>
      <c r="BN138" s="124">
        <f t="shared" si="18"/>
        <v>0</v>
      </c>
      <c r="BO138" s="124">
        <f t="shared" si="18"/>
        <v>0</v>
      </c>
      <c r="BP138" s="92" t="s">
        <v>1</v>
      </c>
      <c r="BQ138" s="92" t="s">
        <v>1</v>
      </c>
      <c r="BR138" s="92" t="s">
        <v>1</v>
      </c>
      <c r="BS138" s="92" t="s">
        <v>1</v>
      </c>
      <c r="BT138" s="92" t="s">
        <v>1</v>
      </c>
      <c r="BU138" s="92" t="s">
        <v>1</v>
      </c>
      <c r="BV138" s="108" t="s">
        <v>1</v>
      </c>
    </row>
  </sheetData>
  <mergeCells count="171">
    <mergeCell ref="A1:C1"/>
    <mergeCell ref="D1:T1"/>
    <mergeCell ref="U1:AR1"/>
    <mergeCell ref="AS1:BF1"/>
    <mergeCell ref="BH1:BK1"/>
    <mergeCell ref="BL1:BU1"/>
    <mergeCell ref="B2:C2"/>
    <mergeCell ref="D2:K2"/>
    <mergeCell ref="L2:T2"/>
    <mergeCell ref="U2:V2"/>
    <mergeCell ref="W2:X2"/>
    <mergeCell ref="Y2:Z2"/>
    <mergeCell ref="AA2:AB2"/>
    <mergeCell ref="AC2:AD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H2:BK2"/>
    <mergeCell ref="BL2:BP2"/>
    <mergeCell ref="BQ2:BU2"/>
    <mergeCell ref="AO128:AQ128"/>
    <mergeCell ref="AR128:AU128"/>
    <mergeCell ref="A130:C130"/>
    <mergeCell ref="D130:T130"/>
    <mergeCell ref="U130:AR130"/>
    <mergeCell ref="AS130:BF130"/>
    <mergeCell ref="BH130:BK130"/>
    <mergeCell ref="BL130:BU130"/>
    <mergeCell ref="B131:C131"/>
    <mergeCell ref="D131:K131"/>
    <mergeCell ref="L131:T131"/>
    <mergeCell ref="U131:V131"/>
    <mergeCell ref="W131:X131"/>
    <mergeCell ref="Y131:Z131"/>
    <mergeCell ref="AA131:AB131"/>
    <mergeCell ref="AC131:AD131"/>
    <mergeCell ref="AE131:AF131"/>
    <mergeCell ref="AG131:AH131"/>
    <mergeCell ref="AI131:AJ131"/>
    <mergeCell ref="AK131:AL131"/>
    <mergeCell ref="AM131:AN131"/>
    <mergeCell ref="AO131:AP131"/>
    <mergeCell ref="AQ131:AR131"/>
    <mergeCell ref="AS131:AT131"/>
    <mergeCell ref="AU131:AV131"/>
    <mergeCell ref="AW131:AX131"/>
    <mergeCell ref="AY131:AZ131"/>
    <mergeCell ref="BA131:BB131"/>
    <mergeCell ref="BC131:BD131"/>
    <mergeCell ref="BE131:BF131"/>
    <mergeCell ref="BH131:BK131"/>
    <mergeCell ref="BL131:BP131"/>
    <mergeCell ref="BQ131:BU131"/>
    <mergeCell ref="A2:A3"/>
    <mergeCell ref="A131:A132"/>
    <mergeCell ref="B8:B10"/>
    <mergeCell ref="B15:B17"/>
    <mergeCell ref="B18:B19"/>
    <mergeCell ref="B20:B22"/>
    <mergeCell ref="B33:B34"/>
    <mergeCell ref="B40:B41"/>
    <mergeCell ref="B47:B48"/>
    <mergeCell ref="B58:B59"/>
    <mergeCell ref="B71:B72"/>
    <mergeCell ref="C14:C15"/>
    <mergeCell ref="C16:C19"/>
    <mergeCell ref="C20:C21"/>
    <mergeCell ref="C23:C24"/>
    <mergeCell ref="C25:C26"/>
    <mergeCell ref="C27:C28"/>
    <mergeCell ref="C29:C32"/>
    <mergeCell ref="C33:C34"/>
    <mergeCell ref="C41:C42"/>
    <mergeCell ref="C44:C48"/>
    <mergeCell ref="C57:C59"/>
    <mergeCell ref="C64:C65"/>
    <mergeCell ref="C68:C69"/>
    <mergeCell ref="C72:C73"/>
    <mergeCell ref="C84:C85"/>
    <mergeCell ref="C88:C89"/>
    <mergeCell ref="C94:C95"/>
    <mergeCell ref="BG1:BG3"/>
    <mergeCell ref="BG130:BG132"/>
    <mergeCell ref="BL5:BL11"/>
    <mergeCell ref="BL37:BL43"/>
    <mergeCell ref="BL44:BL51"/>
    <mergeCell ref="BL52:BL57"/>
    <mergeCell ref="BL58:BL65"/>
    <mergeCell ref="BL66:BL73"/>
    <mergeCell ref="BL74:BL81"/>
    <mergeCell ref="BL82:BL89"/>
    <mergeCell ref="BM5:BM11"/>
    <mergeCell ref="BM37:BM43"/>
    <mergeCell ref="BM44:BM51"/>
    <mergeCell ref="BM52:BM57"/>
    <mergeCell ref="BM58:BM65"/>
    <mergeCell ref="BM66:BM73"/>
    <mergeCell ref="BM74:BM81"/>
    <mergeCell ref="BM82:BM89"/>
    <mergeCell ref="BN5:BN11"/>
    <mergeCell ref="BN37:BN43"/>
    <mergeCell ref="BN44:BN51"/>
    <mergeCell ref="BN52:BN57"/>
    <mergeCell ref="BN58:BN65"/>
    <mergeCell ref="BN66:BN73"/>
    <mergeCell ref="BN74:BN81"/>
    <mergeCell ref="BN82:BN89"/>
    <mergeCell ref="BO5:BO11"/>
    <mergeCell ref="BO37:BO43"/>
    <mergeCell ref="BO44:BO51"/>
    <mergeCell ref="BO52:BO57"/>
    <mergeCell ref="BO58:BO65"/>
    <mergeCell ref="BO66:BO73"/>
    <mergeCell ref="BO74:BO81"/>
    <mergeCell ref="BO82:BO89"/>
    <mergeCell ref="BP5:BP11"/>
    <mergeCell ref="BP37:BP43"/>
    <mergeCell ref="BP44:BP51"/>
    <mergeCell ref="BP52:BP57"/>
    <mergeCell ref="BP58:BP65"/>
    <mergeCell ref="BP66:BP73"/>
    <mergeCell ref="BP74:BP81"/>
    <mergeCell ref="BP82:BP89"/>
    <mergeCell ref="BQ5:BQ11"/>
    <mergeCell ref="BQ37:BQ43"/>
    <mergeCell ref="BQ44:BQ51"/>
    <mergeCell ref="BQ58:BQ65"/>
    <mergeCell ref="BQ66:BQ73"/>
    <mergeCell ref="BQ74:BQ81"/>
    <mergeCell ref="BQ82:BQ89"/>
    <mergeCell ref="BR5:BR11"/>
    <mergeCell ref="BR37:BR43"/>
    <mergeCell ref="BR44:BR51"/>
    <mergeCell ref="BR58:BR65"/>
    <mergeCell ref="BR66:BR73"/>
    <mergeCell ref="BR74:BR81"/>
    <mergeCell ref="BR82:BR89"/>
    <mergeCell ref="BS5:BS11"/>
    <mergeCell ref="BS37:BS43"/>
    <mergeCell ref="BS44:BS51"/>
    <mergeCell ref="BS58:BS65"/>
    <mergeCell ref="BS66:BS73"/>
    <mergeCell ref="BS74:BS81"/>
    <mergeCell ref="BS82:BS89"/>
    <mergeCell ref="BT5:BT11"/>
    <mergeCell ref="BT37:BT43"/>
    <mergeCell ref="BT44:BT51"/>
    <mergeCell ref="BT58:BT65"/>
    <mergeCell ref="BT66:BT73"/>
    <mergeCell ref="BT74:BT81"/>
    <mergeCell ref="BT82:BT89"/>
    <mergeCell ref="BU5:BU11"/>
    <mergeCell ref="BU37:BU43"/>
    <mergeCell ref="BU44:BU51"/>
    <mergeCell ref="BU58:BU65"/>
    <mergeCell ref="BU66:BU73"/>
    <mergeCell ref="BU74:BU81"/>
    <mergeCell ref="BU82:BU89"/>
    <mergeCell ref="BV1:BV3"/>
    <mergeCell ref="BV130:BV132"/>
  </mergeCells>
  <hyperlinks>
    <hyperlink ref="BS44" r:id="rId1" display="庆东纳碧安&#10;GB27-DELUXE 24K&#10;SKU：100019904059"/>
    <hyperlink ref="BT82" r:id="rId2" display="RBS-28C39&#10;SKU：100044938307"/>
    <hyperlink ref="BS74" r:id="rId3" display="RBS-24C33&#10;SKU：100003152535"/>
    <hyperlink ref="BS82" r:id="rId4" display="海尔&#10;LL1PBD26-JN7(T)U1&#10;SKU：100023271449"/>
    <hyperlink ref="BS37" r:id="rId5" display="美的&#10;L1GB24-R07&#10;SKU：100037296247"/>
    <hyperlink ref="BR58" r:id="rId3" display="RBS-24C33(适用于80-120㎡)&#10;SKU：100003152535"/>
    <hyperlink ref="BQ44" r:id="rId3" display="RBS-24C33(适用于80-120㎡)&#10;SKU：100003152535"/>
    <hyperlink ref="BT44" r:id="rId6" display="RBS-35C39&#10;SKU：100044938329"/>
    <hyperlink ref="BR44" r:id="rId7" display="卡萨帝&#10;LL1PBD26-CWN3NXGU1&#10;SKU：100057678547"/>
    <hyperlink ref="BU82" r:id="rId8" display="海尔&#10;LL1PBD20-JN7(T)U1&#10;SKU：100023271455"/>
    <hyperlink ref="BU44" r:id="rId9" display="RBS-35C30(L)&#10;SKU：100019121361"/>
    <hyperlink ref="BU58" r:id="rId6" display="RBS-35C39&#10;SKU：100044938329"/>
    <hyperlink ref="BS66" r:id="rId10" display=" RBS-36K88 Plus(200-250㎡)&#10;SKU：100002363448"/>
    <hyperlink ref="BQ58" r:id="rId11" display="史密斯&#10;LL1GBQ-E10 &#10;SKU：10060718476231"/>
    <hyperlink ref="BQ82" r:id="rId12" display="RBS-24C30(L)&#10;SKU：100033816230"/>
    <hyperlink ref="BR74" r:id="rId13" display="博世&#10;G5100WE 24KW&#10;SKU：10059512083629"/>
    <hyperlink ref="BR37" r:id="rId4" display="海尔&#10;LL1PBD26-JN7(T)U1&#10;SKU：100023271449"/>
    <hyperlink ref="BT66" r:id="rId2" display="RBS-28C39&#10;SKU：100044938307"/>
    <hyperlink ref="BR66" r:id="rId12" display="RBS-24C30(L)&#10;SKU：100033816230"/>
    <hyperlink ref="BT74" r:id="rId14" display="RBS-24C66L&#10;SKU：100024539022"/>
    <hyperlink ref="BS58" r:id="rId15" display="博世&#10;G5100WE 24KW&#10;SKU：10060082160117"/>
    <hyperlink ref="BT58" r:id="rId16" display="美的&#10;24KW-R07使用60-160平&#10;SKU：10059691201780"/>
    <hyperlink ref="BT37" r:id="rId17" display="威能&#10;ecoTEC intro 24kW 两用壁挂炉&#10;SKU：10074859125121"/>
    <hyperlink ref="BU66" r:id="rId18" display="RBS-22UX(80-120㎡)&#10;SKU：100011741770"/>
    <hyperlink ref="BQ74" r:id="rId12" display="RBS-24C30(L)&#10;SKU：100033816230"/>
    <hyperlink ref="BQ66" r:id="rId19" display="REB-A2747FF-CH(100-150㎡)&#10;SKU：100007591349"/>
    <hyperlink ref="BU74" r:id="rId2" display="RBS-28C39&#10;SKU：100044938307"/>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329"/>
  <sheetViews>
    <sheetView tabSelected="1" zoomScale="115" zoomScaleNormal="115" workbookViewId="0">
      <pane xSplit="1" ySplit="225" topLeftCell="F303" activePane="bottomRight" state="frozen"/>
      <selection/>
      <selection pane="topRight"/>
      <selection pane="bottomLeft"/>
      <selection pane="bottomRight" activeCell="L303" sqref="L303"/>
    </sheetView>
  </sheetViews>
  <sheetFormatPr defaultColWidth="14" defaultRowHeight="12.75"/>
  <cols>
    <col min="1" max="1" width="13" customWidth="1"/>
    <col min="2" max="3" width="11" customWidth="1"/>
    <col min="4" max="6" width="9" customWidth="1"/>
    <col min="7" max="8" width="12" customWidth="1"/>
    <col min="9" max="10" width="10" customWidth="1"/>
    <col min="11" max="14" width="9" customWidth="1"/>
    <col min="15" max="17" width="8" customWidth="1"/>
    <col min="18" max="20" width="12" customWidth="1"/>
    <col min="21" max="21" width="10" customWidth="1"/>
    <col min="22" max="22" width="9" customWidth="1"/>
  </cols>
  <sheetData>
    <row r="1" ht="29" customHeight="1" spans="1:22">
      <c r="A1" s="7" t="s">
        <v>303</v>
      </c>
      <c r="B1" s="8" t="s">
        <v>304</v>
      </c>
      <c r="C1" s="8" t="s">
        <v>1</v>
      </c>
      <c r="D1" s="8" t="s">
        <v>1</v>
      </c>
      <c r="E1" s="8" t="s">
        <v>1</v>
      </c>
      <c r="F1" s="8" t="s">
        <v>1</v>
      </c>
      <c r="G1" s="8" t="s">
        <v>1</v>
      </c>
      <c r="H1" s="8" t="s">
        <v>1</v>
      </c>
      <c r="I1" s="9" t="s">
        <v>305</v>
      </c>
      <c r="J1" s="9" t="s">
        <v>1</v>
      </c>
      <c r="K1" s="9" t="s">
        <v>1</v>
      </c>
      <c r="L1" s="9" t="s">
        <v>1</v>
      </c>
      <c r="M1" s="9" t="s">
        <v>1</v>
      </c>
      <c r="N1" s="9" t="s">
        <v>1</v>
      </c>
      <c r="O1" s="9" t="s">
        <v>1</v>
      </c>
      <c r="P1" s="9" t="s">
        <v>1</v>
      </c>
      <c r="Q1" s="9" t="s">
        <v>1</v>
      </c>
      <c r="R1" s="10" t="s">
        <v>1</v>
      </c>
      <c r="S1" s="9" t="s">
        <v>1</v>
      </c>
      <c r="T1" s="9" t="s">
        <v>1</v>
      </c>
      <c r="U1" s="9" t="s">
        <v>1</v>
      </c>
      <c r="V1" s="9" t="s">
        <v>1</v>
      </c>
    </row>
    <row r="2" ht="19" customHeight="1" spans="1:22">
      <c r="A2" s="7" t="s">
        <v>9</v>
      </c>
      <c r="B2" s="8" t="s">
        <v>306</v>
      </c>
      <c r="C2" s="8" t="s">
        <v>1</v>
      </c>
      <c r="D2" s="8" t="s">
        <v>1</v>
      </c>
      <c r="E2" s="8" t="s">
        <v>307</v>
      </c>
      <c r="F2" s="8" t="s">
        <v>1</v>
      </c>
      <c r="G2" s="8" t="s">
        <v>308</v>
      </c>
      <c r="H2" s="8" t="s">
        <v>309</v>
      </c>
      <c r="I2" s="11" t="s">
        <v>310</v>
      </c>
      <c r="J2" s="11" t="s">
        <v>1</v>
      </c>
      <c r="K2" s="11" t="s">
        <v>1</v>
      </c>
      <c r="L2" s="12" t="s">
        <v>311</v>
      </c>
      <c r="M2" s="12" t="s">
        <v>1</v>
      </c>
      <c r="N2" s="12" t="s">
        <v>1</v>
      </c>
      <c r="O2" s="12" t="s">
        <v>312</v>
      </c>
      <c r="P2" s="12" t="s">
        <v>1</v>
      </c>
      <c r="Q2" s="12" t="s">
        <v>1</v>
      </c>
      <c r="R2" s="13" t="s">
        <v>313</v>
      </c>
      <c r="S2" s="14" t="s">
        <v>1</v>
      </c>
      <c r="T2" s="14" t="s">
        <v>1</v>
      </c>
      <c r="U2" s="14" t="s">
        <v>314</v>
      </c>
      <c r="V2" s="14" t="s">
        <v>1</v>
      </c>
    </row>
    <row r="3" ht="36" customHeight="1" spans="1:22">
      <c r="A3" s="7" t="s">
        <v>1</v>
      </c>
      <c r="B3" s="15" t="s">
        <v>315</v>
      </c>
      <c r="C3" s="15" t="s">
        <v>316</v>
      </c>
      <c r="D3" s="15" t="s">
        <v>42</v>
      </c>
      <c r="E3" s="15" t="s">
        <v>317</v>
      </c>
      <c r="F3" s="15" t="s">
        <v>318</v>
      </c>
      <c r="G3" s="15" t="s">
        <v>315</v>
      </c>
      <c r="H3" s="15" t="s">
        <v>315</v>
      </c>
      <c r="I3" s="16" t="s">
        <v>315</v>
      </c>
      <c r="J3" s="16" t="s">
        <v>316</v>
      </c>
      <c r="K3" s="16" t="s">
        <v>42</v>
      </c>
      <c r="L3" s="16" t="s">
        <v>315</v>
      </c>
      <c r="M3" s="16" t="s">
        <v>316</v>
      </c>
      <c r="N3" s="16" t="s">
        <v>42</v>
      </c>
      <c r="O3" s="16" t="s">
        <v>315</v>
      </c>
      <c r="P3" s="16" t="s">
        <v>316</v>
      </c>
      <c r="Q3" s="16" t="s">
        <v>42</v>
      </c>
      <c r="R3" s="17" t="s">
        <v>315</v>
      </c>
      <c r="S3" s="16" t="s">
        <v>316</v>
      </c>
      <c r="T3" s="16" t="s">
        <v>42</v>
      </c>
      <c r="U3" s="16" t="s">
        <v>315</v>
      </c>
      <c r="V3" s="16" t="s">
        <v>316</v>
      </c>
    </row>
    <row r="4" ht="25" hidden="1" customHeight="1" spans="1:22">
      <c r="A4" s="18" t="s">
        <v>319</v>
      </c>
      <c r="B4" s="19">
        <f>SUM(B5:B34)</f>
        <v>99007</v>
      </c>
      <c r="C4" s="19">
        <f>SUM(C5:C34)</f>
        <v>92038</v>
      </c>
      <c r="D4" s="20">
        <f t="shared" ref="D4:D67" si="0">(B4-C4)/C4</f>
        <v>0.0757187248745084</v>
      </c>
      <c r="E4" s="20" t="s">
        <v>1</v>
      </c>
      <c r="F4" s="20" t="s">
        <v>1</v>
      </c>
      <c r="G4" s="21">
        <f>AVERAGEA(G5:G34)</f>
        <v>0.96066</v>
      </c>
      <c r="H4" s="22">
        <f>AVERAGEA(H5:H34)</f>
        <v>10.5593333333333</v>
      </c>
      <c r="I4" s="19">
        <f>SUM(I5:I34)</f>
        <v>55593</v>
      </c>
      <c r="J4" s="19">
        <f>SUM(J5:J34)</f>
        <v>45273</v>
      </c>
      <c r="K4" s="23">
        <f t="shared" ref="K4:K67" si="1">(I4-J4)/J4</f>
        <v>0.22795043403353</v>
      </c>
      <c r="L4" s="19">
        <f>SUM(L5:L34)</f>
        <v>7000</v>
      </c>
      <c r="M4" s="19">
        <f>SUM(M5:M34)</f>
        <v>4964</v>
      </c>
      <c r="N4" s="23">
        <f t="shared" ref="N4:N67" si="2">(L4-M4)/M4</f>
        <v>0.410153102336825</v>
      </c>
      <c r="O4" s="24">
        <f t="shared" ref="O4:O67" si="3">L4/I4</f>
        <v>0.125915133200223</v>
      </c>
      <c r="P4" s="24">
        <f t="shared" ref="P4:P67" si="4">M4/J4</f>
        <v>0.109645925827756</v>
      </c>
      <c r="Q4" s="25">
        <f t="shared" ref="Q4:Q67" si="5">(O4-P4)/P4</f>
        <v>0.148379497456426</v>
      </c>
      <c r="R4" s="26">
        <f>SUM(R5:R34)</f>
        <v>2674.8388</v>
      </c>
      <c r="S4" s="22">
        <f>SUM(S5:S34)</f>
        <v>1556.2053</v>
      </c>
      <c r="T4" s="23">
        <f t="shared" ref="T4:T67" si="6">(R4-S4)/S4</f>
        <v>0.718821289196226</v>
      </c>
      <c r="U4" s="27" t="e">
        <f>R4/#REF!</f>
        <v>#REF!</v>
      </c>
      <c r="V4" s="28" t="e">
        <f>S4/#REF!</f>
        <v>#REF!</v>
      </c>
    </row>
    <row r="5" ht="25" hidden="1" customHeight="1" spans="1:22">
      <c r="A5" s="29">
        <v>45748</v>
      </c>
      <c r="B5" s="30">
        <v>2907</v>
      </c>
      <c r="C5" s="30">
        <v>2978</v>
      </c>
      <c r="D5" s="20">
        <f t="shared" si="0"/>
        <v>-0.0238415043653459</v>
      </c>
      <c r="E5" s="20" t="s">
        <v>1</v>
      </c>
      <c r="F5" s="20" t="s">
        <v>1</v>
      </c>
      <c r="G5" s="31">
        <v>0.967</v>
      </c>
      <c r="H5" s="32">
        <v>9.96</v>
      </c>
      <c r="I5" s="7">
        <v>1685</v>
      </c>
      <c r="J5" s="7">
        <v>1494</v>
      </c>
      <c r="K5" s="23">
        <f t="shared" si="1"/>
        <v>0.127844712182062</v>
      </c>
      <c r="L5" s="30">
        <v>152</v>
      </c>
      <c r="M5" s="30">
        <v>182</v>
      </c>
      <c r="N5" s="23">
        <f t="shared" si="2"/>
        <v>-0.164835164835165</v>
      </c>
      <c r="O5" s="23">
        <f t="shared" si="3"/>
        <v>0.0902077151335312</v>
      </c>
      <c r="P5" s="23">
        <f t="shared" si="4"/>
        <v>0.121820615796519</v>
      </c>
      <c r="Q5" s="25">
        <f t="shared" si="5"/>
        <v>-0.259503701046728</v>
      </c>
      <c r="R5" s="33">
        <v>52.06</v>
      </c>
      <c r="S5" s="33">
        <v>57.45</v>
      </c>
      <c r="T5" s="23">
        <f t="shared" si="6"/>
        <v>-0.0938207136640557</v>
      </c>
      <c r="U5" s="28" t="e">
        <f>R5/#REF!</f>
        <v>#REF!</v>
      </c>
      <c r="V5" s="28" t="e">
        <f>S5/#REF!</f>
        <v>#REF!</v>
      </c>
    </row>
    <row r="6" ht="25" hidden="1" customHeight="1" spans="1:22">
      <c r="A6" s="29">
        <v>45749</v>
      </c>
      <c r="B6" s="30">
        <v>2790</v>
      </c>
      <c r="C6" s="30">
        <v>2869</v>
      </c>
      <c r="D6" s="20">
        <f t="shared" si="0"/>
        <v>-0.0275357267340537</v>
      </c>
      <c r="E6" s="20" t="s">
        <v>1</v>
      </c>
      <c r="F6" s="20" t="s">
        <v>1</v>
      </c>
      <c r="G6" s="31">
        <v>0.9855</v>
      </c>
      <c r="H6" s="7">
        <v>9.78</v>
      </c>
      <c r="I6" s="7">
        <v>1682</v>
      </c>
      <c r="J6" s="7">
        <v>1404</v>
      </c>
      <c r="K6" s="23">
        <f t="shared" si="1"/>
        <v>0.198005698005698</v>
      </c>
      <c r="L6" s="30">
        <v>159</v>
      </c>
      <c r="M6" s="30">
        <v>156</v>
      </c>
      <c r="N6" s="23">
        <f t="shared" si="2"/>
        <v>0.0192307692307692</v>
      </c>
      <c r="O6" s="23">
        <f t="shared" si="3"/>
        <v>0.0945303210463734</v>
      </c>
      <c r="P6" s="23">
        <f t="shared" si="4"/>
        <v>0.111111111111111</v>
      </c>
      <c r="Q6" s="25">
        <f t="shared" si="5"/>
        <v>-0.14922711058264</v>
      </c>
      <c r="R6" s="33">
        <v>55.34</v>
      </c>
      <c r="S6" s="33">
        <v>49.76</v>
      </c>
      <c r="T6" s="23">
        <f t="shared" si="6"/>
        <v>0.112138263665595</v>
      </c>
      <c r="U6" s="28" t="e">
        <f>R6/#REF!</f>
        <v>#REF!</v>
      </c>
      <c r="V6" s="28" t="e">
        <f>S6/#REF!</f>
        <v>#REF!</v>
      </c>
    </row>
    <row r="7" ht="25" hidden="1" customHeight="1" spans="1:22">
      <c r="A7" s="29">
        <v>45750</v>
      </c>
      <c r="B7" s="30">
        <v>2615</v>
      </c>
      <c r="C7" s="30">
        <v>2976</v>
      </c>
      <c r="D7" s="20">
        <f t="shared" si="0"/>
        <v>-0.12130376344086</v>
      </c>
      <c r="E7" s="20" t="s">
        <v>1</v>
      </c>
      <c r="F7" s="20" t="s">
        <v>1</v>
      </c>
      <c r="G7" s="31">
        <v>0.956</v>
      </c>
      <c r="H7" s="7">
        <v>9.58</v>
      </c>
      <c r="I7" s="7">
        <v>1606</v>
      </c>
      <c r="J7" s="7">
        <v>1302</v>
      </c>
      <c r="K7" s="23">
        <f t="shared" si="1"/>
        <v>0.233486943164363</v>
      </c>
      <c r="L7" s="30">
        <v>162</v>
      </c>
      <c r="M7" s="30">
        <v>124</v>
      </c>
      <c r="N7" s="23">
        <f t="shared" si="2"/>
        <v>0.306451612903226</v>
      </c>
      <c r="O7" s="23">
        <f t="shared" si="3"/>
        <v>0.100871731008717</v>
      </c>
      <c r="P7" s="23">
        <f t="shared" si="4"/>
        <v>0.0952380952380952</v>
      </c>
      <c r="Q7" s="25">
        <f t="shared" si="5"/>
        <v>0.0591531755915318</v>
      </c>
      <c r="R7" s="33">
        <v>54.87</v>
      </c>
      <c r="S7" s="33">
        <v>39.4</v>
      </c>
      <c r="T7" s="23">
        <f t="shared" si="6"/>
        <v>0.392639593908629</v>
      </c>
      <c r="U7" s="28" t="e">
        <f>R7/#REF!</f>
        <v>#REF!</v>
      </c>
      <c r="V7" s="28" t="e">
        <f>S7/#REF!</f>
        <v>#REF!</v>
      </c>
    </row>
    <row r="8" ht="25" hidden="1" customHeight="1" spans="1:22">
      <c r="A8" s="29">
        <v>45751</v>
      </c>
      <c r="B8" s="30">
        <v>2348</v>
      </c>
      <c r="C8" s="30">
        <v>2607</v>
      </c>
      <c r="D8" s="20">
        <f t="shared" si="0"/>
        <v>-0.0993479094744917</v>
      </c>
      <c r="E8" s="20" t="s">
        <v>1</v>
      </c>
      <c r="F8" s="20" t="s">
        <v>1</v>
      </c>
      <c r="G8" s="31">
        <v>0.9429</v>
      </c>
      <c r="H8" s="7">
        <v>9.24</v>
      </c>
      <c r="I8" s="7">
        <v>1436</v>
      </c>
      <c r="J8" s="7">
        <v>1187</v>
      </c>
      <c r="K8" s="23">
        <f t="shared" si="1"/>
        <v>0.209772535804549</v>
      </c>
      <c r="L8" s="30">
        <v>156</v>
      </c>
      <c r="M8" s="30">
        <v>106</v>
      </c>
      <c r="N8" s="23">
        <f t="shared" si="2"/>
        <v>0.471698113207547</v>
      </c>
      <c r="O8" s="23">
        <f t="shared" si="3"/>
        <v>0.108635097493036</v>
      </c>
      <c r="P8" s="23">
        <f t="shared" si="4"/>
        <v>0.0893007582139848</v>
      </c>
      <c r="Q8" s="25">
        <f t="shared" si="5"/>
        <v>0.216508120039943</v>
      </c>
      <c r="R8" s="33">
        <v>52.97</v>
      </c>
      <c r="S8" s="33">
        <v>33.96</v>
      </c>
      <c r="T8" s="23">
        <f t="shared" si="6"/>
        <v>0.559776207302709</v>
      </c>
      <c r="U8" s="28" t="e">
        <f>R8/#REF!</f>
        <v>#REF!</v>
      </c>
      <c r="V8" s="28" t="e">
        <f>S8/#REF!</f>
        <v>#REF!</v>
      </c>
    </row>
    <row r="9" ht="25" hidden="1" customHeight="1" spans="1:22">
      <c r="A9" s="29">
        <v>45752</v>
      </c>
      <c r="B9" s="30">
        <v>2726</v>
      </c>
      <c r="C9" s="30">
        <v>2670</v>
      </c>
      <c r="D9" s="20">
        <f t="shared" si="0"/>
        <v>0.0209737827715356</v>
      </c>
      <c r="E9" s="20" t="s">
        <v>1</v>
      </c>
      <c r="F9" s="20" t="s">
        <v>1</v>
      </c>
      <c r="G9" s="31">
        <v>0.9429</v>
      </c>
      <c r="H9" s="7">
        <v>10.32</v>
      </c>
      <c r="I9" s="7">
        <v>1629</v>
      </c>
      <c r="J9" s="7">
        <v>1262</v>
      </c>
      <c r="K9" s="23">
        <f t="shared" si="1"/>
        <v>0.29080824088748</v>
      </c>
      <c r="L9" s="30">
        <v>152</v>
      </c>
      <c r="M9" s="30">
        <v>128</v>
      </c>
      <c r="N9" s="23">
        <f t="shared" si="2"/>
        <v>0.1875</v>
      </c>
      <c r="O9" s="23">
        <f t="shared" si="3"/>
        <v>0.0933087783916513</v>
      </c>
      <c r="P9" s="23">
        <f t="shared" si="4"/>
        <v>0.101426307448494</v>
      </c>
      <c r="Q9" s="25">
        <f t="shared" si="5"/>
        <v>-0.0800337630448128</v>
      </c>
      <c r="R9" s="33">
        <v>49.1</v>
      </c>
      <c r="S9" s="33">
        <v>44.14</v>
      </c>
      <c r="T9" s="23">
        <f t="shared" si="6"/>
        <v>0.112369732668781</v>
      </c>
      <c r="U9" s="28" t="e">
        <f>R9/#REF!</f>
        <v>#REF!</v>
      </c>
      <c r="V9" s="28" t="e">
        <f>S9/#REF!</f>
        <v>#REF!</v>
      </c>
    </row>
    <row r="10" ht="25" hidden="1" customHeight="1" spans="1:22">
      <c r="A10" s="29">
        <v>45753</v>
      </c>
      <c r="B10" s="30">
        <v>2877</v>
      </c>
      <c r="C10" s="30">
        <v>2802</v>
      </c>
      <c r="D10" s="20">
        <f t="shared" si="0"/>
        <v>0.0267665952890792</v>
      </c>
      <c r="E10" s="20" t="s">
        <v>1</v>
      </c>
      <c r="F10" s="20" t="s">
        <v>1</v>
      </c>
      <c r="G10" s="31">
        <v>0.974</v>
      </c>
      <c r="H10" s="7">
        <v>10.12</v>
      </c>
      <c r="I10" s="7">
        <v>1778</v>
      </c>
      <c r="J10" s="7">
        <v>1315</v>
      </c>
      <c r="K10" s="23">
        <f t="shared" si="1"/>
        <v>0.352091254752852</v>
      </c>
      <c r="L10" s="30">
        <v>176</v>
      </c>
      <c r="M10" s="30">
        <v>127</v>
      </c>
      <c r="N10" s="23">
        <f t="shared" si="2"/>
        <v>0.385826771653543</v>
      </c>
      <c r="O10" s="23">
        <f t="shared" si="3"/>
        <v>0.0989876265466817</v>
      </c>
      <c r="P10" s="23">
        <f t="shared" si="4"/>
        <v>0.0965779467680608</v>
      </c>
      <c r="Q10" s="25">
        <f t="shared" si="5"/>
        <v>0.0249506213298141</v>
      </c>
      <c r="R10" s="33">
        <v>58.11</v>
      </c>
      <c r="S10" s="33">
        <v>41.71</v>
      </c>
      <c r="T10" s="23">
        <f t="shared" si="6"/>
        <v>0.393191081275473</v>
      </c>
      <c r="U10" s="28" t="e">
        <f>R10/#REF!</f>
        <v>#REF!</v>
      </c>
      <c r="V10" s="28" t="e">
        <f>S10/#REF!</f>
        <v>#REF!</v>
      </c>
    </row>
    <row r="11" ht="25" hidden="1" customHeight="1" spans="1:22">
      <c r="A11" s="29">
        <v>45754</v>
      </c>
      <c r="B11" s="30">
        <v>3933</v>
      </c>
      <c r="C11" s="30">
        <v>3075</v>
      </c>
      <c r="D11" s="20">
        <f t="shared" si="0"/>
        <v>0.279024390243902</v>
      </c>
      <c r="E11" s="20" t="s">
        <v>1</v>
      </c>
      <c r="F11" s="20" t="s">
        <v>1</v>
      </c>
      <c r="G11" s="31">
        <v>0.9385</v>
      </c>
      <c r="H11" s="7">
        <v>12.05</v>
      </c>
      <c r="I11" s="7">
        <v>2226</v>
      </c>
      <c r="J11" s="7">
        <v>1455</v>
      </c>
      <c r="K11" s="23">
        <f t="shared" si="1"/>
        <v>0.529896907216495</v>
      </c>
      <c r="L11" s="30">
        <v>288</v>
      </c>
      <c r="M11" s="30">
        <v>135</v>
      </c>
      <c r="N11" s="23">
        <f t="shared" si="2"/>
        <v>1.13333333333333</v>
      </c>
      <c r="O11" s="23">
        <f t="shared" si="3"/>
        <v>0.129380053908356</v>
      </c>
      <c r="P11" s="23">
        <f t="shared" si="4"/>
        <v>0.0927835051546392</v>
      </c>
      <c r="Q11" s="25">
        <f t="shared" si="5"/>
        <v>0.394429469901168</v>
      </c>
      <c r="R11" s="33">
        <v>114.63</v>
      </c>
      <c r="S11" s="33">
        <v>41.25</v>
      </c>
      <c r="T11" s="23">
        <f t="shared" si="6"/>
        <v>1.77890909090909</v>
      </c>
      <c r="U11" s="28" t="e">
        <f>R11/#REF!</f>
        <v>#REF!</v>
      </c>
      <c r="V11" s="28" t="e">
        <f>S11/#REF!</f>
        <v>#REF!</v>
      </c>
    </row>
    <row r="12" ht="25" hidden="1" customHeight="1" spans="1:22">
      <c r="A12" s="29">
        <v>45755</v>
      </c>
      <c r="B12" s="30">
        <v>3153</v>
      </c>
      <c r="C12" s="30">
        <v>3290</v>
      </c>
      <c r="D12" s="20">
        <f t="shared" si="0"/>
        <v>-0.0416413373860182</v>
      </c>
      <c r="E12" s="20" t="s">
        <v>1</v>
      </c>
      <c r="F12" s="20" t="s">
        <v>1</v>
      </c>
      <c r="G12" s="31">
        <v>0.9505</v>
      </c>
      <c r="H12" s="7">
        <v>11.1</v>
      </c>
      <c r="I12" s="7">
        <v>1912</v>
      </c>
      <c r="J12" s="7">
        <v>1638</v>
      </c>
      <c r="K12" s="23">
        <f t="shared" si="1"/>
        <v>0.167277167277167</v>
      </c>
      <c r="L12" s="30">
        <v>238</v>
      </c>
      <c r="M12" s="30">
        <v>176</v>
      </c>
      <c r="N12" s="23">
        <f t="shared" si="2"/>
        <v>0.352272727272727</v>
      </c>
      <c r="O12" s="23">
        <f t="shared" si="3"/>
        <v>0.124476987447699</v>
      </c>
      <c r="P12" s="23">
        <f t="shared" si="4"/>
        <v>0.107448107448107</v>
      </c>
      <c r="Q12" s="25">
        <f t="shared" si="5"/>
        <v>0.158484689996196</v>
      </c>
      <c r="R12" s="33">
        <v>96.69</v>
      </c>
      <c r="S12" s="33">
        <v>57.82</v>
      </c>
      <c r="T12" s="23">
        <f t="shared" si="6"/>
        <v>0.672258734002075</v>
      </c>
      <c r="U12" s="28" t="e">
        <f>R12/#REF!</f>
        <v>#REF!</v>
      </c>
      <c r="V12" s="28" t="e">
        <f>S12/#REF!</f>
        <v>#REF!</v>
      </c>
    </row>
    <row r="13" ht="25" hidden="1" customHeight="1" spans="1:22">
      <c r="A13" s="29">
        <v>45756</v>
      </c>
      <c r="B13" s="30">
        <v>2832</v>
      </c>
      <c r="C13" s="30">
        <v>2894</v>
      </c>
      <c r="D13" s="20">
        <f t="shared" si="0"/>
        <v>-0.0214236351071182</v>
      </c>
      <c r="E13" s="20" t="s">
        <v>1</v>
      </c>
      <c r="F13" s="20" t="s">
        <v>1</v>
      </c>
      <c r="G13" s="31">
        <v>0.9684</v>
      </c>
      <c r="H13" s="7">
        <v>10.67</v>
      </c>
      <c r="I13" s="7">
        <v>1631</v>
      </c>
      <c r="J13" s="7">
        <v>1466</v>
      </c>
      <c r="K13" s="23">
        <f t="shared" si="1"/>
        <v>0.112551159618008</v>
      </c>
      <c r="L13" s="30">
        <v>186</v>
      </c>
      <c r="M13" s="30">
        <v>145</v>
      </c>
      <c r="N13" s="23">
        <f t="shared" si="2"/>
        <v>0.282758620689655</v>
      </c>
      <c r="O13" s="23">
        <f t="shared" si="3"/>
        <v>0.114040465971796</v>
      </c>
      <c r="P13" s="23">
        <f t="shared" si="4"/>
        <v>0.0989085948158254</v>
      </c>
      <c r="Q13" s="25">
        <f t="shared" si="5"/>
        <v>0.152988435273473</v>
      </c>
      <c r="R13" s="33">
        <v>73.33</v>
      </c>
      <c r="S13" s="33">
        <v>48.17</v>
      </c>
      <c r="T13" s="23">
        <f t="shared" si="6"/>
        <v>0.522316794685489</v>
      </c>
      <c r="U13" s="28" t="e">
        <f>R13/#REF!</f>
        <v>#REF!</v>
      </c>
      <c r="V13" s="28" t="e">
        <f>S13/#REF!</f>
        <v>#REF!</v>
      </c>
    </row>
    <row r="14" ht="25" hidden="1" customHeight="1" spans="1:22">
      <c r="A14" s="29">
        <v>45757</v>
      </c>
      <c r="B14" s="30">
        <v>3074</v>
      </c>
      <c r="C14" s="30">
        <v>3025</v>
      </c>
      <c r="D14" s="20">
        <f t="shared" si="0"/>
        <v>0.016198347107438</v>
      </c>
      <c r="E14" s="20" t="s">
        <v>1</v>
      </c>
      <c r="F14" s="20" t="s">
        <v>1</v>
      </c>
      <c r="G14" s="31">
        <v>0.9774</v>
      </c>
      <c r="H14" s="7">
        <v>10.91</v>
      </c>
      <c r="I14" s="7">
        <v>1793</v>
      </c>
      <c r="J14" s="7">
        <v>1518</v>
      </c>
      <c r="K14" s="23">
        <f t="shared" si="1"/>
        <v>0.181159420289855</v>
      </c>
      <c r="L14" s="30">
        <v>220</v>
      </c>
      <c r="M14" s="30">
        <v>169</v>
      </c>
      <c r="N14" s="23">
        <f t="shared" si="2"/>
        <v>0.301775147928994</v>
      </c>
      <c r="O14" s="23">
        <f t="shared" si="3"/>
        <v>0.122699386503067</v>
      </c>
      <c r="P14" s="23">
        <f t="shared" si="4"/>
        <v>0.11133069828722</v>
      </c>
      <c r="Q14" s="25">
        <f t="shared" si="5"/>
        <v>0.10211638290921</v>
      </c>
      <c r="R14" s="33">
        <v>71.02</v>
      </c>
      <c r="S14" s="33">
        <v>56.05</v>
      </c>
      <c r="T14" s="23">
        <f t="shared" si="6"/>
        <v>0.267082961641392</v>
      </c>
      <c r="U14" s="28" t="e">
        <f>R14/#REF!</f>
        <v>#REF!</v>
      </c>
      <c r="V14" s="28" t="e">
        <f>S14/#REF!</f>
        <v>#REF!</v>
      </c>
    </row>
    <row r="15" ht="25" hidden="1" customHeight="1" spans="1:22">
      <c r="A15" s="29">
        <v>45758</v>
      </c>
      <c r="B15" s="30">
        <v>2732</v>
      </c>
      <c r="C15" s="30">
        <v>2920</v>
      </c>
      <c r="D15" s="20">
        <f t="shared" si="0"/>
        <v>-0.0643835616438356</v>
      </c>
      <c r="E15" s="20" t="s">
        <v>1</v>
      </c>
      <c r="F15" s="20" t="s">
        <v>1</v>
      </c>
      <c r="G15" s="31">
        <v>0.9505</v>
      </c>
      <c r="H15" s="7">
        <v>11.35</v>
      </c>
      <c r="I15" s="7">
        <v>1608</v>
      </c>
      <c r="J15" s="7">
        <v>1465</v>
      </c>
      <c r="K15" s="23">
        <f t="shared" si="1"/>
        <v>0.0976109215017065</v>
      </c>
      <c r="L15" s="30">
        <v>178</v>
      </c>
      <c r="M15" s="30">
        <v>155</v>
      </c>
      <c r="N15" s="23">
        <f t="shared" si="2"/>
        <v>0.148387096774194</v>
      </c>
      <c r="O15" s="23">
        <f t="shared" si="3"/>
        <v>0.110696517412935</v>
      </c>
      <c r="P15" s="23">
        <f t="shared" si="4"/>
        <v>0.10580204778157</v>
      </c>
      <c r="Q15" s="25">
        <f t="shared" si="5"/>
        <v>0.0462606323222596</v>
      </c>
      <c r="R15" s="33">
        <v>59.42</v>
      </c>
      <c r="S15" s="33">
        <v>48.08</v>
      </c>
      <c r="T15" s="23">
        <f t="shared" si="6"/>
        <v>0.23585690515807</v>
      </c>
      <c r="U15" s="28" t="e">
        <f>R15/#REF!</f>
        <v>#REF!</v>
      </c>
      <c r="V15" s="28" t="e">
        <f>S15/#REF!</f>
        <v>#REF!</v>
      </c>
    </row>
    <row r="16" ht="25" hidden="1" customHeight="1" spans="1:22">
      <c r="A16" s="29">
        <v>45759</v>
      </c>
      <c r="B16" s="30">
        <v>3120</v>
      </c>
      <c r="C16" s="30">
        <v>2745</v>
      </c>
      <c r="D16" s="20">
        <f t="shared" si="0"/>
        <v>0.136612021857924</v>
      </c>
      <c r="E16" s="20" t="s">
        <v>1</v>
      </c>
      <c r="F16" s="20" t="s">
        <v>1</v>
      </c>
      <c r="G16" s="31">
        <v>0.9757</v>
      </c>
      <c r="H16" s="7">
        <v>10.31</v>
      </c>
      <c r="I16" s="7">
        <v>1798</v>
      </c>
      <c r="J16" s="7">
        <v>1370</v>
      </c>
      <c r="K16" s="23">
        <f t="shared" si="1"/>
        <v>0.312408759124088</v>
      </c>
      <c r="L16" s="30">
        <v>179</v>
      </c>
      <c r="M16" s="30">
        <v>153</v>
      </c>
      <c r="N16" s="23">
        <f t="shared" si="2"/>
        <v>0.169934640522876</v>
      </c>
      <c r="O16" s="23">
        <f t="shared" si="3"/>
        <v>0.0995550611790879</v>
      </c>
      <c r="P16" s="23">
        <f t="shared" si="4"/>
        <v>0.111678832116788</v>
      </c>
      <c r="Q16" s="25">
        <f t="shared" si="5"/>
        <v>-0.108559256108821</v>
      </c>
      <c r="R16" s="33">
        <v>56.58</v>
      </c>
      <c r="S16" s="33">
        <v>48.46</v>
      </c>
      <c r="T16" s="23">
        <f t="shared" si="6"/>
        <v>0.167560874948411</v>
      </c>
      <c r="U16" s="28" t="e">
        <f>R16/#REF!</f>
        <v>#REF!</v>
      </c>
      <c r="V16" s="28" t="e">
        <f>S16/#REF!</f>
        <v>#REF!</v>
      </c>
    </row>
    <row r="17" ht="25" hidden="1" customHeight="1" spans="1:22">
      <c r="A17" s="29">
        <v>45760</v>
      </c>
      <c r="B17" s="30">
        <v>3034</v>
      </c>
      <c r="C17" s="30">
        <v>3100</v>
      </c>
      <c r="D17" s="20">
        <f t="shared" si="0"/>
        <v>-0.0212903225806452</v>
      </c>
      <c r="E17" s="20" t="s">
        <v>1</v>
      </c>
      <c r="F17" s="20" t="s">
        <v>1</v>
      </c>
      <c r="G17" s="31">
        <v>0.9512</v>
      </c>
      <c r="H17" s="7">
        <v>11.93</v>
      </c>
      <c r="I17" s="7">
        <v>1794</v>
      </c>
      <c r="J17" s="7">
        <v>1474</v>
      </c>
      <c r="K17" s="23">
        <f t="shared" si="1"/>
        <v>0.217096336499322</v>
      </c>
      <c r="L17" s="30">
        <v>170</v>
      </c>
      <c r="M17" s="30">
        <v>168</v>
      </c>
      <c r="N17" s="23">
        <f t="shared" si="2"/>
        <v>0.0119047619047619</v>
      </c>
      <c r="O17" s="23">
        <f t="shared" si="3"/>
        <v>0.0947603121516165</v>
      </c>
      <c r="P17" s="23">
        <f t="shared" si="4"/>
        <v>0.113975576662144</v>
      </c>
      <c r="Q17" s="25">
        <f t="shared" si="5"/>
        <v>-0.168591070764984</v>
      </c>
      <c r="R17" s="33">
        <v>53.98</v>
      </c>
      <c r="S17" s="33">
        <v>52.64</v>
      </c>
      <c r="T17" s="23">
        <f t="shared" si="6"/>
        <v>0.0254559270516717</v>
      </c>
      <c r="U17" s="28" t="e">
        <f>R17/#REF!</f>
        <v>#REF!</v>
      </c>
      <c r="V17" s="28" t="e">
        <f>S17/#REF!</f>
        <v>#REF!</v>
      </c>
    </row>
    <row r="18" ht="25" hidden="1" customHeight="1" spans="1:22">
      <c r="A18" s="29">
        <v>45761</v>
      </c>
      <c r="B18" s="30">
        <v>3029</v>
      </c>
      <c r="C18" s="30">
        <v>3164</v>
      </c>
      <c r="D18" s="20">
        <f t="shared" si="0"/>
        <v>-0.0426675094816688</v>
      </c>
      <c r="E18" s="20" t="s">
        <v>1</v>
      </c>
      <c r="F18" s="20" t="s">
        <v>1</v>
      </c>
      <c r="G18" s="31">
        <v>0.9022</v>
      </c>
      <c r="H18" s="7">
        <v>10.48</v>
      </c>
      <c r="I18" s="7">
        <v>1778</v>
      </c>
      <c r="J18" s="7">
        <v>1633</v>
      </c>
      <c r="K18" s="23">
        <f t="shared" si="1"/>
        <v>0.0887936313533374</v>
      </c>
      <c r="L18" s="30">
        <v>162</v>
      </c>
      <c r="M18" s="30">
        <v>175</v>
      </c>
      <c r="N18" s="23">
        <f t="shared" si="2"/>
        <v>-0.0742857142857143</v>
      </c>
      <c r="O18" s="23">
        <f t="shared" si="3"/>
        <v>0.0911136107986502</v>
      </c>
      <c r="P18" s="23">
        <f t="shared" si="4"/>
        <v>0.107164727495407</v>
      </c>
      <c r="Q18" s="25">
        <f t="shared" si="5"/>
        <v>-0.149779848947453</v>
      </c>
      <c r="R18" s="33">
        <v>60.48</v>
      </c>
      <c r="S18" s="33">
        <v>55.83</v>
      </c>
      <c r="T18" s="23">
        <f t="shared" si="6"/>
        <v>0.0832885545405696</v>
      </c>
      <c r="U18" s="28" t="e">
        <f>R18/#REF!</f>
        <v>#REF!</v>
      </c>
      <c r="V18" s="28" t="e">
        <f>S18/#REF!</f>
        <v>#REF!</v>
      </c>
    </row>
    <row r="19" ht="25" hidden="1" customHeight="1" spans="1:22">
      <c r="A19" s="29">
        <v>45762</v>
      </c>
      <c r="B19" s="30">
        <v>3143</v>
      </c>
      <c r="C19" s="30">
        <v>3366</v>
      </c>
      <c r="D19" s="20">
        <f t="shared" si="0"/>
        <v>-0.066250742721331</v>
      </c>
      <c r="E19" s="20" t="s">
        <v>1</v>
      </c>
      <c r="F19" s="20" t="s">
        <v>1</v>
      </c>
      <c r="G19" s="31">
        <v>0.975</v>
      </c>
      <c r="H19" s="7">
        <v>11.55</v>
      </c>
      <c r="I19" s="7">
        <v>1877</v>
      </c>
      <c r="J19" s="7">
        <v>1724</v>
      </c>
      <c r="K19" s="23">
        <f t="shared" si="1"/>
        <v>0.0887470997679814</v>
      </c>
      <c r="L19" s="30">
        <v>194</v>
      </c>
      <c r="M19" s="30">
        <v>195</v>
      </c>
      <c r="N19" s="23">
        <f t="shared" si="2"/>
        <v>-0.00512820512820513</v>
      </c>
      <c r="O19" s="23">
        <f t="shared" si="3"/>
        <v>0.10335641981886</v>
      </c>
      <c r="P19" s="23">
        <f t="shared" si="4"/>
        <v>0.113109048723898</v>
      </c>
      <c r="Q19" s="25">
        <f t="shared" si="5"/>
        <v>-0.086223242216849</v>
      </c>
      <c r="R19" s="33">
        <v>67.95</v>
      </c>
      <c r="S19" s="33">
        <v>63.93</v>
      </c>
      <c r="T19" s="23">
        <f t="shared" si="6"/>
        <v>0.0628812763960582</v>
      </c>
      <c r="U19" s="28" t="e">
        <f>R19/#REF!</f>
        <v>#REF!</v>
      </c>
      <c r="V19" s="28" t="e">
        <f>S19/#REF!</f>
        <v>#REF!</v>
      </c>
    </row>
    <row r="20" ht="25" hidden="1" customHeight="1" spans="1:22">
      <c r="A20" s="29">
        <v>45763</v>
      </c>
      <c r="B20" s="30">
        <v>2832</v>
      </c>
      <c r="C20" s="30">
        <v>3178</v>
      </c>
      <c r="D20" s="20">
        <f t="shared" si="0"/>
        <v>-0.108873505349276</v>
      </c>
      <c r="E20" s="20" t="s">
        <v>1</v>
      </c>
      <c r="F20" s="20" t="s">
        <v>1</v>
      </c>
      <c r="G20" s="31">
        <v>0.9421</v>
      </c>
      <c r="H20" s="7">
        <v>9.92</v>
      </c>
      <c r="I20" s="7">
        <v>1605</v>
      </c>
      <c r="J20" s="7">
        <v>1666</v>
      </c>
      <c r="K20" s="23">
        <f t="shared" si="1"/>
        <v>-0.0366146458583433</v>
      </c>
      <c r="L20" s="30">
        <v>129</v>
      </c>
      <c r="M20" s="30">
        <v>190</v>
      </c>
      <c r="N20" s="23">
        <f t="shared" si="2"/>
        <v>-0.321052631578947</v>
      </c>
      <c r="O20" s="23">
        <f t="shared" si="3"/>
        <v>0.0803738317757009</v>
      </c>
      <c r="P20" s="23">
        <f t="shared" si="4"/>
        <v>0.114045618247299</v>
      </c>
      <c r="Q20" s="25">
        <f t="shared" si="5"/>
        <v>-0.295248401377275</v>
      </c>
      <c r="R20" s="33">
        <v>50.06</v>
      </c>
      <c r="S20" s="33">
        <v>61.19</v>
      </c>
      <c r="T20" s="23">
        <f t="shared" si="6"/>
        <v>-0.18189246608923</v>
      </c>
      <c r="U20" s="28" t="e">
        <f>R20/#REF!</f>
        <v>#REF!</v>
      </c>
      <c r="V20" s="28" t="e">
        <f>S20/#REF!</f>
        <v>#REF!</v>
      </c>
    </row>
    <row r="21" ht="25" hidden="1" customHeight="1" spans="1:22">
      <c r="A21" s="29">
        <v>45764</v>
      </c>
      <c r="B21" s="30">
        <v>3104</v>
      </c>
      <c r="C21" s="30">
        <v>3445</v>
      </c>
      <c r="D21" s="20">
        <f t="shared" si="0"/>
        <v>-0.0989840348330914</v>
      </c>
      <c r="E21" s="20" t="s">
        <v>1</v>
      </c>
      <c r="F21" s="20" t="s">
        <v>1</v>
      </c>
      <c r="G21" s="31">
        <v>0.9538</v>
      </c>
      <c r="H21" s="7">
        <v>10.28</v>
      </c>
      <c r="I21" s="7">
        <v>1833</v>
      </c>
      <c r="J21" s="7">
        <v>1744</v>
      </c>
      <c r="K21" s="23">
        <f t="shared" si="1"/>
        <v>0.0510321100917431</v>
      </c>
      <c r="L21" s="30">
        <v>218</v>
      </c>
      <c r="M21" s="30">
        <v>235</v>
      </c>
      <c r="N21" s="23">
        <f t="shared" si="2"/>
        <v>-0.0723404255319149</v>
      </c>
      <c r="O21" s="23">
        <f t="shared" si="3"/>
        <v>0.118930714675396</v>
      </c>
      <c r="P21" s="23">
        <f t="shared" si="4"/>
        <v>0.134747706422018</v>
      </c>
      <c r="Q21" s="25">
        <f t="shared" si="5"/>
        <v>-0.117382270664299</v>
      </c>
      <c r="R21" s="33">
        <v>71.27</v>
      </c>
      <c r="S21" s="33">
        <v>73.2</v>
      </c>
      <c r="T21" s="23">
        <f t="shared" si="6"/>
        <v>-0.0263661202185793</v>
      </c>
      <c r="U21" s="28" t="e">
        <f>R21/#REF!</f>
        <v>#REF!</v>
      </c>
      <c r="V21" s="28" t="e">
        <f>S21/#REF!</f>
        <v>#REF!</v>
      </c>
    </row>
    <row r="22" ht="25" hidden="1" customHeight="1" spans="1:22">
      <c r="A22" s="29">
        <v>45765</v>
      </c>
      <c r="B22" s="30">
        <v>2896</v>
      </c>
      <c r="C22" s="30">
        <v>3257</v>
      </c>
      <c r="D22" s="20">
        <f t="shared" si="0"/>
        <v>-0.11083819465766</v>
      </c>
      <c r="E22" s="20" t="s">
        <v>1</v>
      </c>
      <c r="F22" s="20" t="s">
        <v>1</v>
      </c>
      <c r="G22" s="31">
        <v>0.9648</v>
      </c>
      <c r="H22" s="7">
        <v>9.7</v>
      </c>
      <c r="I22" s="7">
        <v>1697</v>
      </c>
      <c r="J22" s="7">
        <v>1611</v>
      </c>
      <c r="K22" s="23">
        <f t="shared" si="1"/>
        <v>0.053382991930478</v>
      </c>
      <c r="L22" s="30">
        <v>223</v>
      </c>
      <c r="M22" s="30">
        <v>200</v>
      </c>
      <c r="N22" s="23">
        <f t="shared" si="2"/>
        <v>0.115</v>
      </c>
      <c r="O22" s="23">
        <f t="shared" si="3"/>
        <v>0.131408367707719</v>
      </c>
      <c r="P22" s="23">
        <f t="shared" si="4"/>
        <v>0.124146492861577</v>
      </c>
      <c r="Q22" s="25">
        <f t="shared" si="5"/>
        <v>0.0584944018856806</v>
      </c>
      <c r="R22" s="33">
        <v>72.67</v>
      </c>
      <c r="S22" s="33">
        <v>59.5755</v>
      </c>
      <c r="T22" s="23">
        <f t="shared" si="6"/>
        <v>0.219796728520952</v>
      </c>
      <c r="U22" s="28" t="e">
        <f>R22/#REF!</f>
        <v>#REF!</v>
      </c>
      <c r="V22" s="28" t="e">
        <f>S22/#REF!</f>
        <v>#REF!</v>
      </c>
    </row>
    <row r="23" ht="25" hidden="1" customHeight="1" spans="1:22">
      <c r="A23" s="29">
        <v>45766</v>
      </c>
      <c r="B23" s="30">
        <v>2660</v>
      </c>
      <c r="C23" s="30">
        <v>2892</v>
      </c>
      <c r="D23" s="20">
        <f t="shared" si="0"/>
        <v>-0.0802213001383126</v>
      </c>
      <c r="E23" s="20" t="s">
        <v>1</v>
      </c>
      <c r="F23" s="20" t="s">
        <v>1</v>
      </c>
      <c r="G23" s="31">
        <v>0.95</v>
      </c>
      <c r="H23" s="7">
        <v>9.97</v>
      </c>
      <c r="I23" s="7">
        <v>1595</v>
      </c>
      <c r="J23" s="7">
        <v>1350</v>
      </c>
      <c r="K23" s="23">
        <f t="shared" si="1"/>
        <v>0.181481481481481</v>
      </c>
      <c r="L23" s="30">
        <v>197</v>
      </c>
      <c r="M23" s="30">
        <v>125</v>
      </c>
      <c r="N23" s="23">
        <f t="shared" si="2"/>
        <v>0.576</v>
      </c>
      <c r="O23" s="23">
        <f t="shared" si="3"/>
        <v>0.123510971786834</v>
      </c>
      <c r="P23" s="23">
        <f t="shared" si="4"/>
        <v>0.0925925925925926</v>
      </c>
      <c r="Q23" s="25">
        <f t="shared" si="5"/>
        <v>0.333918495297806</v>
      </c>
      <c r="R23" s="33">
        <v>66.23</v>
      </c>
      <c r="S23" s="33">
        <v>39.1597</v>
      </c>
      <c r="T23" s="23">
        <f t="shared" si="6"/>
        <v>0.691279555257063</v>
      </c>
      <c r="U23" s="28" t="e">
        <f>R23/#REF!</f>
        <v>#REF!</v>
      </c>
      <c r="V23" s="28" t="e">
        <f>S23/#REF!</f>
        <v>#REF!</v>
      </c>
    </row>
    <row r="24" ht="25" hidden="1" customHeight="1" spans="1:22">
      <c r="A24" s="29">
        <v>45767</v>
      </c>
      <c r="B24" s="30">
        <v>2907</v>
      </c>
      <c r="C24" s="30">
        <v>3010</v>
      </c>
      <c r="D24" s="20">
        <f t="shared" si="0"/>
        <v>-0.03421926910299</v>
      </c>
      <c r="E24" s="20" t="s">
        <v>1</v>
      </c>
      <c r="F24" s="20" t="s">
        <v>1</v>
      </c>
      <c r="G24" s="31">
        <v>0.9753</v>
      </c>
      <c r="H24" s="7">
        <v>10.55</v>
      </c>
      <c r="I24" s="7">
        <v>1816</v>
      </c>
      <c r="J24" s="7">
        <v>1360</v>
      </c>
      <c r="K24" s="23">
        <f t="shared" si="1"/>
        <v>0.335294117647059</v>
      </c>
      <c r="L24" s="30">
        <v>212</v>
      </c>
      <c r="M24" s="30">
        <v>109</v>
      </c>
      <c r="N24" s="23">
        <f t="shared" si="2"/>
        <v>0.944954128440367</v>
      </c>
      <c r="O24" s="23">
        <f t="shared" si="3"/>
        <v>0.116740088105727</v>
      </c>
      <c r="P24" s="23">
        <f t="shared" si="4"/>
        <v>0.0801470588235294</v>
      </c>
      <c r="Q24" s="25">
        <f t="shared" si="5"/>
        <v>0.456573576365032</v>
      </c>
      <c r="R24" s="33">
        <v>71.94</v>
      </c>
      <c r="S24" s="33">
        <v>32.6584</v>
      </c>
      <c r="T24" s="23">
        <f t="shared" si="6"/>
        <v>1.20280234181711</v>
      </c>
      <c r="U24" s="28" t="e">
        <f>R24/#REF!</f>
        <v>#REF!</v>
      </c>
      <c r="V24" s="28" t="e">
        <f>S24/#REF!</f>
        <v>#REF!</v>
      </c>
    </row>
    <row r="25" ht="25" hidden="1" customHeight="1" spans="1:22">
      <c r="A25" s="29">
        <v>45768</v>
      </c>
      <c r="B25" s="30">
        <v>3424</v>
      </c>
      <c r="C25" s="30">
        <v>3093</v>
      </c>
      <c r="D25" s="20">
        <f t="shared" si="0"/>
        <v>0.107015842224378</v>
      </c>
      <c r="E25" s="20" t="s">
        <v>1</v>
      </c>
      <c r="F25" s="20" t="s">
        <v>1</v>
      </c>
      <c r="G25" s="31">
        <v>0.9677</v>
      </c>
      <c r="H25" s="7">
        <v>10.7</v>
      </c>
      <c r="I25" s="7">
        <v>2073</v>
      </c>
      <c r="J25" s="7">
        <v>1499</v>
      </c>
      <c r="K25" s="23">
        <f t="shared" si="1"/>
        <v>0.38292194796531</v>
      </c>
      <c r="L25" s="30">
        <v>208</v>
      </c>
      <c r="M25" s="30">
        <v>126</v>
      </c>
      <c r="N25" s="23">
        <f t="shared" si="2"/>
        <v>0.650793650793651</v>
      </c>
      <c r="O25" s="23">
        <f t="shared" si="3"/>
        <v>0.100337674867342</v>
      </c>
      <c r="P25" s="23">
        <f t="shared" si="4"/>
        <v>0.0840560373582388</v>
      </c>
      <c r="Q25" s="25">
        <f t="shared" si="5"/>
        <v>0.193699798620204</v>
      </c>
      <c r="R25" s="33">
        <v>79.57</v>
      </c>
      <c r="S25" s="33">
        <v>41.6364</v>
      </c>
      <c r="T25" s="23">
        <f t="shared" si="6"/>
        <v>0.911068199940437</v>
      </c>
      <c r="U25" s="28" t="e">
        <f>R25/#REF!</f>
        <v>#REF!</v>
      </c>
      <c r="V25" s="28" t="e">
        <f>S25/#REF!</f>
        <v>#REF!</v>
      </c>
    </row>
    <row r="26" ht="25" hidden="1" customHeight="1" spans="1:22">
      <c r="A26" s="29">
        <v>45769</v>
      </c>
      <c r="B26" s="30">
        <v>3088</v>
      </c>
      <c r="C26" s="30">
        <v>3216</v>
      </c>
      <c r="D26" s="20">
        <f t="shared" si="0"/>
        <v>-0.0398009950248756</v>
      </c>
      <c r="E26" s="20" t="s">
        <v>1</v>
      </c>
      <c r="F26" s="20" t="s">
        <v>1</v>
      </c>
      <c r="G26" s="31">
        <v>0.984</v>
      </c>
      <c r="H26" s="7">
        <v>9.73</v>
      </c>
      <c r="I26" s="7">
        <v>1987</v>
      </c>
      <c r="J26" s="7">
        <v>1647</v>
      </c>
      <c r="K26" s="23">
        <f t="shared" si="1"/>
        <v>0.206435944140862</v>
      </c>
      <c r="L26" s="30">
        <v>197</v>
      </c>
      <c r="M26" s="30">
        <v>192</v>
      </c>
      <c r="N26" s="23">
        <f t="shared" si="2"/>
        <v>0.0260416666666667</v>
      </c>
      <c r="O26" s="23">
        <f t="shared" si="3"/>
        <v>0.0991444388525415</v>
      </c>
      <c r="P26" s="23">
        <f t="shared" si="4"/>
        <v>0.116575591985428</v>
      </c>
      <c r="Q26" s="25">
        <f t="shared" si="5"/>
        <v>-0.149526610468042</v>
      </c>
      <c r="R26" s="33">
        <v>94.5129</v>
      </c>
      <c r="S26" s="33">
        <v>59.0082</v>
      </c>
      <c r="T26" s="23">
        <f t="shared" si="6"/>
        <v>0.60169095142709</v>
      </c>
      <c r="U26" s="28" t="e">
        <f>R26/#REF!</f>
        <v>#REF!</v>
      </c>
      <c r="V26" s="28" t="e">
        <f>S26/#REF!</f>
        <v>#REF!</v>
      </c>
    </row>
    <row r="27" ht="25" hidden="1" customHeight="1" spans="1:22">
      <c r="A27" s="29">
        <v>45770</v>
      </c>
      <c r="B27" s="30">
        <v>3146</v>
      </c>
      <c r="C27" s="30">
        <v>3124</v>
      </c>
      <c r="D27" s="20">
        <f t="shared" si="0"/>
        <v>0.00704225352112676</v>
      </c>
      <c r="E27" s="20" t="s">
        <v>1</v>
      </c>
      <c r="F27" s="20" t="s">
        <v>1</v>
      </c>
      <c r="G27" s="31">
        <v>0.9662</v>
      </c>
      <c r="H27" s="7">
        <v>9.34</v>
      </c>
      <c r="I27" s="7">
        <v>1994</v>
      </c>
      <c r="J27" s="7">
        <v>1687</v>
      </c>
      <c r="K27" s="23">
        <f t="shared" si="1"/>
        <v>0.181979845880261</v>
      </c>
      <c r="L27" s="30">
        <v>232</v>
      </c>
      <c r="M27" s="30">
        <v>208</v>
      </c>
      <c r="N27" s="23">
        <f t="shared" si="2"/>
        <v>0.115384615384615</v>
      </c>
      <c r="O27" s="23">
        <f t="shared" si="3"/>
        <v>0.116349047141424</v>
      </c>
      <c r="P27" s="23">
        <f t="shared" si="4"/>
        <v>0.123295791345584</v>
      </c>
      <c r="Q27" s="25">
        <f t="shared" si="5"/>
        <v>-0.0563421032327753</v>
      </c>
      <c r="R27" s="33">
        <v>119.0166</v>
      </c>
      <c r="S27" s="33">
        <v>59.3161</v>
      </c>
      <c r="T27" s="23">
        <f t="shared" si="6"/>
        <v>1.00648053395284</v>
      </c>
      <c r="U27" s="28" t="e">
        <f>R27/#REF!</f>
        <v>#REF!</v>
      </c>
      <c r="V27" s="28" t="e">
        <f>S27/#REF!</f>
        <v>#REF!</v>
      </c>
    </row>
    <row r="28" ht="25" hidden="1" customHeight="1" spans="1:22">
      <c r="A28" s="29">
        <v>45771</v>
      </c>
      <c r="B28" s="30">
        <v>3055</v>
      </c>
      <c r="C28" s="30">
        <v>3298</v>
      </c>
      <c r="D28" s="20">
        <f t="shared" si="0"/>
        <v>-0.0736810187992723</v>
      </c>
      <c r="E28" s="20" t="s">
        <v>1</v>
      </c>
      <c r="F28" s="20" t="s">
        <v>1</v>
      </c>
      <c r="G28" s="31">
        <v>0.9563</v>
      </c>
      <c r="H28" s="7">
        <v>9.65</v>
      </c>
      <c r="I28" s="7">
        <v>1957</v>
      </c>
      <c r="J28" s="7">
        <v>1670</v>
      </c>
      <c r="K28" s="23">
        <f t="shared" si="1"/>
        <v>0.17185628742515</v>
      </c>
      <c r="L28" s="30">
        <v>218</v>
      </c>
      <c r="M28" s="30">
        <v>220</v>
      </c>
      <c r="N28" s="23">
        <f t="shared" si="2"/>
        <v>-0.00909090909090909</v>
      </c>
      <c r="O28" s="23">
        <f t="shared" si="3"/>
        <v>0.111394992335207</v>
      </c>
      <c r="P28" s="23">
        <f t="shared" si="4"/>
        <v>0.131736526946108</v>
      </c>
      <c r="Q28" s="25">
        <f t="shared" si="5"/>
        <v>-0.154410740000929</v>
      </c>
      <c r="R28" s="33">
        <v>97.9646</v>
      </c>
      <c r="S28" s="33">
        <v>66.3716</v>
      </c>
      <c r="T28" s="23">
        <f t="shared" si="6"/>
        <v>0.476001783895522</v>
      </c>
      <c r="U28" s="28" t="e">
        <f>R28/#REF!</f>
        <v>#REF!</v>
      </c>
      <c r="V28" s="28" t="e">
        <f>S28/#REF!</f>
        <v>#REF!</v>
      </c>
    </row>
    <row r="29" ht="25" hidden="1" customHeight="1" spans="1:22">
      <c r="A29" s="29">
        <v>45772</v>
      </c>
      <c r="B29" s="30">
        <v>3180</v>
      </c>
      <c r="C29" s="30">
        <v>3137</v>
      </c>
      <c r="D29" s="20">
        <f t="shared" si="0"/>
        <v>0.0137073637233025</v>
      </c>
      <c r="E29" s="20" t="s">
        <v>1</v>
      </c>
      <c r="F29" s="20" t="s">
        <v>1</v>
      </c>
      <c r="G29" s="31">
        <v>0.9836</v>
      </c>
      <c r="H29" s="7">
        <v>9.24</v>
      </c>
      <c r="I29" s="7">
        <v>2003</v>
      </c>
      <c r="J29" s="7">
        <v>1564</v>
      </c>
      <c r="K29" s="23">
        <f t="shared" si="1"/>
        <v>0.280690537084399</v>
      </c>
      <c r="L29" s="30">
        <v>261</v>
      </c>
      <c r="M29" s="30">
        <v>156</v>
      </c>
      <c r="N29" s="23">
        <f t="shared" si="2"/>
        <v>0.673076923076923</v>
      </c>
      <c r="O29" s="23">
        <f t="shared" si="3"/>
        <v>0.130304543185222</v>
      </c>
      <c r="P29" s="23">
        <f t="shared" si="4"/>
        <v>0.0997442455242967</v>
      </c>
      <c r="Q29" s="25">
        <f t="shared" si="5"/>
        <v>0.306386573985176</v>
      </c>
      <c r="R29" s="33">
        <v>120.1268</v>
      </c>
      <c r="S29" s="33">
        <v>46.7319</v>
      </c>
      <c r="T29" s="23">
        <f t="shared" si="6"/>
        <v>1.57055244918353</v>
      </c>
      <c r="U29" s="28" t="e">
        <f>R29/#REF!</f>
        <v>#REF!</v>
      </c>
      <c r="V29" s="28" t="e">
        <f>S29/#REF!</f>
        <v>#REF!</v>
      </c>
    </row>
    <row r="30" ht="25" hidden="1" customHeight="1" spans="1:22">
      <c r="A30" s="29">
        <v>45773</v>
      </c>
      <c r="B30" s="30">
        <v>3406</v>
      </c>
      <c r="C30" s="30">
        <v>3045</v>
      </c>
      <c r="D30" s="20">
        <f t="shared" si="0"/>
        <v>0.118555008210181</v>
      </c>
      <c r="E30" s="20" t="s">
        <v>1</v>
      </c>
      <c r="F30" s="20" t="s">
        <v>1</v>
      </c>
      <c r="G30" s="31">
        <v>0.9672</v>
      </c>
      <c r="H30" s="7">
        <v>9.41</v>
      </c>
      <c r="I30" s="7">
        <v>2183</v>
      </c>
      <c r="J30" s="7">
        <v>1511</v>
      </c>
      <c r="K30" s="23">
        <f t="shared" si="1"/>
        <v>0.444738583719391</v>
      </c>
      <c r="L30" s="30">
        <v>330</v>
      </c>
      <c r="M30" s="30">
        <v>189</v>
      </c>
      <c r="N30" s="23">
        <f t="shared" si="2"/>
        <v>0.746031746031746</v>
      </c>
      <c r="O30" s="23">
        <f t="shared" si="3"/>
        <v>0.151168117269812</v>
      </c>
      <c r="P30" s="23">
        <f t="shared" si="4"/>
        <v>0.125082726671079</v>
      </c>
      <c r="Q30" s="25">
        <f t="shared" si="5"/>
        <v>0.208545106850192</v>
      </c>
      <c r="R30" s="33">
        <v>145.0669</v>
      </c>
      <c r="S30" s="33">
        <v>55.1788</v>
      </c>
      <c r="T30" s="23">
        <f t="shared" si="6"/>
        <v>1.62903325190109</v>
      </c>
      <c r="U30" s="28" t="e">
        <f>R30/#REF!</f>
        <v>#REF!</v>
      </c>
      <c r="V30" s="28" t="e">
        <f>S30/#REF!</f>
        <v>#REF!</v>
      </c>
    </row>
    <row r="31" ht="25" hidden="1" customHeight="1" spans="1:22">
      <c r="A31" s="29">
        <v>45774</v>
      </c>
      <c r="B31" s="30">
        <v>3798</v>
      </c>
      <c r="C31" s="30">
        <v>3196</v>
      </c>
      <c r="D31" s="20">
        <f t="shared" si="0"/>
        <v>0.188360450563204</v>
      </c>
      <c r="E31" s="20" t="s">
        <v>1</v>
      </c>
      <c r="F31" s="20" t="s">
        <v>1</v>
      </c>
      <c r="G31" s="31">
        <v>0.9781</v>
      </c>
      <c r="H31" s="7">
        <v>9.58</v>
      </c>
      <c r="I31" s="7">
        <v>1868</v>
      </c>
      <c r="J31" s="7">
        <v>1598</v>
      </c>
      <c r="K31" s="23">
        <f t="shared" si="1"/>
        <v>0.168961201501877</v>
      </c>
      <c r="L31" s="30">
        <v>295</v>
      </c>
      <c r="M31" s="30">
        <v>204</v>
      </c>
      <c r="N31" s="23">
        <f t="shared" si="2"/>
        <v>0.446078431372549</v>
      </c>
      <c r="O31" s="23">
        <f t="shared" si="3"/>
        <v>0.157922912205567</v>
      </c>
      <c r="P31" s="23">
        <f t="shared" si="4"/>
        <v>0.127659574468085</v>
      </c>
      <c r="Q31" s="25">
        <f t="shared" si="5"/>
        <v>0.237062812276945</v>
      </c>
      <c r="R31" s="33">
        <v>110.91</v>
      </c>
      <c r="S31" s="33">
        <v>59.6799</v>
      </c>
      <c r="T31" s="23">
        <f t="shared" si="6"/>
        <v>0.858414642115687</v>
      </c>
      <c r="U31" s="28" t="e">
        <f>R31/#REF!</f>
        <v>#REF!</v>
      </c>
      <c r="V31" s="28" t="e">
        <f>S31/#REF!</f>
        <v>#REF!</v>
      </c>
    </row>
    <row r="32" ht="25" hidden="1" customHeight="1" spans="1:22">
      <c r="A32" s="29">
        <v>45775</v>
      </c>
      <c r="B32" s="30">
        <v>8637</v>
      </c>
      <c r="C32" s="30">
        <v>3691</v>
      </c>
      <c r="D32" s="20">
        <f t="shared" si="0"/>
        <v>1.34001625575725</v>
      </c>
      <c r="E32" s="20" t="s">
        <v>1</v>
      </c>
      <c r="F32" s="20" t="s">
        <v>1</v>
      </c>
      <c r="G32" s="31">
        <v>0.913</v>
      </c>
      <c r="H32" s="7">
        <v>19.44</v>
      </c>
      <c r="I32" s="7">
        <v>3326</v>
      </c>
      <c r="J32" s="7">
        <v>1874</v>
      </c>
      <c r="K32" s="23">
        <f t="shared" si="1"/>
        <v>0.774813233724653</v>
      </c>
      <c r="L32" s="30">
        <v>918</v>
      </c>
      <c r="M32" s="30">
        <v>251</v>
      </c>
      <c r="N32" s="23">
        <f t="shared" si="2"/>
        <v>2.65737051792829</v>
      </c>
      <c r="O32" s="23">
        <f t="shared" si="3"/>
        <v>0.276007215874925</v>
      </c>
      <c r="P32" s="23">
        <f t="shared" si="4"/>
        <v>0.133938100320171</v>
      </c>
      <c r="Q32" s="25">
        <f t="shared" si="5"/>
        <v>1.06070726115382</v>
      </c>
      <c r="R32" s="33">
        <v>338.151</v>
      </c>
      <c r="S32" s="33">
        <v>78.4667</v>
      </c>
      <c r="T32" s="23">
        <f t="shared" si="6"/>
        <v>3.30948415060147</v>
      </c>
      <c r="U32" s="28" t="e">
        <f>R32/#REF!</f>
        <v>#REF!</v>
      </c>
      <c r="V32" s="28" t="e">
        <f>S32/#REF!</f>
        <v>#REF!</v>
      </c>
    </row>
    <row r="33" ht="25" hidden="1" customHeight="1" spans="1:22">
      <c r="A33" s="29">
        <v>45776</v>
      </c>
      <c r="B33" s="30">
        <v>5964</v>
      </c>
      <c r="C33" s="30">
        <v>3251</v>
      </c>
      <c r="D33" s="20">
        <f t="shared" si="0"/>
        <v>0.834512457705321</v>
      </c>
      <c r="E33" s="20" t="s">
        <v>1</v>
      </c>
      <c r="F33" s="20" t="s">
        <v>1</v>
      </c>
      <c r="G33" s="31">
        <v>0.98</v>
      </c>
      <c r="H33" s="7">
        <v>10.75</v>
      </c>
      <c r="I33" s="7">
        <v>2365</v>
      </c>
      <c r="J33" s="7">
        <v>1488</v>
      </c>
      <c r="K33" s="23">
        <f t="shared" si="1"/>
        <v>0.589381720430108</v>
      </c>
      <c r="L33" s="30">
        <v>481</v>
      </c>
      <c r="M33" s="30">
        <v>166</v>
      </c>
      <c r="N33" s="23">
        <f t="shared" si="2"/>
        <v>1.89759036144578</v>
      </c>
      <c r="O33" s="23">
        <f t="shared" si="3"/>
        <v>0.20338266384778</v>
      </c>
      <c r="P33" s="23">
        <f t="shared" si="4"/>
        <v>0.111559139784946</v>
      </c>
      <c r="Q33" s="25">
        <f t="shared" si="5"/>
        <v>0.823092794009017</v>
      </c>
      <c r="R33" s="33">
        <v>220.58</v>
      </c>
      <c r="S33" s="33">
        <v>52.0715</v>
      </c>
      <c r="T33" s="23">
        <f t="shared" si="6"/>
        <v>3.23609844156592</v>
      </c>
      <c r="U33" s="28" t="e">
        <f>R33/#REF!</f>
        <v>#REF!</v>
      </c>
      <c r="V33" s="28" t="e">
        <f>S33/#REF!</f>
        <v>#REF!</v>
      </c>
    </row>
    <row r="34" ht="25" hidden="1" customHeight="1" spans="1:22">
      <c r="A34" s="29">
        <v>45777</v>
      </c>
      <c r="B34" s="30">
        <v>2597</v>
      </c>
      <c r="C34" s="30">
        <v>2724</v>
      </c>
      <c r="D34" s="20">
        <f t="shared" si="0"/>
        <v>-0.0466226138032305</v>
      </c>
      <c r="E34" s="20" t="s">
        <v>1</v>
      </c>
      <c r="F34" s="20" t="s">
        <v>1</v>
      </c>
      <c r="G34" s="31">
        <v>0.98</v>
      </c>
      <c r="H34" s="7">
        <v>9.17</v>
      </c>
      <c r="I34" s="7">
        <v>1058</v>
      </c>
      <c r="J34" s="7">
        <v>1297</v>
      </c>
      <c r="K34" s="23">
        <f t="shared" si="1"/>
        <v>-0.184271395528142</v>
      </c>
      <c r="L34" s="30">
        <v>109</v>
      </c>
      <c r="M34" s="30">
        <v>99</v>
      </c>
      <c r="N34" s="23">
        <f t="shared" si="2"/>
        <v>0.101010101010101</v>
      </c>
      <c r="O34" s="23">
        <f t="shared" si="3"/>
        <v>0.103024574669187</v>
      </c>
      <c r="P34" s="23">
        <f t="shared" si="4"/>
        <v>0.0763299922898998</v>
      </c>
      <c r="Q34" s="25">
        <f t="shared" si="5"/>
        <v>0.34972599339329</v>
      </c>
      <c r="R34" s="33">
        <v>40.24</v>
      </c>
      <c r="S34" s="33">
        <v>33.3106</v>
      </c>
      <c r="T34" s="23">
        <f t="shared" si="6"/>
        <v>0.208023872280896</v>
      </c>
      <c r="U34" s="28" t="e">
        <f>R34/#REF!</f>
        <v>#REF!</v>
      </c>
      <c r="V34" s="28" t="e">
        <f>S34/#REF!</f>
        <v>#REF!</v>
      </c>
    </row>
    <row r="35" ht="25" hidden="1" customHeight="1" spans="1:22">
      <c r="A35" s="18" t="s">
        <v>320</v>
      </c>
      <c r="B35" s="19">
        <f>SUM(B36:B66)</f>
        <v>137871</v>
      </c>
      <c r="C35" s="19">
        <f>SUM(C36:C66)</f>
        <v>119739</v>
      </c>
      <c r="D35" s="20">
        <f t="shared" si="0"/>
        <v>0.151429358855511</v>
      </c>
      <c r="E35" s="7">
        <f>SUM(E36:E66)</f>
        <v>900</v>
      </c>
      <c r="F35" s="34">
        <f t="shared" ref="F35:F98" si="7">B35/E35</f>
        <v>153.19</v>
      </c>
      <c r="G35" s="21">
        <f>AVERAGEA(G36:G66)</f>
        <v>0.960361290322581</v>
      </c>
      <c r="H35" s="22">
        <f>AVERAGEA(H36:H66)</f>
        <v>9.77677419354839</v>
      </c>
      <c r="I35" s="19">
        <f>SUM(I36:I66)</f>
        <v>74182</v>
      </c>
      <c r="J35" s="19">
        <f>SUM(J36:J66)</f>
        <v>64919</v>
      </c>
      <c r="K35" s="23">
        <f t="shared" si="1"/>
        <v>0.142685500392797</v>
      </c>
      <c r="L35" s="19">
        <f>SUM(L36:L66)</f>
        <v>11433</v>
      </c>
      <c r="M35" s="19">
        <f>SUM(M36:M66)</f>
        <v>9204</v>
      </c>
      <c r="N35" s="23">
        <f t="shared" si="2"/>
        <v>0.242177314211213</v>
      </c>
      <c r="O35" s="24">
        <f t="shared" si="3"/>
        <v>0.154120945781996</v>
      </c>
      <c r="P35" s="24">
        <f t="shared" si="4"/>
        <v>0.141776675549531</v>
      </c>
      <c r="Q35" s="25">
        <f t="shared" si="5"/>
        <v>0.087068413648563</v>
      </c>
      <c r="R35" s="26">
        <f>SUM(R36:R66)</f>
        <v>3988.461711</v>
      </c>
      <c r="S35" s="19">
        <f>SUM(S36:S66)</f>
        <v>2876.931453</v>
      </c>
      <c r="T35" s="23">
        <f t="shared" si="6"/>
        <v>0.386359659991524</v>
      </c>
      <c r="U35" s="27" t="e">
        <f>R35/#REF!</f>
        <v>#REF!</v>
      </c>
      <c r="V35" s="28" t="e">
        <f>S35/#REF!</f>
        <v>#REF!</v>
      </c>
    </row>
    <row r="36" ht="25" hidden="1" customHeight="1" spans="1:22">
      <c r="A36" s="29">
        <v>45778</v>
      </c>
      <c r="B36" s="30">
        <v>2648</v>
      </c>
      <c r="C36" s="30">
        <v>2577</v>
      </c>
      <c r="D36" s="20">
        <f t="shared" si="0"/>
        <v>0.0275514163756306</v>
      </c>
      <c r="E36" s="7">
        <v>16</v>
      </c>
      <c r="F36" s="35">
        <f t="shared" si="7"/>
        <v>165.5</v>
      </c>
      <c r="G36" s="31">
        <v>0.9758</v>
      </c>
      <c r="H36" s="32">
        <v>9.36</v>
      </c>
      <c r="I36" s="7">
        <v>1324</v>
      </c>
      <c r="J36" s="7">
        <v>1275</v>
      </c>
      <c r="K36" s="23">
        <f t="shared" si="1"/>
        <v>0.0384313725490196</v>
      </c>
      <c r="L36" s="30">
        <v>165</v>
      </c>
      <c r="M36" s="30">
        <v>172</v>
      </c>
      <c r="N36" s="23">
        <f t="shared" si="2"/>
        <v>-0.0406976744186047</v>
      </c>
      <c r="O36" s="23">
        <f t="shared" si="3"/>
        <v>0.124622356495468</v>
      </c>
      <c r="P36" s="23">
        <f t="shared" si="4"/>
        <v>0.134901960784314</v>
      </c>
      <c r="Q36" s="25">
        <f t="shared" si="5"/>
        <v>-0.0762005550481275</v>
      </c>
      <c r="R36" s="33">
        <f>556561.06/10000</f>
        <v>55.656106</v>
      </c>
      <c r="S36" s="33">
        <f>551293.52/10000</f>
        <v>55.129352</v>
      </c>
      <c r="T36" s="23">
        <f t="shared" si="6"/>
        <v>0.00955487378121194</v>
      </c>
      <c r="U36" s="28" t="e">
        <f>R36/#REF!</f>
        <v>#REF!</v>
      </c>
      <c r="V36" s="28" t="e">
        <f>S36/#REF!</f>
        <v>#REF!</v>
      </c>
    </row>
    <row r="37" ht="25" hidden="1" customHeight="1" spans="1:22">
      <c r="A37" s="29">
        <v>45779</v>
      </c>
      <c r="B37" s="30">
        <v>2447</v>
      </c>
      <c r="C37" s="30">
        <v>2402</v>
      </c>
      <c r="D37" s="20">
        <f t="shared" si="0"/>
        <v>0.0187343880099917</v>
      </c>
      <c r="E37" s="7">
        <v>15</v>
      </c>
      <c r="F37" s="35">
        <f t="shared" si="7"/>
        <v>163.133333333333</v>
      </c>
      <c r="G37" s="31">
        <v>0.975</v>
      </c>
      <c r="H37" s="7">
        <v>9.54</v>
      </c>
      <c r="I37" s="7">
        <v>1320</v>
      </c>
      <c r="J37" s="7">
        <v>1191</v>
      </c>
      <c r="K37" s="23">
        <f t="shared" si="1"/>
        <v>0.10831234256927</v>
      </c>
      <c r="L37" s="30">
        <v>158</v>
      </c>
      <c r="M37" s="30">
        <v>111</v>
      </c>
      <c r="N37" s="23">
        <f t="shared" si="2"/>
        <v>0.423423423423423</v>
      </c>
      <c r="O37" s="23">
        <f t="shared" si="3"/>
        <v>0.11969696969697</v>
      </c>
      <c r="P37" s="23">
        <f t="shared" si="4"/>
        <v>0.0931989924433249</v>
      </c>
      <c r="Q37" s="25">
        <f t="shared" si="5"/>
        <v>0.284316134316134</v>
      </c>
      <c r="R37" s="33">
        <f>518384.26/10000</f>
        <v>51.838426</v>
      </c>
      <c r="S37" s="33">
        <f>334416.37/10000</f>
        <v>33.441637</v>
      </c>
      <c r="T37" s="23">
        <f t="shared" si="6"/>
        <v>0.550116281688005</v>
      </c>
      <c r="U37" s="28" t="e">
        <f>R37/#REF!</f>
        <v>#REF!</v>
      </c>
      <c r="V37" s="28" t="e">
        <f>S37/#REF!</f>
        <v>#REF!</v>
      </c>
    </row>
    <row r="38" ht="25" hidden="1" customHeight="1" spans="1:22">
      <c r="A38" s="29">
        <v>45780</v>
      </c>
      <c r="B38" s="30">
        <v>2313</v>
      </c>
      <c r="C38" s="30">
        <v>2488</v>
      </c>
      <c r="D38" s="20">
        <f t="shared" si="0"/>
        <v>-0.0703376205787781</v>
      </c>
      <c r="E38" s="7">
        <f>12+6</f>
        <v>18</v>
      </c>
      <c r="F38" s="35">
        <f t="shared" si="7"/>
        <v>128.5</v>
      </c>
      <c r="G38" s="31">
        <v>0.9892</v>
      </c>
      <c r="H38" s="7">
        <v>9.03</v>
      </c>
      <c r="I38" s="7">
        <v>1237</v>
      </c>
      <c r="J38" s="7">
        <v>1236</v>
      </c>
      <c r="K38" s="23">
        <f t="shared" si="1"/>
        <v>0.000809061488673139</v>
      </c>
      <c r="L38" s="30">
        <v>149</v>
      </c>
      <c r="M38" s="30">
        <v>123</v>
      </c>
      <c r="N38" s="23">
        <f t="shared" si="2"/>
        <v>0.211382113821138</v>
      </c>
      <c r="O38" s="23">
        <f t="shared" si="3"/>
        <v>0.120452708164915</v>
      </c>
      <c r="P38" s="23">
        <f t="shared" si="4"/>
        <v>0.0995145631067961</v>
      </c>
      <c r="Q38" s="25">
        <f t="shared" si="5"/>
        <v>0.210402823510854</v>
      </c>
      <c r="R38" s="33">
        <f>492388.64/10000</f>
        <v>49.238864</v>
      </c>
      <c r="S38" s="33">
        <f>394011.26/10000</f>
        <v>39.401126</v>
      </c>
      <c r="T38" s="23">
        <f t="shared" si="6"/>
        <v>0.24968164615397</v>
      </c>
      <c r="U38" s="28" t="e">
        <f>R38/#REF!</f>
        <v>#REF!</v>
      </c>
      <c r="V38" s="28" t="e">
        <f>S38/#REF!</f>
        <v>#REF!</v>
      </c>
    </row>
    <row r="39" ht="25" hidden="1" customHeight="1" spans="1:22">
      <c r="A39" s="29">
        <v>45781</v>
      </c>
      <c r="B39" s="30">
        <v>2488</v>
      </c>
      <c r="C39" s="30">
        <v>2781</v>
      </c>
      <c r="D39" s="20">
        <f t="shared" si="0"/>
        <v>-0.105357784969435</v>
      </c>
      <c r="E39" s="7">
        <v>17</v>
      </c>
      <c r="F39" s="35">
        <f t="shared" si="7"/>
        <v>146.352941176471</v>
      </c>
      <c r="G39" s="31">
        <v>0.989</v>
      </c>
      <c r="H39" s="7">
        <v>8.89</v>
      </c>
      <c r="I39" s="7">
        <v>1368</v>
      </c>
      <c r="J39" s="7">
        <v>1333</v>
      </c>
      <c r="K39" s="23">
        <f t="shared" si="1"/>
        <v>0.0262565641410353</v>
      </c>
      <c r="L39" s="30">
        <v>158</v>
      </c>
      <c r="M39" s="30">
        <v>128</v>
      </c>
      <c r="N39" s="23">
        <f t="shared" si="2"/>
        <v>0.234375</v>
      </c>
      <c r="O39" s="23">
        <f t="shared" si="3"/>
        <v>0.115497076023392</v>
      </c>
      <c r="P39" s="23">
        <f t="shared" si="4"/>
        <v>0.0960240060015004</v>
      </c>
      <c r="Q39" s="25">
        <f t="shared" si="5"/>
        <v>0.202793768274854</v>
      </c>
      <c r="R39" s="33">
        <f>475809.43/10000</f>
        <v>47.580943</v>
      </c>
      <c r="S39" s="33">
        <f>430601.97/10000</f>
        <v>43.060197</v>
      </c>
      <c r="T39" s="23">
        <f t="shared" si="6"/>
        <v>0.104986653916144</v>
      </c>
      <c r="U39" s="28" t="e">
        <f>R39/#REF!</f>
        <v>#REF!</v>
      </c>
      <c r="V39" s="28" t="e">
        <f>S39/#REF!</f>
        <v>#REF!</v>
      </c>
    </row>
    <row r="40" ht="25" hidden="1" customHeight="1" spans="1:22">
      <c r="A40" s="29">
        <v>45782</v>
      </c>
      <c r="B40" s="30">
        <v>2910</v>
      </c>
      <c r="C40" s="30">
        <v>3161</v>
      </c>
      <c r="D40" s="20">
        <f t="shared" si="0"/>
        <v>-0.079405251502689</v>
      </c>
      <c r="E40" s="7">
        <v>16</v>
      </c>
      <c r="F40" s="35">
        <f t="shared" si="7"/>
        <v>181.875</v>
      </c>
      <c r="G40" s="31">
        <v>0.9627</v>
      </c>
      <c r="H40" s="7">
        <v>8.79</v>
      </c>
      <c r="I40" s="7">
        <v>1622</v>
      </c>
      <c r="J40" s="7">
        <v>1565</v>
      </c>
      <c r="K40" s="23">
        <f t="shared" si="1"/>
        <v>0.0364217252396166</v>
      </c>
      <c r="L40" s="30">
        <v>176</v>
      </c>
      <c r="M40" s="30">
        <v>155</v>
      </c>
      <c r="N40" s="23">
        <f t="shared" si="2"/>
        <v>0.135483870967742</v>
      </c>
      <c r="O40" s="23">
        <f t="shared" si="3"/>
        <v>0.108508014796547</v>
      </c>
      <c r="P40" s="23">
        <f t="shared" si="4"/>
        <v>0.0990415335463259</v>
      </c>
      <c r="Q40" s="25">
        <f t="shared" si="5"/>
        <v>0.0955809235909471</v>
      </c>
      <c r="R40" s="33">
        <f>581792.69/10000</f>
        <v>58.179269</v>
      </c>
      <c r="S40" s="33">
        <f>497771.85/10000</f>
        <v>49.777185</v>
      </c>
      <c r="T40" s="23">
        <f t="shared" si="6"/>
        <v>0.168793876150289</v>
      </c>
      <c r="U40" s="28" t="e">
        <f>R40/#REF!</f>
        <v>#REF!</v>
      </c>
      <c r="V40" s="28" t="e">
        <f>S40/#REF!</f>
        <v>#REF!</v>
      </c>
    </row>
    <row r="41" ht="25" hidden="1" customHeight="1" spans="1:22">
      <c r="A41" s="29">
        <v>45783</v>
      </c>
      <c r="B41" s="30">
        <v>3101</v>
      </c>
      <c r="C41" s="30">
        <v>2989</v>
      </c>
      <c r="D41" s="20">
        <f t="shared" si="0"/>
        <v>0.0374707259953162</v>
      </c>
      <c r="E41" s="7">
        <v>21</v>
      </c>
      <c r="F41" s="35">
        <f t="shared" si="7"/>
        <v>147.666666666667</v>
      </c>
      <c r="G41" s="31">
        <v>0.9592</v>
      </c>
      <c r="H41" s="7">
        <v>9.7</v>
      </c>
      <c r="I41" s="7">
        <v>1652</v>
      </c>
      <c r="J41" s="7">
        <v>1453</v>
      </c>
      <c r="K41" s="23">
        <f t="shared" si="1"/>
        <v>0.136958017894012</v>
      </c>
      <c r="L41" s="30">
        <v>169</v>
      </c>
      <c r="M41" s="30">
        <v>138</v>
      </c>
      <c r="N41" s="23">
        <f t="shared" si="2"/>
        <v>0.22463768115942</v>
      </c>
      <c r="O41" s="23">
        <f t="shared" si="3"/>
        <v>0.102300242130751</v>
      </c>
      <c r="P41" s="23">
        <f t="shared" si="4"/>
        <v>0.0949759119064005</v>
      </c>
      <c r="Q41" s="25">
        <f t="shared" si="5"/>
        <v>0.0771177667824683</v>
      </c>
      <c r="R41" s="33">
        <f>651929.01/10000</f>
        <v>65.192901</v>
      </c>
      <c r="S41" s="33">
        <f>480624.44/10000</f>
        <v>48.062444</v>
      </c>
      <c r="T41" s="23">
        <f t="shared" si="6"/>
        <v>0.356420847013107</v>
      </c>
      <c r="U41" s="28" t="e">
        <f>R41/#REF!</f>
        <v>#REF!</v>
      </c>
      <c r="V41" s="28" t="e">
        <f>S41/#REF!</f>
        <v>#REF!</v>
      </c>
    </row>
    <row r="42" ht="25" hidden="1" customHeight="1" spans="1:22">
      <c r="A42" s="29">
        <v>45784</v>
      </c>
      <c r="B42" s="30">
        <v>3119</v>
      </c>
      <c r="C42" s="30">
        <v>2996</v>
      </c>
      <c r="D42" s="20">
        <f t="shared" si="0"/>
        <v>0.0410547396528705</v>
      </c>
      <c r="E42" s="7">
        <f>14+6</f>
        <v>20</v>
      </c>
      <c r="F42" s="35">
        <f t="shared" si="7"/>
        <v>155.95</v>
      </c>
      <c r="G42" s="31">
        <v>0.9686</v>
      </c>
      <c r="H42" s="7">
        <v>9.39</v>
      </c>
      <c r="I42" s="7">
        <v>1671</v>
      </c>
      <c r="J42" s="7">
        <v>1477</v>
      </c>
      <c r="K42" s="23">
        <f t="shared" si="1"/>
        <v>0.131347325660122</v>
      </c>
      <c r="L42" s="30">
        <v>160</v>
      </c>
      <c r="M42" s="30">
        <v>138</v>
      </c>
      <c r="N42" s="23">
        <f t="shared" si="2"/>
        <v>0.159420289855072</v>
      </c>
      <c r="O42" s="23">
        <f t="shared" si="3"/>
        <v>0.0957510472770796</v>
      </c>
      <c r="P42" s="23">
        <f t="shared" si="4"/>
        <v>0.0934326337169939</v>
      </c>
      <c r="Q42" s="25">
        <f t="shared" si="5"/>
        <v>0.0248137451322213</v>
      </c>
      <c r="R42" s="33">
        <f>525165.29/10000</f>
        <v>52.516529</v>
      </c>
      <c r="S42" s="33">
        <f>435268.31/10000</f>
        <v>43.526831</v>
      </c>
      <c r="T42" s="23">
        <f t="shared" si="6"/>
        <v>0.206532334044718</v>
      </c>
      <c r="U42" s="28" t="e">
        <f>R42/#REF!</f>
        <v>#REF!</v>
      </c>
      <c r="V42" s="28" t="e">
        <f>S42/#REF!</f>
        <v>#REF!</v>
      </c>
    </row>
    <row r="43" ht="25" hidden="1" customHeight="1" spans="1:22">
      <c r="A43" s="29">
        <v>45785</v>
      </c>
      <c r="B43" s="30">
        <v>2906</v>
      </c>
      <c r="C43" s="30">
        <v>3013</v>
      </c>
      <c r="D43" s="20">
        <f t="shared" si="0"/>
        <v>-0.035512777962164</v>
      </c>
      <c r="E43" s="7">
        <v>18</v>
      </c>
      <c r="F43" s="35">
        <f t="shared" si="7"/>
        <v>161.444444444444</v>
      </c>
      <c r="G43" s="31">
        <v>0.9586</v>
      </c>
      <c r="H43" s="7">
        <v>10.19</v>
      </c>
      <c r="I43" s="7">
        <v>1612</v>
      </c>
      <c r="J43" s="7">
        <v>1510</v>
      </c>
      <c r="K43" s="23">
        <f t="shared" si="1"/>
        <v>0.0675496688741722</v>
      </c>
      <c r="L43" s="30">
        <v>158</v>
      </c>
      <c r="M43" s="30">
        <v>140</v>
      </c>
      <c r="N43" s="23">
        <f t="shared" si="2"/>
        <v>0.128571428571429</v>
      </c>
      <c r="O43" s="23">
        <f t="shared" si="3"/>
        <v>0.098014888337469</v>
      </c>
      <c r="P43" s="23">
        <f t="shared" si="4"/>
        <v>0.0927152317880795</v>
      </c>
      <c r="Q43" s="25">
        <f t="shared" si="5"/>
        <v>0.0571605813541297</v>
      </c>
      <c r="R43" s="33">
        <f>569108.3/10000</f>
        <v>56.91083</v>
      </c>
      <c r="S43" s="33">
        <f>459282.17/10000</f>
        <v>45.928217</v>
      </c>
      <c r="T43" s="23">
        <f t="shared" si="6"/>
        <v>0.239125612039327</v>
      </c>
      <c r="U43" s="28" t="e">
        <f>R43/#REF!</f>
        <v>#REF!</v>
      </c>
      <c r="V43" s="28" t="e">
        <f>S43/#REF!</f>
        <v>#REF!</v>
      </c>
    </row>
    <row r="44" ht="25" hidden="1" customHeight="1" spans="1:22">
      <c r="A44" s="29">
        <v>45786</v>
      </c>
      <c r="B44" s="30">
        <v>2564</v>
      </c>
      <c r="C44" s="30">
        <v>2850</v>
      </c>
      <c r="D44" s="20">
        <f t="shared" si="0"/>
        <v>-0.100350877192982</v>
      </c>
      <c r="E44" s="7">
        <v>17</v>
      </c>
      <c r="F44" s="35">
        <f t="shared" si="7"/>
        <v>150.823529411765</v>
      </c>
      <c r="G44" s="31">
        <v>0.9389</v>
      </c>
      <c r="H44" s="7">
        <v>9.28</v>
      </c>
      <c r="I44" s="7">
        <v>1452</v>
      </c>
      <c r="J44" s="7">
        <v>1398</v>
      </c>
      <c r="K44" s="23">
        <f t="shared" si="1"/>
        <v>0.0386266094420601</v>
      </c>
      <c r="L44" s="30">
        <v>145</v>
      </c>
      <c r="M44" s="30">
        <v>138</v>
      </c>
      <c r="N44" s="23">
        <f t="shared" si="2"/>
        <v>0.0507246376811594</v>
      </c>
      <c r="O44" s="23">
        <f t="shared" si="3"/>
        <v>0.099862258953168</v>
      </c>
      <c r="P44" s="23">
        <f t="shared" si="4"/>
        <v>0.0987124463519313</v>
      </c>
      <c r="Q44" s="25">
        <f t="shared" si="5"/>
        <v>0.0116481015690502</v>
      </c>
      <c r="R44" s="33">
        <f>514929.12/10000</f>
        <v>51.492912</v>
      </c>
      <c r="S44" s="33">
        <f>466246.82/10000</f>
        <v>46.624682</v>
      </c>
      <c r="T44" s="23">
        <f t="shared" si="6"/>
        <v>0.104413151815169</v>
      </c>
      <c r="U44" s="28" t="e">
        <f>R44/#REF!</f>
        <v>#REF!</v>
      </c>
      <c r="V44" s="28" t="e">
        <f>S44/#REF!</f>
        <v>#REF!</v>
      </c>
    </row>
    <row r="45" ht="25" hidden="1" customHeight="1" spans="1:22">
      <c r="A45" s="29">
        <v>45787</v>
      </c>
      <c r="B45" s="30">
        <v>3516</v>
      </c>
      <c r="C45" s="30">
        <v>2675</v>
      </c>
      <c r="D45" s="20">
        <f t="shared" si="0"/>
        <v>0.314392523364486</v>
      </c>
      <c r="E45" s="7">
        <v>19</v>
      </c>
      <c r="F45" s="35">
        <f t="shared" si="7"/>
        <v>185.052631578947</v>
      </c>
      <c r="G45" s="31">
        <v>0.9707</v>
      </c>
      <c r="H45" s="7">
        <v>9.91</v>
      </c>
      <c r="I45" s="7">
        <v>2080</v>
      </c>
      <c r="J45" s="7">
        <v>1336</v>
      </c>
      <c r="K45" s="23">
        <f t="shared" si="1"/>
        <v>0.55688622754491</v>
      </c>
      <c r="L45" s="30">
        <v>318</v>
      </c>
      <c r="M45" s="30">
        <v>136</v>
      </c>
      <c r="N45" s="23">
        <f t="shared" si="2"/>
        <v>1.33823529411765</v>
      </c>
      <c r="O45" s="23">
        <f t="shared" si="3"/>
        <v>0.152884615384615</v>
      </c>
      <c r="P45" s="23">
        <f t="shared" si="4"/>
        <v>0.101796407185629</v>
      </c>
      <c r="Q45" s="25">
        <f t="shared" si="5"/>
        <v>0.501866515837104</v>
      </c>
      <c r="R45" s="33">
        <f>1023725.77/10000</f>
        <v>102.372577</v>
      </c>
      <c r="S45" s="33">
        <f>435808.15/10000</f>
        <v>43.580815</v>
      </c>
      <c r="T45" s="23">
        <f t="shared" si="6"/>
        <v>1.34902851174307</v>
      </c>
      <c r="U45" s="28" t="e">
        <f>R45/#REF!</f>
        <v>#REF!</v>
      </c>
      <c r="V45" s="28" t="e">
        <f>S45/#REF!</f>
        <v>#REF!</v>
      </c>
    </row>
    <row r="46" ht="25" hidden="1" customHeight="1" spans="1:22">
      <c r="A46" s="29">
        <v>45788</v>
      </c>
      <c r="B46" s="30">
        <v>3456</v>
      </c>
      <c r="C46" s="30">
        <v>2554</v>
      </c>
      <c r="D46" s="20">
        <f t="shared" si="0"/>
        <v>0.353171495693031</v>
      </c>
      <c r="E46" s="7">
        <v>34</v>
      </c>
      <c r="F46" s="35">
        <f t="shared" si="7"/>
        <v>101.647058823529</v>
      </c>
      <c r="G46" s="31">
        <v>0.9727</v>
      </c>
      <c r="H46" s="7">
        <v>11.51</v>
      </c>
      <c r="I46" s="7">
        <v>2088</v>
      </c>
      <c r="J46" s="7">
        <v>1310</v>
      </c>
      <c r="K46" s="23">
        <f t="shared" si="1"/>
        <v>0.593893129770992</v>
      </c>
      <c r="L46" s="30">
        <v>275</v>
      </c>
      <c r="M46" s="30">
        <v>127</v>
      </c>
      <c r="N46" s="23">
        <f t="shared" si="2"/>
        <v>1.16535433070866</v>
      </c>
      <c r="O46" s="23">
        <f t="shared" si="3"/>
        <v>0.131704980842912</v>
      </c>
      <c r="P46" s="23">
        <f t="shared" si="4"/>
        <v>0.0969465648854962</v>
      </c>
      <c r="Q46" s="25">
        <f t="shared" si="5"/>
        <v>0.35853169215917</v>
      </c>
      <c r="R46" s="33">
        <f>1045591.09/10000</f>
        <v>104.559109</v>
      </c>
      <c r="S46" s="33">
        <f>398839.98/10000</f>
        <v>39.883998</v>
      </c>
      <c r="T46" s="23">
        <f t="shared" si="6"/>
        <v>1.62158043935315</v>
      </c>
      <c r="U46" s="28" t="e">
        <f>R46/#REF!</f>
        <v>#REF!</v>
      </c>
      <c r="V46" s="28" t="e">
        <f>S46/#REF!</f>
        <v>#REF!</v>
      </c>
    </row>
    <row r="47" ht="25" hidden="1" customHeight="1" spans="1:22">
      <c r="A47" s="29">
        <v>45789</v>
      </c>
      <c r="B47" s="30">
        <v>4342</v>
      </c>
      <c r="C47" s="30">
        <v>2683</v>
      </c>
      <c r="D47" s="20">
        <f t="shared" si="0"/>
        <v>0.61833768169959</v>
      </c>
      <c r="E47" s="7">
        <v>39</v>
      </c>
      <c r="F47" s="35">
        <f t="shared" si="7"/>
        <v>111.333333333333</v>
      </c>
      <c r="G47" s="31">
        <v>0.9645</v>
      </c>
      <c r="H47" s="7">
        <v>10.74</v>
      </c>
      <c r="I47" s="7">
        <v>2545</v>
      </c>
      <c r="J47" s="7">
        <v>1356</v>
      </c>
      <c r="K47" s="23">
        <f t="shared" si="1"/>
        <v>0.876843657817109</v>
      </c>
      <c r="L47" s="30">
        <v>369</v>
      </c>
      <c r="M47" s="30">
        <v>161</v>
      </c>
      <c r="N47" s="23">
        <f t="shared" si="2"/>
        <v>1.29192546583851</v>
      </c>
      <c r="O47" s="23">
        <f t="shared" si="3"/>
        <v>0.144990176817289</v>
      </c>
      <c r="P47" s="23">
        <f t="shared" si="4"/>
        <v>0.118731563421829</v>
      </c>
      <c r="Q47" s="25">
        <f t="shared" si="5"/>
        <v>0.221159501641265</v>
      </c>
      <c r="R47" s="33">
        <f>1359767.65/10000</f>
        <v>135.976765</v>
      </c>
      <c r="S47" s="33">
        <f>517219.79/10000</f>
        <v>51.721979</v>
      </c>
      <c r="T47" s="23">
        <f t="shared" si="6"/>
        <v>1.62899385578421</v>
      </c>
      <c r="U47" s="28" t="e">
        <f>R47/#REF!</f>
        <v>#REF!</v>
      </c>
      <c r="V47" s="28" t="e">
        <f>S47/#REF!</f>
        <v>#REF!</v>
      </c>
    </row>
    <row r="48" ht="25" hidden="1" customHeight="1" spans="1:22">
      <c r="A48" s="29">
        <v>45790</v>
      </c>
      <c r="B48" s="30">
        <v>10002</v>
      </c>
      <c r="C48" s="30">
        <v>2768</v>
      </c>
      <c r="D48" s="20">
        <f t="shared" si="0"/>
        <v>2.61343930635838</v>
      </c>
      <c r="E48" s="7">
        <v>62</v>
      </c>
      <c r="F48" s="35">
        <f t="shared" si="7"/>
        <v>161.322580645161</v>
      </c>
      <c r="G48" s="31">
        <v>0.9455</v>
      </c>
      <c r="H48" s="7">
        <v>11.27</v>
      </c>
      <c r="I48" s="7">
        <v>5310</v>
      </c>
      <c r="J48" s="7">
        <v>1626</v>
      </c>
      <c r="K48" s="23">
        <f t="shared" si="1"/>
        <v>2.26568265682657</v>
      </c>
      <c r="L48" s="30">
        <v>1460</v>
      </c>
      <c r="M48" s="30">
        <v>176</v>
      </c>
      <c r="N48" s="23">
        <f t="shared" si="2"/>
        <v>7.29545454545455</v>
      </c>
      <c r="O48" s="23">
        <f t="shared" si="3"/>
        <v>0.274952919020716</v>
      </c>
      <c r="P48" s="23">
        <f t="shared" si="4"/>
        <v>0.108241082410824</v>
      </c>
      <c r="Q48" s="25">
        <f t="shared" si="5"/>
        <v>1.54019003595275</v>
      </c>
      <c r="R48" s="33">
        <f>5927845.41/10000</f>
        <v>592.784541</v>
      </c>
      <c r="S48" s="33">
        <f>567766.41/10000</f>
        <v>56.776641</v>
      </c>
      <c r="T48" s="23">
        <f t="shared" si="6"/>
        <v>9.44064126653776</v>
      </c>
      <c r="U48" s="28" t="e">
        <f>R48/#REF!</f>
        <v>#REF!</v>
      </c>
      <c r="V48" s="28" t="e">
        <f>S48/#REF!</f>
        <v>#REF!</v>
      </c>
    </row>
    <row r="49" ht="25" hidden="1" customHeight="1" spans="1:22">
      <c r="A49" s="29">
        <v>45791</v>
      </c>
      <c r="B49" s="30">
        <v>5656</v>
      </c>
      <c r="C49" s="30">
        <v>3170</v>
      </c>
      <c r="D49" s="20">
        <f t="shared" si="0"/>
        <v>0.784227129337539</v>
      </c>
      <c r="E49" s="7">
        <v>53</v>
      </c>
      <c r="F49" s="35">
        <f t="shared" si="7"/>
        <v>106.716981132075</v>
      </c>
      <c r="G49" s="31">
        <v>0.92</v>
      </c>
      <c r="H49" s="7">
        <v>9.49</v>
      </c>
      <c r="I49" s="7">
        <v>2997</v>
      </c>
      <c r="J49" s="7">
        <v>1870</v>
      </c>
      <c r="K49" s="23">
        <f t="shared" si="1"/>
        <v>0.602673796791444</v>
      </c>
      <c r="L49" s="30">
        <v>408</v>
      </c>
      <c r="M49" s="30">
        <v>225</v>
      </c>
      <c r="N49" s="23">
        <f t="shared" si="2"/>
        <v>0.813333333333333</v>
      </c>
      <c r="O49" s="23">
        <f t="shared" si="3"/>
        <v>0.136136136136136</v>
      </c>
      <c r="P49" s="23">
        <f t="shared" si="4"/>
        <v>0.120320855614973</v>
      </c>
      <c r="Q49" s="25">
        <f t="shared" si="5"/>
        <v>0.131442553664776</v>
      </c>
      <c r="R49" s="33">
        <f>1624365.67/10000</f>
        <v>162.436567</v>
      </c>
      <c r="S49" s="33">
        <f>718377.02/10000</f>
        <v>71.837702</v>
      </c>
      <c r="T49" s="23">
        <f t="shared" si="6"/>
        <v>1.26116040014754</v>
      </c>
      <c r="U49" s="28" t="e">
        <f>R49/#REF!</f>
        <v>#REF!</v>
      </c>
      <c r="V49" s="28" t="e">
        <f>S49/#REF!</f>
        <v>#REF!</v>
      </c>
    </row>
    <row r="50" ht="25" hidden="1" customHeight="1" spans="1:22">
      <c r="A50" s="29">
        <v>45792</v>
      </c>
      <c r="B50" s="30">
        <v>4591</v>
      </c>
      <c r="C50" s="30">
        <v>2760</v>
      </c>
      <c r="D50" s="20">
        <f t="shared" si="0"/>
        <v>0.663405797101449</v>
      </c>
      <c r="E50" s="7">
        <v>41</v>
      </c>
      <c r="F50" s="35">
        <f t="shared" si="7"/>
        <v>111.975609756098</v>
      </c>
      <c r="G50" s="31">
        <v>0.9712</v>
      </c>
      <c r="H50" s="7">
        <v>8.87</v>
      </c>
      <c r="I50" s="7">
        <v>2604</v>
      </c>
      <c r="J50" s="7">
        <v>1624</v>
      </c>
      <c r="K50" s="23">
        <f t="shared" si="1"/>
        <v>0.603448275862069</v>
      </c>
      <c r="L50" s="30">
        <v>312</v>
      </c>
      <c r="M50" s="30">
        <v>188</v>
      </c>
      <c r="N50" s="23">
        <f t="shared" si="2"/>
        <v>0.659574468085106</v>
      </c>
      <c r="O50" s="23">
        <f t="shared" si="3"/>
        <v>0.119815668202765</v>
      </c>
      <c r="P50" s="23">
        <f t="shared" si="4"/>
        <v>0.11576354679803</v>
      </c>
      <c r="Q50" s="25">
        <f t="shared" si="5"/>
        <v>0.0350034317089911</v>
      </c>
      <c r="R50" s="33">
        <f>1214404.74/10000</f>
        <v>121.440474</v>
      </c>
      <c r="S50" s="33">
        <f>608940.5/10000</f>
        <v>60.89405</v>
      </c>
      <c r="T50" s="23">
        <f t="shared" si="6"/>
        <v>0.99429129775405</v>
      </c>
      <c r="U50" s="28" t="e">
        <f>R50/#REF!</f>
        <v>#REF!</v>
      </c>
      <c r="V50" s="28" t="e">
        <f>S50/#REF!</f>
        <v>#REF!</v>
      </c>
    </row>
    <row r="51" ht="25" hidden="1" customHeight="1" spans="1:22">
      <c r="A51" s="29">
        <v>45793</v>
      </c>
      <c r="B51" s="30">
        <v>6716</v>
      </c>
      <c r="C51" s="30">
        <v>3146</v>
      </c>
      <c r="D51" s="20">
        <f t="shared" si="0"/>
        <v>1.1347743165925</v>
      </c>
      <c r="E51" s="7">
        <v>45</v>
      </c>
      <c r="F51" s="35">
        <f t="shared" si="7"/>
        <v>149.244444444444</v>
      </c>
      <c r="G51" s="31">
        <v>0.9616</v>
      </c>
      <c r="H51" s="7">
        <v>9.02</v>
      </c>
      <c r="I51" s="7">
        <v>3671</v>
      </c>
      <c r="J51" s="7">
        <v>1975</v>
      </c>
      <c r="K51" s="23">
        <f t="shared" si="1"/>
        <v>0.85873417721519</v>
      </c>
      <c r="L51" s="30">
        <v>577</v>
      </c>
      <c r="M51" s="30">
        <v>255</v>
      </c>
      <c r="N51" s="23">
        <f t="shared" si="2"/>
        <v>1.26274509803922</v>
      </c>
      <c r="O51" s="23">
        <f t="shared" si="3"/>
        <v>0.157177880686461</v>
      </c>
      <c r="P51" s="23">
        <f t="shared" si="4"/>
        <v>0.129113924050633</v>
      </c>
      <c r="Q51" s="25">
        <f t="shared" si="5"/>
        <v>0.21735809551279</v>
      </c>
      <c r="R51" s="33">
        <f>1697743.83/10000</f>
        <v>169.774383</v>
      </c>
      <c r="S51" s="33">
        <f>769676.77/10000</f>
        <v>76.967677</v>
      </c>
      <c r="T51" s="23">
        <f t="shared" si="6"/>
        <v>1.20578806087652</v>
      </c>
      <c r="U51" s="28" t="e">
        <f>R51/#REF!</f>
        <v>#REF!</v>
      </c>
      <c r="V51" s="28" t="e">
        <f>S51/#REF!</f>
        <v>#REF!</v>
      </c>
    </row>
    <row r="52" ht="25" hidden="1" customHeight="1" spans="1:22">
      <c r="A52" s="29">
        <v>45794</v>
      </c>
      <c r="B52" s="30">
        <v>4653</v>
      </c>
      <c r="C52" s="30">
        <v>3337</v>
      </c>
      <c r="D52" s="20">
        <f t="shared" si="0"/>
        <v>0.394366197183099</v>
      </c>
      <c r="E52" s="7">
        <v>36</v>
      </c>
      <c r="F52" s="35">
        <f t="shared" si="7"/>
        <v>129.25</v>
      </c>
      <c r="G52" s="31">
        <v>0.9621</v>
      </c>
      <c r="H52" s="7">
        <v>9.74</v>
      </c>
      <c r="I52" s="7">
        <v>2447</v>
      </c>
      <c r="J52" s="7">
        <v>2029</v>
      </c>
      <c r="K52" s="23">
        <f t="shared" si="1"/>
        <v>0.206012814194184</v>
      </c>
      <c r="L52" s="30">
        <v>323</v>
      </c>
      <c r="M52" s="30">
        <v>286</v>
      </c>
      <c r="N52" s="23">
        <f t="shared" si="2"/>
        <v>0.129370629370629</v>
      </c>
      <c r="O52" s="23">
        <f t="shared" si="3"/>
        <v>0.131998365345321</v>
      </c>
      <c r="P52" s="23">
        <f t="shared" si="4"/>
        <v>0.1409561360276</v>
      </c>
      <c r="Q52" s="25">
        <f t="shared" si="5"/>
        <v>-0.0635500584417625</v>
      </c>
      <c r="R52" s="33">
        <f>956994.85/10000</f>
        <v>95.699485</v>
      </c>
      <c r="S52" s="33">
        <f>886587.38/10000</f>
        <v>88.658738</v>
      </c>
      <c r="T52" s="23">
        <f t="shared" si="6"/>
        <v>0.0794140223381027</v>
      </c>
      <c r="U52" s="28" t="e">
        <f>R52/#REF!</f>
        <v>#REF!</v>
      </c>
      <c r="V52" s="28" t="e">
        <f>S52/#REF!</f>
        <v>#REF!</v>
      </c>
    </row>
    <row r="53" ht="25" hidden="1" customHeight="1" spans="1:22">
      <c r="A53" s="29">
        <v>45795</v>
      </c>
      <c r="B53" s="30">
        <v>4435</v>
      </c>
      <c r="C53" s="30">
        <v>3545</v>
      </c>
      <c r="D53" s="20">
        <f t="shared" si="0"/>
        <v>0.251057827926657</v>
      </c>
      <c r="E53" s="7">
        <v>36</v>
      </c>
      <c r="F53" s="35">
        <f t="shared" si="7"/>
        <v>123.194444444444</v>
      </c>
      <c r="G53" s="31">
        <v>0.9565</v>
      </c>
      <c r="H53" s="7">
        <v>9.54</v>
      </c>
      <c r="I53" s="7">
        <v>2335</v>
      </c>
      <c r="J53" s="7">
        <v>2214</v>
      </c>
      <c r="K53" s="23">
        <f t="shared" si="1"/>
        <v>0.0546522131887986</v>
      </c>
      <c r="L53" s="30">
        <v>311</v>
      </c>
      <c r="M53" s="30">
        <v>334</v>
      </c>
      <c r="N53" s="23">
        <f t="shared" si="2"/>
        <v>-0.0688622754491018</v>
      </c>
      <c r="O53" s="23">
        <f t="shared" si="3"/>
        <v>0.133190578158458</v>
      </c>
      <c r="P53" s="23">
        <f t="shared" si="4"/>
        <v>0.150858175248419</v>
      </c>
      <c r="Q53" s="25">
        <f t="shared" si="5"/>
        <v>-0.117113951967585</v>
      </c>
      <c r="R53" s="33">
        <f>1117519.29/10000</f>
        <v>111.751929</v>
      </c>
      <c r="S53" s="33">
        <f>1063303.42/10000</f>
        <v>106.330342</v>
      </c>
      <c r="T53" s="23">
        <f t="shared" si="6"/>
        <v>0.0509881459800065</v>
      </c>
      <c r="U53" s="28" t="e">
        <f>R53/#REF!</f>
        <v>#REF!</v>
      </c>
      <c r="V53" s="28" t="e">
        <f>S53/#REF!</f>
        <v>#REF!</v>
      </c>
    </row>
    <row r="54" ht="25" hidden="1" customHeight="1" spans="1:22">
      <c r="A54" s="29">
        <v>45796</v>
      </c>
      <c r="B54" s="30">
        <v>4475</v>
      </c>
      <c r="C54" s="30">
        <v>4145</v>
      </c>
      <c r="D54" s="20">
        <f t="shared" si="0"/>
        <v>0.0796139927623643</v>
      </c>
      <c r="E54" s="7">
        <v>31</v>
      </c>
      <c r="F54" s="35">
        <f t="shared" si="7"/>
        <v>144.354838709677</v>
      </c>
      <c r="G54" s="31">
        <v>0.9593</v>
      </c>
      <c r="H54" s="7">
        <v>10.01</v>
      </c>
      <c r="I54" s="7">
        <v>2363</v>
      </c>
      <c r="J54" s="7">
        <v>2789</v>
      </c>
      <c r="K54" s="23">
        <f t="shared" si="1"/>
        <v>-0.15274291860882</v>
      </c>
      <c r="L54" s="30">
        <v>255</v>
      </c>
      <c r="M54" s="30">
        <v>490</v>
      </c>
      <c r="N54" s="23">
        <f t="shared" si="2"/>
        <v>-0.479591836734694</v>
      </c>
      <c r="O54" s="23">
        <f t="shared" si="3"/>
        <v>0.107913669064748</v>
      </c>
      <c r="P54" s="23">
        <f t="shared" si="4"/>
        <v>0.175690211545357</v>
      </c>
      <c r="Q54" s="25">
        <f t="shared" si="5"/>
        <v>-0.385773014241668</v>
      </c>
      <c r="R54" s="33">
        <f>943255.54/10000</f>
        <v>94.325554</v>
      </c>
      <c r="S54" s="33">
        <f>1567148.07/10000</f>
        <v>156.714807</v>
      </c>
      <c r="T54" s="23">
        <f t="shared" si="6"/>
        <v>-0.398106944674347</v>
      </c>
      <c r="U54" s="28" t="e">
        <f>R54/#REF!</f>
        <v>#REF!</v>
      </c>
      <c r="V54" s="28" t="e">
        <f>S54/#REF!</f>
        <v>#REF!</v>
      </c>
    </row>
    <row r="55" ht="25" hidden="1" customHeight="1" spans="1:22">
      <c r="A55" s="29">
        <v>45797</v>
      </c>
      <c r="B55" s="30">
        <v>7291</v>
      </c>
      <c r="C55" s="30">
        <v>9673</v>
      </c>
      <c r="D55" s="20">
        <f t="shared" si="0"/>
        <v>-0.246252455287915</v>
      </c>
      <c r="E55" s="7">
        <v>45</v>
      </c>
      <c r="F55" s="35">
        <f t="shared" si="7"/>
        <v>162.022222222222</v>
      </c>
      <c r="G55" s="31">
        <v>0.9664</v>
      </c>
      <c r="H55" s="7">
        <v>9.1</v>
      </c>
      <c r="I55" s="7">
        <v>3622</v>
      </c>
      <c r="J55" s="7">
        <v>4956</v>
      </c>
      <c r="K55" s="23">
        <f t="shared" si="1"/>
        <v>-0.269168684422922</v>
      </c>
      <c r="L55" s="30">
        <v>854</v>
      </c>
      <c r="M55" s="30">
        <v>1007</v>
      </c>
      <c r="N55" s="23">
        <f t="shared" si="2"/>
        <v>-0.151936444885799</v>
      </c>
      <c r="O55" s="23">
        <f t="shared" si="3"/>
        <v>0.235781336278299</v>
      </c>
      <c r="P55" s="23">
        <f t="shared" si="4"/>
        <v>0.20318805488297</v>
      </c>
      <c r="Q55" s="25">
        <f t="shared" si="5"/>
        <v>0.160409436539475</v>
      </c>
      <c r="R55" s="33">
        <f>3615225.23/10000</f>
        <v>361.522523</v>
      </c>
      <c r="S55" s="33">
        <f>3176963.94/10000</f>
        <v>317.696394</v>
      </c>
      <c r="T55" s="23">
        <f t="shared" si="6"/>
        <v>0.137949721267532</v>
      </c>
      <c r="U55" s="28" t="e">
        <f>R55/#REF!</f>
        <v>#REF!</v>
      </c>
      <c r="V55" s="28" t="e">
        <f>S55/#REF!</f>
        <v>#REF!</v>
      </c>
    </row>
    <row r="56" ht="25" hidden="1" customHeight="1" spans="1:22">
      <c r="A56" s="29">
        <v>45798</v>
      </c>
      <c r="B56" s="30">
        <v>5069</v>
      </c>
      <c r="C56" s="30">
        <v>5668</v>
      </c>
      <c r="D56" s="20">
        <f t="shared" si="0"/>
        <v>-0.105681016231475</v>
      </c>
      <c r="E56" s="7">
        <v>39</v>
      </c>
      <c r="F56" s="35">
        <f t="shared" si="7"/>
        <v>129.974358974359</v>
      </c>
      <c r="G56" s="31">
        <v>0.9693</v>
      </c>
      <c r="H56" s="7">
        <v>9.46</v>
      </c>
      <c r="I56" s="7">
        <v>2556</v>
      </c>
      <c r="J56" s="7">
        <v>2813</v>
      </c>
      <c r="K56" s="23">
        <f t="shared" si="1"/>
        <v>-0.0913615357269819</v>
      </c>
      <c r="L56" s="30">
        <v>346</v>
      </c>
      <c r="M56" s="30">
        <v>436</v>
      </c>
      <c r="N56" s="23">
        <f t="shared" si="2"/>
        <v>-0.206422018348624</v>
      </c>
      <c r="O56" s="23">
        <f t="shared" si="3"/>
        <v>0.135367762128326</v>
      </c>
      <c r="P56" s="23">
        <f t="shared" si="4"/>
        <v>0.154994667614646</v>
      </c>
      <c r="Q56" s="25">
        <f t="shared" si="5"/>
        <v>-0.126629553057386</v>
      </c>
      <c r="R56" s="33">
        <f>1383973.98/10000</f>
        <v>138.397398</v>
      </c>
      <c r="S56" s="33">
        <f>1380088.07/10000</f>
        <v>138.008807</v>
      </c>
      <c r="T56" s="23">
        <f t="shared" si="6"/>
        <v>0.0028156971170687</v>
      </c>
      <c r="U56" s="28" t="e">
        <f>R56/#REF!</f>
        <v>#REF!</v>
      </c>
      <c r="V56" s="28" t="e">
        <f>S56/#REF!</f>
        <v>#REF!</v>
      </c>
    </row>
    <row r="57" ht="25" hidden="1" customHeight="1" spans="1:22">
      <c r="A57" s="29">
        <v>45799</v>
      </c>
      <c r="B57" s="30">
        <v>4191</v>
      </c>
      <c r="C57" s="30">
        <v>4194</v>
      </c>
      <c r="D57" s="20">
        <f t="shared" si="0"/>
        <v>-0.000715307582260372</v>
      </c>
      <c r="E57" s="7">
        <v>28</v>
      </c>
      <c r="F57" s="35">
        <f t="shared" si="7"/>
        <v>149.678571428571</v>
      </c>
      <c r="G57" s="31">
        <v>0.95</v>
      </c>
      <c r="H57" s="7">
        <v>9.74</v>
      </c>
      <c r="I57" s="7">
        <v>2201</v>
      </c>
      <c r="J57" s="7">
        <v>2151</v>
      </c>
      <c r="K57" s="23">
        <f t="shared" si="1"/>
        <v>0.0232450023245002</v>
      </c>
      <c r="L57" s="30">
        <v>250</v>
      </c>
      <c r="M57" s="30">
        <v>320</v>
      </c>
      <c r="N57" s="23">
        <f t="shared" si="2"/>
        <v>-0.21875</v>
      </c>
      <c r="O57" s="23">
        <f t="shared" si="3"/>
        <v>0.113584734211722</v>
      </c>
      <c r="P57" s="23">
        <f t="shared" si="4"/>
        <v>0.148768014876801</v>
      </c>
      <c r="Q57" s="25">
        <f t="shared" si="5"/>
        <v>-0.236497614720582</v>
      </c>
      <c r="R57" s="33">
        <f>932802.94/10000</f>
        <v>93.280294</v>
      </c>
      <c r="S57" s="33">
        <f>1020973.85/10000</f>
        <v>102.097385</v>
      </c>
      <c r="T57" s="23">
        <f t="shared" si="6"/>
        <v>-0.0863596163603995</v>
      </c>
      <c r="U57" s="28" t="e">
        <f>R57/#REF!</f>
        <v>#REF!</v>
      </c>
      <c r="V57" s="28" t="e">
        <f>S57/#REF!</f>
        <v>#REF!</v>
      </c>
    </row>
    <row r="58" ht="25" hidden="1" customHeight="1" spans="1:22">
      <c r="A58" s="29">
        <v>45800</v>
      </c>
      <c r="B58" s="30">
        <v>4038</v>
      </c>
      <c r="C58" s="30">
        <v>4046</v>
      </c>
      <c r="D58" s="20">
        <f t="shared" si="0"/>
        <v>-0.00197726149283243</v>
      </c>
      <c r="E58" s="7">
        <v>20</v>
      </c>
      <c r="F58" s="35">
        <f t="shared" si="7"/>
        <v>201.9</v>
      </c>
      <c r="G58" s="31">
        <v>0.9574</v>
      </c>
      <c r="H58" s="7">
        <v>10.27</v>
      </c>
      <c r="I58" s="7">
        <v>2084</v>
      </c>
      <c r="J58" s="7">
        <v>2115</v>
      </c>
      <c r="K58" s="23">
        <f t="shared" si="1"/>
        <v>-0.0146572104018913</v>
      </c>
      <c r="L58" s="30">
        <v>276</v>
      </c>
      <c r="M58" s="30">
        <v>269</v>
      </c>
      <c r="N58" s="23">
        <f t="shared" si="2"/>
        <v>0.0260223048327138</v>
      </c>
      <c r="O58" s="23">
        <f t="shared" si="3"/>
        <v>0.132437619961612</v>
      </c>
      <c r="P58" s="23">
        <f t="shared" si="4"/>
        <v>0.127186761229314</v>
      </c>
      <c r="Q58" s="25">
        <f t="shared" si="5"/>
        <v>0.0412846327836804</v>
      </c>
      <c r="R58" s="33">
        <f>865537.54/10000</f>
        <v>86.553754</v>
      </c>
      <c r="S58" s="33">
        <f>776394.86/10000</f>
        <v>77.639486</v>
      </c>
      <c r="T58" s="23">
        <f t="shared" si="6"/>
        <v>0.114816164548024</v>
      </c>
      <c r="U58" s="28" t="e">
        <f>R58/#REF!</f>
        <v>#REF!</v>
      </c>
      <c r="V58" s="28" t="e">
        <f>S58/#REF!</f>
        <v>#REF!</v>
      </c>
    </row>
    <row r="59" ht="25" hidden="1" customHeight="1" spans="1:22">
      <c r="A59" s="29">
        <v>45801</v>
      </c>
      <c r="B59" s="30">
        <v>3872</v>
      </c>
      <c r="C59" s="30">
        <v>3946</v>
      </c>
      <c r="D59" s="20">
        <f t="shared" si="0"/>
        <v>-0.0187531677648251</v>
      </c>
      <c r="E59" s="7">
        <v>22</v>
      </c>
      <c r="F59" s="35">
        <f t="shared" si="7"/>
        <v>176</v>
      </c>
      <c r="G59" s="31">
        <v>0.9329</v>
      </c>
      <c r="H59" s="7">
        <v>9.7</v>
      </c>
      <c r="I59" s="7">
        <v>2032</v>
      </c>
      <c r="J59" s="7">
        <v>2062</v>
      </c>
      <c r="K59" s="23">
        <f t="shared" si="1"/>
        <v>-0.01454898157129</v>
      </c>
      <c r="L59" s="30">
        <v>251</v>
      </c>
      <c r="M59" s="30">
        <v>248</v>
      </c>
      <c r="N59" s="23">
        <f t="shared" si="2"/>
        <v>0.0120967741935484</v>
      </c>
      <c r="O59" s="23">
        <f t="shared" si="3"/>
        <v>0.123523622047244</v>
      </c>
      <c r="P59" s="23">
        <f t="shared" si="4"/>
        <v>0.120271580989331</v>
      </c>
      <c r="Q59" s="25">
        <f t="shared" si="5"/>
        <v>0.0270391478282957</v>
      </c>
      <c r="R59" s="33">
        <f>822292.97/10000</f>
        <v>82.229297</v>
      </c>
      <c r="S59" s="33">
        <f>752601.35/10000</f>
        <v>75.260135</v>
      </c>
      <c r="T59" s="23">
        <f t="shared" si="6"/>
        <v>0.0926009765993645</v>
      </c>
      <c r="U59" s="28" t="e">
        <f>R59/#REF!</f>
        <v>#REF!</v>
      </c>
      <c r="V59" s="28" t="e">
        <f>S59/#REF!</f>
        <v>#REF!</v>
      </c>
    </row>
    <row r="60" ht="25" hidden="1" customHeight="1" spans="1:22">
      <c r="A60" s="29">
        <v>45802</v>
      </c>
      <c r="B60" s="30">
        <v>3983</v>
      </c>
      <c r="C60" s="30">
        <v>3895</v>
      </c>
      <c r="D60" s="20">
        <f t="shared" si="0"/>
        <v>0.0225930680359435</v>
      </c>
      <c r="E60" s="7">
        <v>17</v>
      </c>
      <c r="F60" s="35">
        <f t="shared" si="7"/>
        <v>234.294117647059</v>
      </c>
      <c r="G60" s="31">
        <v>0.9455</v>
      </c>
      <c r="H60" s="7">
        <v>9.19</v>
      </c>
      <c r="I60" s="7">
        <v>2118</v>
      </c>
      <c r="J60" s="7">
        <v>2025</v>
      </c>
      <c r="K60" s="23">
        <f t="shared" si="1"/>
        <v>0.0459259259259259</v>
      </c>
      <c r="L60" s="30">
        <v>206</v>
      </c>
      <c r="M60" s="30">
        <v>251</v>
      </c>
      <c r="N60" s="23">
        <f t="shared" si="2"/>
        <v>-0.179282868525896</v>
      </c>
      <c r="O60" s="23">
        <f t="shared" si="3"/>
        <v>0.097261567516525</v>
      </c>
      <c r="P60" s="23">
        <f t="shared" si="4"/>
        <v>0.123950617283951</v>
      </c>
      <c r="Q60" s="25">
        <f t="shared" si="5"/>
        <v>-0.215320023024051</v>
      </c>
      <c r="R60" s="33">
        <f>802422.05/10000</f>
        <v>80.242205</v>
      </c>
      <c r="S60" s="33">
        <f>773903.05/10000</f>
        <v>77.390305</v>
      </c>
      <c r="T60" s="23">
        <f t="shared" si="6"/>
        <v>0.0368508691108014</v>
      </c>
      <c r="U60" s="28" t="e">
        <f>R60/#REF!</f>
        <v>#REF!</v>
      </c>
      <c r="V60" s="28" t="e">
        <f>S60/#REF!</f>
        <v>#REF!</v>
      </c>
    </row>
    <row r="61" ht="25" hidden="1" customHeight="1" spans="1:22">
      <c r="A61" s="29">
        <v>45803</v>
      </c>
      <c r="B61" s="30">
        <v>4038</v>
      </c>
      <c r="C61" s="30">
        <v>4032</v>
      </c>
      <c r="D61" s="20">
        <f t="shared" si="0"/>
        <v>0.00148809523809524</v>
      </c>
      <c r="E61" s="7">
        <v>21</v>
      </c>
      <c r="F61" s="35">
        <f t="shared" si="7"/>
        <v>192.285714285714</v>
      </c>
      <c r="G61" s="31">
        <v>0.9695</v>
      </c>
      <c r="H61" s="7">
        <v>9.59</v>
      </c>
      <c r="I61" s="7">
        <v>2210</v>
      </c>
      <c r="J61" s="7">
        <v>2243</v>
      </c>
      <c r="K61" s="23">
        <f t="shared" si="1"/>
        <v>-0.0147124386981721</v>
      </c>
      <c r="L61" s="30">
        <v>220</v>
      </c>
      <c r="M61" s="30">
        <v>297</v>
      </c>
      <c r="N61" s="23">
        <f t="shared" si="2"/>
        <v>-0.259259259259259</v>
      </c>
      <c r="O61" s="23">
        <f t="shared" si="3"/>
        <v>0.0995475113122172</v>
      </c>
      <c r="P61" s="23">
        <f t="shared" si="4"/>
        <v>0.132411948283549</v>
      </c>
      <c r="Q61" s="25">
        <f t="shared" si="5"/>
        <v>-0.248198424669013</v>
      </c>
      <c r="R61" s="33">
        <f>811817.34/10000</f>
        <v>81.181734</v>
      </c>
      <c r="S61" s="33">
        <f>910112.09/10000</f>
        <v>91.011209</v>
      </c>
      <c r="T61" s="23">
        <f t="shared" si="6"/>
        <v>-0.108002905444317</v>
      </c>
      <c r="U61" s="28" t="e">
        <f>R61/#REF!</f>
        <v>#REF!</v>
      </c>
      <c r="V61" s="28" t="e">
        <f>S61/#REF!</f>
        <v>#REF!</v>
      </c>
    </row>
    <row r="62" ht="25" hidden="1" customHeight="1" spans="1:22">
      <c r="A62" s="29">
        <v>45804</v>
      </c>
      <c r="B62" s="30">
        <v>3497</v>
      </c>
      <c r="C62" s="30">
        <v>4324</v>
      </c>
      <c r="D62" s="20">
        <f t="shared" si="0"/>
        <v>-0.191258094357077</v>
      </c>
      <c r="E62" s="7">
        <v>23</v>
      </c>
      <c r="F62" s="35">
        <f t="shared" si="7"/>
        <v>152.04347826087</v>
      </c>
      <c r="G62" s="31">
        <v>0.9659</v>
      </c>
      <c r="H62" s="7">
        <v>9.07</v>
      </c>
      <c r="I62" s="7">
        <v>2003</v>
      </c>
      <c r="J62" s="7">
        <v>2533</v>
      </c>
      <c r="K62" s="23">
        <f t="shared" si="1"/>
        <v>-0.209238057639163</v>
      </c>
      <c r="L62" s="30">
        <v>197</v>
      </c>
      <c r="M62" s="30">
        <v>355</v>
      </c>
      <c r="N62" s="23">
        <f t="shared" si="2"/>
        <v>-0.445070422535211</v>
      </c>
      <c r="O62" s="23">
        <f t="shared" si="3"/>
        <v>0.0983524712930604</v>
      </c>
      <c r="P62" s="23">
        <f t="shared" si="4"/>
        <v>0.140150019739439</v>
      </c>
      <c r="Q62" s="25">
        <f t="shared" si="5"/>
        <v>-0.298234338632896</v>
      </c>
      <c r="R62" s="33">
        <f>551051.15/10000</f>
        <v>55.105115</v>
      </c>
      <c r="S62" s="33">
        <f>1077671.53/10000</f>
        <v>107.767153</v>
      </c>
      <c r="T62" s="23">
        <f t="shared" si="6"/>
        <v>-0.488665020221885</v>
      </c>
      <c r="U62" s="28" t="e">
        <f>R62/#REF!</f>
        <v>#REF!</v>
      </c>
      <c r="V62" s="28" t="e">
        <f>S62/#REF!</f>
        <v>#REF!</v>
      </c>
    </row>
    <row r="63" ht="25" hidden="1" customHeight="1" spans="1:22">
      <c r="A63" s="29">
        <v>45805</v>
      </c>
      <c r="B63" s="30">
        <v>4931</v>
      </c>
      <c r="C63" s="30">
        <v>4469</v>
      </c>
      <c r="D63" s="20">
        <f t="shared" si="0"/>
        <v>0.103378831953457</v>
      </c>
      <c r="E63" s="7">
        <v>24</v>
      </c>
      <c r="F63" s="35">
        <f t="shared" si="7"/>
        <v>205.458333333333</v>
      </c>
      <c r="G63" s="31">
        <v>0.9286</v>
      </c>
      <c r="H63" s="7">
        <v>9.54</v>
      </c>
      <c r="I63" s="7">
        <v>2649</v>
      </c>
      <c r="J63" s="7">
        <v>2690</v>
      </c>
      <c r="K63" s="23">
        <f t="shared" si="1"/>
        <v>-0.0152416356877323</v>
      </c>
      <c r="L63" s="30">
        <v>246</v>
      </c>
      <c r="M63" s="30">
        <v>367</v>
      </c>
      <c r="N63" s="23">
        <f t="shared" si="2"/>
        <v>-0.329700272479564</v>
      </c>
      <c r="O63" s="23">
        <f t="shared" si="3"/>
        <v>0.0928652321630804</v>
      </c>
      <c r="P63" s="23">
        <f t="shared" si="4"/>
        <v>0.136431226765799</v>
      </c>
      <c r="Q63" s="25">
        <f t="shared" si="5"/>
        <v>-0.319325682510392</v>
      </c>
      <c r="R63" s="33">
        <f>1012662.07/10000</f>
        <v>101.266207</v>
      </c>
      <c r="S63" s="33">
        <f>1098311.28/10000</f>
        <v>109.831128</v>
      </c>
      <c r="T63" s="23">
        <f t="shared" si="6"/>
        <v>-0.0779826371263346</v>
      </c>
      <c r="U63" s="28" t="e">
        <f>R63/#REF!</f>
        <v>#REF!</v>
      </c>
      <c r="V63" s="28" t="e">
        <f>S63/#REF!</f>
        <v>#REF!</v>
      </c>
    </row>
    <row r="64" ht="25" hidden="1" customHeight="1" spans="1:22">
      <c r="A64" s="29">
        <v>45806</v>
      </c>
      <c r="B64" s="30">
        <v>4411</v>
      </c>
      <c r="C64" s="30">
        <v>4319</v>
      </c>
      <c r="D64" s="20">
        <f t="shared" si="0"/>
        <v>0.0213012271359111</v>
      </c>
      <c r="E64" s="7">
        <v>23</v>
      </c>
      <c r="F64" s="35">
        <f t="shared" si="7"/>
        <v>191.782608695652</v>
      </c>
      <c r="G64" s="31">
        <v>0.9526</v>
      </c>
      <c r="H64" s="7">
        <v>8.88</v>
      </c>
      <c r="I64" s="7">
        <v>2655</v>
      </c>
      <c r="J64" s="7">
        <v>2617</v>
      </c>
      <c r="K64" s="23">
        <f t="shared" si="1"/>
        <v>0.0145204432556362</v>
      </c>
      <c r="L64" s="30">
        <v>337</v>
      </c>
      <c r="M64" s="30">
        <v>351</v>
      </c>
      <c r="N64" s="23">
        <f t="shared" si="2"/>
        <v>-0.0398860398860399</v>
      </c>
      <c r="O64" s="23">
        <f t="shared" si="3"/>
        <v>0.126930320150659</v>
      </c>
      <c r="P64" s="23">
        <f t="shared" si="4"/>
        <v>0.134123041650745</v>
      </c>
      <c r="Q64" s="25">
        <f t="shared" si="5"/>
        <v>-0.0536277839479345</v>
      </c>
      <c r="R64" s="33">
        <f>1025528.16/10000</f>
        <v>102.552816</v>
      </c>
      <c r="S64" s="33">
        <f>1067882.61/10000</f>
        <v>106.788261</v>
      </c>
      <c r="T64" s="23">
        <f t="shared" si="6"/>
        <v>-0.0396620842060533</v>
      </c>
      <c r="U64" s="28" t="e">
        <f>R64/#REF!</f>
        <v>#REF!</v>
      </c>
      <c r="V64" s="28" t="e">
        <f>S64/#REF!</f>
        <v>#REF!</v>
      </c>
    </row>
    <row r="65" ht="25" hidden="1" customHeight="1" spans="1:22">
      <c r="A65" s="29">
        <v>45807</v>
      </c>
      <c r="B65" s="30">
        <v>10120</v>
      </c>
      <c r="C65" s="30">
        <v>4487</v>
      </c>
      <c r="D65" s="20">
        <f t="shared" si="0"/>
        <v>1.25540450189436</v>
      </c>
      <c r="E65" s="7">
        <v>48</v>
      </c>
      <c r="F65" s="35">
        <f t="shared" si="7"/>
        <v>210.833333333333</v>
      </c>
      <c r="G65" s="31">
        <v>0.9626</v>
      </c>
      <c r="H65" s="7">
        <v>9.56</v>
      </c>
      <c r="I65" s="7">
        <v>5263</v>
      </c>
      <c r="J65" s="7">
        <v>2980</v>
      </c>
      <c r="K65" s="23">
        <f t="shared" si="1"/>
        <v>0.766107382550336</v>
      </c>
      <c r="L65" s="30">
        <v>1589</v>
      </c>
      <c r="M65" s="30">
        <v>478</v>
      </c>
      <c r="N65" s="23">
        <f t="shared" si="2"/>
        <v>2.32426778242678</v>
      </c>
      <c r="O65" s="23">
        <f t="shared" si="3"/>
        <v>0.301919057571727</v>
      </c>
      <c r="P65" s="23">
        <f t="shared" si="4"/>
        <v>0.160402684563758</v>
      </c>
      <c r="Q65" s="25">
        <f t="shared" si="5"/>
        <v>0.882256886116625</v>
      </c>
      <c r="R65" s="33">
        <f>4529040.22/10000</f>
        <v>452.904022</v>
      </c>
      <c r="S65" s="33">
        <f>1488001.83/10000</f>
        <v>148.800183</v>
      </c>
      <c r="T65" s="23">
        <f t="shared" si="6"/>
        <v>2.04370608200126</v>
      </c>
      <c r="U65" s="28" t="e">
        <f>R65/#REF!</f>
        <v>#REF!</v>
      </c>
      <c r="V65" s="28" t="e">
        <f>S65/#REF!</f>
        <v>#REF!</v>
      </c>
    </row>
    <row r="66" ht="25" hidden="1" customHeight="1" spans="1:22">
      <c r="A66" s="29">
        <v>45808</v>
      </c>
      <c r="B66" s="7">
        <v>6092</v>
      </c>
      <c r="C66" s="7">
        <v>10646</v>
      </c>
      <c r="D66" s="20">
        <f t="shared" si="0"/>
        <v>-0.427766297200827</v>
      </c>
      <c r="E66" s="7">
        <v>36</v>
      </c>
      <c r="F66" s="35">
        <f t="shared" si="7"/>
        <v>169.222222222222</v>
      </c>
      <c r="G66" s="31">
        <v>0.9694</v>
      </c>
      <c r="H66" s="7">
        <v>14.71</v>
      </c>
      <c r="I66" s="7">
        <v>3091</v>
      </c>
      <c r="J66" s="7">
        <v>5167</v>
      </c>
      <c r="K66" s="23">
        <f t="shared" si="1"/>
        <v>-0.401780530288368</v>
      </c>
      <c r="L66" s="30">
        <v>615</v>
      </c>
      <c r="M66" s="30">
        <v>1204</v>
      </c>
      <c r="N66" s="23">
        <f t="shared" si="2"/>
        <v>-0.489202657807309</v>
      </c>
      <c r="O66" s="23">
        <f t="shared" si="3"/>
        <v>0.198964736331284</v>
      </c>
      <c r="P66" s="23">
        <f t="shared" si="4"/>
        <v>0.233017224695181</v>
      </c>
      <c r="Q66" s="25">
        <f t="shared" si="5"/>
        <v>-0.146137215428782</v>
      </c>
      <c r="R66" s="33">
        <f>1734981.82/10000</f>
        <v>173.498182</v>
      </c>
      <c r="S66" s="33">
        <f>3663225.87/10000</f>
        <v>366.322587</v>
      </c>
      <c r="T66" s="23">
        <f t="shared" si="6"/>
        <v>-0.526378694197199</v>
      </c>
      <c r="U66" s="28" t="e">
        <f>R66/#REF!</f>
        <v>#REF!</v>
      </c>
      <c r="V66" s="28" t="e">
        <f>S66/#REF!</f>
        <v>#REF!</v>
      </c>
    </row>
    <row r="67" ht="25" hidden="1" customHeight="1" spans="1:22">
      <c r="A67" s="18" t="s">
        <v>321</v>
      </c>
      <c r="B67" s="19">
        <f>SUM(B68:B97)</f>
        <v>180135</v>
      </c>
      <c r="C67" s="19">
        <f>SUM(C68:C97)</f>
        <v>127902</v>
      </c>
      <c r="D67" s="20">
        <f t="shared" si="0"/>
        <v>0.408382980719613</v>
      </c>
      <c r="E67" s="7">
        <f>SUM(E68:E97)</f>
        <v>827</v>
      </c>
      <c r="F67" s="34">
        <f t="shared" si="7"/>
        <v>217.817412333736</v>
      </c>
      <c r="G67" s="21">
        <f>AVERAGEA(G68:G97)</f>
        <v>0.951023333333333</v>
      </c>
      <c r="H67" s="22">
        <f>AVERAGEA(H68:H97)</f>
        <v>10.2403333333333</v>
      </c>
      <c r="I67" s="19">
        <f>SUM(I68:I97)</f>
        <v>92044</v>
      </c>
      <c r="J67" s="19">
        <f>SUM(J68:J97)</f>
        <v>63524</v>
      </c>
      <c r="K67" s="23">
        <f t="shared" si="1"/>
        <v>0.448964171021976</v>
      </c>
      <c r="L67" s="19">
        <f>SUM(L68:L97)</f>
        <v>16367</v>
      </c>
      <c r="M67" s="19">
        <f>SUM(M68:M97)</f>
        <v>11848</v>
      </c>
      <c r="N67" s="23">
        <f t="shared" si="2"/>
        <v>0.381414584740041</v>
      </c>
      <c r="O67" s="24">
        <f t="shared" si="3"/>
        <v>0.177817130937378</v>
      </c>
      <c r="P67" s="24">
        <f t="shared" si="4"/>
        <v>0.186512184371261</v>
      </c>
      <c r="Q67" s="25">
        <f t="shared" si="5"/>
        <v>-0.0466192247074624</v>
      </c>
      <c r="R67" s="26">
        <f>SUM(R68:R97)</f>
        <v>4850.179538</v>
      </c>
      <c r="S67" s="19">
        <f>SUM(S68:S97)</f>
        <v>3271.991493</v>
      </c>
      <c r="T67" s="23">
        <f t="shared" si="6"/>
        <v>0.48233256363176</v>
      </c>
      <c r="U67" s="27" t="e">
        <f>R67/#REF!</f>
        <v>#REF!</v>
      </c>
      <c r="V67" s="28" t="e">
        <f>S67/#REF!</f>
        <v>#REF!</v>
      </c>
    </row>
    <row r="68" ht="25" hidden="1" customHeight="1" spans="1:22">
      <c r="A68" s="29">
        <v>45809</v>
      </c>
      <c r="B68" s="30">
        <v>4564</v>
      </c>
      <c r="C68" s="30">
        <v>5926</v>
      </c>
      <c r="D68" s="20">
        <f t="shared" ref="D68:D131" si="8">(B68-C68)/C68</f>
        <v>-0.229834627067162</v>
      </c>
      <c r="E68" s="7">
        <v>27</v>
      </c>
      <c r="F68" s="35">
        <f t="shared" si="7"/>
        <v>169.037037037037</v>
      </c>
      <c r="G68" s="31">
        <v>0.916</v>
      </c>
      <c r="H68" s="32">
        <v>10.56</v>
      </c>
      <c r="I68" s="7">
        <v>2513</v>
      </c>
      <c r="J68" s="7">
        <v>2734</v>
      </c>
      <c r="K68" s="23">
        <f>(I68-J68)/J68</f>
        <v>-0.0808339429407462</v>
      </c>
      <c r="L68" s="30">
        <v>367</v>
      </c>
      <c r="M68" s="30">
        <v>454</v>
      </c>
      <c r="N68" s="23">
        <f t="shared" ref="N68:N131" si="9">(L68-M68)/M68</f>
        <v>-0.191629955947137</v>
      </c>
      <c r="O68" s="23">
        <f t="shared" ref="O68:O108" si="10">L68/I68</f>
        <v>0.146040588937525</v>
      </c>
      <c r="P68" s="23">
        <f t="shared" ref="P68:P131" si="11">M68/J68</f>
        <v>0.166057059253841</v>
      </c>
      <c r="Q68" s="25">
        <f t="shared" ref="Q68:Q131" si="12">(O68-P68)/P68</f>
        <v>-0.120539713314553</v>
      </c>
      <c r="R68" s="33">
        <v>116.66</v>
      </c>
      <c r="S68" s="33">
        <f>1395929.11/10000</f>
        <v>139.592911</v>
      </c>
      <c r="T68" s="23">
        <f t="shared" ref="T68:T75" si="13">(R68-S68)/S68</f>
        <v>-0.164284209246127</v>
      </c>
      <c r="U68" s="28" t="e">
        <f>R68/#REF!</f>
        <v>#REF!</v>
      </c>
      <c r="V68" s="28" t="e">
        <f>S68/#REF!</f>
        <v>#REF!</v>
      </c>
    </row>
    <row r="69" ht="25" hidden="1" customHeight="1" spans="1:22">
      <c r="A69" s="29">
        <v>45810</v>
      </c>
      <c r="B69" s="30">
        <v>4639</v>
      </c>
      <c r="C69" s="30">
        <v>5215</v>
      </c>
      <c r="D69" s="20">
        <f t="shared" si="8"/>
        <v>-0.110450623202301</v>
      </c>
      <c r="E69" s="7">
        <v>23</v>
      </c>
      <c r="F69" s="35">
        <f t="shared" si="7"/>
        <v>201.695652173913</v>
      </c>
      <c r="G69" s="31">
        <v>0.9189</v>
      </c>
      <c r="H69" s="7">
        <v>9.38</v>
      </c>
      <c r="I69" s="7">
        <v>2572</v>
      </c>
      <c r="J69" s="7">
        <v>2332</v>
      </c>
      <c r="K69" s="23">
        <f>(I69-J69)/J69</f>
        <v>0.102915951972556</v>
      </c>
      <c r="L69" s="30">
        <v>340</v>
      </c>
      <c r="M69" s="30">
        <v>392</v>
      </c>
      <c r="N69" s="23">
        <f t="shared" si="9"/>
        <v>-0.13265306122449</v>
      </c>
      <c r="O69" s="23">
        <f t="shared" si="10"/>
        <v>0.132192846034215</v>
      </c>
      <c r="P69" s="23">
        <f t="shared" si="11"/>
        <v>0.168096054888508</v>
      </c>
      <c r="Q69" s="25">
        <f t="shared" si="12"/>
        <v>-0.213587456755642</v>
      </c>
      <c r="R69" s="33">
        <v>94.95</v>
      </c>
      <c r="S69" s="33">
        <f>1154010.04/10000</f>
        <v>115.401004</v>
      </c>
      <c r="T69" s="23">
        <f t="shared" si="13"/>
        <v>-0.177216863728499</v>
      </c>
      <c r="U69" s="28" t="e">
        <f>R69/#REF!</f>
        <v>#REF!</v>
      </c>
      <c r="V69" s="28" t="e">
        <f>S69/#REF!</f>
        <v>#REF!</v>
      </c>
    </row>
    <row r="70" ht="25" hidden="1" customHeight="1" spans="1:22">
      <c r="A70" s="29">
        <v>45811</v>
      </c>
      <c r="B70" s="30">
        <v>5435</v>
      </c>
      <c r="C70" s="30">
        <v>5347</v>
      </c>
      <c r="D70" s="20">
        <f t="shared" si="8"/>
        <v>0.0164578268187769</v>
      </c>
      <c r="E70" s="7">
        <v>26</v>
      </c>
      <c r="F70" s="35">
        <f t="shared" si="7"/>
        <v>209.038461538462</v>
      </c>
      <c r="G70" s="31">
        <v>0.9475</v>
      </c>
      <c r="H70" s="7">
        <v>9.5</v>
      </c>
      <c r="I70" s="7">
        <v>2946</v>
      </c>
      <c r="J70" s="7">
        <v>2451</v>
      </c>
      <c r="K70" s="23">
        <f>(I70-J70)/J70</f>
        <v>0.201958384332925</v>
      </c>
      <c r="L70" s="30">
        <v>414</v>
      </c>
      <c r="M70" s="30">
        <v>383</v>
      </c>
      <c r="N70" s="23">
        <f t="shared" si="9"/>
        <v>0.0809399477806789</v>
      </c>
      <c r="O70" s="23">
        <f t="shared" si="10"/>
        <v>0.140529531568228</v>
      </c>
      <c r="P70" s="23">
        <f t="shared" si="11"/>
        <v>0.156262749898001</v>
      </c>
      <c r="Q70" s="25">
        <f t="shared" si="12"/>
        <v>-0.100684381530739</v>
      </c>
      <c r="R70" s="33">
        <v>112.24</v>
      </c>
      <c r="S70" s="33">
        <f>1117886.35/10000</f>
        <v>111.788635</v>
      </c>
      <c r="T70" s="23">
        <f t="shared" si="13"/>
        <v>0.0040376644727792</v>
      </c>
      <c r="U70" s="28" t="e">
        <f>R70/#REF!</f>
        <v>#REF!</v>
      </c>
      <c r="V70" s="28" t="e">
        <f>S70/#REF!</f>
        <v>#REF!</v>
      </c>
    </row>
    <row r="71" ht="25" hidden="1" customHeight="1" spans="1:22">
      <c r="A71" s="29">
        <v>45812</v>
      </c>
      <c r="B71" s="30">
        <v>5913</v>
      </c>
      <c r="C71" s="30">
        <v>4053</v>
      </c>
      <c r="D71" s="20">
        <f t="shared" si="8"/>
        <v>0.458919319022946</v>
      </c>
      <c r="E71" s="7">
        <v>28</v>
      </c>
      <c r="F71" s="35">
        <f t="shared" si="7"/>
        <v>211.178571428571</v>
      </c>
      <c r="G71" s="31">
        <v>0.9677</v>
      </c>
      <c r="H71" s="7">
        <v>9.58</v>
      </c>
      <c r="I71" s="7">
        <v>3206</v>
      </c>
      <c r="J71" s="7">
        <v>1837</v>
      </c>
      <c r="K71" s="23">
        <f>(I71-J71)/J71</f>
        <v>0.745236799129015</v>
      </c>
      <c r="L71" s="30">
        <v>451</v>
      </c>
      <c r="M71" s="30">
        <v>263</v>
      </c>
      <c r="N71" s="23">
        <f t="shared" si="9"/>
        <v>0.714828897338403</v>
      </c>
      <c r="O71" s="23">
        <f t="shared" si="10"/>
        <v>0.140673736743606</v>
      </c>
      <c r="P71" s="23">
        <f t="shared" si="11"/>
        <v>0.143168209036473</v>
      </c>
      <c r="Q71" s="25">
        <f t="shared" si="12"/>
        <v>-0.0174233673079707</v>
      </c>
      <c r="R71" s="33">
        <v>139.06</v>
      </c>
      <c r="S71" s="33">
        <f>793075.31/10000</f>
        <v>79.307531</v>
      </c>
      <c r="T71" s="23">
        <f t="shared" si="13"/>
        <v>0.753427426709324</v>
      </c>
      <c r="U71" s="28" t="e">
        <f>R71/#REF!</f>
        <v>#REF!</v>
      </c>
      <c r="V71" s="28" t="e">
        <f>S71/#REF!</f>
        <v>#REF!</v>
      </c>
    </row>
    <row r="72" ht="25" hidden="1" customHeight="1" spans="1:22">
      <c r="A72" s="29">
        <v>45813</v>
      </c>
      <c r="B72" s="30">
        <v>5455</v>
      </c>
      <c r="C72" s="30">
        <v>3780</v>
      </c>
      <c r="D72" s="20">
        <f t="shared" si="8"/>
        <v>0.443121693121693</v>
      </c>
      <c r="E72" s="7">
        <v>26</v>
      </c>
      <c r="F72" s="35">
        <f t="shared" si="7"/>
        <v>209.807692307692</v>
      </c>
      <c r="G72" s="31">
        <v>0.9801</v>
      </c>
      <c r="H72" s="7">
        <v>9.22</v>
      </c>
      <c r="I72" s="1">
        <v>2884</v>
      </c>
      <c r="J72" s="7">
        <v>1749</v>
      </c>
      <c r="K72" s="23">
        <f>(H72-J72)/J72</f>
        <v>-0.99472841623785</v>
      </c>
      <c r="L72" s="30">
        <v>381</v>
      </c>
      <c r="M72" s="30">
        <v>227</v>
      </c>
      <c r="N72" s="23">
        <f t="shared" si="9"/>
        <v>0.6784140969163</v>
      </c>
      <c r="O72" s="23">
        <f t="shared" si="10"/>
        <v>0.132108183079057</v>
      </c>
      <c r="P72" s="23">
        <f t="shared" si="11"/>
        <v>0.129788450543168</v>
      </c>
      <c r="Q72" s="25">
        <f t="shared" si="12"/>
        <v>0.0178731815210153</v>
      </c>
      <c r="R72" s="33">
        <v>116.39</v>
      </c>
      <c r="S72" s="33">
        <f>668678.85/10000</f>
        <v>66.867885</v>
      </c>
      <c r="T72" s="23">
        <f t="shared" si="13"/>
        <v>0.740596401396575</v>
      </c>
      <c r="U72" s="28" t="e">
        <f>R72/#REF!</f>
        <v>#REF!</v>
      </c>
      <c r="V72" s="28" t="e">
        <f>S72/#REF!</f>
        <v>#REF!</v>
      </c>
    </row>
    <row r="73" ht="25" hidden="1" customHeight="1" spans="1:22">
      <c r="A73" s="29">
        <v>45814</v>
      </c>
      <c r="B73" s="30">
        <v>4585</v>
      </c>
      <c r="C73" s="30">
        <v>3577</v>
      </c>
      <c r="D73" s="20">
        <f t="shared" si="8"/>
        <v>0.281800391389432</v>
      </c>
      <c r="E73" s="7">
        <v>26</v>
      </c>
      <c r="F73" s="35">
        <f t="shared" si="7"/>
        <v>176.346153846154</v>
      </c>
      <c r="G73" s="31">
        <v>0.9347</v>
      </c>
      <c r="H73" s="7">
        <v>9.07</v>
      </c>
      <c r="I73" s="7">
        <v>2436</v>
      </c>
      <c r="J73" s="7">
        <v>1652</v>
      </c>
      <c r="K73" s="23">
        <f t="shared" ref="K73:K108" si="14">(I73-J73)/J73</f>
        <v>0.474576271186441</v>
      </c>
      <c r="L73" s="30">
        <v>322</v>
      </c>
      <c r="M73" s="30">
        <v>233</v>
      </c>
      <c r="N73" s="23">
        <f t="shared" si="9"/>
        <v>0.381974248927039</v>
      </c>
      <c r="O73" s="23">
        <f t="shared" si="10"/>
        <v>0.132183908045977</v>
      </c>
      <c r="P73" s="23">
        <f t="shared" si="11"/>
        <v>0.141041162227603</v>
      </c>
      <c r="Q73" s="25">
        <f t="shared" si="12"/>
        <v>-0.0627990725667209</v>
      </c>
      <c r="R73" s="33">
        <v>97.43</v>
      </c>
      <c r="S73" s="33">
        <f>685137.69/10000</f>
        <v>68.513769</v>
      </c>
      <c r="T73" s="23">
        <f t="shared" si="13"/>
        <v>0.422049924008706</v>
      </c>
      <c r="U73" s="28" t="e">
        <f>R73/#REF!</f>
        <v>#REF!</v>
      </c>
      <c r="V73" s="28" t="e">
        <f>S73/#REF!</f>
        <v>#REF!</v>
      </c>
    </row>
    <row r="74" ht="25" hidden="1" customHeight="1" spans="1:22">
      <c r="A74" s="29">
        <v>45815</v>
      </c>
      <c r="B74" s="30">
        <v>4853</v>
      </c>
      <c r="C74" s="30">
        <v>3017</v>
      </c>
      <c r="D74" s="20">
        <f t="shared" si="8"/>
        <v>0.608551541266158</v>
      </c>
      <c r="E74" s="7">
        <v>28</v>
      </c>
      <c r="F74" s="35">
        <f t="shared" si="7"/>
        <v>173.321428571429</v>
      </c>
      <c r="G74" s="31">
        <v>0.9539</v>
      </c>
      <c r="H74" s="7">
        <v>9.19</v>
      </c>
      <c r="I74" s="7">
        <v>2732</v>
      </c>
      <c r="J74" s="7">
        <v>1478</v>
      </c>
      <c r="K74" s="23">
        <f t="shared" si="14"/>
        <v>0.848443843031123</v>
      </c>
      <c r="L74" s="30">
        <v>381</v>
      </c>
      <c r="M74" s="30">
        <v>185</v>
      </c>
      <c r="N74" s="23">
        <f t="shared" si="9"/>
        <v>1.05945945945946</v>
      </c>
      <c r="O74" s="23">
        <f t="shared" si="10"/>
        <v>0.139458272327965</v>
      </c>
      <c r="P74" s="23">
        <f t="shared" si="11"/>
        <v>0.125169147496617</v>
      </c>
      <c r="Q74" s="25">
        <f t="shared" si="12"/>
        <v>0.114158521625579</v>
      </c>
      <c r="R74" s="33">
        <v>115.23</v>
      </c>
      <c r="S74" s="33">
        <f>585233.32/10000</f>
        <v>58.523332</v>
      </c>
      <c r="T74" s="23">
        <f t="shared" si="13"/>
        <v>0.968958295129198</v>
      </c>
      <c r="U74" s="28" t="e">
        <f>R74/#REF!</f>
        <v>#REF!</v>
      </c>
      <c r="V74" s="28" t="e">
        <f>S74/#REF!</f>
        <v>#REF!</v>
      </c>
    </row>
    <row r="75" ht="25" hidden="1" customHeight="1" spans="1:22">
      <c r="A75" s="29">
        <v>45816</v>
      </c>
      <c r="B75" s="30">
        <v>5643</v>
      </c>
      <c r="C75" s="30">
        <v>3143</v>
      </c>
      <c r="D75" s="20">
        <f t="shared" si="8"/>
        <v>0.795418390073178</v>
      </c>
      <c r="E75" s="7">
        <v>27</v>
      </c>
      <c r="F75" s="35">
        <f t="shared" si="7"/>
        <v>209</v>
      </c>
      <c r="G75" s="31">
        <v>0.9683</v>
      </c>
      <c r="H75" s="7">
        <v>9.07</v>
      </c>
      <c r="I75" s="7">
        <v>3281</v>
      </c>
      <c r="J75" s="7">
        <v>1532</v>
      </c>
      <c r="K75" s="23">
        <f t="shared" si="14"/>
        <v>1.14164490861619</v>
      </c>
      <c r="L75" s="30">
        <v>436</v>
      </c>
      <c r="M75" s="30">
        <v>185</v>
      </c>
      <c r="N75" s="23">
        <f t="shared" si="9"/>
        <v>1.35675675675676</v>
      </c>
      <c r="O75" s="23">
        <f t="shared" si="10"/>
        <v>0.132886315147821</v>
      </c>
      <c r="P75" s="23">
        <f t="shared" si="11"/>
        <v>0.120757180156658</v>
      </c>
      <c r="Q75" s="25">
        <f t="shared" si="12"/>
        <v>0.100442350305197</v>
      </c>
      <c r="R75" s="33">
        <v>122.3</v>
      </c>
      <c r="S75" s="33">
        <f>561166.52/10000</f>
        <v>56.116652</v>
      </c>
      <c r="T75" s="23">
        <f t="shared" si="13"/>
        <v>1.17938874899379</v>
      </c>
      <c r="U75" s="28" t="e">
        <f>R75/#REF!</f>
        <v>#REF!</v>
      </c>
      <c r="V75" s="28" t="e">
        <f>S75/#REF!</f>
        <v>#REF!</v>
      </c>
    </row>
    <row r="76" ht="25" hidden="1" customHeight="1" spans="1:22">
      <c r="A76" s="29">
        <v>45817</v>
      </c>
      <c r="B76" s="30">
        <v>4993</v>
      </c>
      <c r="C76" s="30">
        <v>3015</v>
      </c>
      <c r="D76" s="20">
        <f t="shared" si="8"/>
        <v>0.656053067993366</v>
      </c>
      <c r="E76" s="7">
        <v>30</v>
      </c>
      <c r="F76" s="35">
        <f t="shared" si="7"/>
        <v>166.433333333333</v>
      </c>
      <c r="G76" s="31">
        <v>0.9259</v>
      </c>
      <c r="H76" s="7">
        <v>9.63</v>
      </c>
      <c r="I76" s="7">
        <v>2913</v>
      </c>
      <c r="J76" s="7">
        <v>1638</v>
      </c>
      <c r="K76" s="23">
        <f t="shared" si="14"/>
        <v>0.778388278388278</v>
      </c>
      <c r="L76" s="30">
        <v>450</v>
      </c>
      <c r="M76" s="30">
        <v>221</v>
      </c>
      <c r="N76" s="23">
        <f t="shared" si="9"/>
        <v>1.03619909502262</v>
      </c>
      <c r="O76" s="23">
        <f t="shared" si="10"/>
        <v>0.154479917610711</v>
      </c>
      <c r="P76" s="23">
        <f t="shared" si="11"/>
        <v>0.134920634920635</v>
      </c>
      <c r="Q76" s="25">
        <f t="shared" si="12"/>
        <v>0.144968801114679</v>
      </c>
      <c r="R76" s="36">
        <v>136.7</v>
      </c>
      <c r="S76" s="33">
        <f>666228.22/10000</f>
        <v>66.622822</v>
      </c>
      <c r="T76" s="23">
        <f>(R75-S76)/S76</f>
        <v>0.83570728961316</v>
      </c>
      <c r="U76" s="28" t="e">
        <f>R75/#REF!</f>
        <v>#REF!</v>
      </c>
      <c r="V76" s="28" t="e">
        <f>S76/#REF!</f>
        <v>#REF!</v>
      </c>
    </row>
    <row r="77" ht="25" hidden="1" customHeight="1" spans="1:22">
      <c r="A77" s="29">
        <v>45818</v>
      </c>
      <c r="B77" s="30">
        <v>5926</v>
      </c>
      <c r="C77" s="30">
        <v>2974</v>
      </c>
      <c r="D77" s="20">
        <f t="shared" si="8"/>
        <v>0.992602555480834</v>
      </c>
      <c r="E77" s="7">
        <v>32</v>
      </c>
      <c r="F77" s="35">
        <f t="shared" si="7"/>
        <v>185.1875</v>
      </c>
      <c r="G77" s="31">
        <v>0.9572</v>
      </c>
      <c r="H77" s="7">
        <v>9.33</v>
      </c>
      <c r="I77" s="7">
        <v>3374</v>
      </c>
      <c r="J77" s="7">
        <v>1608</v>
      </c>
      <c r="K77" s="23">
        <f t="shared" si="14"/>
        <v>1.09825870646766</v>
      </c>
      <c r="L77" s="30">
        <v>584</v>
      </c>
      <c r="M77" s="30">
        <v>237</v>
      </c>
      <c r="N77" s="23">
        <f t="shared" si="9"/>
        <v>1.46413502109705</v>
      </c>
      <c r="O77" s="23">
        <f t="shared" si="10"/>
        <v>0.173088322465916</v>
      </c>
      <c r="P77" s="23">
        <f t="shared" si="11"/>
        <v>0.147388059701493</v>
      </c>
      <c r="Q77" s="25">
        <f t="shared" si="12"/>
        <v>0.174371403059884</v>
      </c>
      <c r="R77" s="33">
        <v>178.08</v>
      </c>
      <c r="S77" s="33">
        <f>706697.58/10000</f>
        <v>70.669758</v>
      </c>
      <c r="T77" s="23">
        <f t="shared" ref="T77:T140" si="15">(R77-S77)/S77</f>
        <v>1.51988976670898</v>
      </c>
      <c r="U77" s="28" t="e">
        <f>R77/#REF!</f>
        <v>#REF!</v>
      </c>
      <c r="V77" s="28" t="e">
        <f>S77/#REF!</f>
        <v>#REF!</v>
      </c>
    </row>
    <row r="78" ht="25" hidden="1" customHeight="1" spans="1:22">
      <c r="A78" s="29">
        <v>45819</v>
      </c>
      <c r="B78" s="30">
        <v>6348</v>
      </c>
      <c r="C78" s="30">
        <v>4158</v>
      </c>
      <c r="D78" s="20">
        <f t="shared" si="8"/>
        <v>0.526695526695527</v>
      </c>
      <c r="E78" s="7">
        <v>32</v>
      </c>
      <c r="F78" s="35">
        <f t="shared" si="7"/>
        <v>198.375</v>
      </c>
      <c r="G78" s="31">
        <v>0.9599</v>
      </c>
      <c r="H78" s="7">
        <v>9.66</v>
      </c>
      <c r="I78" s="7">
        <v>3519</v>
      </c>
      <c r="J78" s="7">
        <v>2337</v>
      </c>
      <c r="K78" s="23">
        <f t="shared" si="14"/>
        <v>0.505776636713736</v>
      </c>
      <c r="L78" s="30">
        <v>580</v>
      </c>
      <c r="M78" s="30">
        <v>369</v>
      </c>
      <c r="N78" s="23">
        <f t="shared" si="9"/>
        <v>0.571815718157182</v>
      </c>
      <c r="O78" s="23">
        <f t="shared" si="10"/>
        <v>0.164819551008809</v>
      </c>
      <c r="P78" s="23">
        <f t="shared" si="11"/>
        <v>0.157894736842105</v>
      </c>
      <c r="Q78" s="25">
        <f t="shared" si="12"/>
        <v>0.0438571563891258</v>
      </c>
      <c r="R78" s="33">
        <v>170.07</v>
      </c>
      <c r="S78" s="33">
        <f>1074505.96/10000</f>
        <v>107.450596</v>
      </c>
      <c r="T78" s="23">
        <f t="shared" si="15"/>
        <v>0.582773910346668</v>
      </c>
      <c r="U78" s="28" t="e">
        <f>R78/#REF!</f>
        <v>#REF!</v>
      </c>
      <c r="V78" s="28" t="e">
        <f>S78/#REF!</f>
        <v>#REF!</v>
      </c>
    </row>
    <row r="79" ht="25" hidden="1" customHeight="1" spans="1:22">
      <c r="A79" s="29">
        <v>45820</v>
      </c>
      <c r="B79" s="30">
        <v>5704</v>
      </c>
      <c r="C79" s="30">
        <v>3830</v>
      </c>
      <c r="D79" s="20">
        <f t="shared" si="8"/>
        <v>0.489295039164491</v>
      </c>
      <c r="E79" s="7">
        <v>36</v>
      </c>
      <c r="F79" s="35">
        <f t="shared" si="7"/>
        <v>158.444444444444</v>
      </c>
      <c r="G79" s="31">
        <v>0.942</v>
      </c>
      <c r="H79" s="7">
        <v>9.64</v>
      </c>
      <c r="I79" s="7">
        <v>3206</v>
      </c>
      <c r="J79" s="7">
        <v>2238</v>
      </c>
      <c r="K79" s="23">
        <f t="shared" si="14"/>
        <v>0.432529043789097</v>
      </c>
      <c r="L79" s="30">
        <v>547</v>
      </c>
      <c r="M79" s="30">
        <v>341</v>
      </c>
      <c r="N79" s="23">
        <f t="shared" si="9"/>
        <v>0.604105571847507</v>
      </c>
      <c r="O79" s="23">
        <f t="shared" si="10"/>
        <v>0.170617592014972</v>
      </c>
      <c r="P79" s="23">
        <f t="shared" si="11"/>
        <v>0.15236818588025</v>
      </c>
      <c r="Q79" s="25">
        <f t="shared" si="12"/>
        <v>0.119771762256619</v>
      </c>
      <c r="R79" s="33">
        <v>164.1</v>
      </c>
      <c r="S79" s="33">
        <f>995086.48/10000</f>
        <v>99.508648</v>
      </c>
      <c r="T79" s="23">
        <f t="shared" si="15"/>
        <v>0.649102900081609</v>
      </c>
      <c r="U79" s="28" t="e">
        <f>R79/#REF!</f>
        <v>#REF!</v>
      </c>
      <c r="V79" s="28" t="e">
        <f>S79/#REF!</f>
        <v>#REF!</v>
      </c>
    </row>
    <row r="80" ht="25" hidden="1" customHeight="1" spans="1:22">
      <c r="A80" s="29">
        <v>45821</v>
      </c>
      <c r="B80" s="30">
        <v>6217</v>
      </c>
      <c r="C80" s="30">
        <v>3812</v>
      </c>
      <c r="D80" s="20">
        <f t="shared" si="8"/>
        <v>0.63090241343127</v>
      </c>
      <c r="E80" s="7">
        <v>32</v>
      </c>
      <c r="F80" s="35">
        <f t="shared" si="7"/>
        <v>194.28125</v>
      </c>
      <c r="G80" s="31">
        <v>0.9472</v>
      </c>
      <c r="H80" s="7">
        <v>10.18</v>
      </c>
      <c r="I80" s="7">
        <v>3489</v>
      </c>
      <c r="J80" s="7">
        <v>2254</v>
      </c>
      <c r="K80" s="23">
        <f t="shared" si="14"/>
        <v>0.547914818101153</v>
      </c>
      <c r="L80" s="30">
        <v>553</v>
      </c>
      <c r="M80" s="30">
        <v>364</v>
      </c>
      <c r="N80" s="23">
        <f t="shared" si="9"/>
        <v>0.519230769230769</v>
      </c>
      <c r="O80" s="23">
        <f t="shared" si="10"/>
        <v>0.158498137002006</v>
      </c>
      <c r="P80" s="23">
        <f t="shared" si="11"/>
        <v>0.161490683229814</v>
      </c>
      <c r="Q80" s="25">
        <f t="shared" si="12"/>
        <v>-0.0185307670260379</v>
      </c>
      <c r="R80" s="33">
        <v>161.37</v>
      </c>
      <c r="S80" s="33">
        <f>1046669.5/10000</f>
        <v>104.66695</v>
      </c>
      <c r="T80" s="23">
        <f t="shared" si="15"/>
        <v>0.541747418836605</v>
      </c>
      <c r="U80" s="28" t="e">
        <f>R80/#REF!</f>
        <v>#REF!</v>
      </c>
      <c r="V80" s="28" t="e">
        <f>S80/#REF!</f>
        <v>#REF!</v>
      </c>
    </row>
    <row r="81" ht="25" hidden="1" customHeight="1" spans="1:22">
      <c r="A81" s="29">
        <v>45822</v>
      </c>
      <c r="B81" s="30">
        <v>9724</v>
      </c>
      <c r="C81" s="30">
        <v>4187</v>
      </c>
      <c r="D81" s="20">
        <f t="shared" si="8"/>
        <v>1.32242655839503</v>
      </c>
      <c r="E81" s="7">
        <v>35</v>
      </c>
      <c r="F81" s="35">
        <f t="shared" si="7"/>
        <v>277.828571428571</v>
      </c>
      <c r="G81" s="31">
        <v>0.9481</v>
      </c>
      <c r="H81" s="7">
        <v>9.75</v>
      </c>
      <c r="I81" s="7">
        <v>5330</v>
      </c>
      <c r="J81" s="7">
        <v>2581</v>
      </c>
      <c r="K81" s="23">
        <f t="shared" si="14"/>
        <v>1.06509104998063</v>
      </c>
      <c r="L81" s="30">
        <v>1387</v>
      </c>
      <c r="M81" s="30">
        <v>480</v>
      </c>
      <c r="N81" s="23">
        <f t="shared" si="9"/>
        <v>1.88958333333333</v>
      </c>
      <c r="O81" s="23">
        <f t="shared" si="10"/>
        <v>0.260225140712946</v>
      </c>
      <c r="P81" s="23">
        <f t="shared" si="11"/>
        <v>0.185974428516079</v>
      </c>
      <c r="Q81" s="25">
        <f t="shared" si="12"/>
        <v>0.399252267041901</v>
      </c>
      <c r="R81" s="33">
        <v>402.65</v>
      </c>
      <c r="S81" s="33">
        <f>1407304.59/10000</f>
        <v>140.730459</v>
      </c>
      <c r="T81" s="23">
        <f t="shared" si="15"/>
        <v>1.86114322983911</v>
      </c>
      <c r="U81" s="28" t="e">
        <f>R81/#REF!</f>
        <v>#REF!</v>
      </c>
      <c r="V81" s="28" t="e">
        <f>S81/#REF!</f>
        <v>#REF!</v>
      </c>
    </row>
    <row r="82" ht="25" hidden="1" customHeight="1" spans="1:22">
      <c r="A82" s="29">
        <v>45823</v>
      </c>
      <c r="B82" s="30">
        <v>8623</v>
      </c>
      <c r="C82" s="30">
        <v>8780</v>
      </c>
      <c r="D82" s="20">
        <f t="shared" si="8"/>
        <v>-0.0178815489749431</v>
      </c>
      <c r="E82" s="7">
        <v>35</v>
      </c>
      <c r="F82" s="35">
        <f t="shared" si="7"/>
        <v>246.371428571429</v>
      </c>
      <c r="G82" s="31">
        <v>0.9593</v>
      </c>
      <c r="H82" s="7">
        <v>10.18</v>
      </c>
      <c r="I82" s="30">
        <v>4698</v>
      </c>
      <c r="J82" s="7">
        <v>4506</v>
      </c>
      <c r="K82" s="23">
        <f t="shared" si="14"/>
        <v>0.0426098535286285</v>
      </c>
      <c r="L82" s="30">
        <v>964</v>
      </c>
      <c r="M82" s="30">
        <v>1213</v>
      </c>
      <c r="N82" s="23">
        <f t="shared" si="9"/>
        <v>-0.205276174773289</v>
      </c>
      <c r="O82" s="23">
        <f t="shared" si="10"/>
        <v>0.205193699446573</v>
      </c>
      <c r="P82" s="23">
        <f t="shared" si="11"/>
        <v>0.269196626719929</v>
      </c>
      <c r="Q82" s="25">
        <f t="shared" si="12"/>
        <v>-0.237755309393027</v>
      </c>
      <c r="R82" s="33">
        <v>297.93</v>
      </c>
      <c r="S82" s="33">
        <f>3478807.05/10000</f>
        <v>347.880705</v>
      </c>
      <c r="T82" s="23">
        <f t="shared" si="15"/>
        <v>-0.143585730056515</v>
      </c>
      <c r="U82" s="28" t="e">
        <f>R82/#REF!</f>
        <v>#REF!</v>
      </c>
      <c r="V82" s="28" t="e">
        <f>S82/#REF!</f>
        <v>#REF!</v>
      </c>
    </row>
    <row r="83" ht="25" hidden="1" customHeight="1" spans="1:22">
      <c r="A83" s="29">
        <v>45824</v>
      </c>
      <c r="B83" s="30">
        <v>7728</v>
      </c>
      <c r="C83" s="30">
        <v>5671</v>
      </c>
      <c r="D83" s="20">
        <f t="shared" si="8"/>
        <v>0.36272262387586</v>
      </c>
      <c r="E83" s="7">
        <v>35</v>
      </c>
      <c r="F83" s="35">
        <f t="shared" si="7"/>
        <v>220.8</v>
      </c>
      <c r="G83" s="31">
        <v>0.9331</v>
      </c>
      <c r="H83" s="7">
        <v>10.11</v>
      </c>
      <c r="I83" s="7">
        <v>4321</v>
      </c>
      <c r="J83" s="7">
        <v>2971</v>
      </c>
      <c r="K83" s="23">
        <f t="shared" si="14"/>
        <v>0.454392460451027</v>
      </c>
      <c r="L83" s="30">
        <v>807</v>
      </c>
      <c r="M83" s="30">
        <v>623</v>
      </c>
      <c r="N83" s="23">
        <f t="shared" si="9"/>
        <v>0.295345104333868</v>
      </c>
      <c r="O83" s="23">
        <f t="shared" si="10"/>
        <v>0.186762323536218</v>
      </c>
      <c r="P83" s="23">
        <f t="shared" si="11"/>
        <v>0.209693705822955</v>
      </c>
      <c r="Q83" s="25">
        <f t="shared" si="12"/>
        <v>-0.109356559829687</v>
      </c>
      <c r="R83" s="33">
        <v>265.73</v>
      </c>
      <c r="S83" s="33">
        <f>1860227.59/10000</f>
        <v>186.022759</v>
      </c>
      <c r="T83" s="23">
        <f t="shared" si="15"/>
        <v>0.428481124720874</v>
      </c>
      <c r="U83" s="28" t="e">
        <f>R83/#REF!</f>
        <v>#REF!</v>
      </c>
      <c r="V83" s="28" t="e">
        <f>S83/#REF!</f>
        <v>#REF!</v>
      </c>
    </row>
    <row r="84" ht="25" hidden="1" customHeight="1" spans="1:22">
      <c r="A84" s="29">
        <v>45825</v>
      </c>
      <c r="B84" s="30">
        <v>12947</v>
      </c>
      <c r="C84" s="30">
        <v>9176</v>
      </c>
      <c r="D84" s="20">
        <f t="shared" si="8"/>
        <v>0.410963382737576</v>
      </c>
      <c r="E84" s="7">
        <v>50</v>
      </c>
      <c r="F84" s="35">
        <f t="shared" si="7"/>
        <v>258.94</v>
      </c>
      <c r="G84" s="31">
        <v>0.962</v>
      </c>
      <c r="H84" s="7">
        <v>10.01</v>
      </c>
      <c r="I84" s="7">
        <v>7252</v>
      </c>
      <c r="J84" s="7">
        <v>4881</v>
      </c>
      <c r="K84" s="23">
        <f t="shared" si="14"/>
        <v>0.485761114525712</v>
      </c>
      <c r="L84" s="30">
        <v>2315</v>
      </c>
      <c r="M84" s="30">
        <v>1318</v>
      </c>
      <c r="N84" s="23">
        <f t="shared" si="9"/>
        <v>0.756449165402124</v>
      </c>
      <c r="O84" s="23">
        <f t="shared" si="10"/>
        <v>0.319222283507998</v>
      </c>
      <c r="P84" s="23">
        <f t="shared" si="11"/>
        <v>0.270026633886499</v>
      </c>
      <c r="Q84" s="25">
        <f t="shared" si="12"/>
        <v>0.182188137938192</v>
      </c>
      <c r="R84" s="33">
        <f>6889160.07/10000</f>
        <v>688.916007</v>
      </c>
      <c r="S84" s="33">
        <f>3839250.72/10000</f>
        <v>383.925072</v>
      </c>
      <c r="T84" s="23">
        <f t="shared" si="15"/>
        <v>0.794402234298468</v>
      </c>
      <c r="U84" s="28" t="e">
        <f>R84/#REF!</f>
        <v>#REF!</v>
      </c>
      <c r="V84" s="28" t="e">
        <f>S84/#REF!</f>
        <v>#REF!</v>
      </c>
    </row>
    <row r="85" ht="25" hidden="1" customHeight="1" spans="1:22">
      <c r="A85" s="29">
        <v>45826</v>
      </c>
      <c r="B85" s="30">
        <v>16129</v>
      </c>
      <c r="C85" s="30">
        <v>11815</v>
      </c>
      <c r="D85" s="20">
        <f t="shared" si="8"/>
        <v>0.365129073212019</v>
      </c>
      <c r="E85" s="7">
        <v>49</v>
      </c>
      <c r="F85" s="35">
        <f t="shared" si="7"/>
        <v>329.163265306122</v>
      </c>
      <c r="G85" s="31">
        <v>0.8788</v>
      </c>
      <c r="H85" s="7">
        <v>12.26</v>
      </c>
      <c r="I85" s="30">
        <v>8298</v>
      </c>
      <c r="J85" s="7">
        <v>6863</v>
      </c>
      <c r="K85" s="23">
        <f t="shared" si="14"/>
        <v>0.209092233717033</v>
      </c>
      <c r="L85" s="30">
        <v>3043</v>
      </c>
      <c r="M85" s="30">
        <v>2442</v>
      </c>
      <c r="N85" s="23">
        <f t="shared" si="9"/>
        <v>0.246109746109746</v>
      </c>
      <c r="O85" s="23">
        <f t="shared" si="10"/>
        <v>0.366714871053266</v>
      </c>
      <c r="P85" s="23">
        <f t="shared" si="11"/>
        <v>0.355821069503133</v>
      </c>
      <c r="Q85" s="25">
        <f t="shared" si="12"/>
        <v>0.0306159541517459</v>
      </c>
      <c r="R85" s="33">
        <f>8173318.07/10000</f>
        <v>817.331807</v>
      </c>
      <c r="S85" s="33">
        <f>5761265.32/10000</f>
        <v>576.126532</v>
      </c>
      <c r="T85" s="23">
        <f t="shared" si="15"/>
        <v>0.418667187853102</v>
      </c>
      <c r="U85" s="28" t="e">
        <f>R85/#REF!</f>
        <v>#REF!</v>
      </c>
      <c r="V85" s="28" t="e">
        <f>S85/#REF!</f>
        <v>#REF!</v>
      </c>
    </row>
    <row r="86" ht="25" hidden="1" customHeight="1" spans="1:22">
      <c r="A86" s="29">
        <v>45827</v>
      </c>
      <c r="B86" s="30">
        <v>8097</v>
      </c>
      <c r="C86" s="30">
        <v>4246</v>
      </c>
      <c r="D86" s="20">
        <f t="shared" si="8"/>
        <v>0.906971267074894</v>
      </c>
      <c r="E86" s="7">
        <v>29</v>
      </c>
      <c r="F86" s="35">
        <f t="shared" si="7"/>
        <v>279.206896551724</v>
      </c>
      <c r="G86" s="31">
        <v>0.9598</v>
      </c>
      <c r="H86" s="7">
        <v>11.46</v>
      </c>
      <c r="I86" s="7">
        <v>3440</v>
      </c>
      <c r="J86" s="7">
        <v>1730</v>
      </c>
      <c r="K86" s="23">
        <f t="shared" si="14"/>
        <v>0.988439306358382</v>
      </c>
      <c r="L86" s="30">
        <v>439</v>
      </c>
      <c r="M86" s="30">
        <v>216</v>
      </c>
      <c r="N86" s="23">
        <f t="shared" si="9"/>
        <v>1.03240740740741</v>
      </c>
      <c r="O86" s="23">
        <f t="shared" si="10"/>
        <v>0.127616279069767</v>
      </c>
      <c r="P86" s="23">
        <f t="shared" si="11"/>
        <v>0.12485549132948</v>
      </c>
      <c r="Q86" s="25">
        <f t="shared" si="12"/>
        <v>0.0221118647717485</v>
      </c>
      <c r="R86" s="33">
        <f>1249890/10000</f>
        <v>124.989</v>
      </c>
      <c r="S86" s="33">
        <f>523968.75/10000</f>
        <v>52.396875</v>
      </c>
      <c r="T86" s="23">
        <f t="shared" si="15"/>
        <v>1.38542852030775</v>
      </c>
      <c r="U86" s="28" t="e">
        <f>R86/#REF!</f>
        <v>#REF!</v>
      </c>
      <c r="V86" s="28" t="e">
        <f>S86/#REF!</f>
        <v>#REF!</v>
      </c>
    </row>
    <row r="87" ht="25" hidden="1" customHeight="1" spans="1:22">
      <c r="A87" s="29">
        <v>45828</v>
      </c>
      <c r="B87" s="30">
        <v>6003</v>
      </c>
      <c r="C87" s="30">
        <v>3853</v>
      </c>
      <c r="D87" s="20">
        <f t="shared" si="8"/>
        <v>0.55800674798858</v>
      </c>
      <c r="E87" s="7">
        <v>26</v>
      </c>
      <c r="F87" s="35">
        <f t="shared" si="7"/>
        <v>230.884615384615</v>
      </c>
      <c r="G87" s="31">
        <v>0.9603</v>
      </c>
      <c r="H87" s="7">
        <v>11.14</v>
      </c>
      <c r="I87" s="7">
        <v>2485</v>
      </c>
      <c r="J87" s="7">
        <v>1651</v>
      </c>
      <c r="K87" s="23">
        <f t="shared" si="14"/>
        <v>0.505148394912174</v>
      </c>
      <c r="L87" s="30">
        <v>406</v>
      </c>
      <c r="M87" s="30">
        <v>298</v>
      </c>
      <c r="N87" s="23">
        <f t="shared" si="9"/>
        <v>0.36241610738255</v>
      </c>
      <c r="O87" s="23">
        <f t="shared" si="10"/>
        <v>0.163380281690141</v>
      </c>
      <c r="P87" s="23">
        <f t="shared" si="11"/>
        <v>0.180496668685645</v>
      </c>
      <c r="Q87" s="25">
        <f t="shared" si="12"/>
        <v>-0.0948293789583136</v>
      </c>
      <c r="R87" s="33">
        <f>1146070.75/10000</f>
        <v>114.607075</v>
      </c>
      <c r="S87" s="33">
        <f>722249.34/10000</f>
        <v>72.224934</v>
      </c>
      <c r="T87" s="23">
        <f t="shared" si="15"/>
        <v>0.58680761134375</v>
      </c>
      <c r="U87" s="28" t="e">
        <f>R87/#REF!</f>
        <v>#REF!</v>
      </c>
      <c r="V87" s="28" t="e">
        <f>S87/#REF!</f>
        <v>#REF!</v>
      </c>
    </row>
    <row r="88" ht="25" hidden="1" customHeight="1" spans="1:22">
      <c r="A88" s="29">
        <v>45829</v>
      </c>
      <c r="B88" s="30">
        <v>5264</v>
      </c>
      <c r="C88" s="30">
        <v>3013</v>
      </c>
      <c r="D88" s="20">
        <f t="shared" si="8"/>
        <v>0.74709591769001</v>
      </c>
      <c r="E88" s="7">
        <v>22</v>
      </c>
      <c r="F88" s="35">
        <f t="shared" si="7"/>
        <v>239.272727272727</v>
      </c>
      <c r="G88" s="31">
        <v>0.9763</v>
      </c>
      <c r="H88" s="7">
        <v>11.38</v>
      </c>
      <c r="I88" s="7">
        <v>2103</v>
      </c>
      <c r="J88" s="7">
        <v>1197</v>
      </c>
      <c r="K88" s="23">
        <f t="shared" si="14"/>
        <v>0.756892230576441</v>
      </c>
      <c r="L88" s="30">
        <v>109</v>
      </c>
      <c r="M88" s="30">
        <v>130</v>
      </c>
      <c r="N88" s="23">
        <f t="shared" si="9"/>
        <v>-0.161538461538462</v>
      </c>
      <c r="O88" s="23">
        <f t="shared" si="10"/>
        <v>0.0518307180218735</v>
      </c>
      <c r="P88" s="23">
        <f t="shared" si="11"/>
        <v>0.108604845446951</v>
      </c>
      <c r="Q88" s="25">
        <f t="shared" si="12"/>
        <v>-0.522758696367826</v>
      </c>
      <c r="R88" s="33">
        <f>341241.76/10000</f>
        <v>34.124176</v>
      </c>
      <c r="S88" s="33">
        <f>325795.3/10000</f>
        <v>32.57953</v>
      </c>
      <c r="T88" s="23">
        <f t="shared" si="15"/>
        <v>0.0474115495220465</v>
      </c>
      <c r="U88" s="28" t="e">
        <f>R88/#REF!</f>
        <v>#REF!</v>
      </c>
      <c r="V88" s="28" t="e">
        <f>S88/#REF!</f>
        <v>#REF!</v>
      </c>
    </row>
    <row r="89" ht="25" hidden="1" customHeight="1" spans="1:22">
      <c r="A89" s="29">
        <v>45830</v>
      </c>
      <c r="B89" s="30">
        <v>4410</v>
      </c>
      <c r="C89" s="30">
        <v>3215</v>
      </c>
      <c r="D89" s="20">
        <f t="shared" si="8"/>
        <v>0.371695178849145</v>
      </c>
      <c r="E89" s="7">
        <v>22</v>
      </c>
      <c r="F89" s="35">
        <f t="shared" si="7"/>
        <v>200.454545454545</v>
      </c>
      <c r="G89" s="31">
        <v>0.9489</v>
      </c>
      <c r="H89" s="7">
        <v>11.41</v>
      </c>
      <c r="I89" s="7">
        <v>1749</v>
      </c>
      <c r="J89" s="7">
        <v>1251</v>
      </c>
      <c r="K89" s="23">
        <f t="shared" si="14"/>
        <v>0.398081534772182</v>
      </c>
      <c r="L89" s="30">
        <v>81</v>
      </c>
      <c r="M89" s="30">
        <v>138</v>
      </c>
      <c r="N89" s="23">
        <f t="shared" si="9"/>
        <v>-0.41304347826087</v>
      </c>
      <c r="O89" s="23">
        <f t="shared" si="10"/>
        <v>0.0463121783876501</v>
      </c>
      <c r="P89" s="23">
        <f t="shared" si="11"/>
        <v>0.11031175059952</v>
      </c>
      <c r="Q89" s="25">
        <f t="shared" si="12"/>
        <v>-0.580170035051085</v>
      </c>
      <c r="R89" s="33">
        <f>240665.35/10000</f>
        <v>24.066535</v>
      </c>
      <c r="S89" s="33">
        <f>358056.2/10000</f>
        <v>35.80562</v>
      </c>
      <c r="T89" s="23">
        <f t="shared" si="15"/>
        <v>-0.327855934347737</v>
      </c>
      <c r="U89" s="28" t="e">
        <f>R89/#REF!</f>
        <v>#REF!</v>
      </c>
      <c r="V89" s="28" t="e">
        <f>S89/#REF!</f>
        <v>#REF!</v>
      </c>
    </row>
    <row r="90" ht="25" hidden="1" customHeight="1" spans="1:22">
      <c r="A90" s="29">
        <v>45831</v>
      </c>
      <c r="B90" s="30">
        <v>4261</v>
      </c>
      <c r="C90" s="30">
        <v>3042</v>
      </c>
      <c r="D90" s="20">
        <f t="shared" si="8"/>
        <v>0.400723208415516</v>
      </c>
      <c r="E90" s="7">
        <v>19</v>
      </c>
      <c r="F90" s="35">
        <f t="shared" si="7"/>
        <v>224.263157894737</v>
      </c>
      <c r="G90" s="31">
        <v>0.9578</v>
      </c>
      <c r="H90" s="7">
        <v>10.63</v>
      </c>
      <c r="I90" s="7">
        <v>1707</v>
      </c>
      <c r="J90" s="7">
        <v>1282</v>
      </c>
      <c r="K90" s="23">
        <f t="shared" si="14"/>
        <v>0.331513260530421</v>
      </c>
      <c r="L90" s="30">
        <v>119</v>
      </c>
      <c r="M90" s="30">
        <v>146</v>
      </c>
      <c r="N90" s="23">
        <f t="shared" si="9"/>
        <v>-0.184931506849315</v>
      </c>
      <c r="O90" s="23">
        <f t="shared" si="10"/>
        <v>0.0697129466900996</v>
      </c>
      <c r="P90" s="23">
        <f t="shared" si="11"/>
        <v>0.113884555382215</v>
      </c>
      <c r="Q90" s="25">
        <f t="shared" si="12"/>
        <v>-0.387863029748578</v>
      </c>
      <c r="R90" s="33">
        <f>459092.52/10000</f>
        <v>45.909252</v>
      </c>
      <c r="S90" s="33">
        <f>378882.71/10000</f>
        <v>37.888271</v>
      </c>
      <c r="T90" s="23">
        <f t="shared" si="15"/>
        <v>0.211700898148664</v>
      </c>
      <c r="U90" s="28" t="e">
        <f>R90/#REF!</f>
        <v>#REF!</v>
      </c>
      <c r="V90" s="28" t="e">
        <f>S90/#REF!</f>
        <v>#REF!</v>
      </c>
    </row>
    <row r="91" ht="25" hidden="1" customHeight="1" spans="1:22">
      <c r="A91" s="29">
        <v>45832</v>
      </c>
      <c r="B91" s="30">
        <v>3409</v>
      </c>
      <c r="C91" s="30">
        <v>3150</v>
      </c>
      <c r="D91" s="20">
        <f t="shared" si="8"/>
        <v>0.0822222222222222</v>
      </c>
      <c r="E91" s="7">
        <v>18</v>
      </c>
      <c r="F91" s="35">
        <f t="shared" si="7"/>
        <v>189.388888888889</v>
      </c>
      <c r="G91" s="31">
        <v>0.939</v>
      </c>
      <c r="H91" s="7">
        <v>10.88</v>
      </c>
      <c r="I91" s="7">
        <v>1355</v>
      </c>
      <c r="J91" s="7">
        <v>1537</v>
      </c>
      <c r="K91" s="23">
        <f t="shared" si="14"/>
        <v>-0.118412491867274</v>
      </c>
      <c r="L91" s="30">
        <v>82</v>
      </c>
      <c r="M91" s="30">
        <v>125</v>
      </c>
      <c r="N91" s="23">
        <f t="shared" si="9"/>
        <v>-0.344</v>
      </c>
      <c r="O91" s="23">
        <f t="shared" si="10"/>
        <v>0.0605166051660517</v>
      </c>
      <c r="P91" s="23">
        <f t="shared" si="11"/>
        <v>0.081327260897853</v>
      </c>
      <c r="Q91" s="25">
        <f t="shared" si="12"/>
        <v>-0.255887822878229</v>
      </c>
      <c r="R91" s="33">
        <f>329844.27/10000</f>
        <v>32.984427</v>
      </c>
      <c r="S91" s="33">
        <f>333264.51/10000</f>
        <v>33.326451</v>
      </c>
      <c r="T91" s="23">
        <f t="shared" si="15"/>
        <v>-0.0102628389683616</v>
      </c>
      <c r="U91" s="28" t="e">
        <f>R91/#REF!</f>
        <v>#REF!</v>
      </c>
      <c r="V91" s="28" t="e">
        <f>S91/#REF!</f>
        <v>#REF!</v>
      </c>
    </row>
    <row r="92" ht="25" hidden="1" customHeight="1" spans="1:22">
      <c r="A92" s="29">
        <v>45833</v>
      </c>
      <c r="B92" s="30">
        <v>3767</v>
      </c>
      <c r="C92" s="30">
        <v>2634</v>
      </c>
      <c r="D92" s="20">
        <f t="shared" si="8"/>
        <v>0.430144267274108</v>
      </c>
      <c r="E92" s="7">
        <v>19</v>
      </c>
      <c r="F92" s="35">
        <f t="shared" si="7"/>
        <v>198.263157894737</v>
      </c>
      <c r="G92" s="31">
        <v>0.9693</v>
      </c>
      <c r="H92" s="7">
        <v>11.29</v>
      </c>
      <c r="I92" s="7">
        <v>1581</v>
      </c>
      <c r="J92" s="7">
        <v>1168</v>
      </c>
      <c r="K92" s="23">
        <f t="shared" si="14"/>
        <v>0.353595890410959</v>
      </c>
      <c r="L92" s="30">
        <v>94</v>
      </c>
      <c r="M92" s="30">
        <v>146</v>
      </c>
      <c r="N92" s="23">
        <f t="shared" si="9"/>
        <v>-0.356164383561644</v>
      </c>
      <c r="O92" s="23">
        <f t="shared" si="10"/>
        <v>0.0594560404807084</v>
      </c>
      <c r="P92" s="23">
        <f t="shared" si="11"/>
        <v>0.125</v>
      </c>
      <c r="Q92" s="25">
        <f t="shared" si="12"/>
        <v>-0.524351676154333</v>
      </c>
      <c r="R92" s="33">
        <f>381854.43/10000</f>
        <v>38.185443</v>
      </c>
      <c r="S92" s="33">
        <f>382061.3/10000</f>
        <v>38.20613</v>
      </c>
      <c r="T92" s="23">
        <f t="shared" si="15"/>
        <v>-0.000541457614262485</v>
      </c>
      <c r="U92" s="28" t="e">
        <f>R92/#REF!</f>
        <v>#REF!</v>
      </c>
      <c r="V92" s="28" t="e">
        <f>S92/#REF!</f>
        <v>#REF!</v>
      </c>
    </row>
    <row r="93" ht="25" hidden="1" customHeight="1" spans="1:22">
      <c r="A93" s="29">
        <v>45834</v>
      </c>
      <c r="B93" s="30">
        <v>4186</v>
      </c>
      <c r="C93" s="30">
        <v>2335</v>
      </c>
      <c r="D93" s="20">
        <f t="shared" si="8"/>
        <v>0.79271948608137</v>
      </c>
      <c r="E93" s="7">
        <v>20</v>
      </c>
      <c r="F93" s="35">
        <f t="shared" si="7"/>
        <v>209.3</v>
      </c>
      <c r="G93" s="31">
        <v>0.9851</v>
      </c>
      <c r="H93" s="7">
        <v>10.65</v>
      </c>
      <c r="I93" s="7">
        <v>1794</v>
      </c>
      <c r="J93" s="7">
        <v>1031</v>
      </c>
      <c r="K93" s="23">
        <f t="shared" si="14"/>
        <v>0.740058195926285</v>
      </c>
      <c r="L93" s="30">
        <v>122</v>
      </c>
      <c r="M93" s="30">
        <v>104</v>
      </c>
      <c r="N93" s="23">
        <f t="shared" si="9"/>
        <v>0.173076923076923</v>
      </c>
      <c r="O93" s="23">
        <f t="shared" si="10"/>
        <v>0.0680044593088071</v>
      </c>
      <c r="P93" s="23">
        <f t="shared" si="11"/>
        <v>0.100872938894277</v>
      </c>
      <c r="Q93" s="25">
        <f t="shared" si="12"/>
        <v>-0.325840408198268</v>
      </c>
      <c r="R93" s="33">
        <f>415474.93/10000</f>
        <v>41.547493</v>
      </c>
      <c r="S93" s="33">
        <f>297296.6/10000</f>
        <v>29.72966</v>
      </c>
      <c r="T93" s="23">
        <f t="shared" si="15"/>
        <v>0.397509860523127</v>
      </c>
      <c r="U93" s="28" t="e">
        <f>R93/#REF!</f>
        <v>#REF!</v>
      </c>
      <c r="V93" s="28" t="e">
        <f>S93/#REF!</f>
        <v>#REF!</v>
      </c>
    </row>
    <row r="94" ht="25" hidden="1" customHeight="1" spans="1:22">
      <c r="A94" s="29">
        <v>45835</v>
      </c>
      <c r="B94" s="30">
        <v>3586</v>
      </c>
      <c r="C94" s="30">
        <v>2358</v>
      </c>
      <c r="D94" s="20">
        <f t="shared" si="8"/>
        <v>0.52078032230704</v>
      </c>
      <c r="E94" s="7">
        <v>20</v>
      </c>
      <c r="F94" s="35">
        <f t="shared" si="7"/>
        <v>179.3</v>
      </c>
      <c r="G94" s="31">
        <v>0.9619</v>
      </c>
      <c r="H94" s="7">
        <v>10.21</v>
      </c>
      <c r="I94" s="7">
        <v>1503</v>
      </c>
      <c r="J94" s="7">
        <v>1018</v>
      </c>
      <c r="K94" s="23">
        <f t="shared" si="14"/>
        <v>0.476424361493124</v>
      </c>
      <c r="L94" s="30">
        <v>138</v>
      </c>
      <c r="M94" s="30">
        <v>125</v>
      </c>
      <c r="N94" s="23">
        <f t="shared" si="9"/>
        <v>0.104</v>
      </c>
      <c r="O94" s="23">
        <f t="shared" si="10"/>
        <v>0.0918163672654691</v>
      </c>
      <c r="P94" s="23">
        <f t="shared" si="11"/>
        <v>0.12278978388998</v>
      </c>
      <c r="Q94" s="25">
        <f t="shared" si="12"/>
        <v>-0.25224750499002</v>
      </c>
      <c r="R94" s="33">
        <f>453243.34/10000</f>
        <v>45.324334</v>
      </c>
      <c r="S94" s="33">
        <f>308300.8/10000</f>
        <v>30.83008</v>
      </c>
      <c r="T94" s="23">
        <f t="shared" si="15"/>
        <v>0.470133518952919</v>
      </c>
      <c r="U94" s="28" t="e">
        <f>R94/#REF!</f>
        <v>#REF!</v>
      </c>
      <c r="V94" s="28" t="e">
        <f>S94/#REF!</f>
        <v>#REF!</v>
      </c>
    </row>
    <row r="95" ht="25" hidden="1" customHeight="1" spans="1:22">
      <c r="A95" s="29">
        <v>45836</v>
      </c>
      <c r="B95" s="30">
        <v>3750</v>
      </c>
      <c r="C95" s="30">
        <v>2871</v>
      </c>
      <c r="D95" s="20">
        <f t="shared" si="8"/>
        <v>0.306165099268548</v>
      </c>
      <c r="E95" s="7">
        <v>19</v>
      </c>
      <c r="F95" s="35">
        <f t="shared" si="7"/>
        <v>197.368421052632</v>
      </c>
      <c r="G95" s="31">
        <v>0.9638</v>
      </c>
      <c r="H95" s="7">
        <v>10.4</v>
      </c>
      <c r="I95" s="7">
        <v>1676</v>
      </c>
      <c r="J95" s="7">
        <v>1352</v>
      </c>
      <c r="K95" s="23">
        <f t="shared" si="14"/>
        <v>0.239644970414201</v>
      </c>
      <c r="L95" s="30">
        <v>141</v>
      </c>
      <c r="M95" s="30">
        <v>155</v>
      </c>
      <c r="N95" s="23">
        <f t="shared" si="9"/>
        <v>-0.0903225806451613</v>
      </c>
      <c r="O95" s="23">
        <f t="shared" si="10"/>
        <v>0.0841288782816229</v>
      </c>
      <c r="P95" s="23">
        <f t="shared" si="11"/>
        <v>0.114644970414201</v>
      </c>
      <c r="Q95" s="25">
        <f t="shared" si="12"/>
        <v>-0.266179074601586</v>
      </c>
      <c r="R95" s="33">
        <f>467251.42/10000</f>
        <v>46.725142</v>
      </c>
      <c r="S95" s="33">
        <f>413416.6/10000</f>
        <v>41.34166</v>
      </c>
      <c r="T95" s="23">
        <f t="shared" si="15"/>
        <v>0.130219299370175</v>
      </c>
      <c r="U95" s="28" t="e">
        <f>R95/#REF!</f>
        <v>#REF!</v>
      </c>
      <c r="V95" s="28" t="e">
        <f>S95/#REF!</f>
        <v>#REF!</v>
      </c>
    </row>
    <row r="96" ht="25" hidden="1" customHeight="1" spans="1:22">
      <c r="A96" s="29">
        <v>45837</v>
      </c>
      <c r="B96" s="30">
        <v>3481</v>
      </c>
      <c r="C96" s="30">
        <v>2779</v>
      </c>
      <c r="D96" s="20">
        <f t="shared" si="8"/>
        <v>0.252608852105074</v>
      </c>
      <c r="E96" s="7">
        <v>18</v>
      </c>
      <c r="F96" s="35">
        <f t="shared" si="7"/>
        <v>193.388888888889</v>
      </c>
      <c r="G96" s="31">
        <v>0.933</v>
      </c>
      <c r="H96" s="7">
        <v>10.79</v>
      </c>
      <c r="I96" s="7">
        <v>1600</v>
      </c>
      <c r="J96" s="7">
        <v>1214</v>
      </c>
      <c r="K96" s="23">
        <f t="shared" si="14"/>
        <v>0.317957166392092</v>
      </c>
      <c r="L96" s="30">
        <v>161</v>
      </c>
      <c r="M96" s="30">
        <v>165</v>
      </c>
      <c r="N96" s="23">
        <f t="shared" si="9"/>
        <v>-0.0242424242424242</v>
      </c>
      <c r="O96" s="23">
        <f t="shared" si="10"/>
        <v>0.100625</v>
      </c>
      <c r="P96" s="23">
        <f t="shared" si="11"/>
        <v>0.135914332784185</v>
      </c>
      <c r="Q96" s="25">
        <f t="shared" si="12"/>
        <v>-0.259643939393939</v>
      </c>
      <c r="R96" s="33">
        <f>539143.42/10000</f>
        <v>53.914342</v>
      </c>
      <c r="S96" s="33">
        <f>436127.48/10000</f>
        <v>43.612748</v>
      </c>
      <c r="T96" s="23">
        <f t="shared" si="15"/>
        <v>0.236206028567611</v>
      </c>
      <c r="U96" s="28" t="e">
        <f>R96/#REF!</f>
        <v>#REF!</v>
      </c>
      <c r="V96" s="28" t="e">
        <f>S96/#REF!</f>
        <v>#REF!</v>
      </c>
    </row>
    <row r="97" ht="25" hidden="1" customHeight="1" spans="1:22">
      <c r="A97" s="29">
        <v>45838</v>
      </c>
      <c r="B97" s="30">
        <v>4495</v>
      </c>
      <c r="C97" s="30">
        <v>2930</v>
      </c>
      <c r="D97" s="20">
        <f t="shared" si="8"/>
        <v>0.534129692832764</v>
      </c>
      <c r="E97" s="7">
        <v>18</v>
      </c>
      <c r="F97" s="35">
        <f t="shared" si="7"/>
        <v>249.722222222222</v>
      </c>
      <c r="G97" s="31">
        <v>0.9749</v>
      </c>
      <c r="H97" s="7">
        <v>10.65</v>
      </c>
      <c r="I97" s="7">
        <v>2081</v>
      </c>
      <c r="J97" s="7">
        <v>1451</v>
      </c>
      <c r="K97" s="23">
        <f t="shared" si="14"/>
        <v>0.434183321847002</v>
      </c>
      <c r="L97" s="30">
        <v>153</v>
      </c>
      <c r="M97" s="30">
        <v>170</v>
      </c>
      <c r="N97" s="23">
        <f t="shared" si="9"/>
        <v>-0.1</v>
      </c>
      <c r="O97" s="23">
        <f t="shared" si="10"/>
        <v>0.0735223450264296</v>
      </c>
      <c r="P97" s="23">
        <f t="shared" si="11"/>
        <v>0.117160578911096</v>
      </c>
      <c r="Q97" s="25">
        <f t="shared" si="12"/>
        <v>-0.372465160980298</v>
      </c>
      <c r="R97" s="33">
        <f>506645.05/10000</f>
        <v>50.664505</v>
      </c>
      <c r="S97" s="33">
        <f>443335.14/10000</f>
        <v>44.333514</v>
      </c>
      <c r="T97" s="23">
        <f t="shared" si="15"/>
        <v>0.142803726318649</v>
      </c>
      <c r="U97" s="28" t="e">
        <f>R97/#REF!</f>
        <v>#REF!</v>
      </c>
      <c r="V97" s="28" t="e">
        <f>S97/#REF!</f>
        <v>#REF!</v>
      </c>
    </row>
    <row r="98" ht="25" customHeight="1" spans="1:22">
      <c r="A98" s="18" t="s">
        <v>322</v>
      </c>
      <c r="B98" s="19">
        <f>SUM(B100:B129)</f>
        <v>93414</v>
      </c>
      <c r="C98" s="19">
        <f>SUM(C100:C129)</f>
        <v>71220</v>
      </c>
      <c r="D98" s="20">
        <f t="shared" si="8"/>
        <v>0.311625947767481</v>
      </c>
      <c r="E98" s="18">
        <f>SUM(E100:E129)</f>
        <v>579</v>
      </c>
      <c r="F98" s="34">
        <f t="shared" si="7"/>
        <v>161.336787564767</v>
      </c>
      <c r="G98" s="21">
        <f>AVERAGEA(G100:G129)</f>
        <v>0.957403333333333</v>
      </c>
      <c r="H98" s="22">
        <f>AVERAGEA(H100:H129)</f>
        <v>9.27666666666667</v>
      </c>
      <c r="I98" s="19">
        <f>SUM(I100:I129)</f>
        <v>51329</v>
      </c>
      <c r="J98" s="19">
        <f>SUM(J100:J129)</f>
        <v>39905</v>
      </c>
      <c r="K98" s="23">
        <f t="shared" si="14"/>
        <v>0.286279914797644</v>
      </c>
      <c r="L98" s="19">
        <f>SUM(L100:L129)</f>
        <v>3886</v>
      </c>
      <c r="M98" s="19">
        <f>SUM(M100:M129)</f>
        <v>4566</v>
      </c>
      <c r="N98" s="23">
        <f t="shared" si="9"/>
        <v>-0.148926850635129</v>
      </c>
      <c r="O98" s="24">
        <f t="shared" si="10"/>
        <v>0.0757076896101619</v>
      </c>
      <c r="P98" s="24">
        <f t="shared" si="11"/>
        <v>0.114421751660193</v>
      </c>
      <c r="Q98" s="25">
        <f t="shared" si="12"/>
        <v>-0.338345301381185</v>
      </c>
      <c r="R98" s="26">
        <f>SUM(R100:R129)</f>
        <v>1327.702642</v>
      </c>
      <c r="S98" s="19">
        <f>SUM(S100:S129)</f>
        <v>1316.851735</v>
      </c>
      <c r="T98" s="23">
        <f t="shared" si="15"/>
        <v>0.00824003698487726</v>
      </c>
      <c r="U98" s="24" t="e">
        <f>R98/#REF!</f>
        <v>#REF!</v>
      </c>
      <c r="V98" s="28" t="e">
        <f>S98/#REF!</f>
        <v>#REF!</v>
      </c>
    </row>
    <row r="99" ht="25" hidden="1" customHeight="1" spans="1:22">
      <c r="A99" s="29">
        <v>45839</v>
      </c>
      <c r="B99" s="7">
        <v>3107</v>
      </c>
      <c r="C99" s="7">
        <v>2749</v>
      </c>
      <c r="D99" s="20">
        <f t="shared" si="8"/>
        <v>0.13022917424518</v>
      </c>
      <c r="E99" s="7">
        <v>19</v>
      </c>
      <c r="F99" s="35">
        <f t="shared" ref="F99:F162" si="16">B99/E99</f>
        <v>163.526315789474</v>
      </c>
      <c r="G99" s="31">
        <v>0.9712</v>
      </c>
      <c r="H99" s="7">
        <v>9.45</v>
      </c>
      <c r="I99" s="7">
        <v>1461</v>
      </c>
      <c r="J99" s="7">
        <v>1362</v>
      </c>
      <c r="K99" s="23">
        <f t="shared" si="14"/>
        <v>0.0726872246696035</v>
      </c>
      <c r="L99" s="30">
        <v>116</v>
      </c>
      <c r="M99" s="30">
        <v>145</v>
      </c>
      <c r="N99" s="23">
        <f t="shared" si="9"/>
        <v>-0.2</v>
      </c>
      <c r="O99" s="23">
        <f t="shared" si="10"/>
        <v>0.0793976728268309</v>
      </c>
      <c r="P99" s="23">
        <f t="shared" si="11"/>
        <v>0.106461086637298</v>
      </c>
      <c r="Q99" s="25">
        <f t="shared" si="12"/>
        <v>-0.254209445585216</v>
      </c>
      <c r="R99" s="33">
        <f>386367.19/10000</f>
        <v>38.636719</v>
      </c>
      <c r="S99" s="33">
        <f>391853.32/10000</f>
        <v>39.185332</v>
      </c>
      <c r="T99" s="23">
        <f t="shared" si="15"/>
        <v>-0.01400046833851</v>
      </c>
      <c r="U99" s="23" t="e">
        <f>R99/#REF!</f>
        <v>#REF!</v>
      </c>
      <c r="V99" s="28" t="e">
        <f>S99/#REF!</f>
        <v>#REF!</v>
      </c>
    </row>
    <row r="100" ht="25" hidden="1" customHeight="1" spans="1:22">
      <c r="A100" s="29">
        <v>45840</v>
      </c>
      <c r="B100" s="7">
        <v>3168</v>
      </c>
      <c r="C100" s="7">
        <v>2502</v>
      </c>
      <c r="D100" s="20">
        <f t="shared" si="8"/>
        <v>0.266187050359712</v>
      </c>
      <c r="E100" s="7">
        <v>19</v>
      </c>
      <c r="F100" s="35">
        <f t="shared" si="16"/>
        <v>166.736842105263</v>
      </c>
      <c r="G100" s="31">
        <v>0.9733</v>
      </c>
      <c r="H100" s="7">
        <v>9.35</v>
      </c>
      <c r="I100" s="7">
        <v>1535</v>
      </c>
      <c r="J100" s="7">
        <v>1219</v>
      </c>
      <c r="K100" s="23">
        <f t="shared" si="14"/>
        <v>0.259228876127974</v>
      </c>
      <c r="L100" s="30">
        <v>92</v>
      </c>
      <c r="M100" s="30">
        <v>136</v>
      </c>
      <c r="N100" s="23">
        <f t="shared" si="9"/>
        <v>-0.323529411764706</v>
      </c>
      <c r="O100" s="23">
        <f t="shared" si="10"/>
        <v>0.0599348534201954</v>
      </c>
      <c r="P100" s="23">
        <f t="shared" si="11"/>
        <v>0.111566858080394</v>
      </c>
      <c r="Q100" s="25">
        <f t="shared" si="12"/>
        <v>-0.462789806476336</v>
      </c>
      <c r="R100" s="33">
        <f>331313.16/10000</f>
        <v>33.131316</v>
      </c>
      <c r="S100" s="33">
        <f>390959.07/10000</f>
        <v>39.095907</v>
      </c>
      <c r="T100" s="23">
        <f t="shared" si="15"/>
        <v>-0.15256305474637</v>
      </c>
      <c r="U100" s="23" t="e">
        <f>R100/#REF!</f>
        <v>#REF!</v>
      </c>
      <c r="V100" s="28" t="e">
        <f>S100/#REF!</f>
        <v>#REF!</v>
      </c>
    </row>
    <row r="101" ht="25" hidden="1" customHeight="1" spans="1:22">
      <c r="A101" s="29">
        <v>45841</v>
      </c>
      <c r="B101" s="7">
        <v>3196</v>
      </c>
      <c r="C101" s="7">
        <v>2418</v>
      </c>
      <c r="D101" s="20">
        <f t="shared" si="8"/>
        <v>0.321753515301902</v>
      </c>
      <c r="E101" s="7">
        <v>18</v>
      </c>
      <c r="F101" s="35">
        <f t="shared" si="16"/>
        <v>177.555555555556</v>
      </c>
      <c r="G101" s="31">
        <v>0.9531</v>
      </c>
      <c r="H101" s="7">
        <v>9.4</v>
      </c>
      <c r="I101" s="7">
        <v>1496</v>
      </c>
      <c r="J101" s="7">
        <v>1180</v>
      </c>
      <c r="K101" s="23">
        <f t="shared" si="14"/>
        <v>0.267796610169492</v>
      </c>
      <c r="L101" s="30">
        <v>86</v>
      </c>
      <c r="M101" s="30">
        <v>140</v>
      </c>
      <c r="N101" s="23">
        <f t="shared" si="9"/>
        <v>-0.385714285714286</v>
      </c>
      <c r="O101" s="23">
        <f t="shared" si="10"/>
        <v>0.0574866310160428</v>
      </c>
      <c r="P101" s="23">
        <f t="shared" si="11"/>
        <v>0.11864406779661</v>
      </c>
      <c r="Q101" s="25">
        <f t="shared" si="12"/>
        <v>-0.515469824293354</v>
      </c>
      <c r="R101" s="33">
        <f>375927.49/10000</f>
        <v>37.592749</v>
      </c>
      <c r="S101" s="33">
        <f>398727.7/10000</f>
        <v>39.87277</v>
      </c>
      <c r="T101" s="23">
        <f t="shared" si="15"/>
        <v>-0.0571824079440682</v>
      </c>
      <c r="U101" s="23" t="e">
        <f>R101/#REF!</f>
        <v>#REF!</v>
      </c>
      <c r="V101" s="28" t="e">
        <f>S101/#REF!</f>
        <v>#REF!</v>
      </c>
    </row>
    <row r="102" ht="25" hidden="1" customHeight="1" spans="1:22">
      <c r="A102" s="29">
        <v>45842</v>
      </c>
      <c r="B102" s="7">
        <v>2752</v>
      </c>
      <c r="C102" s="7">
        <v>2281</v>
      </c>
      <c r="D102" s="20">
        <f t="shared" si="8"/>
        <v>0.20648838228847</v>
      </c>
      <c r="E102" s="7">
        <v>19</v>
      </c>
      <c r="F102" s="35">
        <f t="shared" si="16"/>
        <v>144.842105263158</v>
      </c>
      <c r="G102" s="31">
        <v>0.9505</v>
      </c>
      <c r="H102" s="7">
        <v>10.06</v>
      </c>
      <c r="I102" s="7">
        <v>1639</v>
      </c>
      <c r="J102" s="7">
        <v>1534</v>
      </c>
      <c r="K102" s="23">
        <f t="shared" si="14"/>
        <v>0.0684485006518905</v>
      </c>
      <c r="L102" s="30">
        <v>107</v>
      </c>
      <c r="M102" s="30">
        <v>154</v>
      </c>
      <c r="N102" s="23">
        <f t="shared" si="9"/>
        <v>-0.305194805194805</v>
      </c>
      <c r="O102" s="23">
        <f t="shared" si="10"/>
        <v>0.0652837095790116</v>
      </c>
      <c r="P102" s="23">
        <f t="shared" si="11"/>
        <v>0.100391134289439</v>
      </c>
      <c r="Q102" s="25">
        <f t="shared" si="12"/>
        <v>-0.349706425362313</v>
      </c>
      <c r="R102" s="33">
        <v>34.700942</v>
      </c>
      <c r="S102" s="33">
        <f>472078.07/10000</f>
        <v>47.207807</v>
      </c>
      <c r="T102" s="23">
        <f t="shared" si="15"/>
        <v>-0.264932132941486</v>
      </c>
      <c r="U102" s="23" t="e">
        <f>R102/#REF!</f>
        <v>#REF!</v>
      </c>
      <c r="V102" s="28" t="e">
        <f>S102/#REF!</f>
        <v>#REF!</v>
      </c>
    </row>
    <row r="103" ht="25" hidden="1" customHeight="1" spans="1:22">
      <c r="A103" s="29">
        <v>45843</v>
      </c>
      <c r="B103" s="7">
        <v>2921</v>
      </c>
      <c r="C103" s="7">
        <v>2397</v>
      </c>
      <c r="D103" s="20">
        <f t="shared" si="8"/>
        <v>0.218606591572799</v>
      </c>
      <c r="E103" s="7">
        <v>22</v>
      </c>
      <c r="F103" s="35">
        <f t="shared" si="16"/>
        <v>132.772727272727</v>
      </c>
      <c r="G103" s="31">
        <v>0.9427</v>
      </c>
      <c r="H103" s="7">
        <v>9.34</v>
      </c>
      <c r="I103" s="7">
        <v>1788</v>
      </c>
      <c r="J103" s="7">
        <v>1636</v>
      </c>
      <c r="K103" s="23">
        <f t="shared" si="14"/>
        <v>0.0929095354523227</v>
      </c>
      <c r="L103" s="30">
        <v>98</v>
      </c>
      <c r="M103" s="30">
        <v>137</v>
      </c>
      <c r="N103" s="23">
        <f t="shared" si="9"/>
        <v>-0.284671532846715</v>
      </c>
      <c r="O103" s="23">
        <f t="shared" si="10"/>
        <v>0.0548098434004474</v>
      </c>
      <c r="P103" s="23">
        <f t="shared" si="11"/>
        <v>0.0837408312958435</v>
      </c>
      <c r="Q103" s="25">
        <f t="shared" si="12"/>
        <v>-0.345482453991737</v>
      </c>
      <c r="R103" s="33">
        <v>32.093289</v>
      </c>
      <c r="S103" s="33">
        <f>394913.64/10000</f>
        <v>39.491364</v>
      </c>
      <c r="T103" s="23">
        <f t="shared" si="15"/>
        <v>-0.18733399535149</v>
      </c>
      <c r="U103" s="23" t="e">
        <f>R103/#REF!</f>
        <v>#REF!</v>
      </c>
      <c r="V103" s="28" t="e">
        <f>S103/#REF!</f>
        <v>#REF!</v>
      </c>
    </row>
    <row r="104" ht="25" hidden="1" customHeight="1" spans="1:22">
      <c r="A104" s="29">
        <v>45844</v>
      </c>
      <c r="B104" s="7">
        <v>2914</v>
      </c>
      <c r="C104" s="7">
        <v>2294</v>
      </c>
      <c r="D104" s="20">
        <f t="shared" si="8"/>
        <v>0.27027027027027</v>
      </c>
      <c r="E104" s="7">
        <v>21</v>
      </c>
      <c r="F104" s="35">
        <f t="shared" si="16"/>
        <v>138.761904761905</v>
      </c>
      <c r="G104" s="31">
        <v>0.9739</v>
      </c>
      <c r="H104" s="7">
        <v>9.48</v>
      </c>
      <c r="I104" s="7">
        <v>1846</v>
      </c>
      <c r="J104" s="7">
        <v>1711</v>
      </c>
      <c r="K104" s="23">
        <f t="shared" si="14"/>
        <v>0.0789012273524255</v>
      </c>
      <c r="L104" s="30">
        <v>97</v>
      </c>
      <c r="M104" s="30">
        <v>153</v>
      </c>
      <c r="N104" s="23">
        <f t="shared" si="9"/>
        <v>-0.366013071895425</v>
      </c>
      <c r="O104" s="23">
        <f t="shared" si="10"/>
        <v>0.052546045503792</v>
      </c>
      <c r="P104" s="23">
        <f t="shared" si="11"/>
        <v>0.0894213909994155</v>
      </c>
      <c r="Q104" s="25">
        <f t="shared" si="12"/>
        <v>-0.412377229692888</v>
      </c>
      <c r="R104" s="33">
        <v>39.109376</v>
      </c>
      <c r="S104" s="33">
        <f>403156.15/10000</f>
        <v>40.315615</v>
      </c>
      <c r="T104" s="23">
        <f t="shared" si="15"/>
        <v>-0.0299198958021601</v>
      </c>
      <c r="U104" s="23" t="e">
        <f>R104/#REF!</f>
        <v>#REF!</v>
      </c>
      <c r="V104" s="28" t="e">
        <f>S104/#REF!</f>
        <v>#REF!</v>
      </c>
    </row>
    <row r="105" ht="25" hidden="1" customHeight="1" spans="1:22">
      <c r="A105" s="29">
        <v>45845</v>
      </c>
      <c r="B105" s="7">
        <v>2893</v>
      </c>
      <c r="C105" s="7">
        <v>2244</v>
      </c>
      <c r="D105" s="20">
        <f t="shared" si="8"/>
        <v>0.28921568627451</v>
      </c>
      <c r="E105" s="37">
        <v>22</v>
      </c>
      <c r="F105" s="35">
        <f t="shared" si="16"/>
        <v>131.5</v>
      </c>
      <c r="G105" s="31">
        <v>0.9569</v>
      </c>
      <c r="H105" s="7">
        <v>10.11</v>
      </c>
      <c r="I105" s="7">
        <v>1590</v>
      </c>
      <c r="J105" s="7">
        <v>1131</v>
      </c>
      <c r="K105" s="23">
        <f t="shared" si="14"/>
        <v>0.405835543766578</v>
      </c>
      <c r="L105" s="30">
        <v>90</v>
      </c>
      <c r="M105" s="30">
        <v>129</v>
      </c>
      <c r="N105" s="23">
        <f t="shared" si="9"/>
        <v>-0.302325581395349</v>
      </c>
      <c r="O105" s="23">
        <f t="shared" si="10"/>
        <v>0.0566037735849057</v>
      </c>
      <c r="P105" s="23">
        <f t="shared" si="11"/>
        <v>0.114058355437666</v>
      </c>
      <c r="Q105" s="25">
        <f t="shared" si="12"/>
        <v>-0.503729706011409</v>
      </c>
      <c r="R105" s="33">
        <v>33.875701</v>
      </c>
      <c r="S105" s="33">
        <f>365734.84/10000</f>
        <v>36.573484</v>
      </c>
      <c r="T105" s="23">
        <f t="shared" si="15"/>
        <v>-0.0737633581750101</v>
      </c>
      <c r="U105" s="23" t="e">
        <f>R105/#REF!</f>
        <v>#REF!</v>
      </c>
      <c r="V105" s="28" t="e">
        <f>S105/#REF!</f>
        <v>#REF!</v>
      </c>
    </row>
    <row r="106" ht="25" hidden="1" customHeight="1" spans="1:22">
      <c r="A106" s="29">
        <v>45846</v>
      </c>
      <c r="B106" s="7">
        <v>3003</v>
      </c>
      <c r="C106" s="7">
        <v>2336</v>
      </c>
      <c r="D106" s="20">
        <f t="shared" si="8"/>
        <v>0.285530821917808</v>
      </c>
      <c r="E106" s="37">
        <v>19</v>
      </c>
      <c r="F106" s="35">
        <f t="shared" si="16"/>
        <v>158.052631578947</v>
      </c>
      <c r="G106" s="31">
        <v>0.9663</v>
      </c>
      <c r="H106" s="7">
        <v>9.39</v>
      </c>
      <c r="I106" s="7">
        <v>1818</v>
      </c>
      <c r="J106" s="7">
        <v>1228</v>
      </c>
      <c r="K106" s="23">
        <f t="shared" si="14"/>
        <v>0.480456026058632</v>
      </c>
      <c r="L106" s="30">
        <v>97</v>
      </c>
      <c r="M106" s="30">
        <v>159</v>
      </c>
      <c r="N106" s="23">
        <f t="shared" si="9"/>
        <v>-0.389937106918239</v>
      </c>
      <c r="O106" s="23">
        <f t="shared" si="10"/>
        <v>0.0533553355335534</v>
      </c>
      <c r="P106" s="23">
        <f t="shared" si="11"/>
        <v>0.129478827361564</v>
      </c>
      <c r="Q106" s="25">
        <f t="shared" si="12"/>
        <v>-0.587922314244003</v>
      </c>
      <c r="R106" s="33">
        <v>34.842458</v>
      </c>
      <c r="S106" s="33">
        <f>462189.46/10000</f>
        <v>46.218946</v>
      </c>
      <c r="T106" s="23">
        <f t="shared" si="15"/>
        <v>-0.246143388903763</v>
      </c>
      <c r="U106" s="23" t="e">
        <f>R106/#REF!</f>
        <v>#REF!</v>
      </c>
      <c r="V106" s="28" t="e">
        <f>S106/#REF!</f>
        <v>#REF!</v>
      </c>
    </row>
    <row r="107" ht="25" hidden="1" customHeight="1" spans="1:22">
      <c r="A107" s="29">
        <v>45847</v>
      </c>
      <c r="B107" s="7">
        <v>2829</v>
      </c>
      <c r="C107" s="7">
        <v>2514</v>
      </c>
      <c r="D107" s="20">
        <f t="shared" si="8"/>
        <v>0.125298329355609</v>
      </c>
      <c r="E107" s="37">
        <v>20</v>
      </c>
      <c r="F107" s="35">
        <f t="shared" si="16"/>
        <v>141.45</v>
      </c>
      <c r="G107" s="31">
        <v>0.9673</v>
      </c>
      <c r="H107" s="7">
        <v>9.15</v>
      </c>
      <c r="I107" s="7">
        <v>1595</v>
      </c>
      <c r="J107" s="7">
        <v>1331</v>
      </c>
      <c r="K107" s="23">
        <f t="shared" si="14"/>
        <v>0.198347107438017</v>
      </c>
      <c r="L107" s="30">
        <v>97</v>
      </c>
      <c r="M107" s="30">
        <v>184</v>
      </c>
      <c r="N107" s="23">
        <f t="shared" si="9"/>
        <v>-0.472826086956522</v>
      </c>
      <c r="O107" s="23">
        <f t="shared" si="10"/>
        <v>0.0608150470219436</v>
      </c>
      <c r="P107" s="23">
        <f t="shared" si="11"/>
        <v>0.13824192336589</v>
      </c>
      <c r="Q107" s="25">
        <f t="shared" si="12"/>
        <v>-0.560082458770615</v>
      </c>
      <c r="R107" s="33">
        <v>32.84193</v>
      </c>
      <c r="S107" s="33">
        <f>467179.54/10000</f>
        <v>46.717954</v>
      </c>
      <c r="T107" s="23">
        <f t="shared" si="15"/>
        <v>-0.297016945562299</v>
      </c>
      <c r="U107" s="23" t="e">
        <f>R107/#REF!</f>
        <v>#REF!</v>
      </c>
      <c r="V107" s="28" t="e">
        <f>S107/#REF!</f>
        <v>#REF!</v>
      </c>
    </row>
    <row r="108" ht="25" hidden="1" customHeight="1" spans="1:22">
      <c r="A108" s="29">
        <v>45848</v>
      </c>
      <c r="B108" s="7">
        <v>2584</v>
      </c>
      <c r="C108" s="7">
        <v>2480</v>
      </c>
      <c r="D108" s="20">
        <f t="shared" si="8"/>
        <v>0.0419354838709677</v>
      </c>
      <c r="E108" s="37">
        <v>20</v>
      </c>
      <c r="F108" s="35">
        <f t="shared" si="16"/>
        <v>129.2</v>
      </c>
      <c r="G108" s="31">
        <v>0.9341</v>
      </c>
      <c r="H108" s="7">
        <v>9.1</v>
      </c>
      <c r="I108" s="7">
        <v>1465</v>
      </c>
      <c r="J108" s="7">
        <v>1282</v>
      </c>
      <c r="K108" s="23">
        <f t="shared" si="14"/>
        <v>0.142745709828393</v>
      </c>
      <c r="L108" s="30">
        <v>87</v>
      </c>
      <c r="M108" s="30">
        <v>174</v>
      </c>
      <c r="N108" s="23">
        <f t="shared" si="9"/>
        <v>-0.5</v>
      </c>
      <c r="O108" s="23">
        <f t="shared" si="10"/>
        <v>0.0593856655290102</v>
      </c>
      <c r="P108" s="23">
        <f t="shared" si="11"/>
        <v>0.135725429017161</v>
      </c>
      <c r="Q108" s="25">
        <f t="shared" si="12"/>
        <v>-0.562457337883959</v>
      </c>
      <c r="R108" s="33">
        <v>31.372739</v>
      </c>
      <c r="S108" s="33">
        <f>466121.98/10000</f>
        <v>46.612198</v>
      </c>
      <c r="T108" s="23">
        <f t="shared" si="15"/>
        <v>-0.326941437089064</v>
      </c>
      <c r="U108" s="23" t="e">
        <f>R108/#REF!</f>
        <v>#REF!</v>
      </c>
      <c r="V108" s="28" t="e">
        <f>S108/#REF!</f>
        <v>#REF!</v>
      </c>
    </row>
    <row r="109" ht="25" hidden="1" customHeight="1" spans="1:22">
      <c r="A109" s="29">
        <v>45849</v>
      </c>
      <c r="B109" s="7">
        <v>2740</v>
      </c>
      <c r="C109" s="7">
        <v>2156</v>
      </c>
      <c r="D109" s="20">
        <f t="shared" si="8"/>
        <v>0.270871985157699</v>
      </c>
      <c r="E109" s="37">
        <v>19</v>
      </c>
      <c r="F109" s="35">
        <f t="shared" si="16"/>
        <v>144.210526315789</v>
      </c>
      <c r="G109" s="31">
        <v>0.938</v>
      </c>
      <c r="H109" s="7">
        <v>9.47</v>
      </c>
      <c r="I109" s="7">
        <v>1420</v>
      </c>
      <c r="J109" s="7">
        <v>1091</v>
      </c>
      <c r="K109" s="23">
        <f>(I112-J109)/J109</f>
        <v>0.623281393217232</v>
      </c>
      <c r="L109" s="30">
        <v>134</v>
      </c>
      <c r="M109" s="30">
        <v>137</v>
      </c>
      <c r="N109" s="23">
        <f t="shared" si="9"/>
        <v>-0.0218978102189781</v>
      </c>
      <c r="O109" s="23">
        <f>L109/I112</f>
        <v>0.0756634669678148</v>
      </c>
      <c r="P109" s="23">
        <f t="shared" si="11"/>
        <v>0.125572868927589</v>
      </c>
      <c r="Q109" s="25">
        <f t="shared" si="12"/>
        <v>-0.397453704657767</v>
      </c>
      <c r="R109" s="33">
        <f>428759.61/10000</f>
        <v>42.875961</v>
      </c>
      <c r="S109" s="33">
        <f>363631.95/10000</f>
        <v>36.363195</v>
      </c>
      <c r="T109" s="23">
        <f t="shared" si="15"/>
        <v>0.179103238865561</v>
      </c>
      <c r="U109" s="23" t="e">
        <f>R109/#REF!</f>
        <v>#REF!</v>
      </c>
      <c r="V109" s="28" t="e">
        <f>S109/#REF!</f>
        <v>#REF!</v>
      </c>
    </row>
    <row r="110" ht="25" hidden="1" customHeight="1" spans="1:22">
      <c r="A110" s="29">
        <v>45850</v>
      </c>
      <c r="B110" s="7">
        <v>2691</v>
      </c>
      <c r="C110" s="7">
        <v>2131</v>
      </c>
      <c r="D110" s="20">
        <f t="shared" si="8"/>
        <v>0.262787423744721</v>
      </c>
      <c r="E110" s="37">
        <v>20</v>
      </c>
      <c r="F110" s="35">
        <f t="shared" si="16"/>
        <v>134.55</v>
      </c>
      <c r="G110" s="31">
        <v>0.9429</v>
      </c>
      <c r="H110" s="7">
        <v>9.34</v>
      </c>
      <c r="I110" s="7">
        <v>1444</v>
      </c>
      <c r="J110" s="7">
        <v>1072</v>
      </c>
      <c r="K110" s="23">
        <f t="shared" ref="K110:K140" si="17">(I110-J110)/J110</f>
        <v>0.347014925373134</v>
      </c>
      <c r="L110" s="30">
        <v>141</v>
      </c>
      <c r="M110" s="30">
        <v>124</v>
      </c>
      <c r="N110" s="23">
        <f t="shared" si="9"/>
        <v>0.137096774193548</v>
      </c>
      <c r="O110" s="23">
        <f t="shared" ref="O110:O173" si="18">L110/I110</f>
        <v>0.0976454293628809</v>
      </c>
      <c r="P110" s="23">
        <f t="shared" si="11"/>
        <v>0.115671641791045</v>
      </c>
      <c r="Q110" s="25">
        <f t="shared" si="12"/>
        <v>-0.155839513895094</v>
      </c>
      <c r="R110" s="33">
        <f>447256.95/10000</f>
        <v>44.725695</v>
      </c>
      <c r="S110" s="33">
        <f>368843.78/10000</f>
        <v>36.884378</v>
      </c>
      <c r="T110" s="23">
        <f t="shared" si="15"/>
        <v>0.212591818682695</v>
      </c>
      <c r="U110" s="23" t="e">
        <f>R110/#REF!</f>
        <v>#REF!</v>
      </c>
      <c r="V110" s="28" t="e">
        <f>S110/#REF!</f>
        <v>#REF!</v>
      </c>
    </row>
    <row r="111" ht="25" hidden="1" customHeight="1" spans="1:22">
      <c r="A111" s="29">
        <v>45851</v>
      </c>
      <c r="B111" s="7">
        <v>3095</v>
      </c>
      <c r="C111" s="7">
        <v>2185</v>
      </c>
      <c r="D111" s="20">
        <f t="shared" si="8"/>
        <v>0.416475972540046</v>
      </c>
      <c r="E111" s="37">
        <v>19</v>
      </c>
      <c r="F111" s="35">
        <f t="shared" si="16"/>
        <v>162.894736842105</v>
      </c>
      <c r="G111" s="31">
        <v>0.9608</v>
      </c>
      <c r="H111" s="7">
        <v>9.03</v>
      </c>
      <c r="I111" s="7">
        <v>1656</v>
      </c>
      <c r="J111" s="7">
        <v>1164</v>
      </c>
      <c r="K111" s="23">
        <f t="shared" si="17"/>
        <v>0.422680412371134</v>
      </c>
      <c r="L111" s="30">
        <v>124</v>
      </c>
      <c r="M111" s="30">
        <v>135</v>
      </c>
      <c r="N111" s="23">
        <f t="shared" si="9"/>
        <v>-0.0814814814814815</v>
      </c>
      <c r="O111" s="23">
        <f t="shared" si="18"/>
        <v>0.0748792270531401</v>
      </c>
      <c r="P111" s="23">
        <f t="shared" si="11"/>
        <v>0.115979381443299</v>
      </c>
      <c r="Q111" s="25">
        <f t="shared" si="12"/>
        <v>-0.354374664519592</v>
      </c>
      <c r="R111" s="33">
        <f>401162.25/10000</f>
        <v>40.116225</v>
      </c>
      <c r="S111" s="33">
        <f>327111.67/10000</f>
        <v>32.711167</v>
      </c>
      <c r="T111" s="23">
        <f t="shared" si="15"/>
        <v>0.226377065666902</v>
      </c>
      <c r="U111" s="23" t="e">
        <f>R111/#REF!</f>
        <v>#REF!</v>
      </c>
      <c r="V111" s="28" t="e">
        <f>S111/#REF!</f>
        <v>#REF!</v>
      </c>
    </row>
    <row r="112" ht="25" hidden="1" customHeight="1" spans="1:22">
      <c r="A112" s="29">
        <v>45852</v>
      </c>
      <c r="B112" s="7">
        <v>3466</v>
      </c>
      <c r="C112" s="7">
        <v>2343</v>
      </c>
      <c r="D112" s="20">
        <f t="shared" si="8"/>
        <v>0.479300042680324</v>
      </c>
      <c r="E112" s="37">
        <v>19</v>
      </c>
      <c r="F112" s="35">
        <f t="shared" si="16"/>
        <v>182.421052631579</v>
      </c>
      <c r="G112" s="31">
        <v>0.9519</v>
      </c>
      <c r="H112" s="7">
        <v>9.29</v>
      </c>
      <c r="I112" s="7">
        <v>1771</v>
      </c>
      <c r="J112" s="7">
        <v>1266</v>
      </c>
      <c r="K112" s="23">
        <f t="shared" si="17"/>
        <v>0.398894154818325</v>
      </c>
      <c r="L112" s="30">
        <v>114</v>
      </c>
      <c r="M112" s="30">
        <v>164</v>
      </c>
      <c r="N112" s="23">
        <f t="shared" si="9"/>
        <v>-0.304878048780488</v>
      </c>
      <c r="O112" s="23">
        <f t="shared" si="18"/>
        <v>0.0643704121964992</v>
      </c>
      <c r="P112" s="23">
        <f t="shared" si="11"/>
        <v>0.129541864139021</v>
      </c>
      <c r="Q112" s="25">
        <f t="shared" si="12"/>
        <v>-0.503091818044098</v>
      </c>
      <c r="R112" s="33">
        <f>457199.99/10000</f>
        <v>45.719999</v>
      </c>
      <c r="S112" s="33">
        <f>486097.1/10000</f>
        <v>48.60971</v>
      </c>
      <c r="T112" s="23">
        <f t="shared" si="15"/>
        <v>-0.0594471968666342</v>
      </c>
      <c r="U112" s="23" t="e">
        <f>R112/#REF!</f>
        <v>#REF!</v>
      </c>
      <c r="V112" s="28" t="e">
        <f>S112/#REF!</f>
        <v>#REF!</v>
      </c>
    </row>
    <row r="113" ht="25" hidden="1" customHeight="1" spans="1:22">
      <c r="A113" s="29">
        <v>45853</v>
      </c>
      <c r="B113" s="7">
        <v>3648</v>
      </c>
      <c r="C113" s="7">
        <v>2671</v>
      </c>
      <c r="D113" s="20">
        <f t="shared" si="8"/>
        <v>0.365780606514414</v>
      </c>
      <c r="E113" s="37">
        <v>19</v>
      </c>
      <c r="F113" s="35">
        <f t="shared" si="16"/>
        <v>192</v>
      </c>
      <c r="G113" s="31">
        <v>0.9894</v>
      </c>
      <c r="H113" s="7">
        <v>9.05</v>
      </c>
      <c r="I113" s="7">
        <v>1871</v>
      </c>
      <c r="J113" s="7">
        <v>1392</v>
      </c>
      <c r="K113" s="23">
        <f t="shared" si="17"/>
        <v>0.344109195402299</v>
      </c>
      <c r="L113" s="30">
        <v>151</v>
      </c>
      <c r="M113" s="30">
        <v>173</v>
      </c>
      <c r="N113" s="23">
        <f t="shared" si="9"/>
        <v>-0.127167630057803</v>
      </c>
      <c r="O113" s="23">
        <f t="shared" si="18"/>
        <v>0.0807055050774987</v>
      </c>
      <c r="P113" s="23">
        <f t="shared" si="11"/>
        <v>0.124281609195402</v>
      </c>
      <c r="Q113" s="25">
        <f t="shared" si="12"/>
        <v>-0.350623912902438</v>
      </c>
      <c r="R113" s="33">
        <f>478063.43/10000</f>
        <v>47.806343</v>
      </c>
      <c r="S113" s="33">
        <f>485222.7/10000</f>
        <v>48.52227</v>
      </c>
      <c r="T113" s="23">
        <f t="shared" si="15"/>
        <v>-0.0147546064930598</v>
      </c>
      <c r="U113" s="23" t="e">
        <f>R113/#REF!</f>
        <v>#REF!</v>
      </c>
      <c r="V113" s="28" t="e">
        <f>S113/#REF!</f>
        <v>#REF!</v>
      </c>
    </row>
    <row r="114" ht="25" hidden="1" customHeight="1" spans="1:22">
      <c r="A114" s="29">
        <v>45854</v>
      </c>
      <c r="B114" s="7">
        <v>3393</v>
      </c>
      <c r="C114" s="7">
        <v>2617</v>
      </c>
      <c r="D114" s="20">
        <f t="shared" si="8"/>
        <v>0.296522735957203</v>
      </c>
      <c r="E114" s="37">
        <v>19</v>
      </c>
      <c r="F114" s="35">
        <f t="shared" si="16"/>
        <v>178.578947368421</v>
      </c>
      <c r="G114" s="31">
        <v>0.9726</v>
      </c>
      <c r="H114" s="7">
        <v>9.06</v>
      </c>
      <c r="I114" s="7">
        <v>1721</v>
      </c>
      <c r="J114" s="7">
        <v>1418</v>
      </c>
      <c r="K114" s="23">
        <f t="shared" si="17"/>
        <v>0.213681241184767</v>
      </c>
      <c r="L114" s="30">
        <v>164</v>
      </c>
      <c r="M114" s="30">
        <v>192</v>
      </c>
      <c r="N114" s="23">
        <f t="shared" si="9"/>
        <v>-0.145833333333333</v>
      </c>
      <c r="O114" s="23">
        <f t="shared" si="18"/>
        <v>0.0952934340499709</v>
      </c>
      <c r="P114" s="23">
        <f t="shared" si="11"/>
        <v>0.13540197461213</v>
      </c>
      <c r="Q114" s="25">
        <f t="shared" si="12"/>
        <v>-0.296218283943444</v>
      </c>
      <c r="R114" s="33">
        <f>547031.71/10000</f>
        <v>54.703171</v>
      </c>
      <c r="S114" s="33">
        <f>518722.66/10000</f>
        <v>51.872266</v>
      </c>
      <c r="T114" s="23">
        <f t="shared" si="15"/>
        <v>0.0545745389260612</v>
      </c>
      <c r="U114" s="23" t="e">
        <f>R114/#REF!</f>
        <v>#REF!</v>
      </c>
      <c r="V114" s="28" t="e">
        <f>S114/#REF!</f>
        <v>#REF!</v>
      </c>
    </row>
    <row r="115" ht="25" hidden="1" customHeight="1" spans="1:22">
      <c r="A115" s="29">
        <v>45855</v>
      </c>
      <c r="B115" s="7">
        <v>3652</v>
      </c>
      <c r="C115" s="7">
        <v>2677</v>
      </c>
      <c r="D115" s="20">
        <f t="shared" si="8"/>
        <v>0.364213672020919</v>
      </c>
      <c r="E115" s="37">
        <v>20</v>
      </c>
      <c r="F115" s="35">
        <f t="shared" si="16"/>
        <v>182.6</v>
      </c>
      <c r="G115" s="31">
        <v>0.9731</v>
      </c>
      <c r="H115" s="7">
        <v>9.05</v>
      </c>
      <c r="I115" s="7">
        <v>1787</v>
      </c>
      <c r="J115" s="7">
        <v>1458</v>
      </c>
      <c r="K115" s="23">
        <f t="shared" si="17"/>
        <v>0.225651577503429</v>
      </c>
      <c r="L115" s="30">
        <v>175</v>
      </c>
      <c r="M115" s="30">
        <v>206</v>
      </c>
      <c r="N115" s="23">
        <f t="shared" si="9"/>
        <v>-0.150485436893204</v>
      </c>
      <c r="O115" s="23">
        <f t="shared" si="18"/>
        <v>0.097929490766648</v>
      </c>
      <c r="P115" s="23">
        <f t="shared" si="11"/>
        <v>0.141289437585734</v>
      </c>
      <c r="Q115" s="25">
        <f t="shared" si="12"/>
        <v>-0.306887390593336</v>
      </c>
      <c r="R115" s="33">
        <f>553501.17/10000</f>
        <v>55.350117</v>
      </c>
      <c r="S115" s="33">
        <f>529678.29/10000</f>
        <v>52.967829</v>
      </c>
      <c r="T115" s="23">
        <f t="shared" si="15"/>
        <v>0.0449761307000142</v>
      </c>
      <c r="U115" s="23" t="e">
        <f>R115/#REF!</f>
        <v>#REF!</v>
      </c>
      <c r="V115" s="28" t="e">
        <f>S115/#REF!</f>
        <v>#REF!</v>
      </c>
    </row>
    <row r="116" ht="25" hidden="1" customHeight="1" spans="1:22">
      <c r="A116" s="29">
        <v>45856</v>
      </c>
      <c r="B116" s="7">
        <v>3402</v>
      </c>
      <c r="C116" s="7">
        <v>2592</v>
      </c>
      <c r="D116" s="20">
        <f t="shared" si="8"/>
        <v>0.3125</v>
      </c>
      <c r="E116" s="37">
        <v>18</v>
      </c>
      <c r="F116" s="35">
        <f t="shared" si="16"/>
        <v>189</v>
      </c>
      <c r="G116" s="31">
        <v>0.9243</v>
      </c>
      <c r="H116" s="7">
        <v>10.17</v>
      </c>
      <c r="I116" s="7">
        <v>1790</v>
      </c>
      <c r="J116" s="7">
        <v>1384</v>
      </c>
      <c r="K116" s="23">
        <f t="shared" si="17"/>
        <v>0.293352601156069</v>
      </c>
      <c r="L116" s="30">
        <v>212</v>
      </c>
      <c r="M116" s="30">
        <v>187</v>
      </c>
      <c r="N116" s="23">
        <f t="shared" si="9"/>
        <v>0.133689839572193</v>
      </c>
      <c r="O116" s="23">
        <f t="shared" si="18"/>
        <v>0.118435754189944</v>
      </c>
      <c r="P116" s="23">
        <f t="shared" si="11"/>
        <v>0.135115606936416</v>
      </c>
      <c r="Q116" s="25">
        <f t="shared" si="12"/>
        <v>-0.123448749738595</v>
      </c>
      <c r="R116" s="33">
        <f>633207.72/10000</f>
        <v>63.320772</v>
      </c>
      <c r="S116" s="33">
        <f>496679.2/10000</f>
        <v>49.66792</v>
      </c>
      <c r="T116" s="23">
        <f t="shared" si="15"/>
        <v>0.274882700946607</v>
      </c>
      <c r="U116" s="23" t="e">
        <f>R116/#REF!</f>
        <v>#REF!</v>
      </c>
      <c r="V116" s="28" t="e">
        <f>S116/#REF!</f>
        <v>#REF!</v>
      </c>
    </row>
    <row r="117" ht="25" hidden="1" customHeight="1" spans="1:22">
      <c r="A117" s="29">
        <v>45857</v>
      </c>
      <c r="B117" s="7">
        <v>3270</v>
      </c>
      <c r="C117" s="7">
        <v>2253</v>
      </c>
      <c r="D117" s="20">
        <f t="shared" si="8"/>
        <v>0.451398135818908</v>
      </c>
      <c r="E117" s="37">
        <v>19</v>
      </c>
      <c r="F117" s="35">
        <f t="shared" si="16"/>
        <v>172.105263157895</v>
      </c>
      <c r="G117" s="31">
        <v>0.9407</v>
      </c>
      <c r="H117" s="7">
        <v>9.16</v>
      </c>
      <c r="I117" s="7">
        <v>1732</v>
      </c>
      <c r="J117" s="7">
        <v>1273</v>
      </c>
      <c r="K117" s="23">
        <f t="shared" si="17"/>
        <v>0.360565593087196</v>
      </c>
      <c r="L117" s="30">
        <v>121</v>
      </c>
      <c r="M117" s="30">
        <v>174</v>
      </c>
      <c r="N117" s="23">
        <f t="shared" si="9"/>
        <v>-0.304597701149425</v>
      </c>
      <c r="O117" s="23">
        <f t="shared" si="18"/>
        <v>0.0698614318706697</v>
      </c>
      <c r="P117" s="23">
        <f t="shared" si="11"/>
        <v>0.13668499607227</v>
      </c>
      <c r="Q117" s="25">
        <f t="shared" si="12"/>
        <v>-0.488887340394468</v>
      </c>
      <c r="R117" s="33">
        <f>378025.72/10000</f>
        <v>37.802572</v>
      </c>
      <c r="S117" s="33">
        <f>463709.55/10000</f>
        <v>46.370955</v>
      </c>
      <c r="T117" s="23">
        <f t="shared" si="15"/>
        <v>-0.184779092861038</v>
      </c>
      <c r="U117" s="23" t="e">
        <f>R117/#REF!</f>
        <v>#REF!</v>
      </c>
      <c r="V117" s="28" t="e">
        <f>S117/#REF!</f>
        <v>#REF!</v>
      </c>
    </row>
    <row r="118" ht="25" hidden="1" customHeight="1" spans="1:22">
      <c r="A118" s="29">
        <v>45858</v>
      </c>
      <c r="B118" s="7">
        <v>3133</v>
      </c>
      <c r="C118" s="7">
        <v>2187</v>
      </c>
      <c r="D118" s="20">
        <f t="shared" si="8"/>
        <v>0.432556012802926</v>
      </c>
      <c r="E118" s="37">
        <v>19</v>
      </c>
      <c r="F118" s="35">
        <f t="shared" si="16"/>
        <v>164.894736842105</v>
      </c>
      <c r="G118" s="31">
        <v>0.949</v>
      </c>
      <c r="H118" s="7">
        <v>9.67</v>
      </c>
      <c r="I118" s="7">
        <v>1701</v>
      </c>
      <c r="J118" s="7">
        <v>1241</v>
      </c>
      <c r="K118" s="23">
        <f t="shared" si="17"/>
        <v>0.370668815471394</v>
      </c>
      <c r="L118" s="30">
        <v>116</v>
      </c>
      <c r="M118" s="30">
        <v>121</v>
      </c>
      <c r="N118" s="23">
        <f t="shared" si="9"/>
        <v>-0.0413223140495868</v>
      </c>
      <c r="O118" s="23">
        <f t="shared" si="18"/>
        <v>0.0681951793062904</v>
      </c>
      <c r="P118" s="23">
        <f t="shared" si="11"/>
        <v>0.0975020145044319</v>
      </c>
      <c r="Q118" s="25">
        <f t="shared" si="12"/>
        <v>-0.300576714718129</v>
      </c>
      <c r="R118" s="33">
        <f>491429.26/10000</f>
        <v>49.142926</v>
      </c>
      <c r="S118" s="33">
        <f>326067.69/10000</f>
        <v>32.606769</v>
      </c>
      <c r="T118" s="23">
        <f t="shared" si="15"/>
        <v>0.507138778454253</v>
      </c>
      <c r="U118" s="23" t="e">
        <f>R118/#REF!</f>
        <v>#REF!</v>
      </c>
      <c r="V118" s="28" t="e">
        <f>S118/#REF!</f>
        <v>#REF!</v>
      </c>
    </row>
    <row r="119" ht="25" hidden="1" customHeight="1" spans="1:22">
      <c r="A119" s="29">
        <v>45859</v>
      </c>
      <c r="B119" s="7">
        <v>3162</v>
      </c>
      <c r="C119" s="7">
        <v>2384</v>
      </c>
      <c r="D119" s="20">
        <f t="shared" si="8"/>
        <v>0.326342281879195</v>
      </c>
      <c r="E119" s="37">
        <v>19</v>
      </c>
      <c r="F119" s="35">
        <f t="shared" si="16"/>
        <v>166.421052631579</v>
      </c>
      <c r="G119" s="31">
        <v>0.9514</v>
      </c>
      <c r="H119" s="7">
        <v>9.27</v>
      </c>
      <c r="I119" s="7">
        <v>1774</v>
      </c>
      <c r="J119" s="38">
        <v>1346</v>
      </c>
      <c r="K119" s="23">
        <f t="shared" si="17"/>
        <v>0.317979197622585</v>
      </c>
      <c r="L119" s="30">
        <v>126</v>
      </c>
      <c r="M119" s="39">
        <v>151</v>
      </c>
      <c r="N119" s="23">
        <f t="shared" si="9"/>
        <v>-0.165562913907285</v>
      </c>
      <c r="O119" s="23">
        <f t="shared" si="18"/>
        <v>0.0710259301014656</v>
      </c>
      <c r="P119" s="23">
        <f t="shared" si="11"/>
        <v>0.112184249628529</v>
      </c>
      <c r="Q119" s="25">
        <f t="shared" si="12"/>
        <v>-0.366881444261108</v>
      </c>
      <c r="R119" s="33">
        <f>423159.49/10000</f>
        <v>42.315949</v>
      </c>
      <c r="S119" s="40">
        <f>459870.41/10000</f>
        <v>45.987041</v>
      </c>
      <c r="T119" s="23">
        <f t="shared" si="15"/>
        <v>-0.0798288369977969</v>
      </c>
      <c r="U119" s="23" t="e">
        <f>R119/#REF!</f>
        <v>#REF!</v>
      </c>
      <c r="V119" s="28" t="e">
        <f>S119/#REF!</f>
        <v>#REF!</v>
      </c>
    </row>
    <row r="120" ht="25" hidden="1" customHeight="1" spans="1:22">
      <c r="A120" s="29">
        <v>45860</v>
      </c>
      <c r="B120" s="7">
        <v>3381</v>
      </c>
      <c r="C120" s="7">
        <v>2583</v>
      </c>
      <c r="D120" s="20">
        <f t="shared" si="8"/>
        <v>0.308943089430894</v>
      </c>
      <c r="E120" s="37">
        <v>19</v>
      </c>
      <c r="F120" s="35">
        <f t="shared" si="16"/>
        <v>177.947368421053</v>
      </c>
      <c r="G120" s="31">
        <v>0.9655</v>
      </c>
      <c r="H120" s="7">
        <v>9.63</v>
      </c>
      <c r="I120" s="7">
        <v>1894</v>
      </c>
      <c r="J120" s="38">
        <v>1445</v>
      </c>
      <c r="K120" s="23">
        <f t="shared" si="17"/>
        <v>0.310726643598616</v>
      </c>
      <c r="L120" s="30">
        <v>144</v>
      </c>
      <c r="M120" s="39">
        <v>169</v>
      </c>
      <c r="N120" s="23">
        <f t="shared" si="9"/>
        <v>-0.14792899408284</v>
      </c>
      <c r="O120" s="23">
        <f t="shared" si="18"/>
        <v>0.0760295670538543</v>
      </c>
      <c r="P120" s="23">
        <f t="shared" si="11"/>
        <v>0.116955017301038</v>
      </c>
      <c r="Q120" s="25">
        <f t="shared" si="12"/>
        <v>-0.349924707734796</v>
      </c>
      <c r="R120" s="33">
        <f>480823.2/10000</f>
        <v>48.08232</v>
      </c>
      <c r="S120" s="40">
        <f>501010.5/10000</f>
        <v>50.10105</v>
      </c>
      <c r="T120" s="23">
        <f t="shared" si="15"/>
        <v>-0.0402931675084654</v>
      </c>
      <c r="U120" s="23" t="e">
        <f>R120/#REF!</f>
        <v>#REF!</v>
      </c>
      <c r="V120" s="28" t="e">
        <f>S120/#REF!</f>
        <v>#REF!</v>
      </c>
    </row>
    <row r="121" ht="25" hidden="1" customHeight="1" spans="1:22">
      <c r="A121" s="29">
        <v>45861</v>
      </c>
      <c r="B121" s="7">
        <v>3421</v>
      </c>
      <c r="C121" s="7">
        <v>2277</v>
      </c>
      <c r="D121" s="20">
        <f t="shared" si="8"/>
        <v>0.502415458937198</v>
      </c>
      <c r="E121" s="37">
        <v>18</v>
      </c>
      <c r="F121" s="35">
        <f t="shared" si="16"/>
        <v>190.055555555556</v>
      </c>
      <c r="G121" s="31">
        <v>0.9653</v>
      </c>
      <c r="H121" s="7">
        <v>9.64</v>
      </c>
      <c r="I121" s="7">
        <v>1918</v>
      </c>
      <c r="J121" s="38">
        <v>1286</v>
      </c>
      <c r="K121" s="23">
        <f t="shared" si="17"/>
        <v>0.49144634525661</v>
      </c>
      <c r="L121" s="30">
        <v>116</v>
      </c>
      <c r="M121" s="39">
        <v>155</v>
      </c>
      <c r="N121" s="23">
        <f t="shared" si="9"/>
        <v>-0.251612903225806</v>
      </c>
      <c r="O121" s="23">
        <f t="shared" si="18"/>
        <v>0.0604796663190824</v>
      </c>
      <c r="P121" s="23">
        <f t="shared" si="11"/>
        <v>0.120528771384137</v>
      </c>
      <c r="Q121" s="25">
        <f t="shared" si="12"/>
        <v>-0.49821386524942</v>
      </c>
      <c r="R121" s="33">
        <f>382220.52/10000</f>
        <v>38.222052</v>
      </c>
      <c r="S121" s="40">
        <f>441960.25/10000</f>
        <v>44.196025</v>
      </c>
      <c r="T121" s="23">
        <f t="shared" si="15"/>
        <v>-0.135169916299034</v>
      </c>
      <c r="U121" s="23" t="e">
        <f>R121/#REF!</f>
        <v>#REF!</v>
      </c>
      <c r="V121" s="28" t="e">
        <f>S121/#REF!</f>
        <v>#REF!</v>
      </c>
    </row>
    <row r="122" ht="25" hidden="1" customHeight="1" spans="1:22">
      <c r="A122" s="29">
        <v>45862</v>
      </c>
      <c r="B122" s="7">
        <v>3050</v>
      </c>
      <c r="C122" s="7">
        <v>2437</v>
      </c>
      <c r="D122" s="20">
        <f t="shared" si="8"/>
        <v>0.251538777185064</v>
      </c>
      <c r="E122" s="37">
        <v>19</v>
      </c>
      <c r="F122" s="35">
        <f t="shared" si="16"/>
        <v>160.526315789474</v>
      </c>
      <c r="G122" s="31">
        <v>0.9742</v>
      </c>
      <c r="H122" s="7">
        <v>8.93</v>
      </c>
      <c r="I122" s="7">
        <v>1683</v>
      </c>
      <c r="J122" s="38">
        <v>1405</v>
      </c>
      <c r="K122" s="23">
        <f t="shared" si="17"/>
        <v>0.197864768683274</v>
      </c>
      <c r="L122" s="30">
        <v>113</v>
      </c>
      <c r="M122" s="39">
        <v>147</v>
      </c>
      <c r="N122" s="23">
        <f t="shared" si="9"/>
        <v>-0.231292517006803</v>
      </c>
      <c r="O122" s="23">
        <f t="shared" si="18"/>
        <v>0.0671420083184789</v>
      </c>
      <c r="P122" s="23">
        <f t="shared" si="11"/>
        <v>0.104626334519573</v>
      </c>
      <c r="Q122" s="25">
        <f t="shared" si="12"/>
        <v>-0.358268559949232</v>
      </c>
      <c r="R122" s="33">
        <f>441553.88/10000</f>
        <v>44.155388</v>
      </c>
      <c r="S122" s="40">
        <f>496843.8/10000</f>
        <v>49.68438</v>
      </c>
      <c r="T122" s="23">
        <f t="shared" si="15"/>
        <v>-0.111282298380296</v>
      </c>
      <c r="U122" s="23" t="e">
        <f>R122/#REF!</f>
        <v>#REF!</v>
      </c>
      <c r="V122" s="28" t="e">
        <f>S122/#REF!</f>
        <v>#REF!</v>
      </c>
    </row>
    <row r="123" ht="25" hidden="1" customHeight="1" spans="1:22">
      <c r="A123" s="29">
        <v>45863</v>
      </c>
      <c r="B123" s="7">
        <v>2774</v>
      </c>
      <c r="C123" s="7">
        <v>2308</v>
      </c>
      <c r="D123" s="20">
        <f t="shared" si="8"/>
        <v>0.201906412478336</v>
      </c>
      <c r="E123" s="37">
        <v>19</v>
      </c>
      <c r="F123" s="35">
        <f t="shared" si="16"/>
        <v>146</v>
      </c>
      <c r="G123" s="31">
        <v>0.9569</v>
      </c>
      <c r="H123" s="7">
        <v>8.74</v>
      </c>
      <c r="I123" s="7">
        <v>1609</v>
      </c>
      <c r="J123" s="38">
        <v>1308</v>
      </c>
      <c r="K123" s="23">
        <f t="shared" si="17"/>
        <v>0.230122324159021</v>
      </c>
      <c r="L123" s="30">
        <v>117</v>
      </c>
      <c r="M123" s="39">
        <v>143</v>
      </c>
      <c r="N123" s="23">
        <f t="shared" si="9"/>
        <v>-0.181818181818182</v>
      </c>
      <c r="O123" s="23">
        <f t="shared" si="18"/>
        <v>0.0727159726538222</v>
      </c>
      <c r="P123" s="23">
        <f t="shared" si="11"/>
        <v>0.109327217125382</v>
      </c>
      <c r="Q123" s="25">
        <f t="shared" si="12"/>
        <v>-0.334877676704899</v>
      </c>
      <c r="R123" s="33">
        <f>377021.52/10000</f>
        <v>37.702152</v>
      </c>
      <c r="S123" s="41">
        <f>502871.46/10000</f>
        <v>50.287146</v>
      </c>
      <c r="T123" s="23">
        <f t="shared" si="15"/>
        <v>-0.250262641669901</v>
      </c>
      <c r="U123" s="23" t="e">
        <f>R123/#REF!</f>
        <v>#REF!</v>
      </c>
      <c r="V123" s="28" t="e">
        <f>S123/#REF!</f>
        <v>#REF!</v>
      </c>
    </row>
    <row r="124" ht="25" hidden="1" customHeight="1" spans="1:22">
      <c r="A124" s="29">
        <v>45864</v>
      </c>
      <c r="B124" s="7">
        <v>2953</v>
      </c>
      <c r="C124" s="7">
        <v>2243</v>
      </c>
      <c r="D124" s="20">
        <f t="shared" si="8"/>
        <v>0.316540347748551</v>
      </c>
      <c r="E124" s="37">
        <v>19</v>
      </c>
      <c r="F124" s="35">
        <f t="shared" si="16"/>
        <v>155.421052631579</v>
      </c>
      <c r="G124" s="31">
        <v>0.9722</v>
      </c>
      <c r="H124" s="7">
        <v>8.83</v>
      </c>
      <c r="I124" s="7">
        <v>1693</v>
      </c>
      <c r="J124" s="38">
        <v>1328</v>
      </c>
      <c r="K124" s="23">
        <f t="shared" si="17"/>
        <v>0.274849397590361</v>
      </c>
      <c r="L124" s="30">
        <v>175</v>
      </c>
      <c r="M124" s="39">
        <v>151</v>
      </c>
      <c r="N124" s="23">
        <f t="shared" si="9"/>
        <v>0.158940397350993</v>
      </c>
      <c r="O124" s="23">
        <f t="shared" si="18"/>
        <v>0.103366804489073</v>
      </c>
      <c r="P124" s="23">
        <f t="shared" si="11"/>
        <v>0.113704819277108</v>
      </c>
      <c r="Q124" s="25">
        <f t="shared" si="12"/>
        <v>-0.0909197591954405</v>
      </c>
      <c r="R124" s="33">
        <f>574799.37/10000</f>
        <v>57.479937</v>
      </c>
      <c r="S124" s="41">
        <f>426033.43/10000</f>
        <v>42.603343</v>
      </c>
      <c r="T124" s="23">
        <f t="shared" si="15"/>
        <v>0.34918841932193</v>
      </c>
      <c r="U124" s="23" t="e">
        <f>R124/#REF!</f>
        <v>#REF!</v>
      </c>
      <c r="V124" s="28" t="e">
        <f>S124/#REF!</f>
        <v>#REF!</v>
      </c>
    </row>
    <row r="125" ht="25" hidden="1" customHeight="1" spans="1:22">
      <c r="A125" s="29">
        <v>45865</v>
      </c>
      <c r="B125" s="7">
        <v>2747</v>
      </c>
      <c r="C125" s="7">
        <v>2101</v>
      </c>
      <c r="D125" s="20">
        <f t="shared" si="8"/>
        <v>0.307472632079962</v>
      </c>
      <c r="E125" s="37">
        <v>20</v>
      </c>
      <c r="F125" s="35">
        <f t="shared" si="16"/>
        <v>137.35</v>
      </c>
      <c r="G125" s="31">
        <v>0.9352</v>
      </c>
      <c r="H125" s="7">
        <v>9.41</v>
      </c>
      <c r="I125" s="7">
        <v>1689</v>
      </c>
      <c r="J125" s="38">
        <v>1216</v>
      </c>
      <c r="K125" s="23">
        <f t="shared" si="17"/>
        <v>0.388980263157895</v>
      </c>
      <c r="L125" s="30">
        <v>178</v>
      </c>
      <c r="M125" s="39">
        <v>116</v>
      </c>
      <c r="N125" s="23">
        <f t="shared" si="9"/>
        <v>0.53448275862069</v>
      </c>
      <c r="O125" s="23">
        <f t="shared" si="18"/>
        <v>0.105387803433985</v>
      </c>
      <c r="P125" s="23">
        <f t="shared" si="11"/>
        <v>0.0953947368421053</v>
      </c>
      <c r="Q125" s="25">
        <f t="shared" si="12"/>
        <v>0.104754904963149</v>
      </c>
      <c r="R125" s="33">
        <f>566836.58/10000</f>
        <v>56.683658</v>
      </c>
      <c r="S125" s="41">
        <f>328459.05/10000</f>
        <v>32.845905</v>
      </c>
      <c r="T125" s="23">
        <f t="shared" si="15"/>
        <v>0.725745051019297</v>
      </c>
      <c r="U125" s="23" t="e">
        <f>R125/#REF!</f>
        <v>#REF!</v>
      </c>
      <c r="V125" s="28" t="e">
        <f>S125/#REF!</f>
        <v>#REF!</v>
      </c>
    </row>
    <row r="126" ht="25" hidden="1" customHeight="1" spans="1:22">
      <c r="A126" s="29">
        <v>45866</v>
      </c>
      <c r="B126" s="7">
        <v>3218</v>
      </c>
      <c r="C126" s="7">
        <v>2533</v>
      </c>
      <c r="D126" s="20">
        <f t="shared" si="8"/>
        <v>0.270430319778918</v>
      </c>
      <c r="E126" s="37">
        <v>18</v>
      </c>
      <c r="F126" s="35">
        <f t="shared" si="16"/>
        <v>178.777777777778</v>
      </c>
      <c r="G126" s="31">
        <v>0.9679</v>
      </c>
      <c r="H126" s="7">
        <v>8.57</v>
      </c>
      <c r="I126" s="7">
        <v>1766</v>
      </c>
      <c r="J126" s="38">
        <v>1743</v>
      </c>
      <c r="K126" s="23">
        <f t="shared" si="17"/>
        <v>0.0131956397016638</v>
      </c>
      <c r="L126" s="30">
        <v>171</v>
      </c>
      <c r="M126" s="39">
        <v>148</v>
      </c>
      <c r="N126" s="23">
        <f t="shared" si="9"/>
        <v>0.155405405405405</v>
      </c>
      <c r="O126" s="23">
        <f t="shared" si="18"/>
        <v>0.0968289920724802</v>
      </c>
      <c r="P126" s="23">
        <f t="shared" si="11"/>
        <v>0.0849110728628801</v>
      </c>
      <c r="Q126" s="25">
        <f t="shared" si="12"/>
        <v>0.140357656637385</v>
      </c>
      <c r="R126" s="33">
        <f>545722.58/10000</f>
        <v>54.572258</v>
      </c>
      <c r="S126" s="41">
        <f>526288.17/10000</f>
        <v>52.628817</v>
      </c>
      <c r="T126" s="23">
        <f t="shared" si="15"/>
        <v>0.0369273168348054</v>
      </c>
      <c r="U126" s="23" t="e">
        <f>R126/#REF!</f>
        <v>#REF!</v>
      </c>
      <c r="V126" s="28" t="e">
        <f>S126/#REF!</f>
        <v>#REF!</v>
      </c>
    </row>
    <row r="127" ht="25" hidden="1" customHeight="1" spans="1:22">
      <c r="A127" s="29">
        <v>45867</v>
      </c>
      <c r="B127" s="7">
        <v>3035</v>
      </c>
      <c r="C127" s="7">
        <v>2348</v>
      </c>
      <c r="D127" s="20">
        <f t="shared" si="8"/>
        <v>0.292589437819421</v>
      </c>
      <c r="E127" s="37">
        <v>19</v>
      </c>
      <c r="F127" s="35">
        <f t="shared" si="16"/>
        <v>159.736842105263</v>
      </c>
      <c r="G127" s="31">
        <v>0.9487</v>
      </c>
      <c r="H127" s="7">
        <v>8.68</v>
      </c>
      <c r="I127" s="7">
        <v>1757</v>
      </c>
      <c r="J127" s="38">
        <v>1240</v>
      </c>
      <c r="K127" s="23">
        <f t="shared" si="17"/>
        <v>0.416935483870968</v>
      </c>
      <c r="L127" s="30">
        <v>123</v>
      </c>
      <c r="M127" s="39">
        <v>119</v>
      </c>
      <c r="N127" s="23">
        <f t="shared" si="9"/>
        <v>0.0336134453781513</v>
      </c>
      <c r="O127" s="23">
        <f t="shared" si="18"/>
        <v>0.0700056915196357</v>
      </c>
      <c r="P127" s="23">
        <f t="shared" si="11"/>
        <v>0.0959677419354839</v>
      </c>
      <c r="Q127" s="25">
        <f t="shared" si="12"/>
        <v>-0.270528928702955</v>
      </c>
      <c r="R127" s="33">
        <f>396542.2/10000</f>
        <v>39.65422</v>
      </c>
      <c r="S127" s="41">
        <f>332055.24/10000</f>
        <v>33.205524</v>
      </c>
      <c r="T127" s="23">
        <f t="shared" si="15"/>
        <v>0.194205518334841</v>
      </c>
      <c r="U127" s="23" t="e">
        <f>R127/#REF!</f>
        <v>#REF!</v>
      </c>
      <c r="V127" s="28" t="e">
        <f>S127/#REF!</f>
        <v>#REF!</v>
      </c>
    </row>
    <row r="128" ht="25" hidden="1" customHeight="1" spans="1:22">
      <c r="A128" s="29">
        <v>45868</v>
      </c>
      <c r="B128" s="7">
        <v>3290</v>
      </c>
      <c r="C128" s="7">
        <v>2337</v>
      </c>
      <c r="D128" s="20">
        <f t="shared" si="8"/>
        <v>0.407787762088147</v>
      </c>
      <c r="E128" s="37">
        <v>18</v>
      </c>
      <c r="F128" s="35">
        <f t="shared" si="16"/>
        <v>182.777777777778</v>
      </c>
      <c r="G128" s="31">
        <v>0.9578</v>
      </c>
      <c r="H128" s="7">
        <v>8.93</v>
      </c>
      <c r="I128" s="7">
        <v>1872</v>
      </c>
      <c r="J128" s="38">
        <v>1287</v>
      </c>
      <c r="K128" s="23">
        <f t="shared" si="17"/>
        <v>0.454545454545455</v>
      </c>
      <c r="L128" s="30">
        <v>152</v>
      </c>
      <c r="M128" s="39">
        <v>139</v>
      </c>
      <c r="N128" s="23">
        <f t="shared" si="9"/>
        <v>0.0935251798561151</v>
      </c>
      <c r="O128" s="23">
        <f t="shared" si="18"/>
        <v>0.0811965811965812</v>
      </c>
      <c r="P128" s="23">
        <f t="shared" si="11"/>
        <v>0.108003108003108</v>
      </c>
      <c r="Q128" s="25">
        <f t="shared" si="12"/>
        <v>-0.248201438848921</v>
      </c>
      <c r="R128" s="33">
        <f>507101.22/10000</f>
        <v>50.710122</v>
      </c>
      <c r="S128" s="40">
        <f>545943/10000</f>
        <v>54.5943</v>
      </c>
      <c r="T128" s="23">
        <f t="shared" si="15"/>
        <v>-0.0711462185612784</v>
      </c>
      <c r="U128" s="23" t="e">
        <f>R128/#REF!</f>
        <v>#REF!</v>
      </c>
      <c r="V128" s="28" t="e">
        <f>S128/#REF!</f>
        <v>#REF!</v>
      </c>
    </row>
    <row r="129" ht="25" hidden="1" customHeight="1" spans="1:22">
      <c r="A129" s="29">
        <v>45869</v>
      </c>
      <c r="B129" s="7">
        <v>3633</v>
      </c>
      <c r="C129" s="7">
        <v>2391</v>
      </c>
      <c r="D129" s="20">
        <f t="shared" si="8"/>
        <v>0.519447929736512</v>
      </c>
      <c r="E129" s="37">
        <v>20</v>
      </c>
      <c r="F129" s="35">
        <f t="shared" si="16"/>
        <v>181.65</v>
      </c>
      <c r="G129" s="31">
        <v>0.9662</v>
      </c>
      <c r="H129" s="33">
        <v>9</v>
      </c>
      <c r="I129" s="7">
        <v>2009</v>
      </c>
      <c r="J129" s="38">
        <v>1290</v>
      </c>
      <c r="K129" s="23">
        <f t="shared" si="17"/>
        <v>0.557364341085271</v>
      </c>
      <c r="L129" s="30">
        <v>168</v>
      </c>
      <c r="M129" s="39">
        <v>149</v>
      </c>
      <c r="N129" s="23">
        <f t="shared" si="9"/>
        <v>0.12751677852349</v>
      </c>
      <c r="O129" s="23">
        <f t="shared" si="18"/>
        <v>0.0836236933797909</v>
      </c>
      <c r="P129" s="23">
        <f t="shared" si="11"/>
        <v>0.115503875968992</v>
      </c>
      <c r="Q129" s="25">
        <f t="shared" si="12"/>
        <v>-0.276009634497112</v>
      </c>
      <c r="R129" s="33">
        <f>670003.05/10000</f>
        <v>67.000305</v>
      </c>
      <c r="S129" s="40">
        <f>420357/10000</f>
        <v>42.0357</v>
      </c>
      <c r="T129" s="23">
        <f t="shared" si="15"/>
        <v>0.593890550175209</v>
      </c>
      <c r="U129" s="23" t="e">
        <f>R129/#REF!</f>
        <v>#REF!</v>
      </c>
      <c r="V129" s="28" t="e">
        <f>S129/#REF!</f>
        <v>#REF!</v>
      </c>
    </row>
    <row r="130" ht="19" customHeight="1" spans="1:22">
      <c r="A130" s="18" t="s">
        <v>323</v>
      </c>
      <c r="B130" s="19">
        <f>SUM(B131:B161)</f>
        <v>93744</v>
      </c>
      <c r="C130" s="19">
        <f>SUM(C131:C161)</f>
        <v>73884</v>
      </c>
      <c r="D130" s="20">
        <f t="shared" si="8"/>
        <v>0.268799740133182</v>
      </c>
      <c r="E130" s="18">
        <f>SUM(E131:E161)</f>
        <v>537</v>
      </c>
      <c r="F130" s="34">
        <f t="shared" si="16"/>
        <v>174.569832402235</v>
      </c>
      <c r="G130" s="21">
        <f>AVERAGEA(G131:G161)</f>
        <v>0.96366129032258</v>
      </c>
      <c r="H130" s="22">
        <f>AVERAGEA(H131:H161)</f>
        <v>9.2458064516129</v>
      </c>
      <c r="I130" s="19">
        <f>SUM(I131:I161)</f>
        <v>51278</v>
      </c>
      <c r="J130" s="19">
        <f>SUM(J131:J161)</f>
        <v>41579</v>
      </c>
      <c r="K130" s="23">
        <f t="shared" si="17"/>
        <v>0.233266793333173</v>
      </c>
      <c r="L130" s="19">
        <f>SUM(L131:L161)</f>
        <v>5308</v>
      </c>
      <c r="M130" s="19">
        <f>SUM(M131:M161)</f>
        <v>4237</v>
      </c>
      <c r="N130" s="23">
        <f t="shared" si="9"/>
        <v>0.252773188576823</v>
      </c>
      <c r="O130" s="24">
        <f t="shared" si="18"/>
        <v>0.103514177620032</v>
      </c>
      <c r="P130" s="24">
        <f t="shared" si="11"/>
        <v>0.101902402655187</v>
      </c>
      <c r="Q130" s="25">
        <f t="shared" si="12"/>
        <v>0.015816849483906</v>
      </c>
      <c r="R130" s="26">
        <f>SUM(R131:R161)</f>
        <v>2033.437439</v>
      </c>
      <c r="S130" s="19">
        <f>SUM(S131:S161)</f>
        <v>1313.5842</v>
      </c>
      <c r="T130" s="23">
        <f t="shared" si="15"/>
        <v>0.548006925631414</v>
      </c>
      <c r="U130" s="24" t="e">
        <f>R130/#REF!</f>
        <v>#REF!</v>
      </c>
      <c r="V130" s="28" t="e">
        <f>S130/#REF!</f>
        <v>#REF!</v>
      </c>
    </row>
    <row r="131" ht="25" hidden="1" customHeight="1" spans="1:22">
      <c r="A131" s="29">
        <v>45870</v>
      </c>
      <c r="B131" s="7">
        <v>3050</v>
      </c>
      <c r="C131" s="7">
        <v>2243</v>
      </c>
      <c r="D131" s="20">
        <f t="shared" si="8"/>
        <v>0.359786000891663</v>
      </c>
      <c r="E131" s="7">
        <v>21</v>
      </c>
      <c r="F131" s="35">
        <f t="shared" si="16"/>
        <v>145.238095238095</v>
      </c>
      <c r="G131" s="31">
        <v>0.9728</v>
      </c>
      <c r="H131" s="32">
        <v>9.82</v>
      </c>
      <c r="I131" s="38">
        <v>1686</v>
      </c>
      <c r="J131" s="38">
        <v>1280</v>
      </c>
      <c r="K131" s="23">
        <f t="shared" si="17"/>
        <v>0.3171875</v>
      </c>
      <c r="L131" s="39">
        <v>160</v>
      </c>
      <c r="M131" s="39">
        <v>143</v>
      </c>
      <c r="N131" s="23">
        <f t="shared" si="9"/>
        <v>0.118881118881119</v>
      </c>
      <c r="O131" s="23">
        <f t="shared" si="18"/>
        <v>0.0948991696322657</v>
      </c>
      <c r="P131" s="23">
        <f t="shared" si="11"/>
        <v>0.11171875</v>
      </c>
      <c r="Q131" s="25">
        <f t="shared" si="12"/>
        <v>-0.150552887207692</v>
      </c>
      <c r="R131" s="40">
        <f>671863.56/10000</f>
        <v>67.186356</v>
      </c>
      <c r="S131" s="40">
        <f>393361.27/10000</f>
        <v>39.336127</v>
      </c>
      <c r="T131" s="23">
        <f t="shared" si="15"/>
        <v>0.708006383038167</v>
      </c>
      <c r="U131" s="28" t="e">
        <f>R131/#REF!</f>
        <v>#REF!</v>
      </c>
      <c r="V131" s="28" t="e">
        <f>S131/#REF!</f>
        <v>#REF!</v>
      </c>
    </row>
    <row r="132" ht="25" hidden="1" customHeight="1" spans="1:22">
      <c r="A132" s="29">
        <v>45871</v>
      </c>
      <c r="B132" s="7">
        <v>3060</v>
      </c>
      <c r="C132" s="7">
        <v>2321</v>
      </c>
      <c r="D132" s="20">
        <f t="shared" ref="D132:D195" si="19">(B132-C132)/C132</f>
        <v>0.318397242567859</v>
      </c>
      <c r="E132" s="7">
        <v>19</v>
      </c>
      <c r="F132" s="35">
        <f t="shared" si="16"/>
        <v>161.052631578947</v>
      </c>
      <c r="G132" s="31">
        <v>0.9579</v>
      </c>
      <c r="H132" s="32">
        <v>9.11</v>
      </c>
      <c r="I132" s="38">
        <v>1713</v>
      </c>
      <c r="J132" s="38">
        <v>1352</v>
      </c>
      <c r="K132" s="23">
        <f t="shared" si="17"/>
        <v>0.267011834319527</v>
      </c>
      <c r="L132" s="39">
        <v>162</v>
      </c>
      <c r="M132" s="39">
        <v>169</v>
      </c>
      <c r="N132" s="23">
        <f t="shared" ref="N132:N195" si="20">(L132-M132)/M132</f>
        <v>-0.0414201183431953</v>
      </c>
      <c r="O132" s="23">
        <f t="shared" si="18"/>
        <v>0.0945709281961471</v>
      </c>
      <c r="P132" s="23">
        <f t="shared" ref="P132:P195" si="21">M132/J132</f>
        <v>0.125</v>
      </c>
      <c r="Q132" s="25">
        <f t="shared" ref="Q132:Q195" si="22">(O132-P132)/P132</f>
        <v>-0.243432574430823</v>
      </c>
      <c r="R132" s="40">
        <f>544488.75/10000</f>
        <v>54.448875</v>
      </c>
      <c r="S132" s="40">
        <f>509124.34/10000</f>
        <v>50.912434</v>
      </c>
      <c r="T132" s="23">
        <f t="shared" si="15"/>
        <v>0.0694612439860957</v>
      </c>
      <c r="U132" s="28" t="e">
        <f>R132/#REF!</f>
        <v>#REF!</v>
      </c>
      <c r="V132" s="28" t="e">
        <f>S132/#REF!</f>
        <v>#REF!</v>
      </c>
    </row>
    <row r="133" ht="25" hidden="1" customHeight="1" spans="1:22">
      <c r="A133" s="29">
        <v>45872</v>
      </c>
      <c r="B133" s="7">
        <v>3249</v>
      </c>
      <c r="C133" s="7">
        <v>2262</v>
      </c>
      <c r="D133" s="20">
        <f t="shared" si="19"/>
        <v>0.436339522546419</v>
      </c>
      <c r="E133" s="7">
        <v>20</v>
      </c>
      <c r="F133" s="35">
        <f t="shared" si="16"/>
        <v>162.45</v>
      </c>
      <c r="G133" s="31">
        <v>0.9677</v>
      </c>
      <c r="H133" s="32">
        <v>9.09</v>
      </c>
      <c r="I133" s="38">
        <v>1849</v>
      </c>
      <c r="J133" s="38">
        <v>1301</v>
      </c>
      <c r="K133" s="23">
        <f t="shared" si="17"/>
        <v>0.421214450422752</v>
      </c>
      <c r="L133" s="39">
        <v>117</v>
      </c>
      <c r="M133" s="39">
        <v>124</v>
      </c>
      <c r="N133" s="23">
        <f t="shared" si="20"/>
        <v>-0.0564516129032258</v>
      </c>
      <c r="O133" s="23">
        <f t="shared" si="18"/>
        <v>0.0632774472687939</v>
      </c>
      <c r="P133" s="23">
        <f t="shared" si="21"/>
        <v>0.0953112990007686</v>
      </c>
      <c r="Q133" s="25">
        <f t="shared" si="22"/>
        <v>-0.336097105671767</v>
      </c>
      <c r="R133" s="40">
        <f>430953.46/10000</f>
        <v>43.095346</v>
      </c>
      <c r="S133" s="40">
        <f>368768.79/10000</f>
        <v>36.876879</v>
      </c>
      <c r="T133" s="23">
        <f t="shared" si="15"/>
        <v>0.168627800633562</v>
      </c>
      <c r="U133" s="28" t="e">
        <f>R133/#REF!</f>
        <v>#REF!</v>
      </c>
      <c r="V133" s="28" t="e">
        <f>S133/#REF!</f>
        <v>#REF!</v>
      </c>
    </row>
    <row r="134" ht="25" hidden="1" customHeight="1" spans="1:22">
      <c r="A134" s="29">
        <v>45873</v>
      </c>
      <c r="B134" s="7">
        <v>3009</v>
      </c>
      <c r="C134" s="7">
        <v>2116</v>
      </c>
      <c r="D134" s="20">
        <f t="shared" si="19"/>
        <v>0.422022684310019</v>
      </c>
      <c r="E134" s="7">
        <v>20</v>
      </c>
      <c r="F134" s="35">
        <f t="shared" si="16"/>
        <v>150.45</v>
      </c>
      <c r="G134" s="31">
        <v>0.9571</v>
      </c>
      <c r="H134" s="32">
        <v>9.01</v>
      </c>
      <c r="I134" s="38">
        <v>1689</v>
      </c>
      <c r="J134" s="38">
        <v>1266</v>
      </c>
      <c r="K134" s="23">
        <f t="shared" si="17"/>
        <v>0.334123222748815</v>
      </c>
      <c r="L134" s="39">
        <v>125</v>
      </c>
      <c r="M134" s="39">
        <v>123</v>
      </c>
      <c r="N134" s="23">
        <f t="shared" si="20"/>
        <v>0.016260162601626</v>
      </c>
      <c r="O134" s="23">
        <f t="shared" si="18"/>
        <v>0.07400828892836</v>
      </c>
      <c r="P134" s="23">
        <f t="shared" si="21"/>
        <v>0.0971563981042654</v>
      </c>
      <c r="Q134" s="25">
        <f t="shared" si="22"/>
        <v>-0.238256148103222</v>
      </c>
      <c r="R134" s="40">
        <f>588414.54/10000</f>
        <v>58.841454</v>
      </c>
      <c r="S134" s="40">
        <f>369586.27/10000</f>
        <v>36.958627</v>
      </c>
      <c r="T134" s="23">
        <f t="shared" si="15"/>
        <v>0.592089825198323</v>
      </c>
      <c r="U134" s="28" t="e">
        <f>R134/#REF!</f>
        <v>#REF!</v>
      </c>
      <c r="V134" s="28" t="e">
        <f>S134/#REF!</f>
        <v>#REF!</v>
      </c>
    </row>
    <row r="135" ht="25" hidden="1" customHeight="1" spans="1:22">
      <c r="A135" s="29">
        <v>45874</v>
      </c>
      <c r="B135" s="7">
        <v>3248</v>
      </c>
      <c r="C135" s="7">
        <v>2280</v>
      </c>
      <c r="D135" s="20">
        <f t="shared" si="19"/>
        <v>0.424561403508772</v>
      </c>
      <c r="E135" s="7">
        <v>19</v>
      </c>
      <c r="F135" s="35">
        <f t="shared" si="16"/>
        <v>170.947368421053</v>
      </c>
      <c r="G135" s="31">
        <v>0.9681</v>
      </c>
      <c r="H135" s="32">
        <v>8.55</v>
      </c>
      <c r="I135" s="38">
        <v>1588</v>
      </c>
      <c r="J135" s="38">
        <v>1254</v>
      </c>
      <c r="K135" s="23">
        <f t="shared" si="17"/>
        <v>0.266347687400319</v>
      </c>
      <c r="L135" s="39">
        <v>143</v>
      </c>
      <c r="M135" s="39">
        <v>134</v>
      </c>
      <c r="N135" s="23">
        <f t="shared" si="20"/>
        <v>0.0671641791044776</v>
      </c>
      <c r="O135" s="23">
        <f t="shared" si="18"/>
        <v>0.0900503778337532</v>
      </c>
      <c r="P135" s="23">
        <f t="shared" si="21"/>
        <v>0.106858054226475</v>
      </c>
      <c r="Q135" s="25">
        <f t="shared" si="22"/>
        <v>-0.157289747734877</v>
      </c>
      <c r="R135" s="40">
        <f>595548.02/10000</f>
        <v>59.554802</v>
      </c>
      <c r="S135" s="40">
        <f>386653.05/10000</f>
        <v>38.665305</v>
      </c>
      <c r="T135" s="23">
        <f t="shared" si="15"/>
        <v>0.540264637767632</v>
      </c>
      <c r="U135" s="28" t="e">
        <f>R135/#REF!</f>
        <v>#REF!</v>
      </c>
      <c r="V135" s="28" t="e">
        <f>S135/#REF!</f>
        <v>#REF!</v>
      </c>
    </row>
    <row r="136" ht="25" hidden="1" customHeight="1" spans="1:22">
      <c r="A136" s="29">
        <v>45875</v>
      </c>
      <c r="B136" s="7">
        <v>2919</v>
      </c>
      <c r="C136" s="7">
        <v>2272</v>
      </c>
      <c r="D136" s="20">
        <f t="shared" si="19"/>
        <v>0.284771126760563</v>
      </c>
      <c r="E136" s="7">
        <v>19</v>
      </c>
      <c r="F136" s="35">
        <f t="shared" si="16"/>
        <v>153.631578947368</v>
      </c>
      <c r="G136" s="31">
        <v>0.9663</v>
      </c>
      <c r="H136" s="32">
        <v>8.82</v>
      </c>
      <c r="I136" s="38">
        <v>1505</v>
      </c>
      <c r="J136" s="38">
        <v>1274</v>
      </c>
      <c r="K136" s="23">
        <f t="shared" si="17"/>
        <v>0.181318681318681</v>
      </c>
      <c r="L136" s="39">
        <v>114</v>
      </c>
      <c r="M136" s="39">
        <v>104</v>
      </c>
      <c r="N136" s="23">
        <f t="shared" si="20"/>
        <v>0.0961538461538462</v>
      </c>
      <c r="O136" s="23">
        <f t="shared" si="18"/>
        <v>0.0757475083056478</v>
      </c>
      <c r="P136" s="23">
        <f t="shared" si="21"/>
        <v>0.0816326530612245</v>
      </c>
      <c r="Q136" s="25">
        <f t="shared" si="22"/>
        <v>-0.0720930232558138</v>
      </c>
      <c r="R136" s="40">
        <f>468221.23/10000</f>
        <v>46.822123</v>
      </c>
      <c r="S136" s="40">
        <f>322088.78/10000</f>
        <v>32.208878</v>
      </c>
      <c r="T136" s="23">
        <f t="shared" si="15"/>
        <v>0.453702392241046</v>
      </c>
      <c r="U136" s="28" t="e">
        <f>R136/#REF!</f>
        <v>#REF!</v>
      </c>
      <c r="V136" s="28" t="e">
        <f>S136/#REF!</f>
        <v>#REF!</v>
      </c>
    </row>
    <row r="137" ht="25" hidden="1" customHeight="1" spans="1:22">
      <c r="A137" s="29">
        <v>45876</v>
      </c>
      <c r="B137" s="7">
        <v>3013</v>
      </c>
      <c r="C137" s="7">
        <v>2820</v>
      </c>
      <c r="D137" s="20">
        <f t="shared" si="19"/>
        <v>0.0684397163120567</v>
      </c>
      <c r="E137" s="37">
        <v>19</v>
      </c>
      <c r="F137" s="35">
        <f t="shared" si="16"/>
        <v>158.578947368421</v>
      </c>
      <c r="G137" s="31">
        <v>0.9583</v>
      </c>
      <c r="H137" s="32">
        <v>8.74</v>
      </c>
      <c r="I137" s="38">
        <v>1650</v>
      </c>
      <c r="J137" s="38">
        <v>1454</v>
      </c>
      <c r="K137" s="23">
        <f t="shared" si="17"/>
        <v>0.134800550206327</v>
      </c>
      <c r="L137" s="39">
        <v>213</v>
      </c>
      <c r="M137" s="39">
        <v>179</v>
      </c>
      <c r="N137" s="23">
        <f t="shared" si="20"/>
        <v>0.189944134078212</v>
      </c>
      <c r="O137" s="23">
        <f t="shared" si="18"/>
        <v>0.129090909090909</v>
      </c>
      <c r="P137" s="23">
        <f t="shared" si="21"/>
        <v>0.123108665749656</v>
      </c>
      <c r="Q137" s="25">
        <f t="shared" si="22"/>
        <v>0.0485931945149822</v>
      </c>
      <c r="R137" s="40">
        <f>900988.8/10000</f>
        <v>90.09888</v>
      </c>
      <c r="S137" s="40">
        <f>580320.53/10000</f>
        <v>58.032053</v>
      </c>
      <c r="T137" s="23">
        <f t="shared" si="15"/>
        <v>0.55257095591638</v>
      </c>
      <c r="U137" s="28" t="e">
        <f>R137/#REF!</f>
        <v>#REF!</v>
      </c>
      <c r="V137" s="28" t="e">
        <f>S137/#REF!</f>
        <v>#REF!</v>
      </c>
    </row>
    <row r="138" ht="25" hidden="1" customHeight="1" spans="1:22">
      <c r="A138" s="29">
        <v>45877</v>
      </c>
      <c r="B138" s="7">
        <v>3127</v>
      </c>
      <c r="C138" s="7">
        <v>2373</v>
      </c>
      <c r="D138" s="20">
        <f t="shared" si="19"/>
        <v>0.317741255794353</v>
      </c>
      <c r="E138" s="37">
        <v>20</v>
      </c>
      <c r="F138" s="35">
        <f t="shared" si="16"/>
        <v>156.35</v>
      </c>
      <c r="G138" s="31">
        <v>0.954</v>
      </c>
      <c r="H138" s="32">
        <v>8.55</v>
      </c>
      <c r="I138" s="7">
        <v>1653</v>
      </c>
      <c r="J138" s="38">
        <v>1250</v>
      </c>
      <c r="K138" s="23">
        <f t="shared" si="17"/>
        <v>0.3224</v>
      </c>
      <c r="L138" s="30">
        <v>184</v>
      </c>
      <c r="M138" s="39">
        <v>138</v>
      </c>
      <c r="N138" s="23">
        <f t="shared" si="20"/>
        <v>0.333333333333333</v>
      </c>
      <c r="O138" s="23">
        <f t="shared" si="18"/>
        <v>0.111312764670296</v>
      </c>
      <c r="P138" s="23">
        <f t="shared" si="21"/>
        <v>0.1104</v>
      </c>
      <c r="Q138" s="25">
        <f t="shared" si="22"/>
        <v>0.00826779592659806</v>
      </c>
      <c r="R138" s="33">
        <f>647005.77/10000</f>
        <v>64.700577</v>
      </c>
      <c r="S138" s="40">
        <f>434482.94/10000</f>
        <v>43.448294</v>
      </c>
      <c r="T138" s="23">
        <f t="shared" si="15"/>
        <v>0.489139642629006</v>
      </c>
      <c r="U138" s="28" t="e">
        <f>R138/#REF!</f>
        <v>#REF!</v>
      </c>
      <c r="V138" s="28" t="e">
        <f>S138/#REF!</f>
        <v>#REF!</v>
      </c>
    </row>
    <row r="139" ht="25" hidden="1" customHeight="1" spans="1:22">
      <c r="A139" s="29">
        <v>45878</v>
      </c>
      <c r="B139" s="7">
        <v>2587</v>
      </c>
      <c r="C139" s="7">
        <v>2235</v>
      </c>
      <c r="D139" s="20">
        <f t="shared" si="19"/>
        <v>0.157494407158837</v>
      </c>
      <c r="E139" s="37">
        <v>19</v>
      </c>
      <c r="F139" s="35">
        <f t="shared" si="16"/>
        <v>136.157894736842</v>
      </c>
      <c r="G139" s="31">
        <v>0.9224</v>
      </c>
      <c r="H139" s="32">
        <v>8.99</v>
      </c>
      <c r="I139" s="7">
        <v>1480</v>
      </c>
      <c r="J139" s="38">
        <v>1166</v>
      </c>
      <c r="K139" s="23">
        <f t="shared" si="17"/>
        <v>0.269296740994854</v>
      </c>
      <c r="L139" s="30">
        <v>125</v>
      </c>
      <c r="M139" s="39">
        <v>131</v>
      </c>
      <c r="N139" s="23">
        <f t="shared" si="20"/>
        <v>-0.0458015267175573</v>
      </c>
      <c r="O139" s="23">
        <f t="shared" si="18"/>
        <v>0.0844594594594595</v>
      </c>
      <c r="P139" s="23">
        <f t="shared" si="21"/>
        <v>0.112349914236707</v>
      </c>
      <c r="Q139" s="25">
        <f t="shared" si="22"/>
        <v>-0.248246337940994</v>
      </c>
      <c r="R139" s="33">
        <f>430515.7/10000</f>
        <v>43.05157</v>
      </c>
      <c r="S139" s="40">
        <f>420496.1/10000</f>
        <v>42.04961</v>
      </c>
      <c r="T139" s="23">
        <f t="shared" si="15"/>
        <v>0.023828045016351</v>
      </c>
      <c r="U139" s="28" t="e">
        <f>R139/#REF!</f>
        <v>#REF!</v>
      </c>
      <c r="V139" s="28" t="e">
        <f>S139/#REF!</f>
        <v>#REF!</v>
      </c>
    </row>
    <row r="140" ht="25" hidden="1" customHeight="1" spans="1:22">
      <c r="A140" s="29">
        <v>45879</v>
      </c>
      <c r="B140" s="7">
        <v>2924</v>
      </c>
      <c r="C140" s="7">
        <v>2267</v>
      </c>
      <c r="D140" s="20">
        <f t="shared" si="19"/>
        <v>0.289810322011469</v>
      </c>
      <c r="E140" s="37">
        <v>19</v>
      </c>
      <c r="F140" s="35">
        <f t="shared" si="16"/>
        <v>153.894736842105</v>
      </c>
      <c r="G140" s="31">
        <v>0.9896</v>
      </c>
      <c r="H140" s="32">
        <v>9.89</v>
      </c>
      <c r="I140" s="7">
        <v>1588</v>
      </c>
      <c r="J140" s="38">
        <v>1256</v>
      </c>
      <c r="K140" s="23">
        <f t="shared" si="17"/>
        <v>0.264331210191083</v>
      </c>
      <c r="L140" s="30">
        <v>139</v>
      </c>
      <c r="M140" s="39">
        <v>128</v>
      </c>
      <c r="N140" s="23">
        <f t="shared" si="20"/>
        <v>0.0859375</v>
      </c>
      <c r="O140" s="23">
        <f t="shared" si="18"/>
        <v>0.0875314861460957</v>
      </c>
      <c r="P140" s="23">
        <f t="shared" si="21"/>
        <v>0.101910828025478</v>
      </c>
      <c r="Q140" s="25">
        <f t="shared" si="22"/>
        <v>-0.141097292191436</v>
      </c>
      <c r="R140" s="33">
        <f>504024.34/10000</f>
        <v>50.402434</v>
      </c>
      <c r="S140" s="40">
        <f>402008.93/10000</f>
        <v>40.200893</v>
      </c>
      <c r="T140" s="23">
        <f t="shared" si="15"/>
        <v>0.253764039520217</v>
      </c>
      <c r="U140" s="28" t="e">
        <f>R140/#REF!</f>
        <v>#REF!</v>
      </c>
      <c r="V140" s="28" t="e">
        <f>S140/#REF!</f>
        <v>#REF!</v>
      </c>
    </row>
    <row r="141" ht="25" hidden="1" customHeight="1" spans="1:22">
      <c r="A141" s="29">
        <v>45880</v>
      </c>
      <c r="B141" s="7">
        <v>3112</v>
      </c>
      <c r="C141" s="7">
        <v>2139</v>
      </c>
      <c r="D141" s="20">
        <f t="shared" si="19"/>
        <v>0.454885460495559</v>
      </c>
      <c r="E141" s="37">
        <v>19</v>
      </c>
      <c r="F141" s="35">
        <f t="shared" si="16"/>
        <v>163.789473684211</v>
      </c>
      <c r="G141" s="31">
        <v>0.985</v>
      </c>
      <c r="H141" s="32">
        <v>8.62</v>
      </c>
      <c r="I141" s="7">
        <v>1781</v>
      </c>
      <c r="J141" s="38">
        <v>1166</v>
      </c>
      <c r="K141" s="23">
        <f>(I144-J141)/J141</f>
        <v>0.694682675814751</v>
      </c>
      <c r="L141" s="30">
        <v>148</v>
      </c>
      <c r="M141" s="39">
        <v>109</v>
      </c>
      <c r="N141" s="23">
        <f t="shared" si="20"/>
        <v>0.357798165137615</v>
      </c>
      <c r="O141" s="23">
        <f t="shared" si="18"/>
        <v>0.0830993823694554</v>
      </c>
      <c r="P141" s="23">
        <f t="shared" si="21"/>
        <v>0.0934819897084048</v>
      </c>
      <c r="Q141" s="25">
        <f t="shared" si="22"/>
        <v>-0.111065322543257</v>
      </c>
      <c r="R141" s="33">
        <f>526653.58/10000</f>
        <v>52.665358</v>
      </c>
      <c r="S141" s="40">
        <f>363658.88/10000</f>
        <v>36.365888</v>
      </c>
      <c r="T141" s="23">
        <f t="shared" ref="T141:T204" si="23">(R141-S141)/S141</f>
        <v>0.448207671980951</v>
      </c>
      <c r="U141" s="28" t="e">
        <f>R141/#REF!</f>
        <v>#REF!</v>
      </c>
      <c r="V141" s="28" t="e">
        <f>S141/#REF!</f>
        <v>#REF!</v>
      </c>
    </row>
    <row r="142" ht="25" hidden="1" customHeight="1" spans="1:22">
      <c r="A142" s="29">
        <v>45881</v>
      </c>
      <c r="B142" s="7">
        <v>2762</v>
      </c>
      <c r="C142" s="7">
        <v>2257</v>
      </c>
      <c r="D142" s="20">
        <f t="shared" si="19"/>
        <v>0.223748338502437</v>
      </c>
      <c r="E142" s="37">
        <v>19</v>
      </c>
      <c r="F142" s="35">
        <f t="shared" si="16"/>
        <v>145.368421052632</v>
      </c>
      <c r="G142" s="31">
        <v>0.9667</v>
      </c>
      <c r="H142" s="32">
        <v>8.86</v>
      </c>
      <c r="I142" s="7">
        <v>1641</v>
      </c>
      <c r="J142" s="38">
        <v>1340</v>
      </c>
      <c r="K142" s="23">
        <f t="shared" ref="K142:K205" si="24">(I142-J142)/J142</f>
        <v>0.224626865671642</v>
      </c>
      <c r="L142" s="30">
        <v>142</v>
      </c>
      <c r="M142" s="39">
        <v>126</v>
      </c>
      <c r="N142" s="23">
        <f t="shared" si="20"/>
        <v>0.126984126984127</v>
      </c>
      <c r="O142" s="23">
        <f t="shared" si="18"/>
        <v>0.0865326020719074</v>
      </c>
      <c r="P142" s="23">
        <f t="shared" si="21"/>
        <v>0.0940298507462687</v>
      </c>
      <c r="Q142" s="25">
        <f t="shared" si="22"/>
        <v>-0.0797326446320962</v>
      </c>
      <c r="R142" s="33">
        <f>506820.46/10000</f>
        <v>50.682046</v>
      </c>
      <c r="S142" s="40">
        <f>394687.91/10000</f>
        <v>39.468791</v>
      </c>
      <c r="T142" s="23">
        <f t="shared" si="23"/>
        <v>0.284104344620032</v>
      </c>
      <c r="U142" s="28" t="e">
        <f>R142/#REF!</f>
        <v>#REF!</v>
      </c>
      <c r="V142" s="28" t="e">
        <f>S142/#REF!</f>
        <v>#REF!</v>
      </c>
    </row>
    <row r="143" ht="25" hidden="1" customHeight="1" spans="1:22">
      <c r="A143" s="29">
        <v>45882</v>
      </c>
      <c r="B143" s="7">
        <v>2997</v>
      </c>
      <c r="C143" s="7">
        <v>2362</v>
      </c>
      <c r="D143" s="20">
        <f t="shared" si="19"/>
        <v>0.268839966130398</v>
      </c>
      <c r="E143" s="37">
        <v>19</v>
      </c>
      <c r="F143" s="35">
        <f t="shared" si="16"/>
        <v>157.736842105263</v>
      </c>
      <c r="G143" s="31">
        <v>0.951</v>
      </c>
      <c r="H143" s="32">
        <v>9.28</v>
      </c>
      <c r="I143" s="7">
        <v>1742</v>
      </c>
      <c r="J143" s="38">
        <v>1485</v>
      </c>
      <c r="K143" s="23">
        <f t="shared" si="24"/>
        <v>0.173063973063973</v>
      </c>
      <c r="L143" s="30">
        <v>146</v>
      </c>
      <c r="M143" s="39">
        <v>136</v>
      </c>
      <c r="N143" s="23">
        <f t="shared" si="20"/>
        <v>0.0735294117647059</v>
      </c>
      <c r="O143" s="23">
        <f t="shared" si="18"/>
        <v>0.0838117106773823</v>
      </c>
      <c r="P143" s="23">
        <f t="shared" si="21"/>
        <v>0.0915824915824916</v>
      </c>
      <c r="Q143" s="25">
        <f t="shared" si="22"/>
        <v>-0.0848500709124064</v>
      </c>
      <c r="R143" s="33">
        <f>550128.2/10000</f>
        <v>55.01282</v>
      </c>
      <c r="S143" s="40">
        <f>420506.6/10000</f>
        <v>42.05066</v>
      </c>
      <c r="T143" s="23">
        <f t="shared" si="23"/>
        <v>0.308251047664888</v>
      </c>
      <c r="U143" s="28" t="e">
        <f>R143/#REF!</f>
        <v>#REF!</v>
      </c>
      <c r="V143" s="28" t="e">
        <f>S143/#REF!</f>
        <v>#REF!</v>
      </c>
    </row>
    <row r="144" ht="25" hidden="1" customHeight="1" spans="1:22">
      <c r="A144" s="29">
        <v>45883</v>
      </c>
      <c r="B144" s="7">
        <v>3469</v>
      </c>
      <c r="C144" s="7">
        <v>2953</v>
      </c>
      <c r="D144" s="20">
        <f t="shared" si="19"/>
        <v>0.174737555028784</v>
      </c>
      <c r="E144" s="37">
        <v>19</v>
      </c>
      <c r="F144" s="35">
        <f t="shared" si="16"/>
        <v>182.578947368421</v>
      </c>
      <c r="G144" s="31">
        <v>0.9578</v>
      </c>
      <c r="H144" s="32">
        <v>9.27</v>
      </c>
      <c r="I144" s="7">
        <v>1976</v>
      </c>
      <c r="J144" s="38">
        <v>1667</v>
      </c>
      <c r="K144" s="23">
        <f t="shared" si="24"/>
        <v>0.185362927414517</v>
      </c>
      <c r="L144" s="30">
        <v>281</v>
      </c>
      <c r="M144" s="39">
        <v>207</v>
      </c>
      <c r="N144" s="23">
        <f t="shared" si="20"/>
        <v>0.357487922705314</v>
      </c>
      <c r="O144" s="23">
        <f t="shared" si="18"/>
        <v>0.142206477732794</v>
      </c>
      <c r="P144" s="23">
        <f t="shared" si="21"/>
        <v>0.124175164967007</v>
      </c>
      <c r="Q144" s="25">
        <f t="shared" si="22"/>
        <v>0.145208687828825</v>
      </c>
      <c r="R144" s="33">
        <f>1136648.25/10000</f>
        <v>113.664825</v>
      </c>
      <c r="S144" s="40">
        <f>646300.05/10000</f>
        <v>64.630005</v>
      </c>
      <c r="T144" s="23">
        <f t="shared" si="23"/>
        <v>0.758700544739243</v>
      </c>
      <c r="U144" s="28" t="e">
        <f>R144/#REF!</f>
        <v>#REF!</v>
      </c>
      <c r="V144" s="28" t="e">
        <f>S144/#REF!</f>
        <v>#REF!</v>
      </c>
    </row>
    <row r="145" ht="25" hidden="1" customHeight="1" spans="1:22">
      <c r="A145" s="29">
        <v>45884</v>
      </c>
      <c r="B145" s="7">
        <v>3423</v>
      </c>
      <c r="C145" s="7">
        <v>2493</v>
      </c>
      <c r="D145" s="20">
        <f t="shared" si="19"/>
        <v>0.373044524669073</v>
      </c>
      <c r="E145" s="37">
        <v>20</v>
      </c>
      <c r="F145" s="35">
        <f t="shared" si="16"/>
        <v>171.15</v>
      </c>
      <c r="G145" s="31">
        <v>0.9627</v>
      </c>
      <c r="H145" s="7">
        <v>9.56</v>
      </c>
      <c r="I145" s="7">
        <v>1919</v>
      </c>
      <c r="J145" s="38">
        <v>1390</v>
      </c>
      <c r="K145" s="23">
        <f t="shared" si="24"/>
        <v>0.380575539568345</v>
      </c>
      <c r="L145" s="30">
        <v>233</v>
      </c>
      <c r="M145" s="39">
        <v>141</v>
      </c>
      <c r="N145" s="23">
        <f t="shared" si="20"/>
        <v>0.652482269503546</v>
      </c>
      <c r="O145" s="23">
        <f t="shared" si="18"/>
        <v>0.121417404898385</v>
      </c>
      <c r="P145" s="23">
        <f t="shared" si="21"/>
        <v>0.101438848920863</v>
      </c>
      <c r="Q145" s="25">
        <f t="shared" si="22"/>
        <v>0.196951722047905</v>
      </c>
      <c r="R145" s="33">
        <f>842597.67/10000</f>
        <v>84.259767</v>
      </c>
      <c r="S145" s="40">
        <f>411744.35/10000</f>
        <v>41.174435</v>
      </c>
      <c r="T145" s="23">
        <f t="shared" si="23"/>
        <v>1.04640979287269</v>
      </c>
      <c r="U145" s="28" t="e">
        <f>R145/#REF!</f>
        <v>#REF!</v>
      </c>
      <c r="V145" s="28" t="e">
        <f>S145/#REF!</f>
        <v>#REF!</v>
      </c>
    </row>
    <row r="146" ht="25" hidden="1" customHeight="1" spans="1:22">
      <c r="A146" s="29">
        <v>45885</v>
      </c>
      <c r="B146" s="7">
        <v>2784</v>
      </c>
      <c r="C146" s="7">
        <v>2418</v>
      </c>
      <c r="D146" s="20">
        <f t="shared" si="19"/>
        <v>0.15136476426799</v>
      </c>
      <c r="E146" s="37">
        <v>19</v>
      </c>
      <c r="F146" s="35">
        <f t="shared" si="16"/>
        <v>146.526315789474</v>
      </c>
      <c r="G146" s="31">
        <v>0.9627</v>
      </c>
      <c r="H146" s="7">
        <v>9.56</v>
      </c>
      <c r="I146" s="7">
        <v>1536</v>
      </c>
      <c r="J146" s="38">
        <v>1294</v>
      </c>
      <c r="K146" s="23">
        <f t="shared" si="24"/>
        <v>0.187017001545595</v>
      </c>
      <c r="L146" s="30">
        <v>162</v>
      </c>
      <c r="M146" s="39">
        <v>130</v>
      </c>
      <c r="N146" s="23">
        <f t="shared" si="20"/>
        <v>0.246153846153846</v>
      </c>
      <c r="O146" s="23">
        <f t="shared" si="18"/>
        <v>0.10546875</v>
      </c>
      <c r="P146" s="23">
        <f t="shared" si="21"/>
        <v>0.100463678516229</v>
      </c>
      <c r="Q146" s="25">
        <f t="shared" si="22"/>
        <v>0.0498197115384615</v>
      </c>
      <c r="R146" s="33">
        <f>566613.94/10000</f>
        <v>56.661394</v>
      </c>
      <c r="S146" s="40">
        <f>388282.33/10000</f>
        <v>38.828233</v>
      </c>
      <c r="T146" s="23">
        <f t="shared" si="23"/>
        <v>0.459283351884697</v>
      </c>
      <c r="U146" s="28" t="e">
        <f>R146/#REF!</f>
        <v>#REF!</v>
      </c>
      <c r="V146" s="28" t="e">
        <f>S146/#REF!</f>
        <v>#REF!</v>
      </c>
    </row>
    <row r="147" ht="25" hidden="1" customHeight="1" spans="1:22">
      <c r="A147" s="29">
        <v>45886</v>
      </c>
      <c r="B147" s="7">
        <v>2984</v>
      </c>
      <c r="C147" s="7">
        <v>2509</v>
      </c>
      <c r="D147" s="20">
        <f t="shared" si="19"/>
        <v>0.189318453567158</v>
      </c>
      <c r="E147" s="37">
        <v>19</v>
      </c>
      <c r="F147" s="35">
        <f t="shared" si="16"/>
        <v>157.052631578947</v>
      </c>
      <c r="G147" s="31">
        <v>0.95</v>
      </c>
      <c r="H147" s="7">
        <v>9.23</v>
      </c>
      <c r="I147" s="7">
        <v>1649</v>
      </c>
      <c r="J147" s="38">
        <v>1390</v>
      </c>
      <c r="K147" s="23">
        <f t="shared" si="24"/>
        <v>0.186330935251799</v>
      </c>
      <c r="L147" s="30">
        <v>163</v>
      </c>
      <c r="M147" s="39">
        <v>159</v>
      </c>
      <c r="N147" s="23">
        <f t="shared" si="20"/>
        <v>0.0251572327044025</v>
      </c>
      <c r="O147" s="23">
        <f t="shared" si="18"/>
        <v>0.0988477865372953</v>
      </c>
      <c r="P147" s="23">
        <f t="shared" si="21"/>
        <v>0.114388489208633</v>
      </c>
      <c r="Q147" s="25">
        <f t="shared" si="22"/>
        <v>-0.135858973038739</v>
      </c>
      <c r="R147" s="33">
        <f>577521.63/10000</f>
        <v>57.752163</v>
      </c>
      <c r="S147" s="40">
        <f>476930.23/10000</f>
        <v>47.693023</v>
      </c>
      <c r="T147" s="23">
        <f t="shared" si="23"/>
        <v>0.210914288238764</v>
      </c>
      <c r="U147" s="28" t="e">
        <f>R147/#REF!</f>
        <v>#REF!</v>
      </c>
      <c r="V147" s="28" t="e">
        <f>S147/#REF!</f>
        <v>#REF!</v>
      </c>
    </row>
    <row r="148" ht="25" hidden="1" customHeight="1" spans="1:22">
      <c r="A148" s="29">
        <v>45887</v>
      </c>
      <c r="B148" s="7">
        <v>3378</v>
      </c>
      <c r="C148" s="7">
        <v>2704</v>
      </c>
      <c r="D148" s="20">
        <f t="shared" si="19"/>
        <v>0.249260355029586</v>
      </c>
      <c r="E148" s="37">
        <v>18</v>
      </c>
      <c r="F148" s="35">
        <f t="shared" si="16"/>
        <v>187.666666666667</v>
      </c>
      <c r="G148" s="31">
        <v>0.9592</v>
      </c>
      <c r="H148" s="7">
        <v>9.6</v>
      </c>
      <c r="I148" s="7">
        <v>1917</v>
      </c>
      <c r="J148" s="38">
        <v>1576</v>
      </c>
      <c r="K148" s="23">
        <f t="shared" si="24"/>
        <v>0.216370558375635</v>
      </c>
      <c r="L148" s="30">
        <v>220</v>
      </c>
      <c r="M148" s="39">
        <v>180</v>
      </c>
      <c r="N148" s="23">
        <f t="shared" si="20"/>
        <v>0.222222222222222</v>
      </c>
      <c r="O148" s="23">
        <f t="shared" si="18"/>
        <v>0.114762649973918</v>
      </c>
      <c r="P148" s="23">
        <f t="shared" si="21"/>
        <v>0.114213197969543</v>
      </c>
      <c r="Q148" s="25">
        <f t="shared" si="22"/>
        <v>0.00481075754941174</v>
      </c>
      <c r="R148" s="33">
        <f>770404.9/10000</f>
        <v>77.04049</v>
      </c>
      <c r="S148" s="40">
        <f>535214.02/10000</f>
        <v>53.521402</v>
      </c>
      <c r="T148" s="23">
        <f t="shared" si="23"/>
        <v>0.439433331735219</v>
      </c>
      <c r="U148" s="28" t="e">
        <f>R148/#REF!</f>
        <v>#REF!</v>
      </c>
      <c r="V148" s="28" t="e">
        <f>S148/#REF!</f>
        <v>#REF!</v>
      </c>
    </row>
    <row r="149" ht="25" hidden="1" customHeight="1" spans="1:22">
      <c r="A149" s="29">
        <v>45888</v>
      </c>
      <c r="B149" s="7">
        <v>3155</v>
      </c>
      <c r="C149" s="7">
        <v>2403</v>
      </c>
      <c r="D149" s="20">
        <f t="shared" si="19"/>
        <v>0.312942155638785</v>
      </c>
      <c r="E149" s="37">
        <v>20</v>
      </c>
      <c r="F149" s="35">
        <f t="shared" si="16"/>
        <v>157.75</v>
      </c>
      <c r="G149" s="31">
        <v>0.9583</v>
      </c>
      <c r="H149" s="7">
        <v>9.64</v>
      </c>
      <c r="I149" s="38">
        <v>1786</v>
      </c>
      <c r="J149" s="38">
        <v>1355</v>
      </c>
      <c r="K149" s="23">
        <f t="shared" si="24"/>
        <v>0.318081180811808</v>
      </c>
      <c r="L149" s="39">
        <v>190</v>
      </c>
      <c r="M149" s="39">
        <v>158</v>
      </c>
      <c r="N149" s="23">
        <f t="shared" si="20"/>
        <v>0.20253164556962</v>
      </c>
      <c r="O149" s="23">
        <f t="shared" si="18"/>
        <v>0.106382978723404</v>
      </c>
      <c r="P149" s="23">
        <f t="shared" si="21"/>
        <v>0.116605166051661</v>
      </c>
      <c r="Q149" s="25">
        <f t="shared" si="22"/>
        <v>-0.0876649609480205</v>
      </c>
      <c r="R149" s="40">
        <f>665850.36/10000</f>
        <v>66.585036</v>
      </c>
      <c r="S149" s="40">
        <f>480301.5/10000</f>
        <v>48.03015</v>
      </c>
      <c r="T149" s="23">
        <f t="shared" si="23"/>
        <v>0.386317469339571</v>
      </c>
      <c r="U149" s="28" t="e">
        <f>R149/#REF!</f>
        <v>#REF!</v>
      </c>
      <c r="V149" s="28" t="e">
        <f>S149/#REF!</f>
        <v>#REF!</v>
      </c>
    </row>
    <row r="150" ht="25" hidden="1" customHeight="1" spans="1:22">
      <c r="A150" s="29">
        <v>45889</v>
      </c>
      <c r="B150" s="7">
        <v>3151</v>
      </c>
      <c r="C150" s="7">
        <v>2396</v>
      </c>
      <c r="D150" s="20">
        <f t="shared" si="19"/>
        <v>0.315108514190317</v>
      </c>
      <c r="E150" s="37">
        <v>19</v>
      </c>
      <c r="F150" s="35">
        <f t="shared" si="16"/>
        <v>165.842105263158</v>
      </c>
      <c r="G150" s="31">
        <v>0.956</v>
      </c>
      <c r="H150" s="7">
        <v>9.5</v>
      </c>
      <c r="I150" s="38">
        <v>1700</v>
      </c>
      <c r="J150" s="38">
        <v>1358</v>
      </c>
      <c r="K150" s="23">
        <f t="shared" si="24"/>
        <v>0.251840942562592</v>
      </c>
      <c r="L150" s="39">
        <v>188</v>
      </c>
      <c r="M150" s="39">
        <v>129</v>
      </c>
      <c r="N150" s="23">
        <f t="shared" si="20"/>
        <v>0.457364341085271</v>
      </c>
      <c r="O150" s="23">
        <f t="shared" si="18"/>
        <v>0.110588235294118</v>
      </c>
      <c r="P150" s="23">
        <f t="shared" si="21"/>
        <v>0.0949926362297496</v>
      </c>
      <c r="Q150" s="25">
        <f t="shared" si="22"/>
        <v>0.164176926584587</v>
      </c>
      <c r="R150" s="40">
        <f>731469.02/10000</f>
        <v>73.146902</v>
      </c>
      <c r="S150" s="40">
        <f>389837.6/10000</f>
        <v>38.98376</v>
      </c>
      <c r="T150" s="23">
        <f t="shared" si="23"/>
        <v>0.876342918179262</v>
      </c>
      <c r="U150" s="28" t="e">
        <f>R150/#REF!</f>
        <v>#REF!</v>
      </c>
      <c r="V150" s="28" t="e">
        <f>S150/#REF!</f>
        <v>#REF!</v>
      </c>
    </row>
    <row r="151" ht="25" hidden="1" customHeight="1" spans="1:22">
      <c r="A151" s="29">
        <v>45890</v>
      </c>
      <c r="B151" s="7">
        <v>3070</v>
      </c>
      <c r="C151" s="7">
        <v>2221</v>
      </c>
      <c r="D151" s="20">
        <f t="shared" si="19"/>
        <v>0.382260243133724</v>
      </c>
      <c r="E151" s="37">
        <v>19</v>
      </c>
      <c r="F151" s="35">
        <f t="shared" si="16"/>
        <v>161.578947368421</v>
      </c>
      <c r="G151" s="31">
        <v>0.9775</v>
      </c>
      <c r="H151" s="7">
        <v>8.9</v>
      </c>
      <c r="I151" s="38">
        <v>1551</v>
      </c>
      <c r="J151" s="38">
        <v>1239</v>
      </c>
      <c r="K151" s="23">
        <f t="shared" si="24"/>
        <v>0.25181598062954</v>
      </c>
      <c r="L151" s="39">
        <v>175</v>
      </c>
      <c r="M151" s="39">
        <v>111</v>
      </c>
      <c r="N151" s="23">
        <f t="shared" si="20"/>
        <v>0.576576576576577</v>
      </c>
      <c r="O151" s="23">
        <f t="shared" si="18"/>
        <v>0.112830431979368</v>
      </c>
      <c r="P151" s="23">
        <f t="shared" si="21"/>
        <v>0.0895883777239709</v>
      </c>
      <c r="Q151" s="25">
        <f t="shared" si="22"/>
        <v>0.259431578580515</v>
      </c>
      <c r="R151" s="40">
        <f>674467.13/10000</f>
        <v>67.446713</v>
      </c>
      <c r="S151" s="40">
        <f>349953.61/10000</f>
        <v>34.995361</v>
      </c>
      <c r="T151" s="23">
        <f t="shared" si="23"/>
        <v>0.927304393288014</v>
      </c>
      <c r="U151" s="28" t="e">
        <f>R151/#REF!</f>
        <v>#REF!</v>
      </c>
      <c r="V151" s="28" t="e">
        <f>S151/#REF!</f>
        <v>#REF!</v>
      </c>
    </row>
    <row r="152" ht="25" hidden="1" customHeight="1" spans="1:22">
      <c r="A152" s="29">
        <v>45891</v>
      </c>
      <c r="B152" s="7">
        <v>2694</v>
      </c>
      <c r="C152" s="7">
        <v>2393</v>
      </c>
      <c r="D152" s="20">
        <f t="shared" si="19"/>
        <v>0.125783535311325</v>
      </c>
      <c r="E152" s="37">
        <v>20</v>
      </c>
      <c r="F152" s="35">
        <f t="shared" si="16"/>
        <v>134.7</v>
      </c>
      <c r="G152" s="31">
        <v>0.9474</v>
      </c>
      <c r="H152" s="7">
        <v>9.04</v>
      </c>
      <c r="I152" s="38">
        <v>1512</v>
      </c>
      <c r="J152" s="38">
        <v>1381</v>
      </c>
      <c r="K152" s="23">
        <f t="shared" si="24"/>
        <v>0.0948587979724837</v>
      </c>
      <c r="L152" s="39">
        <v>163</v>
      </c>
      <c r="M152" s="39">
        <v>107</v>
      </c>
      <c r="N152" s="23">
        <f t="shared" si="20"/>
        <v>0.523364485981308</v>
      </c>
      <c r="O152" s="23">
        <f t="shared" si="18"/>
        <v>0.107804232804233</v>
      </c>
      <c r="P152" s="23">
        <f t="shared" si="21"/>
        <v>0.0774800868935554</v>
      </c>
      <c r="Q152" s="25">
        <f t="shared" si="22"/>
        <v>0.391379864510706</v>
      </c>
      <c r="R152" s="40">
        <f>637478.51/10000</f>
        <v>63.747851</v>
      </c>
      <c r="S152" s="40">
        <f>330404.96/10000</f>
        <v>33.040496</v>
      </c>
      <c r="T152" s="23">
        <f t="shared" si="23"/>
        <v>0.929385412373955</v>
      </c>
      <c r="U152" s="28" t="e">
        <f>R152/#REF!</f>
        <v>#REF!</v>
      </c>
      <c r="V152" s="28" t="e">
        <f>S152/#REF!</f>
        <v>#REF!</v>
      </c>
    </row>
    <row r="153" ht="25" hidden="1" customHeight="1" spans="1:22">
      <c r="A153" s="29">
        <v>45892</v>
      </c>
      <c r="B153" s="7">
        <v>3034</v>
      </c>
      <c r="C153" s="7">
        <v>2243</v>
      </c>
      <c r="D153" s="20">
        <f t="shared" si="19"/>
        <v>0.352652697280428</v>
      </c>
      <c r="E153" s="37">
        <v>19</v>
      </c>
      <c r="F153" s="35">
        <f t="shared" si="16"/>
        <v>159.684210526316</v>
      </c>
      <c r="G153" s="31">
        <v>0.9635</v>
      </c>
      <c r="H153" s="7">
        <v>9.26</v>
      </c>
      <c r="I153" s="38">
        <v>1585</v>
      </c>
      <c r="J153" s="38">
        <v>1262</v>
      </c>
      <c r="K153" s="23">
        <f t="shared" si="24"/>
        <v>0.25594294770206</v>
      </c>
      <c r="L153" s="39">
        <v>184</v>
      </c>
      <c r="M153" s="39">
        <v>145</v>
      </c>
      <c r="N153" s="23">
        <f t="shared" si="20"/>
        <v>0.268965517241379</v>
      </c>
      <c r="O153" s="23">
        <f t="shared" si="18"/>
        <v>0.11608832807571</v>
      </c>
      <c r="P153" s="23">
        <f t="shared" si="21"/>
        <v>0.114896988906498</v>
      </c>
      <c r="Q153" s="25">
        <f t="shared" si="22"/>
        <v>0.0103687588382465</v>
      </c>
      <c r="R153" s="40">
        <f>712100.1/10000</f>
        <v>71.21001</v>
      </c>
      <c r="S153" s="40">
        <f>490709.53/10000</f>
        <v>49.070953</v>
      </c>
      <c r="T153" s="23">
        <f t="shared" si="23"/>
        <v>0.451164194834365</v>
      </c>
      <c r="U153" s="28" t="e">
        <f>R153/#REF!</f>
        <v>#REF!</v>
      </c>
      <c r="V153" s="28" t="e">
        <f>S153/#REF!</f>
        <v>#REF!</v>
      </c>
    </row>
    <row r="154" ht="25" hidden="1" customHeight="1" spans="1:22">
      <c r="A154" s="29">
        <v>45893</v>
      </c>
      <c r="B154" s="7">
        <v>2978</v>
      </c>
      <c r="C154" s="7">
        <v>2335</v>
      </c>
      <c r="D154" s="20">
        <f t="shared" si="19"/>
        <v>0.275374732334047</v>
      </c>
      <c r="E154" s="37">
        <v>18</v>
      </c>
      <c r="F154" s="35">
        <f t="shared" si="16"/>
        <v>165.444444444444</v>
      </c>
      <c r="G154" s="31">
        <v>0.9576</v>
      </c>
      <c r="H154" s="7">
        <v>9.5</v>
      </c>
      <c r="I154" s="38">
        <v>1632</v>
      </c>
      <c r="J154" s="38">
        <v>1270</v>
      </c>
      <c r="K154" s="23">
        <f t="shared" si="24"/>
        <v>0.28503937007874</v>
      </c>
      <c r="L154" s="39">
        <v>181</v>
      </c>
      <c r="M154" s="39">
        <v>114</v>
      </c>
      <c r="N154" s="23">
        <f t="shared" si="20"/>
        <v>0.587719298245614</v>
      </c>
      <c r="O154" s="23">
        <f t="shared" si="18"/>
        <v>0.110906862745098</v>
      </c>
      <c r="P154" s="23">
        <f t="shared" si="21"/>
        <v>0.0897637795275591</v>
      </c>
      <c r="Q154" s="25">
        <f t="shared" si="22"/>
        <v>0.235541365669075</v>
      </c>
      <c r="R154" s="40">
        <f>724433.04/10000</f>
        <v>72.443304</v>
      </c>
      <c r="S154" s="40">
        <f>363114.29/10000</f>
        <v>36.311429</v>
      </c>
      <c r="T154" s="23">
        <f t="shared" si="23"/>
        <v>0.995055165689018</v>
      </c>
      <c r="U154" s="28" t="e">
        <f>R154/#REF!</f>
        <v>#REF!</v>
      </c>
      <c r="V154" s="28" t="e">
        <f>S154/#REF!</f>
        <v>#REF!</v>
      </c>
    </row>
    <row r="155" ht="25" hidden="1" customHeight="1" spans="1:22">
      <c r="A155" s="29">
        <v>45894</v>
      </c>
      <c r="B155" s="7">
        <v>3190</v>
      </c>
      <c r="C155" s="7">
        <v>2151</v>
      </c>
      <c r="D155" s="20">
        <f t="shared" si="19"/>
        <v>0.483031148303115</v>
      </c>
      <c r="E155" s="37">
        <v>19</v>
      </c>
      <c r="F155" s="35">
        <f t="shared" si="16"/>
        <v>167.894736842105</v>
      </c>
      <c r="G155" s="31">
        <v>0.9669</v>
      </c>
      <c r="H155" s="7">
        <v>10.28</v>
      </c>
      <c r="I155" s="38">
        <v>1667</v>
      </c>
      <c r="J155" s="38">
        <v>1222</v>
      </c>
      <c r="K155" s="23">
        <f t="shared" si="24"/>
        <v>0.364157119476268</v>
      </c>
      <c r="L155" s="39">
        <v>186</v>
      </c>
      <c r="M155" s="39">
        <v>116</v>
      </c>
      <c r="N155" s="23">
        <f t="shared" si="20"/>
        <v>0.603448275862069</v>
      </c>
      <c r="O155" s="23">
        <f t="shared" si="18"/>
        <v>0.111577684463107</v>
      </c>
      <c r="P155" s="23">
        <f t="shared" si="21"/>
        <v>0.0949263502454992</v>
      </c>
      <c r="Q155" s="25">
        <f t="shared" si="22"/>
        <v>0.175413193223424</v>
      </c>
      <c r="R155" s="40">
        <f>780813.4/10000</f>
        <v>78.08134</v>
      </c>
      <c r="S155" s="41">
        <f>358844.61/10000</f>
        <v>35.884461</v>
      </c>
      <c r="T155" s="23">
        <f t="shared" si="23"/>
        <v>1.17590951136203</v>
      </c>
      <c r="U155" s="28" t="e">
        <f>R155/#REF!</f>
        <v>#REF!</v>
      </c>
      <c r="V155" s="28" t="e">
        <f>S155/#REF!</f>
        <v>#REF!</v>
      </c>
    </row>
    <row r="156" ht="25" hidden="1" customHeight="1" spans="1:22">
      <c r="A156" s="29">
        <v>45895</v>
      </c>
      <c r="B156" s="7">
        <v>2998</v>
      </c>
      <c r="C156" s="7">
        <v>2174</v>
      </c>
      <c r="D156" s="20">
        <f t="shared" si="19"/>
        <v>0.37902483900644</v>
      </c>
      <c r="E156" s="37">
        <v>19</v>
      </c>
      <c r="F156" s="35">
        <f t="shared" si="16"/>
        <v>157.789473684211</v>
      </c>
      <c r="G156" s="31">
        <v>0.9701</v>
      </c>
      <c r="H156" s="7">
        <v>9.87</v>
      </c>
      <c r="I156" s="38">
        <v>1635</v>
      </c>
      <c r="J156" s="38">
        <v>1223</v>
      </c>
      <c r="K156" s="23">
        <f t="shared" si="24"/>
        <v>0.33687653311529</v>
      </c>
      <c r="L156" s="39">
        <v>190</v>
      </c>
      <c r="M156" s="39">
        <v>109</v>
      </c>
      <c r="N156" s="23">
        <f t="shared" si="20"/>
        <v>0.743119266055046</v>
      </c>
      <c r="O156" s="23">
        <f t="shared" si="18"/>
        <v>0.116207951070336</v>
      </c>
      <c r="P156" s="23">
        <f t="shared" si="21"/>
        <v>0.089125102207686</v>
      </c>
      <c r="Q156" s="25">
        <f t="shared" si="22"/>
        <v>0.303874533569004</v>
      </c>
      <c r="R156" s="40">
        <f>742610.88/10000</f>
        <v>74.261088</v>
      </c>
      <c r="S156" s="41">
        <f>347601.47/10000</f>
        <v>34.760147</v>
      </c>
      <c r="T156" s="23">
        <f t="shared" si="23"/>
        <v>1.13638590193534</v>
      </c>
      <c r="U156" s="28" t="e">
        <f>R156/#REF!</f>
        <v>#REF!</v>
      </c>
      <c r="V156" s="28" t="e">
        <f>S156/#REF!</f>
        <v>#REF!</v>
      </c>
    </row>
    <row r="157" ht="25" hidden="1" customHeight="1" spans="1:22">
      <c r="A157" s="29">
        <v>45896</v>
      </c>
      <c r="B157" s="7">
        <v>2770</v>
      </c>
      <c r="C157" s="7">
        <v>2424</v>
      </c>
      <c r="D157" s="20">
        <f t="shared" si="19"/>
        <v>0.142739273927393</v>
      </c>
      <c r="E157" s="37">
        <v>19</v>
      </c>
      <c r="F157" s="35">
        <f t="shared" si="16"/>
        <v>145.789473684211</v>
      </c>
      <c r="G157" s="31">
        <v>0.9792</v>
      </c>
      <c r="H157" s="7">
        <v>9.47</v>
      </c>
      <c r="I157" s="38">
        <v>1482</v>
      </c>
      <c r="J157" s="38">
        <v>1368</v>
      </c>
      <c r="K157" s="23">
        <f t="shared" si="24"/>
        <v>0.0833333333333333</v>
      </c>
      <c r="L157" s="39">
        <v>174</v>
      </c>
      <c r="M157" s="39">
        <v>130</v>
      </c>
      <c r="N157" s="23">
        <f t="shared" si="20"/>
        <v>0.338461538461538</v>
      </c>
      <c r="O157" s="23">
        <f t="shared" si="18"/>
        <v>0.117408906882591</v>
      </c>
      <c r="P157" s="23">
        <f t="shared" si="21"/>
        <v>0.0950292397660819</v>
      </c>
      <c r="Q157" s="25">
        <f t="shared" si="22"/>
        <v>0.235502958579882</v>
      </c>
      <c r="R157" s="40">
        <f>637015.12/10000</f>
        <v>63.701512</v>
      </c>
      <c r="S157" s="41">
        <f>406361.39/10000</f>
        <v>40.636139</v>
      </c>
      <c r="T157" s="23">
        <f t="shared" si="23"/>
        <v>0.567607394984056</v>
      </c>
      <c r="U157" s="28" t="e">
        <f>R157/#REF!</f>
        <v>#REF!</v>
      </c>
      <c r="V157" s="28" t="e">
        <f>S157/#REF!</f>
        <v>#REF!</v>
      </c>
    </row>
    <row r="158" ht="25" hidden="1" customHeight="1" spans="1:22">
      <c r="A158" s="29">
        <v>45897</v>
      </c>
      <c r="B158" s="7">
        <v>2999</v>
      </c>
      <c r="C158" s="7">
        <v>2651</v>
      </c>
      <c r="D158" s="20">
        <f t="shared" si="19"/>
        <v>0.131271218408148</v>
      </c>
      <c r="E158" s="37">
        <v>18</v>
      </c>
      <c r="F158" s="35">
        <f t="shared" si="16"/>
        <v>166.611111111111</v>
      </c>
      <c r="G158" s="31">
        <v>0.9716</v>
      </c>
      <c r="H158" s="7">
        <v>9.36</v>
      </c>
      <c r="I158" s="38">
        <v>1663</v>
      </c>
      <c r="J158" s="38">
        <v>1481</v>
      </c>
      <c r="K158" s="23">
        <f t="shared" si="24"/>
        <v>0.12288993923025</v>
      </c>
      <c r="L158" s="39">
        <v>192</v>
      </c>
      <c r="M158" s="39">
        <v>143</v>
      </c>
      <c r="N158" s="23">
        <f t="shared" si="20"/>
        <v>0.342657342657343</v>
      </c>
      <c r="O158" s="23">
        <f t="shared" si="18"/>
        <v>0.115453998797354</v>
      </c>
      <c r="P158" s="23">
        <f t="shared" si="21"/>
        <v>0.0965563808237677</v>
      </c>
      <c r="Q158" s="25">
        <f t="shared" si="22"/>
        <v>0.195715889642528</v>
      </c>
      <c r="R158" s="40">
        <f>738786.41/10000</f>
        <v>73.878641</v>
      </c>
      <c r="S158" s="41">
        <f>439618.93/10000</f>
        <v>43.961893</v>
      </c>
      <c r="T158" s="23">
        <f t="shared" si="23"/>
        <v>0.680515463699436</v>
      </c>
      <c r="U158" s="28" t="e">
        <f>R158/#REF!</f>
        <v>#REF!</v>
      </c>
      <c r="V158" s="28" t="e">
        <f>S158/#REF!</f>
        <v>#REF!</v>
      </c>
    </row>
    <row r="159" ht="25" hidden="1" customHeight="1" spans="1:22">
      <c r="A159" s="29">
        <v>45898</v>
      </c>
      <c r="B159" s="7">
        <v>2713</v>
      </c>
      <c r="C159" s="7">
        <v>2595</v>
      </c>
      <c r="D159" s="20">
        <f t="shared" si="19"/>
        <v>0.0454720616570328</v>
      </c>
      <c r="E159" s="37" t="s">
        <v>1</v>
      </c>
      <c r="F159" s="35" t="e">
        <f t="shared" si="16"/>
        <v>#VALUE!</v>
      </c>
      <c r="G159" s="31">
        <v>0.9665</v>
      </c>
      <c r="H159" s="7">
        <v>8.85</v>
      </c>
      <c r="I159" s="38">
        <v>1394</v>
      </c>
      <c r="J159" s="38">
        <v>1455</v>
      </c>
      <c r="K159" s="23">
        <f t="shared" si="24"/>
        <v>-0.0419243986254296</v>
      </c>
      <c r="L159" s="39">
        <v>176</v>
      </c>
      <c r="M159" s="39">
        <v>165</v>
      </c>
      <c r="N159" s="23">
        <f t="shared" si="20"/>
        <v>0.0666666666666667</v>
      </c>
      <c r="O159" s="23">
        <f t="shared" si="18"/>
        <v>0.126255380200861</v>
      </c>
      <c r="P159" s="23">
        <f t="shared" si="21"/>
        <v>0.11340206185567</v>
      </c>
      <c r="Q159" s="25">
        <f t="shared" si="22"/>
        <v>0.113342898134864</v>
      </c>
      <c r="R159" s="40">
        <f>669294.2/10000</f>
        <v>66.92942</v>
      </c>
      <c r="S159" s="41">
        <f>557349.81/10000</f>
        <v>55.734981</v>
      </c>
      <c r="T159" s="23">
        <f t="shared" si="23"/>
        <v>0.200851221246491</v>
      </c>
      <c r="U159" s="28" t="e">
        <f>R159/#REF!</f>
        <v>#REF!</v>
      </c>
      <c r="V159" s="28" t="e">
        <f>S159/#REF!</f>
        <v>#REF!</v>
      </c>
    </row>
    <row r="160" ht="25" hidden="1" customHeight="1" spans="1:22">
      <c r="A160" s="29">
        <v>45899</v>
      </c>
      <c r="B160" s="7">
        <v>2877</v>
      </c>
      <c r="C160" s="7">
        <v>2431</v>
      </c>
      <c r="D160" s="20">
        <f t="shared" si="19"/>
        <v>0.183463595228301</v>
      </c>
      <c r="E160" s="37" t="s">
        <v>1</v>
      </c>
      <c r="F160" s="35" t="e">
        <f t="shared" si="16"/>
        <v>#VALUE!</v>
      </c>
      <c r="G160" s="31">
        <v>0.9783</v>
      </c>
      <c r="H160" s="7">
        <v>9.32</v>
      </c>
      <c r="I160" s="38">
        <v>1526</v>
      </c>
      <c r="J160" s="38">
        <v>1405</v>
      </c>
      <c r="K160" s="23">
        <f t="shared" si="24"/>
        <v>0.0861209964412811</v>
      </c>
      <c r="L160" s="39">
        <v>160</v>
      </c>
      <c r="M160" s="39">
        <v>101</v>
      </c>
      <c r="N160" s="23">
        <f t="shared" si="20"/>
        <v>0.584158415841584</v>
      </c>
      <c r="O160" s="23">
        <f t="shared" si="18"/>
        <v>0.104849279161206</v>
      </c>
      <c r="P160" s="23">
        <f t="shared" si="21"/>
        <v>0.0718861209964413</v>
      </c>
      <c r="Q160" s="25">
        <f t="shared" si="22"/>
        <v>0.45854690318311</v>
      </c>
      <c r="R160" s="40">
        <f>662238/10000</f>
        <v>66.2238</v>
      </c>
      <c r="S160" s="40">
        <f>353720.84/10000</f>
        <v>35.372084</v>
      </c>
      <c r="T160" s="23">
        <f t="shared" si="23"/>
        <v>0.87220521131862</v>
      </c>
      <c r="U160" s="28" t="e">
        <f>R160/#REF!</f>
        <v>#REF!</v>
      </c>
      <c r="V160" s="28" t="e">
        <f>S160/#REF!</f>
        <v>#REF!</v>
      </c>
    </row>
    <row r="161" ht="25" hidden="1" customHeight="1" spans="1:22">
      <c r="A161" s="29">
        <v>45900</v>
      </c>
      <c r="B161" s="7">
        <v>3020</v>
      </c>
      <c r="C161" s="7">
        <v>2443</v>
      </c>
      <c r="D161" s="20">
        <f t="shared" si="19"/>
        <v>0.236185018419975</v>
      </c>
      <c r="E161" s="37" t="s">
        <v>1</v>
      </c>
      <c r="F161" s="35" t="e">
        <f t="shared" si="16"/>
        <v>#VALUE!</v>
      </c>
      <c r="G161" s="31">
        <v>0.9713</v>
      </c>
      <c r="H161" s="33">
        <v>9.08</v>
      </c>
      <c r="I161" s="38">
        <v>1583</v>
      </c>
      <c r="J161" s="38">
        <v>1399</v>
      </c>
      <c r="K161" s="23">
        <f t="shared" si="24"/>
        <v>0.131522516082916</v>
      </c>
      <c r="L161" s="39">
        <v>172</v>
      </c>
      <c r="M161" s="39">
        <v>148</v>
      </c>
      <c r="N161" s="23">
        <f t="shared" si="20"/>
        <v>0.162162162162162</v>
      </c>
      <c r="O161" s="23">
        <f t="shared" si="18"/>
        <v>0.108654453569172</v>
      </c>
      <c r="P161" s="23">
        <f t="shared" si="21"/>
        <v>0.105789849892781</v>
      </c>
      <c r="Q161" s="25">
        <f t="shared" si="22"/>
        <v>0.0270782469140018</v>
      </c>
      <c r="R161" s="40">
        <f>698405.42/10000</f>
        <v>69.840542</v>
      </c>
      <c r="S161" s="40">
        <f>443808.09/10000</f>
        <v>44.380809</v>
      </c>
      <c r="T161" s="23">
        <f t="shared" si="23"/>
        <v>0.573665365135638</v>
      </c>
      <c r="U161" s="28" t="e">
        <f>R161/#REF!</f>
        <v>#REF!</v>
      </c>
      <c r="V161" s="28" t="e">
        <f>S161/#REF!</f>
        <v>#REF!</v>
      </c>
    </row>
    <row r="162" ht="25" customHeight="1" spans="1:22">
      <c r="A162" s="18" t="s">
        <v>324</v>
      </c>
      <c r="B162" s="19">
        <f>SUM(B163:B192)</f>
        <v>96105</v>
      </c>
      <c r="C162" s="19">
        <f>SUM(C163:C192)</f>
        <v>129274</v>
      </c>
      <c r="D162" s="20">
        <f t="shared" si="19"/>
        <v>-0.256579049151415</v>
      </c>
      <c r="E162" s="18">
        <f>SUM(E163:E192)</f>
        <v>563</v>
      </c>
      <c r="F162" s="34">
        <f t="shared" si="16"/>
        <v>170.701598579041</v>
      </c>
      <c r="G162" s="21">
        <f>AVERAGEA(G163:G192)</f>
        <v>0.96652</v>
      </c>
      <c r="H162" s="22">
        <f>AVERAGEA(H163:H192)</f>
        <v>10.0676666666667</v>
      </c>
      <c r="I162" s="19">
        <f>SUM(I163:I192)</f>
        <v>51202</v>
      </c>
      <c r="J162" s="19">
        <f>SUM(J163:J192)</f>
        <v>76345</v>
      </c>
      <c r="K162" s="23">
        <f t="shared" si="24"/>
        <v>-0.329333944593621</v>
      </c>
      <c r="L162" s="19">
        <f>SUM(L163:L192)</f>
        <v>6876</v>
      </c>
      <c r="M162" s="19">
        <f>SUM(M163:M192)</f>
        <v>11313</v>
      </c>
      <c r="N162" s="23">
        <f t="shared" si="20"/>
        <v>-0.392203659506762</v>
      </c>
      <c r="O162" s="24">
        <f t="shared" si="18"/>
        <v>0.134291629233233</v>
      </c>
      <c r="P162" s="24">
        <f t="shared" si="21"/>
        <v>0.148182592180234</v>
      </c>
      <c r="Q162" s="25">
        <f t="shared" si="22"/>
        <v>-0.0937422050904996</v>
      </c>
      <c r="R162" s="26">
        <f>SUM(R163:R192)</f>
        <v>2734.969384</v>
      </c>
      <c r="S162" s="19">
        <f>SUM(S163:S192)</f>
        <v>3681.083595</v>
      </c>
      <c r="T162" s="23">
        <f t="shared" si="23"/>
        <v>-0.25702057195471</v>
      </c>
      <c r="U162" s="24" t="e">
        <f>R162/#REF!</f>
        <v>#REF!</v>
      </c>
      <c r="V162" s="28" t="e">
        <f>S162/#REF!</f>
        <v>#REF!</v>
      </c>
    </row>
    <row r="163" ht="25" hidden="1" customHeight="1" spans="1:22">
      <c r="A163" s="29">
        <v>45901</v>
      </c>
      <c r="B163" s="7">
        <v>3239</v>
      </c>
      <c r="C163" s="7">
        <v>2604</v>
      </c>
      <c r="D163" s="20">
        <f t="shared" si="19"/>
        <v>0.243855606758833</v>
      </c>
      <c r="E163" s="37">
        <v>19</v>
      </c>
      <c r="F163" s="35">
        <f t="shared" ref="F163:F226" si="25">B163/E163</f>
        <v>170.473684210526</v>
      </c>
      <c r="G163" s="31">
        <v>0.9645</v>
      </c>
      <c r="H163" s="7">
        <v>9.12</v>
      </c>
      <c r="I163" s="38">
        <v>1729</v>
      </c>
      <c r="J163" s="38">
        <v>1487</v>
      </c>
      <c r="K163" s="23">
        <f t="shared" si="24"/>
        <v>0.162743779421654</v>
      </c>
      <c r="L163" s="39">
        <v>213</v>
      </c>
      <c r="M163" s="39">
        <v>159</v>
      </c>
      <c r="N163" s="23">
        <f t="shared" si="20"/>
        <v>0.339622641509434</v>
      </c>
      <c r="O163" s="23">
        <f t="shared" si="18"/>
        <v>0.123192596876807</v>
      </c>
      <c r="P163" s="23">
        <f t="shared" si="21"/>
        <v>0.106926698049765</v>
      </c>
      <c r="Q163" s="25">
        <f t="shared" si="22"/>
        <v>0.15212195947052</v>
      </c>
      <c r="R163" s="40">
        <f>832002.18/10000</f>
        <v>83.200218</v>
      </c>
      <c r="S163" s="40">
        <f>492652.91/10000</f>
        <v>49.265291</v>
      </c>
      <c r="T163" s="23">
        <f t="shared" si="23"/>
        <v>0.688820187827572</v>
      </c>
      <c r="U163" s="28" t="e">
        <f>R163/#REF!</f>
        <v>#REF!</v>
      </c>
      <c r="V163" s="28" t="e">
        <f>S163/#REF!</f>
        <v>#REF!</v>
      </c>
    </row>
    <row r="164" ht="25" hidden="1" customHeight="1" spans="1:22">
      <c r="A164" s="29">
        <v>45902</v>
      </c>
      <c r="B164" s="7">
        <v>2960</v>
      </c>
      <c r="C164" s="7">
        <v>2573</v>
      </c>
      <c r="D164" s="20">
        <f t="shared" si="19"/>
        <v>0.150408083948698</v>
      </c>
      <c r="E164" s="37">
        <v>19</v>
      </c>
      <c r="F164" s="35">
        <f t="shared" si="25"/>
        <v>155.789473684211</v>
      </c>
      <c r="G164" s="31">
        <v>0.9786</v>
      </c>
      <c r="H164" s="7">
        <v>9.49</v>
      </c>
      <c r="I164" s="38">
        <v>1626</v>
      </c>
      <c r="J164" s="38">
        <v>1523</v>
      </c>
      <c r="K164" s="23">
        <f t="shared" si="24"/>
        <v>0.0676296782665791</v>
      </c>
      <c r="L164" s="39">
        <v>215</v>
      </c>
      <c r="M164" s="39">
        <v>173</v>
      </c>
      <c r="N164" s="23">
        <f t="shared" si="20"/>
        <v>0.242774566473988</v>
      </c>
      <c r="O164" s="23">
        <f t="shared" si="18"/>
        <v>0.132226322263223</v>
      </c>
      <c r="P164" s="23">
        <f t="shared" si="21"/>
        <v>0.113591595535128</v>
      </c>
      <c r="Q164" s="25">
        <f t="shared" si="22"/>
        <v>0.164050224317272</v>
      </c>
      <c r="R164" s="40">
        <f>874382.32/10000</f>
        <v>87.438232</v>
      </c>
      <c r="S164" s="40">
        <f>546164.77/10000</f>
        <v>54.616477</v>
      </c>
      <c r="T164" s="23">
        <f t="shared" si="23"/>
        <v>0.600949691427369</v>
      </c>
      <c r="U164" s="28" t="e">
        <f>R164/#REF!</f>
        <v>#REF!</v>
      </c>
      <c r="V164" s="28" t="e">
        <f>S164/#REF!</f>
        <v>#REF!</v>
      </c>
    </row>
    <row r="165" ht="25" hidden="1" customHeight="1" spans="1:22">
      <c r="A165" s="29">
        <v>45903</v>
      </c>
      <c r="B165" s="7">
        <v>2497</v>
      </c>
      <c r="C165" s="7">
        <v>3223</v>
      </c>
      <c r="D165" s="20">
        <f t="shared" si="19"/>
        <v>-0.225255972696246</v>
      </c>
      <c r="E165" s="37">
        <v>18</v>
      </c>
      <c r="F165" s="35">
        <f t="shared" si="25"/>
        <v>138.722222222222</v>
      </c>
      <c r="G165" s="31">
        <v>0.9565</v>
      </c>
      <c r="H165" s="7">
        <v>12</v>
      </c>
      <c r="I165" s="38">
        <v>1446</v>
      </c>
      <c r="J165" s="38">
        <v>1835</v>
      </c>
      <c r="K165" s="23">
        <f t="shared" si="24"/>
        <v>-0.211989100817439</v>
      </c>
      <c r="L165" s="39">
        <v>138</v>
      </c>
      <c r="M165" s="39">
        <v>235</v>
      </c>
      <c r="N165" s="23">
        <f t="shared" si="20"/>
        <v>-0.412765957446808</v>
      </c>
      <c r="O165" s="23">
        <f t="shared" si="18"/>
        <v>0.0954356846473029</v>
      </c>
      <c r="P165" s="23">
        <f t="shared" si="21"/>
        <v>0.128065395095368</v>
      </c>
      <c r="Q165" s="25">
        <f t="shared" si="22"/>
        <v>-0.254789441158294</v>
      </c>
      <c r="R165" s="40">
        <f>561409.4/10000</f>
        <v>56.14094</v>
      </c>
      <c r="S165" s="40">
        <f>802953.76/10000</f>
        <v>80.295376</v>
      </c>
      <c r="T165" s="23">
        <f t="shared" si="23"/>
        <v>-0.300819763270054</v>
      </c>
      <c r="U165" s="28" t="e">
        <f>R165/#REF!</f>
        <v>#REF!</v>
      </c>
      <c r="V165" s="28" t="e">
        <f>S165/#REF!</f>
        <v>#REF!</v>
      </c>
    </row>
    <row r="166" ht="25" hidden="1" customHeight="1" spans="1:22">
      <c r="A166" s="29">
        <v>45904</v>
      </c>
      <c r="B166" s="7">
        <v>2804</v>
      </c>
      <c r="C166" s="7">
        <v>3324</v>
      </c>
      <c r="D166" s="20">
        <f t="shared" si="19"/>
        <v>-0.156438026474128</v>
      </c>
      <c r="E166" s="37">
        <v>19</v>
      </c>
      <c r="F166" s="35">
        <f t="shared" si="25"/>
        <v>147.578947368421</v>
      </c>
      <c r="G166" s="31">
        <v>0.9632</v>
      </c>
      <c r="H166" s="7">
        <v>11.2</v>
      </c>
      <c r="I166" s="38">
        <v>1467</v>
      </c>
      <c r="J166" s="38">
        <v>1941</v>
      </c>
      <c r="K166" s="23">
        <f t="shared" si="24"/>
        <v>-0.244204018547141</v>
      </c>
      <c r="L166" s="39">
        <v>171</v>
      </c>
      <c r="M166" s="39">
        <v>284</v>
      </c>
      <c r="N166" s="23">
        <f t="shared" si="20"/>
        <v>-0.397887323943662</v>
      </c>
      <c r="O166" s="23">
        <f t="shared" si="18"/>
        <v>0.116564417177914</v>
      </c>
      <c r="P166" s="23">
        <f t="shared" si="21"/>
        <v>0.146316331787738</v>
      </c>
      <c r="Q166" s="25">
        <f t="shared" si="22"/>
        <v>-0.203339669921369</v>
      </c>
      <c r="R166" s="40">
        <f>654679.8/10000</f>
        <v>65.46798</v>
      </c>
      <c r="S166" s="40">
        <f>929426.55/10000</f>
        <v>92.942655</v>
      </c>
      <c r="T166" s="23">
        <f t="shared" si="23"/>
        <v>-0.295608889158589</v>
      </c>
      <c r="U166" s="28" t="e">
        <f>R166/#REF!</f>
        <v>#REF!</v>
      </c>
      <c r="V166" s="28" t="e">
        <f>S166/#REF!</f>
        <v>#REF!</v>
      </c>
    </row>
    <row r="167" ht="25" hidden="1" customHeight="1" spans="1:22">
      <c r="A167" s="29">
        <v>45905</v>
      </c>
      <c r="B167" s="7">
        <v>2664</v>
      </c>
      <c r="C167" s="7">
        <v>2906</v>
      </c>
      <c r="D167" s="20">
        <f t="shared" si="19"/>
        <v>-0.0832759807295251</v>
      </c>
      <c r="E167" s="37">
        <v>17</v>
      </c>
      <c r="F167" s="35">
        <f t="shared" si="25"/>
        <v>156.705882352941</v>
      </c>
      <c r="G167" s="31">
        <v>0.9773</v>
      </c>
      <c r="H167" s="7">
        <v>9.11</v>
      </c>
      <c r="I167" s="38">
        <v>1413</v>
      </c>
      <c r="J167" s="38">
        <v>1778</v>
      </c>
      <c r="K167" s="23">
        <f t="shared" si="24"/>
        <v>-0.205286839145107</v>
      </c>
      <c r="L167" s="39">
        <v>148</v>
      </c>
      <c r="M167" s="39">
        <v>220</v>
      </c>
      <c r="N167" s="23">
        <f t="shared" si="20"/>
        <v>-0.327272727272727</v>
      </c>
      <c r="O167" s="23">
        <f t="shared" si="18"/>
        <v>0.104741684359519</v>
      </c>
      <c r="P167" s="23">
        <f t="shared" si="21"/>
        <v>0.123734533183352</v>
      </c>
      <c r="Q167" s="25">
        <f t="shared" si="22"/>
        <v>-0.15349675094898</v>
      </c>
      <c r="R167" s="40">
        <f>595046.4/10000</f>
        <v>59.50464</v>
      </c>
      <c r="S167" s="40">
        <f>746727.21/10000</f>
        <v>74.672721</v>
      </c>
      <c r="T167" s="23">
        <f t="shared" si="23"/>
        <v>-0.203127471409539</v>
      </c>
      <c r="U167" s="28" t="e">
        <f>R167/#REF!</f>
        <v>#REF!</v>
      </c>
      <c r="V167" s="28" t="e">
        <f>S167/#REF!</f>
        <v>#REF!</v>
      </c>
    </row>
    <row r="168" ht="25" hidden="1" customHeight="1" spans="1:22">
      <c r="A168" s="29">
        <v>45906</v>
      </c>
      <c r="B168" s="7">
        <v>2618</v>
      </c>
      <c r="C168" s="7">
        <v>2881</v>
      </c>
      <c r="D168" s="20">
        <f t="shared" si="19"/>
        <v>-0.0912877473099618</v>
      </c>
      <c r="E168" s="37">
        <v>18</v>
      </c>
      <c r="F168" s="35">
        <f t="shared" si="25"/>
        <v>145.444444444444</v>
      </c>
      <c r="G168" s="31">
        <v>1</v>
      </c>
      <c r="H168" s="7">
        <v>9.37</v>
      </c>
      <c r="I168" s="38">
        <v>1453</v>
      </c>
      <c r="J168" s="38">
        <v>1748</v>
      </c>
      <c r="K168" s="23">
        <f t="shared" si="24"/>
        <v>-0.168764302059497</v>
      </c>
      <c r="L168" s="39">
        <v>135</v>
      </c>
      <c r="M168" s="39">
        <v>203</v>
      </c>
      <c r="N168" s="23">
        <f t="shared" si="20"/>
        <v>-0.334975369458128</v>
      </c>
      <c r="O168" s="23">
        <f t="shared" si="18"/>
        <v>0.0929112181693049</v>
      </c>
      <c r="P168" s="23">
        <f t="shared" si="21"/>
        <v>0.116132723112128</v>
      </c>
      <c r="Q168" s="25">
        <f t="shared" si="22"/>
        <v>-0.199956604138202</v>
      </c>
      <c r="R168" s="40">
        <f>528330/10000</f>
        <v>52.833</v>
      </c>
      <c r="S168" s="40">
        <f>633204.83/10000</f>
        <v>63.320483</v>
      </c>
      <c r="T168" s="23">
        <f t="shared" si="23"/>
        <v>-0.165625442244337</v>
      </c>
      <c r="U168" s="28" t="e">
        <f>R168/#REF!</f>
        <v>#REF!</v>
      </c>
      <c r="V168" s="28" t="e">
        <f>S168/#REF!</f>
        <v>#REF!</v>
      </c>
    </row>
    <row r="169" ht="25" hidden="1" customHeight="1" spans="1:22">
      <c r="A169" s="29">
        <v>45907</v>
      </c>
      <c r="B169" s="7">
        <v>2807</v>
      </c>
      <c r="C169" s="7">
        <v>4059</v>
      </c>
      <c r="D169" s="20">
        <f t="shared" si="19"/>
        <v>-0.308450357230845</v>
      </c>
      <c r="E169" s="37">
        <v>18</v>
      </c>
      <c r="F169" s="35">
        <f t="shared" si="25"/>
        <v>155.944444444444</v>
      </c>
      <c r="G169" s="31">
        <v>0.9535</v>
      </c>
      <c r="H169" s="7">
        <v>9.44</v>
      </c>
      <c r="I169" s="38">
        <v>1625</v>
      </c>
      <c r="J169" s="38">
        <v>2478</v>
      </c>
      <c r="K169" s="23">
        <f t="shared" si="24"/>
        <v>-0.344229217110573</v>
      </c>
      <c r="L169" s="39">
        <v>175</v>
      </c>
      <c r="M169" s="39">
        <v>409</v>
      </c>
      <c r="N169" s="23">
        <f t="shared" si="20"/>
        <v>-0.572127139364303</v>
      </c>
      <c r="O169" s="23">
        <f t="shared" si="18"/>
        <v>0.107692307692308</v>
      </c>
      <c r="P169" s="23">
        <f t="shared" si="21"/>
        <v>0.165052461662631</v>
      </c>
      <c r="Q169" s="25">
        <f t="shared" si="22"/>
        <v>-0.347526800827534</v>
      </c>
      <c r="R169" s="40">
        <f>707926/10000</f>
        <v>70.7926</v>
      </c>
      <c r="S169" s="40">
        <f>1292795.29/10000</f>
        <v>129.279529</v>
      </c>
      <c r="T169" s="23">
        <f t="shared" si="23"/>
        <v>-0.452406730225634</v>
      </c>
      <c r="U169" s="28" t="e">
        <f>R169/#REF!</f>
        <v>#REF!</v>
      </c>
      <c r="V169" s="28" t="e">
        <f>S169/#REF!</f>
        <v>#REF!</v>
      </c>
    </row>
    <row r="170" ht="25" hidden="1" customHeight="1" spans="1:22">
      <c r="A170" s="29">
        <v>45908</v>
      </c>
      <c r="B170" s="7">
        <v>3125</v>
      </c>
      <c r="C170" s="7">
        <v>5144</v>
      </c>
      <c r="D170" s="20">
        <f t="shared" si="19"/>
        <v>-0.392496111975117</v>
      </c>
      <c r="E170" s="37">
        <v>20</v>
      </c>
      <c r="F170" s="35">
        <f t="shared" si="25"/>
        <v>156.25</v>
      </c>
      <c r="G170" s="31">
        <v>0.9717</v>
      </c>
      <c r="H170" s="7">
        <v>9.87</v>
      </c>
      <c r="I170" s="38">
        <v>1778</v>
      </c>
      <c r="J170" s="38">
        <v>3175</v>
      </c>
      <c r="K170" s="23">
        <f t="shared" si="24"/>
        <v>-0.44</v>
      </c>
      <c r="L170" s="39">
        <v>236</v>
      </c>
      <c r="M170" s="39">
        <v>654</v>
      </c>
      <c r="N170" s="23">
        <f t="shared" si="20"/>
        <v>-0.63914373088685</v>
      </c>
      <c r="O170" s="23">
        <f t="shared" si="18"/>
        <v>0.132733408323959</v>
      </c>
      <c r="P170" s="23">
        <f t="shared" si="21"/>
        <v>0.205984251968504</v>
      </c>
      <c r="Q170" s="25">
        <f t="shared" si="22"/>
        <v>-0.35561380515509</v>
      </c>
      <c r="R170" s="40">
        <f>878156.15/10000</f>
        <v>87.815615</v>
      </c>
      <c r="S170" s="40">
        <f>2059154.09/10000</f>
        <v>205.915409</v>
      </c>
      <c r="T170" s="23">
        <f t="shared" si="23"/>
        <v>-0.573535485146719</v>
      </c>
      <c r="U170" s="28" t="e">
        <f>R170/#REF!</f>
        <v>#REF!</v>
      </c>
      <c r="V170" s="28" t="e">
        <f>S170/#REF!</f>
        <v>#REF!</v>
      </c>
    </row>
    <row r="171" ht="25" hidden="1" customHeight="1" spans="1:22">
      <c r="A171" s="29">
        <v>45909</v>
      </c>
      <c r="B171" s="7">
        <v>3371</v>
      </c>
      <c r="C171" s="7">
        <v>5148</v>
      </c>
      <c r="D171" s="20">
        <f t="shared" si="19"/>
        <v>-0.345182595182595</v>
      </c>
      <c r="E171" s="37">
        <v>20</v>
      </c>
      <c r="F171" s="35">
        <f t="shared" si="25"/>
        <v>168.55</v>
      </c>
      <c r="G171" s="31">
        <v>0.9459</v>
      </c>
      <c r="H171" s="7">
        <v>9.89</v>
      </c>
      <c r="I171" s="38">
        <v>1792</v>
      </c>
      <c r="J171" s="38">
        <v>3213</v>
      </c>
      <c r="K171" s="23">
        <f t="shared" si="24"/>
        <v>-0.442265795206972</v>
      </c>
      <c r="L171" s="39">
        <v>269</v>
      </c>
      <c r="M171" s="39">
        <v>602</v>
      </c>
      <c r="N171" s="23">
        <f t="shared" si="20"/>
        <v>-0.553156146179402</v>
      </c>
      <c r="O171" s="23">
        <f t="shared" si="18"/>
        <v>0.150111607142857</v>
      </c>
      <c r="P171" s="23">
        <f t="shared" si="21"/>
        <v>0.187363834422658</v>
      </c>
      <c r="Q171" s="25">
        <f t="shared" si="22"/>
        <v>-0.1988229339701</v>
      </c>
      <c r="R171" s="40">
        <f>1123152.89/10000</f>
        <v>112.315289</v>
      </c>
      <c r="S171" s="40">
        <f>1886567.02/10000</f>
        <v>188.656702</v>
      </c>
      <c r="T171" s="23">
        <f t="shared" si="23"/>
        <v>-0.404657837175591</v>
      </c>
      <c r="U171" s="28" t="e">
        <f>R171/#REF!</f>
        <v>#REF!</v>
      </c>
      <c r="V171" s="28" t="e">
        <f>S171/#REF!</f>
        <v>#REF!</v>
      </c>
    </row>
    <row r="172" ht="25" hidden="1" customHeight="1" spans="1:22">
      <c r="A172" s="29">
        <v>45910</v>
      </c>
      <c r="B172" s="7">
        <v>3326</v>
      </c>
      <c r="C172" s="7">
        <v>4528</v>
      </c>
      <c r="D172" s="20">
        <f t="shared" si="19"/>
        <v>-0.265459363957597</v>
      </c>
      <c r="E172" s="37">
        <v>22</v>
      </c>
      <c r="F172" s="35">
        <f t="shared" si="25"/>
        <v>151.181818181818</v>
      </c>
      <c r="G172" s="31">
        <v>0.9477</v>
      </c>
      <c r="H172" s="7">
        <v>9.55</v>
      </c>
      <c r="I172" s="38">
        <v>1800</v>
      </c>
      <c r="J172" s="38">
        <v>2758</v>
      </c>
      <c r="K172" s="23">
        <f t="shared" si="24"/>
        <v>-0.347353154459753</v>
      </c>
      <c r="L172" s="39">
        <v>258</v>
      </c>
      <c r="M172" s="39">
        <v>470</v>
      </c>
      <c r="N172" s="23">
        <f t="shared" si="20"/>
        <v>-0.451063829787234</v>
      </c>
      <c r="O172" s="23">
        <f t="shared" si="18"/>
        <v>0.143333333333333</v>
      </c>
      <c r="P172" s="23">
        <f t="shared" si="21"/>
        <v>0.170413343002175</v>
      </c>
      <c r="Q172" s="25">
        <f t="shared" si="22"/>
        <v>-0.15890780141844</v>
      </c>
      <c r="R172" s="40">
        <f>1057323.86/10000</f>
        <v>105.732386</v>
      </c>
      <c r="S172" s="40">
        <f>1460672.17/10000</f>
        <v>146.067217</v>
      </c>
      <c r="T172" s="23">
        <f t="shared" si="23"/>
        <v>-0.27613883408212</v>
      </c>
      <c r="U172" s="28" t="e">
        <f>R172/#REF!</f>
        <v>#REF!</v>
      </c>
      <c r="V172" s="28" t="e">
        <f>S172/#REF!</f>
        <v>#REF!</v>
      </c>
    </row>
    <row r="173" ht="25" hidden="1" customHeight="1" spans="1:22">
      <c r="A173" s="29">
        <v>45911</v>
      </c>
      <c r="B173" s="7">
        <v>3325</v>
      </c>
      <c r="C173" s="7">
        <v>4657</v>
      </c>
      <c r="D173" s="20">
        <f t="shared" si="19"/>
        <v>-0.286021043590294</v>
      </c>
      <c r="E173" s="37">
        <v>18</v>
      </c>
      <c r="F173" s="35">
        <f t="shared" si="25"/>
        <v>184.722222222222</v>
      </c>
      <c r="G173" s="31">
        <v>0.9658</v>
      </c>
      <c r="H173" s="7">
        <v>9.38</v>
      </c>
      <c r="I173" s="38">
        <v>1889</v>
      </c>
      <c r="J173" s="38">
        <v>2729</v>
      </c>
      <c r="K173" s="23">
        <f t="shared" si="24"/>
        <v>-0.307805056797362</v>
      </c>
      <c r="L173" s="39">
        <v>286</v>
      </c>
      <c r="M173" s="39">
        <v>481</v>
      </c>
      <c r="N173" s="23">
        <f t="shared" si="20"/>
        <v>-0.405405405405405</v>
      </c>
      <c r="O173" s="23">
        <f t="shared" si="18"/>
        <v>0.151402858655373</v>
      </c>
      <c r="P173" s="23">
        <f t="shared" si="21"/>
        <v>0.176255038475632</v>
      </c>
      <c r="Q173" s="25">
        <f t="shared" si="22"/>
        <v>-0.141001244759847</v>
      </c>
      <c r="R173" s="40">
        <f>1141566.77/10000</f>
        <v>114.156677</v>
      </c>
      <c r="S173" s="40">
        <f>1541851.28/10000</f>
        <v>154.185128</v>
      </c>
      <c r="T173" s="23">
        <f t="shared" si="23"/>
        <v>-0.259612918050047</v>
      </c>
      <c r="U173" s="28" t="e">
        <f>R173/#REF!</f>
        <v>#REF!</v>
      </c>
      <c r="V173" s="28" t="e">
        <f>S173/#REF!</f>
        <v>#REF!</v>
      </c>
    </row>
    <row r="174" ht="25" hidden="1" customHeight="1" spans="1:22">
      <c r="A174" s="29">
        <v>45912</v>
      </c>
      <c r="B174" s="7">
        <v>3029</v>
      </c>
      <c r="C174" s="7">
        <v>4462</v>
      </c>
      <c r="D174" s="20">
        <f t="shared" si="19"/>
        <v>-0.321156432093232</v>
      </c>
      <c r="E174" s="37">
        <v>18</v>
      </c>
      <c r="F174" s="35">
        <f t="shared" si="25"/>
        <v>168.277777777778</v>
      </c>
      <c r="G174" s="31">
        <v>0.986</v>
      </c>
      <c r="H174" s="7">
        <v>9.18</v>
      </c>
      <c r="I174" s="38">
        <v>1547</v>
      </c>
      <c r="J174" s="7">
        <v>2612</v>
      </c>
      <c r="K174" s="23">
        <f t="shared" si="24"/>
        <v>-0.407733537519142</v>
      </c>
      <c r="L174" s="39">
        <v>189</v>
      </c>
      <c r="M174" s="30">
        <v>454</v>
      </c>
      <c r="N174" s="23">
        <f t="shared" si="20"/>
        <v>-0.583700440528634</v>
      </c>
      <c r="O174" s="23">
        <f t="shared" ref="O174:O237" si="26">L174/I174</f>
        <v>0.122171945701357</v>
      </c>
      <c r="P174" s="23">
        <f t="shared" si="21"/>
        <v>0.173813169984686</v>
      </c>
      <c r="Q174" s="25">
        <f t="shared" si="22"/>
        <v>-0.297107660414217</v>
      </c>
      <c r="R174" s="40">
        <f>749112.15/10000</f>
        <v>74.911215</v>
      </c>
      <c r="S174" s="33">
        <f>1408900.43/10000</f>
        <v>140.890043</v>
      </c>
      <c r="T174" s="23">
        <f t="shared" si="23"/>
        <v>-0.468300148080727</v>
      </c>
      <c r="U174" s="28" t="e">
        <f>R174/#REF!</f>
        <v>#REF!</v>
      </c>
      <c r="V174" s="28" t="e">
        <f>S174/#REF!</f>
        <v>#REF!</v>
      </c>
    </row>
    <row r="175" ht="25" hidden="1" customHeight="1" spans="1:22">
      <c r="A175" s="29">
        <v>45913</v>
      </c>
      <c r="B175" s="7">
        <v>3068</v>
      </c>
      <c r="C175" s="7">
        <v>4168</v>
      </c>
      <c r="D175" s="20">
        <f t="shared" si="19"/>
        <v>-0.263915547024952</v>
      </c>
      <c r="E175" s="37">
        <v>19</v>
      </c>
      <c r="F175" s="35">
        <f t="shared" si="25"/>
        <v>161.473684210526</v>
      </c>
      <c r="G175" s="31">
        <v>0.9695</v>
      </c>
      <c r="H175" s="7">
        <v>10.07</v>
      </c>
      <c r="I175" s="38">
        <v>1582</v>
      </c>
      <c r="J175" s="7">
        <v>2489</v>
      </c>
      <c r="K175" s="23">
        <f t="shared" si="24"/>
        <v>-0.364403374849337</v>
      </c>
      <c r="L175" s="39">
        <v>212</v>
      </c>
      <c r="M175" s="30">
        <v>437</v>
      </c>
      <c r="N175" s="23">
        <f t="shared" si="20"/>
        <v>-0.51487414187643</v>
      </c>
      <c r="O175" s="23">
        <f t="shared" si="26"/>
        <v>0.134007585335019</v>
      </c>
      <c r="P175" s="23">
        <f t="shared" si="21"/>
        <v>0.175572519083969</v>
      </c>
      <c r="Q175" s="25">
        <f t="shared" si="22"/>
        <v>-0.236739405265761</v>
      </c>
      <c r="R175" s="40">
        <f>823034.32/10000</f>
        <v>82.303432</v>
      </c>
      <c r="S175" s="33">
        <f>1340539.42/10000</f>
        <v>134.053942</v>
      </c>
      <c r="T175" s="23">
        <f t="shared" si="23"/>
        <v>-0.386042433574986</v>
      </c>
      <c r="U175" s="28" t="e">
        <f>R175/#REF!</f>
        <v>#REF!</v>
      </c>
      <c r="V175" s="28" t="e">
        <f>S175/#REF!</f>
        <v>#REF!</v>
      </c>
    </row>
    <row r="176" ht="25" hidden="1" customHeight="1" spans="1:22">
      <c r="A176" s="29">
        <v>45914</v>
      </c>
      <c r="B176" s="7">
        <v>3174</v>
      </c>
      <c r="C176" s="7">
        <v>4382</v>
      </c>
      <c r="D176" s="20">
        <f t="shared" si="19"/>
        <v>-0.275673208580557</v>
      </c>
      <c r="E176" s="37">
        <v>17</v>
      </c>
      <c r="F176" s="35">
        <f t="shared" si="25"/>
        <v>186.705882352941</v>
      </c>
      <c r="G176" s="31">
        <v>0.9732</v>
      </c>
      <c r="H176" s="7">
        <v>9.79</v>
      </c>
      <c r="I176" s="38">
        <v>1721</v>
      </c>
      <c r="J176" s="7">
        <v>2594</v>
      </c>
      <c r="K176" s="23">
        <f t="shared" si="24"/>
        <v>-0.336545875096376</v>
      </c>
      <c r="L176" s="39">
        <v>213</v>
      </c>
      <c r="M176" s="30">
        <v>400</v>
      </c>
      <c r="N176" s="23">
        <f t="shared" si="20"/>
        <v>-0.4675</v>
      </c>
      <c r="O176" s="23">
        <f t="shared" si="26"/>
        <v>0.123765252760023</v>
      </c>
      <c r="P176" s="23">
        <f t="shared" si="21"/>
        <v>0.15420200462606</v>
      </c>
      <c r="Q176" s="25">
        <f t="shared" si="22"/>
        <v>-0.197382335851249</v>
      </c>
      <c r="R176" s="40">
        <f>858271.69/10000</f>
        <v>85.827169</v>
      </c>
      <c r="S176" s="33">
        <f>1310655.01/10000</f>
        <v>131.065501</v>
      </c>
      <c r="T176" s="23">
        <f t="shared" si="23"/>
        <v>-0.345158196892713</v>
      </c>
      <c r="U176" s="28" t="e">
        <f>R176/#REF!</f>
        <v>#REF!</v>
      </c>
      <c r="V176" s="28" t="e">
        <f>S176/#REF!</f>
        <v>#REF!</v>
      </c>
    </row>
    <row r="177" ht="25" hidden="1" customHeight="1" spans="1:22">
      <c r="A177" s="29">
        <v>45915</v>
      </c>
      <c r="B177" s="7">
        <v>3258</v>
      </c>
      <c r="C177" s="7">
        <v>4620</v>
      </c>
      <c r="D177" s="20">
        <f t="shared" si="19"/>
        <v>-0.294805194805195</v>
      </c>
      <c r="E177" s="37">
        <v>18</v>
      </c>
      <c r="F177" s="35">
        <f t="shared" si="25"/>
        <v>181</v>
      </c>
      <c r="G177" s="31">
        <v>0.9596</v>
      </c>
      <c r="H177" s="7">
        <v>10.22</v>
      </c>
      <c r="I177" s="38">
        <v>1771</v>
      </c>
      <c r="J177" s="7">
        <v>2784</v>
      </c>
      <c r="K177" s="23">
        <f t="shared" si="24"/>
        <v>-0.363864942528736</v>
      </c>
      <c r="L177" s="39">
        <v>201</v>
      </c>
      <c r="M177" s="30">
        <v>532</v>
      </c>
      <c r="N177" s="23">
        <f t="shared" si="20"/>
        <v>-0.62218045112782</v>
      </c>
      <c r="O177" s="23">
        <f t="shared" si="26"/>
        <v>0.113495200451722</v>
      </c>
      <c r="P177" s="23">
        <f t="shared" si="21"/>
        <v>0.191091954022989</v>
      </c>
      <c r="Q177" s="25">
        <f t="shared" si="22"/>
        <v>-0.406070229215048</v>
      </c>
      <c r="R177" s="40">
        <f>783951.59/10000</f>
        <v>78.395159</v>
      </c>
      <c r="S177" s="33">
        <f>1801605.19/10000</f>
        <v>180.160519</v>
      </c>
      <c r="T177" s="23">
        <f t="shared" si="23"/>
        <v>-0.564859385201927</v>
      </c>
      <c r="U177" s="28" t="e">
        <f>R177/#REF!</f>
        <v>#REF!</v>
      </c>
      <c r="V177" s="28" t="e">
        <f>S177/#REF!</f>
        <v>#REF!</v>
      </c>
    </row>
    <row r="178" ht="25" hidden="1" customHeight="1" spans="1:22">
      <c r="A178" s="29">
        <v>45916</v>
      </c>
      <c r="B178" s="7">
        <v>3153</v>
      </c>
      <c r="C178" s="7">
        <v>4740</v>
      </c>
      <c r="D178" s="20">
        <f t="shared" si="19"/>
        <v>-0.334810126582278</v>
      </c>
      <c r="E178" s="37">
        <v>18</v>
      </c>
      <c r="F178" s="35">
        <f t="shared" si="25"/>
        <v>175.166666666667</v>
      </c>
      <c r="G178" s="31">
        <v>0.966</v>
      </c>
      <c r="H178" s="7">
        <v>9.68</v>
      </c>
      <c r="I178" s="38">
        <v>1701</v>
      </c>
      <c r="J178" s="7">
        <v>2937</v>
      </c>
      <c r="K178" s="23">
        <f t="shared" si="24"/>
        <v>-0.420837589376915</v>
      </c>
      <c r="L178" s="39">
        <v>231</v>
      </c>
      <c r="M178" s="30">
        <v>536</v>
      </c>
      <c r="N178" s="23">
        <f t="shared" si="20"/>
        <v>-0.569029850746269</v>
      </c>
      <c r="O178" s="23">
        <f t="shared" si="26"/>
        <v>0.135802469135802</v>
      </c>
      <c r="P178" s="23">
        <f t="shared" si="21"/>
        <v>0.182499148791284</v>
      </c>
      <c r="Q178" s="25">
        <f t="shared" si="22"/>
        <v>-0.255873410724157</v>
      </c>
      <c r="R178" s="40">
        <f>880074.36/10000</f>
        <v>88.007436</v>
      </c>
      <c r="S178" s="33">
        <f>1768114.77/10000</f>
        <v>176.811477</v>
      </c>
      <c r="T178" s="23">
        <f t="shared" si="23"/>
        <v>-0.502252695960455</v>
      </c>
      <c r="U178" s="28" t="e">
        <f>R178/#REF!</f>
        <v>#REF!</v>
      </c>
      <c r="V178" s="28" t="e">
        <f>S178/#REF!</f>
        <v>#REF!</v>
      </c>
    </row>
    <row r="179" ht="25" hidden="1" customHeight="1" spans="1:22">
      <c r="A179" s="29">
        <v>45917</v>
      </c>
      <c r="B179" s="7">
        <v>3011</v>
      </c>
      <c r="C179" s="7">
        <v>4984</v>
      </c>
      <c r="D179" s="20">
        <f t="shared" si="19"/>
        <v>-0.395866773675762</v>
      </c>
      <c r="E179" s="37">
        <v>19</v>
      </c>
      <c r="F179" s="35">
        <f t="shared" si="25"/>
        <v>158.473684210526</v>
      </c>
      <c r="G179" s="31">
        <v>0.95</v>
      </c>
      <c r="H179" s="7">
        <v>9.44</v>
      </c>
      <c r="I179" s="38">
        <v>1672</v>
      </c>
      <c r="J179" s="7">
        <v>3040</v>
      </c>
      <c r="K179" s="23">
        <f t="shared" si="24"/>
        <v>-0.45</v>
      </c>
      <c r="L179" s="39">
        <v>222</v>
      </c>
      <c r="M179" s="30">
        <v>653</v>
      </c>
      <c r="N179" s="23">
        <f t="shared" si="20"/>
        <v>-0.660030627871363</v>
      </c>
      <c r="O179" s="23">
        <f t="shared" si="26"/>
        <v>0.132775119617225</v>
      </c>
      <c r="P179" s="23">
        <f t="shared" si="21"/>
        <v>0.214802631578947</v>
      </c>
      <c r="Q179" s="25">
        <f t="shared" si="22"/>
        <v>-0.381873868857024</v>
      </c>
      <c r="R179" s="40">
        <f>876384.19/10000</f>
        <v>87.638419</v>
      </c>
      <c r="S179" s="33">
        <f>2221725.71/10000</f>
        <v>222.172571</v>
      </c>
      <c r="T179" s="23">
        <f t="shared" si="23"/>
        <v>-0.605538979877043</v>
      </c>
      <c r="U179" s="28" t="e">
        <f>R179/#REF!</f>
        <v>#REF!</v>
      </c>
      <c r="V179" s="28" t="e">
        <f>S179/#REF!</f>
        <v>#REF!</v>
      </c>
    </row>
    <row r="180" ht="25" hidden="1" customHeight="1" spans="1:22">
      <c r="A180" s="29">
        <v>45918</v>
      </c>
      <c r="B180" s="7">
        <v>3256</v>
      </c>
      <c r="C180" s="7">
        <v>4821</v>
      </c>
      <c r="D180" s="20">
        <f t="shared" si="19"/>
        <v>-0.3246214478324</v>
      </c>
      <c r="E180" s="37">
        <v>22</v>
      </c>
      <c r="F180" s="35">
        <f t="shared" si="25"/>
        <v>148</v>
      </c>
      <c r="G180" s="31">
        <v>0.9778</v>
      </c>
      <c r="H180" s="7">
        <v>10.32</v>
      </c>
      <c r="I180" s="38">
        <v>1752</v>
      </c>
      <c r="J180" s="7">
        <v>2718</v>
      </c>
      <c r="K180" s="23">
        <f t="shared" si="24"/>
        <v>-0.355408388520971</v>
      </c>
      <c r="L180" s="39">
        <v>206</v>
      </c>
      <c r="M180" s="30">
        <v>340</v>
      </c>
      <c r="N180" s="23">
        <f t="shared" si="20"/>
        <v>-0.394117647058824</v>
      </c>
      <c r="O180" s="23">
        <f t="shared" si="26"/>
        <v>0.117579908675799</v>
      </c>
      <c r="P180" s="23">
        <f t="shared" si="21"/>
        <v>0.125091979396615</v>
      </c>
      <c r="Q180" s="25">
        <f t="shared" si="22"/>
        <v>-0.0600523771152296</v>
      </c>
      <c r="R180" s="40">
        <f>810169.69/10000</f>
        <v>81.016969</v>
      </c>
      <c r="S180" s="33">
        <f>1140184.99/10000</f>
        <v>114.018499</v>
      </c>
      <c r="T180" s="23">
        <f t="shared" si="23"/>
        <v>-0.289440137253517</v>
      </c>
      <c r="U180" s="28" t="e">
        <f>R180/#REF!</f>
        <v>#REF!</v>
      </c>
      <c r="V180" s="28" t="e">
        <f>S180/#REF!</f>
        <v>#REF!</v>
      </c>
    </row>
    <row r="181" ht="25" hidden="1" customHeight="1" spans="1:22">
      <c r="A181" s="29">
        <v>45919</v>
      </c>
      <c r="B181" s="7">
        <v>3189</v>
      </c>
      <c r="C181" s="7">
        <v>4976</v>
      </c>
      <c r="D181" s="20">
        <f t="shared" si="19"/>
        <v>-0.359123794212219</v>
      </c>
      <c r="E181" s="37">
        <v>18</v>
      </c>
      <c r="F181" s="35">
        <f t="shared" si="25"/>
        <v>177.166666666667</v>
      </c>
      <c r="G181" s="31">
        <v>0.9708</v>
      </c>
      <c r="H181" s="7">
        <v>10.79</v>
      </c>
      <c r="I181" s="38">
        <v>1641</v>
      </c>
      <c r="J181" s="7">
        <v>2776</v>
      </c>
      <c r="K181" s="23">
        <f t="shared" si="24"/>
        <v>-0.408861671469741</v>
      </c>
      <c r="L181" s="39">
        <v>235</v>
      </c>
      <c r="M181" s="30">
        <v>324</v>
      </c>
      <c r="N181" s="23">
        <f t="shared" si="20"/>
        <v>-0.274691358024691</v>
      </c>
      <c r="O181" s="23">
        <f t="shared" si="26"/>
        <v>0.14320536258379</v>
      </c>
      <c r="P181" s="23">
        <f t="shared" si="21"/>
        <v>0.11671469740634</v>
      </c>
      <c r="Q181" s="25">
        <f t="shared" si="22"/>
        <v>0.226969402878402</v>
      </c>
      <c r="R181" s="40">
        <f>936972.51/10000</f>
        <v>93.697251</v>
      </c>
      <c r="S181" s="33">
        <f>1076808.94/10000</f>
        <v>107.680894</v>
      </c>
      <c r="T181" s="23">
        <f t="shared" si="23"/>
        <v>-0.129861876889692</v>
      </c>
      <c r="U181" s="28" t="e">
        <f>R181/#REF!</f>
        <v>#REF!</v>
      </c>
      <c r="V181" s="28" t="e">
        <f>S181/#REF!</f>
        <v>#REF!</v>
      </c>
    </row>
    <row r="182" ht="25" hidden="1" customHeight="1" spans="1:22">
      <c r="A182" s="29">
        <v>45920</v>
      </c>
      <c r="B182" s="7">
        <v>3130</v>
      </c>
      <c r="C182" s="7">
        <v>4544</v>
      </c>
      <c r="D182" s="20">
        <f t="shared" si="19"/>
        <v>-0.311179577464789</v>
      </c>
      <c r="E182" s="37">
        <v>18</v>
      </c>
      <c r="F182" s="35">
        <f t="shared" si="25"/>
        <v>173.888888888889</v>
      </c>
      <c r="G182" s="31">
        <v>0.9735</v>
      </c>
      <c r="H182" s="7">
        <v>10.81</v>
      </c>
      <c r="I182" s="38">
        <v>1592</v>
      </c>
      <c r="J182" s="7">
        <v>2547</v>
      </c>
      <c r="K182" s="23">
        <f t="shared" si="24"/>
        <v>-0.374950922654103</v>
      </c>
      <c r="L182" s="39">
        <v>186</v>
      </c>
      <c r="M182" s="30">
        <v>312</v>
      </c>
      <c r="N182" s="23">
        <f t="shared" si="20"/>
        <v>-0.403846153846154</v>
      </c>
      <c r="O182" s="23">
        <f t="shared" si="26"/>
        <v>0.116834170854271</v>
      </c>
      <c r="P182" s="23">
        <f t="shared" si="21"/>
        <v>0.122497055359246</v>
      </c>
      <c r="Q182" s="25">
        <f t="shared" si="22"/>
        <v>-0.0462287398531116</v>
      </c>
      <c r="R182" s="40">
        <f>738807.19/10000</f>
        <v>73.880719</v>
      </c>
      <c r="S182" s="33">
        <f>995695.42/10000</f>
        <v>99.569542</v>
      </c>
      <c r="T182" s="23">
        <f t="shared" si="23"/>
        <v>-0.257998806502495</v>
      </c>
      <c r="U182" s="28" t="e">
        <f>R182/#REF!</f>
        <v>#REF!</v>
      </c>
      <c r="V182" s="28" t="e">
        <f>S182/#REF!</f>
        <v>#REF!</v>
      </c>
    </row>
    <row r="183" ht="25" hidden="1" customHeight="1" spans="1:22">
      <c r="A183" s="29">
        <v>45921</v>
      </c>
      <c r="B183" s="7">
        <v>3248</v>
      </c>
      <c r="C183" s="7">
        <v>4594</v>
      </c>
      <c r="D183" s="20">
        <f t="shared" si="19"/>
        <v>-0.292990857640401</v>
      </c>
      <c r="E183" s="37">
        <v>19</v>
      </c>
      <c r="F183" s="35">
        <f t="shared" si="25"/>
        <v>170.947368421053</v>
      </c>
      <c r="G183" s="31">
        <v>0.9693</v>
      </c>
      <c r="H183" s="7">
        <v>10.13</v>
      </c>
      <c r="I183" s="38">
        <v>1719</v>
      </c>
      <c r="J183" s="7">
        <v>2639</v>
      </c>
      <c r="K183" s="23">
        <f t="shared" si="24"/>
        <v>-0.348616900341038</v>
      </c>
      <c r="L183" s="39">
        <v>180</v>
      </c>
      <c r="M183" s="30">
        <v>333</v>
      </c>
      <c r="N183" s="23">
        <f t="shared" si="20"/>
        <v>-0.459459459459459</v>
      </c>
      <c r="O183" s="23">
        <f t="shared" si="26"/>
        <v>0.104712041884817</v>
      </c>
      <c r="P183" s="23">
        <f t="shared" si="21"/>
        <v>0.126184160666919</v>
      </c>
      <c r="Q183" s="25">
        <f t="shared" si="22"/>
        <v>-0.170164929327233</v>
      </c>
      <c r="R183" s="40">
        <f>674095.53/10000</f>
        <v>67.409553</v>
      </c>
      <c r="S183" s="33">
        <f>1074805.55/10000</f>
        <v>107.480555</v>
      </c>
      <c r="T183" s="23">
        <f t="shared" si="23"/>
        <v>-0.372820944216375</v>
      </c>
      <c r="U183" s="28" t="e">
        <f>R183/#REF!</f>
        <v>#REF!</v>
      </c>
      <c r="V183" s="28" t="e">
        <f>S183/#REF!</f>
        <v>#REF!</v>
      </c>
    </row>
    <row r="184" ht="25" hidden="1" customHeight="1" spans="1:22">
      <c r="A184" s="29">
        <v>45922</v>
      </c>
      <c r="B184" s="7">
        <v>3451</v>
      </c>
      <c r="C184" s="7">
        <v>4449</v>
      </c>
      <c r="D184" s="20">
        <f t="shared" si="19"/>
        <v>-0.224320071926276</v>
      </c>
      <c r="E184" s="37">
        <v>17</v>
      </c>
      <c r="F184" s="35">
        <f t="shared" si="25"/>
        <v>203</v>
      </c>
      <c r="G184" s="31">
        <v>0.9643</v>
      </c>
      <c r="H184" s="7">
        <v>9.76</v>
      </c>
      <c r="I184" s="38">
        <v>1809</v>
      </c>
      <c r="J184" s="7">
        <v>2525</v>
      </c>
      <c r="K184" s="23">
        <f t="shared" si="24"/>
        <v>-0.283564356435644</v>
      </c>
      <c r="L184" s="39">
        <v>208</v>
      </c>
      <c r="M184" s="30">
        <v>306</v>
      </c>
      <c r="N184" s="23">
        <f t="shared" si="20"/>
        <v>-0.320261437908497</v>
      </c>
      <c r="O184" s="23">
        <f t="shared" si="26"/>
        <v>0.114980652294085</v>
      </c>
      <c r="P184" s="23">
        <f t="shared" si="21"/>
        <v>0.121188118811881</v>
      </c>
      <c r="Q184" s="25">
        <f t="shared" si="22"/>
        <v>-0.0512217416909641</v>
      </c>
      <c r="R184" s="40">
        <f>785596.68/10000</f>
        <v>78.559668</v>
      </c>
      <c r="S184" s="33">
        <f>1046343.37/10000</f>
        <v>104.634337</v>
      </c>
      <c r="T184" s="23">
        <f t="shared" si="23"/>
        <v>-0.249198014223572</v>
      </c>
      <c r="U184" s="28" t="e">
        <f>R184/#REF!</f>
        <v>#REF!</v>
      </c>
      <c r="V184" s="28" t="e">
        <f>S184/#REF!</f>
        <v>#REF!</v>
      </c>
    </row>
    <row r="185" ht="25" hidden="1" customHeight="1" spans="1:22">
      <c r="A185" s="29">
        <v>45923</v>
      </c>
      <c r="B185" s="7">
        <v>3204</v>
      </c>
      <c r="C185" s="7">
        <v>4601</v>
      </c>
      <c r="D185" s="20">
        <f t="shared" si="19"/>
        <v>-0.303629645729189</v>
      </c>
      <c r="E185" s="37">
        <v>18</v>
      </c>
      <c r="F185" s="35">
        <f t="shared" si="25"/>
        <v>178</v>
      </c>
      <c r="G185" s="31">
        <v>0.9508</v>
      </c>
      <c r="H185" s="7">
        <v>9.98</v>
      </c>
      <c r="I185" s="38">
        <v>1690</v>
      </c>
      <c r="J185" s="7">
        <v>2789</v>
      </c>
      <c r="K185" s="23">
        <f t="shared" si="24"/>
        <v>-0.394048045894586</v>
      </c>
      <c r="L185" s="39">
        <v>181</v>
      </c>
      <c r="M185" s="30">
        <v>321</v>
      </c>
      <c r="N185" s="23">
        <f t="shared" si="20"/>
        <v>-0.43613707165109</v>
      </c>
      <c r="O185" s="23">
        <f t="shared" si="26"/>
        <v>0.107100591715976</v>
      </c>
      <c r="P185" s="23">
        <f t="shared" si="21"/>
        <v>0.115095016134815</v>
      </c>
      <c r="Q185" s="25">
        <f t="shared" si="22"/>
        <v>-0.0694593448727166</v>
      </c>
      <c r="R185" s="40">
        <f>657297.28/10000</f>
        <v>65.729728</v>
      </c>
      <c r="S185" s="33">
        <f>1035183.69/10000</f>
        <v>103.518369</v>
      </c>
      <c r="T185" s="23">
        <f t="shared" si="23"/>
        <v>-0.365042855340968</v>
      </c>
      <c r="U185" s="28" t="e">
        <f>R185/#REF!</f>
        <v>#REF!</v>
      </c>
      <c r="V185" s="28" t="e">
        <f>S185/#REF!</f>
        <v>#REF!</v>
      </c>
    </row>
    <row r="186" ht="25" hidden="1" customHeight="1" spans="1:22">
      <c r="A186" s="29">
        <v>45924</v>
      </c>
      <c r="B186" s="7">
        <v>3226</v>
      </c>
      <c r="C186" s="7">
        <v>4499</v>
      </c>
      <c r="D186" s="20">
        <f t="shared" si="19"/>
        <v>-0.282951767059347</v>
      </c>
      <c r="E186" s="37">
        <v>18</v>
      </c>
      <c r="F186" s="35">
        <f t="shared" si="25"/>
        <v>179.222222222222</v>
      </c>
      <c r="G186" s="31">
        <v>0.9778</v>
      </c>
      <c r="H186" s="7">
        <v>9.46</v>
      </c>
      <c r="I186" s="38">
        <v>1701</v>
      </c>
      <c r="J186" s="7">
        <v>2666</v>
      </c>
      <c r="K186" s="23">
        <f t="shared" si="24"/>
        <v>-0.361965491372843</v>
      </c>
      <c r="L186" s="39">
        <v>211</v>
      </c>
      <c r="M186" s="30">
        <v>278</v>
      </c>
      <c r="N186" s="23">
        <f t="shared" si="20"/>
        <v>-0.241007194244604</v>
      </c>
      <c r="O186" s="23">
        <f t="shared" si="26"/>
        <v>0.124044679600235</v>
      </c>
      <c r="P186" s="23">
        <f t="shared" si="21"/>
        <v>0.104276069017254</v>
      </c>
      <c r="Q186" s="25">
        <f t="shared" si="22"/>
        <v>0.189579553288586</v>
      </c>
      <c r="R186" s="40">
        <f>788018.11/10000</f>
        <v>78.801811</v>
      </c>
      <c r="S186" s="33">
        <f>915654.09/10000</f>
        <v>91.565409</v>
      </c>
      <c r="T186" s="23">
        <f t="shared" si="23"/>
        <v>-0.139393228724616</v>
      </c>
      <c r="U186" s="28" t="e">
        <f>R186/#REF!</f>
        <v>#REF!</v>
      </c>
      <c r="V186" s="28" t="e">
        <f>S186/#REF!</f>
        <v>#REF!</v>
      </c>
    </row>
    <row r="187" ht="25" hidden="1" customHeight="1" spans="1:22">
      <c r="A187" s="29">
        <v>45925</v>
      </c>
      <c r="B187" s="7">
        <v>3483</v>
      </c>
      <c r="C187" s="7">
        <v>5156</v>
      </c>
      <c r="D187" s="20">
        <f t="shared" si="19"/>
        <v>-0.324476338246703</v>
      </c>
      <c r="E187" s="37">
        <v>19</v>
      </c>
      <c r="F187" s="35">
        <f t="shared" si="25"/>
        <v>183.315789473684</v>
      </c>
      <c r="G187" s="31">
        <v>0.9733</v>
      </c>
      <c r="H187" s="7">
        <v>10.71</v>
      </c>
      <c r="I187" s="7">
        <v>1885</v>
      </c>
      <c r="J187" s="7">
        <v>3091</v>
      </c>
      <c r="K187" s="23">
        <f t="shared" si="24"/>
        <v>-0.390164995147202</v>
      </c>
      <c r="L187" s="30">
        <v>228</v>
      </c>
      <c r="M187" s="30">
        <v>425</v>
      </c>
      <c r="N187" s="23">
        <f t="shared" si="20"/>
        <v>-0.463529411764706</v>
      </c>
      <c r="O187" s="23">
        <f t="shared" si="26"/>
        <v>0.120954907161804</v>
      </c>
      <c r="P187" s="23">
        <f t="shared" si="21"/>
        <v>0.137495956001294</v>
      </c>
      <c r="Q187" s="25">
        <f t="shared" si="22"/>
        <v>-0.120302075206741</v>
      </c>
      <c r="R187" s="33">
        <f>953963.11/10000</f>
        <v>95.396311</v>
      </c>
      <c r="S187" s="33">
        <f>1364225.95/10000</f>
        <v>136.422595</v>
      </c>
      <c r="T187" s="23">
        <f t="shared" si="23"/>
        <v>-0.3007293916378</v>
      </c>
      <c r="U187" s="28" t="e">
        <f>R187/#REF!</f>
        <v>#REF!</v>
      </c>
      <c r="V187" s="28" t="e">
        <f>S187/#REF!</f>
        <v>#REF!</v>
      </c>
    </row>
    <row r="188" ht="25" hidden="1" customHeight="1" spans="1:22">
      <c r="A188" s="29">
        <v>45926</v>
      </c>
      <c r="B188" s="7">
        <v>3136</v>
      </c>
      <c r="C188" s="7">
        <v>6228</v>
      </c>
      <c r="D188" s="20">
        <f t="shared" si="19"/>
        <v>-0.496467565831728</v>
      </c>
      <c r="E188" s="37">
        <v>19</v>
      </c>
      <c r="F188" s="35">
        <f t="shared" si="25"/>
        <v>165.052631578947</v>
      </c>
      <c r="G188" s="31">
        <v>0.9623</v>
      </c>
      <c r="H188" s="7">
        <v>10.88</v>
      </c>
      <c r="I188" s="7">
        <v>1681</v>
      </c>
      <c r="J188" s="7">
        <v>3875</v>
      </c>
      <c r="K188" s="23">
        <f t="shared" si="24"/>
        <v>-0.566193548387097</v>
      </c>
      <c r="L188" s="30">
        <v>194</v>
      </c>
      <c r="M188" s="30">
        <v>649</v>
      </c>
      <c r="N188" s="23">
        <f t="shared" si="20"/>
        <v>-0.701078582434515</v>
      </c>
      <c r="O188" s="23">
        <f t="shared" si="26"/>
        <v>0.11540749553837</v>
      </c>
      <c r="P188" s="23">
        <f t="shared" si="21"/>
        <v>0.167483870967742</v>
      </c>
      <c r="Q188" s="25">
        <f t="shared" si="22"/>
        <v>-0.310933674559039</v>
      </c>
      <c r="R188" s="33">
        <f>756907.23/10000</f>
        <v>75.690723</v>
      </c>
      <c r="S188" s="33">
        <f>2261612.19/10000</f>
        <v>226.161219</v>
      </c>
      <c r="T188" s="23">
        <f t="shared" si="23"/>
        <v>-0.665324040369627</v>
      </c>
      <c r="U188" s="28" t="e">
        <f>R188/#REF!</f>
        <v>#REF!</v>
      </c>
      <c r="V188" s="28" t="e">
        <f>S188/#REF!</f>
        <v>#REF!</v>
      </c>
    </row>
    <row r="189" ht="25" hidden="1" customHeight="1" spans="1:22">
      <c r="A189" s="29">
        <v>45927</v>
      </c>
      <c r="B189" s="7">
        <v>3457</v>
      </c>
      <c r="C189" s="7">
        <v>5112</v>
      </c>
      <c r="D189" s="20">
        <f t="shared" si="19"/>
        <v>-0.323748043818466</v>
      </c>
      <c r="E189" s="37">
        <v>19</v>
      </c>
      <c r="F189" s="35">
        <f t="shared" si="25"/>
        <v>181.947368421053</v>
      </c>
      <c r="G189" s="31">
        <v>0.963</v>
      </c>
      <c r="H189" s="7">
        <v>11.03</v>
      </c>
      <c r="I189" s="7">
        <v>1889</v>
      </c>
      <c r="J189" s="7">
        <v>2907</v>
      </c>
      <c r="K189" s="23">
        <f t="shared" si="24"/>
        <v>-0.350189198486412</v>
      </c>
      <c r="L189" s="30">
        <v>248</v>
      </c>
      <c r="M189" s="30">
        <v>384</v>
      </c>
      <c r="N189" s="23">
        <f t="shared" si="20"/>
        <v>-0.354166666666667</v>
      </c>
      <c r="O189" s="23">
        <f t="shared" si="26"/>
        <v>0.131286394917946</v>
      </c>
      <c r="P189" s="23">
        <f t="shared" si="21"/>
        <v>0.132094943240454</v>
      </c>
      <c r="Q189" s="25">
        <f t="shared" si="22"/>
        <v>-0.00612096347273686</v>
      </c>
      <c r="R189" s="33">
        <f>1000635.95/10000</f>
        <v>100.063595</v>
      </c>
      <c r="S189" s="33">
        <f>1194169.36/10000</f>
        <v>119.416936</v>
      </c>
      <c r="T189" s="23">
        <f t="shared" si="23"/>
        <v>-0.162065295327959</v>
      </c>
      <c r="U189" s="28" t="e">
        <f>R189/#REF!</f>
        <v>#REF!</v>
      </c>
      <c r="V189" s="28" t="e">
        <f>S189/#REF!</f>
        <v>#REF!</v>
      </c>
    </row>
    <row r="190" ht="25" hidden="1" customHeight="1" spans="1:22">
      <c r="A190" s="29">
        <v>45928</v>
      </c>
      <c r="B190" s="7">
        <v>4702</v>
      </c>
      <c r="C190" s="7">
        <v>4342</v>
      </c>
      <c r="D190" s="20">
        <f t="shared" si="19"/>
        <v>0.0829111008751727</v>
      </c>
      <c r="E190" s="37">
        <v>20</v>
      </c>
      <c r="F190" s="35">
        <f t="shared" si="25"/>
        <v>235.1</v>
      </c>
      <c r="G190" s="31">
        <v>0.973</v>
      </c>
      <c r="H190" s="7">
        <v>10.09</v>
      </c>
      <c r="I190" s="38">
        <v>2338</v>
      </c>
      <c r="J190" s="7">
        <v>2490</v>
      </c>
      <c r="K190" s="23">
        <f t="shared" si="24"/>
        <v>-0.0610441767068273</v>
      </c>
      <c r="L190" s="39">
        <v>687</v>
      </c>
      <c r="M190" s="30">
        <v>307</v>
      </c>
      <c r="N190" s="23">
        <f t="shared" si="20"/>
        <v>1.23778501628665</v>
      </c>
      <c r="O190" s="23">
        <f t="shared" si="26"/>
        <v>0.293840889649273</v>
      </c>
      <c r="P190" s="23">
        <f t="shared" si="21"/>
        <v>0.123293172690763</v>
      </c>
      <c r="Q190" s="25">
        <f t="shared" si="22"/>
        <v>1.38326975643873</v>
      </c>
      <c r="R190" s="40">
        <f>2892176.52/10000</f>
        <v>289.217652</v>
      </c>
      <c r="S190" s="33">
        <f>996391.61/10000</f>
        <v>99.639161</v>
      </c>
      <c r="T190" s="23">
        <f t="shared" si="23"/>
        <v>1.90265041473001</v>
      </c>
      <c r="U190" s="28" t="e">
        <f>R190/#REF!</f>
        <v>#REF!</v>
      </c>
      <c r="V190" s="28" t="e">
        <f>S190/#REF!</f>
        <v>#REF!</v>
      </c>
    </row>
    <row r="191" ht="25" hidden="1" customHeight="1" spans="1:22">
      <c r="A191" s="29">
        <v>45929</v>
      </c>
      <c r="B191" s="7">
        <v>3821</v>
      </c>
      <c r="C191" s="7">
        <v>3997</v>
      </c>
      <c r="D191" s="20">
        <f t="shared" si="19"/>
        <v>-0.0440330247685764</v>
      </c>
      <c r="E191" s="37">
        <v>20</v>
      </c>
      <c r="F191" s="35">
        <f t="shared" si="25"/>
        <v>191.05</v>
      </c>
      <c r="G191" s="31">
        <v>0.9489</v>
      </c>
      <c r="H191" s="7">
        <v>10.47</v>
      </c>
      <c r="I191" s="38">
        <v>1895</v>
      </c>
      <c r="J191" s="7">
        <v>2215</v>
      </c>
      <c r="K191" s="23">
        <f t="shared" si="24"/>
        <v>-0.144469525959368</v>
      </c>
      <c r="L191" s="39">
        <v>336</v>
      </c>
      <c r="M191" s="30">
        <v>209</v>
      </c>
      <c r="N191" s="23">
        <f t="shared" si="20"/>
        <v>0.607655502392344</v>
      </c>
      <c r="O191" s="23">
        <f t="shared" si="26"/>
        <v>0.177308707124011</v>
      </c>
      <c r="P191" s="23">
        <f t="shared" si="21"/>
        <v>0.0943566591422122</v>
      </c>
      <c r="Q191" s="25">
        <f t="shared" si="22"/>
        <v>0.879132948706619</v>
      </c>
      <c r="R191" s="40">
        <f>1387977.66/10000</f>
        <v>138.797766</v>
      </c>
      <c r="S191" s="33">
        <f>693327.82/10000</f>
        <v>69.332782</v>
      </c>
      <c r="T191" s="23">
        <f t="shared" si="23"/>
        <v>1.00190677477791</v>
      </c>
      <c r="U191" s="28" t="e">
        <f>R191/#REF!</f>
        <v>#REF!</v>
      </c>
      <c r="V191" s="28" t="e">
        <f>S191/#REF!</f>
        <v>#REF!</v>
      </c>
    </row>
    <row r="192" ht="25" hidden="1" customHeight="1" spans="1:22">
      <c r="A192" s="29">
        <v>45930</v>
      </c>
      <c r="B192" s="7">
        <v>3373</v>
      </c>
      <c r="C192" s="7">
        <v>3552</v>
      </c>
      <c r="D192" s="20">
        <f t="shared" si="19"/>
        <v>-0.0503941441441441</v>
      </c>
      <c r="E192" s="37">
        <v>19</v>
      </c>
      <c r="F192" s="35">
        <f t="shared" si="25"/>
        <v>177.526315789474</v>
      </c>
      <c r="G192" s="31">
        <v>0.9618</v>
      </c>
      <c r="H192" s="7">
        <v>10.8</v>
      </c>
      <c r="I192" s="38">
        <v>1598</v>
      </c>
      <c r="J192" s="7">
        <v>1986</v>
      </c>
      <c r="K192" s="23">
        <f t="shared" si="24"/>
        <v>-0.195367573011078</v>
      </c>
      <c r="L192" s="39">
        <v>264</v>
      </c>
      <c r="M192" s="30">
        <v>223</v>
      </c>
      <c r="N192" s="23">
        <f t="shared" si="20"/>
        <v>0.183856502242152</v>
      </c>
      <c r="O192" s="23">
        <f t="shared" si="26"/>
        <v>0.165206508135169</v>
      </c>
      <c r="P192" s="23">
        <f t="shared" si="21"/>
        <v>0.112286002014099</v>
      </c>
      <c r="Q192" s="25">
        <f t="shared" si="22"/>
        <v>0.471301009670159</v>
      </c>
      <c r="R192" s="40">
        <f>1042272.31/10000</f>
        <v>104.227231</v>
      </c>
      <c r="S192" s="33">
        <f>772722.56/10000</f>
        <v>77.272256</v>
      </c>
      <c r="T192" s="23">
        <f t="shared" si="23"/>
        <v>0.34883121569532</v>
      </c>
      <c r="U192" s="28" t="e">
        <f>R192/#REF!</f>
        <v>#REF!</v>
      </c>
      <c r="V192" s="28" t="e">
        <f>S192/#REF!</f>
        <v>#REF!</v>
      </c>
    </row>
    <row r="193" ht="19" customHeight="1" spans="1:22">
      <c r="A193" s="18" t="s">
        <v>325</v>
      </c>
      <c r="B193" s="19">
        <f>SUM(B194:B224)</f>
        <v>177009</v>
      </c>
      <c r="C193" s="19">
        <f>SUM(C194:C224)</f>
        <v>231434</v>
      </c>
      <c r="D193" s="20">
        <f t="shared" si="19"/>
        <v>-0.235164236888271</v>
      </c>
      <c r="E193" s="18">
        <f>SUM(E194:E224)</f>
        <v>945</v>
      </c>
      <c r="F193" s="34">
        <f t="shared" si="25"/>
        <v>187.311111111111</v>
      </c>
      <c r="G193" s="21">
        <f>AVERAGEA(G194:G224)</f>
        <v>0.959661290322581</v>
      </c>
      <c r="H193" s="22">
        <f>AVERAGEA(H194:H224)</f>
        <v>10.2777419354839</v>
      </c>
      <c r="I193" s="19">
        <f>SUM(I194:I224)</f>
        <v>84029</v>
      </c>
      <c r="J193" s="19">
        <f>SUM(J194:J224)</f>
        <v>146013</v>
      </c>
      <c r="K193" s="23">
        <f t="shared" si="24"/>
        <v>-0.424510146356831</v>
      </c>
      <c r="L193" s="19">
        <f>SUM(L194:L224)</f>
        <v>16642</v>
      </c>
      <c r="M193" s="19">
        <f>SUM(M194:M224)</f>
        <v>24603</v>
      </c>
      <c r="N193" s="23">
        <f t="shared" si="20"/>
        <v>-0.323578425395277</v>
      </c>
      <c r="O193" s="24">
        <f t="shared" si="26"/>
        <v>0.198050672981947</v>
      </c>
      <c r="P193" s="24">
        <f t="shared" si="21"/>
        <v>0.168498695321649</v>
      </c>
      <c r="Q193" s="25">
        <f t="shared" si="22"/>
        <v>0.175384014718245</v>
      </c>
      <c r="R193" s="26">
        <f>SUM(R194:R224)</f>
        <v>6983.962663</v>
      </c>
      <c r="S193" s="26">
        <f>SUM(S194:S224)</f>
        <v>7089.899934</v>
      </c>
      <c r="T193" s="23">
        <f t="shared" si="23"/>
        <v>-0.0149419980516189</v>
      </c>
      <c r="U193" s="24" t="e">
        <f>R193/#REF!</f>
        <v>#REF!</v>
      </c>
      <c r="V193" s="28" t="e">
        <f>S193/#REF!</f>
        <v>#REF!</v>
      </c>
    </row>
    <row r="194" ht="25" hidden="1" customHeight="1" spans="1:22">
      <c r="A194" s="29">
        <v>45931</v>
      </c>
      <c r="B194" s="7">
        <v>3106</v>
      </c>
      <c r="C194" s="7">
        <v>3598</v>
      </c>
      <c r="D194" s="20">
        <f t="shared" si="19"/>
        <v>-0.13674263479711</v>
      </c>
      <c r="E194" s="37">
        <v>17</v>
      </c>
      <c r="F194" s="35">
        <f t="shared" si="25"/>
        <v>182.705882352941</v>
      </c>
      <c r="G194" s="31">
        <v>0.9653</v>
      </c>
      <c r="H194" s="7">
        <v>9.46</v>
      </c>
      <c r="I194" s="38">
        <v>1508</v>
      </c>
      <c r="J194" s="38">
        <v>2082</v>
      </c>
      <c r="K194" s="23">
        <f t="shared" si="24"/>
        <v>-0.275696445725264</v>
      </c>
      <c r="L194" s="39">
        <v>249</v>
      </c>
      <c r="M194" s="39">
        <v>303</v>
      </c>
      <c r="N194" s="23">
        <f t="shared" si="20"/>
        <v>-0.178217821782178</v>
      </c>
      <c r="O194" s="23">
        <f t="shared" si="26"/>
        <v>0.165119363395225</v>
      </c>
      <c r="P194" s="23">
        <f t="shared" si="21"/>
        <v>0.145533141210375</v>
      </c>
      <c r="Q194" s="25">
        <f t="shared" si="22"/>
        <v>0.134582556398876</v>
      </c>
      <c r="R194" s="40">
        <f>995471.81/10000</f>
        <v>99.547181</v>
      </c>
      <c r="S194" s="40">
        <f>1034690.33/10000</f>
        <v>103.469033</v>
      </c>
      <c r="T194" s="23">
        <f t="shared" si="23"/>
        <v>-0.0379036305480886</v>
      </c>
      <c r="U194" s="28" t="e">
        <f>R194/#REF!</f>
        <v>#REF!</v>
      </c>
      <c r="V194" s="28" t="e">
        <f>S194/#REF!</f>
        <v>#REF!</v>
      </c>
    </row>
    <row r="195" ht="25" hidden="1" customHeight="1" spans="1:22">
      <c r="A195" s="29">
        <v>45932</v>
      </c>
      <c r="B195" s="7">
        <v>2996</v>
      </c>
      <c r="C195" s="7">
        <v>3422</v>
      </c>
      <c r="D195" s="20">
        <f t="shared" si="19"/>
        <v>-0.124488603156049</v>
      </c>
      <c r="E195" s="37">
        <v>17</v>
      </c>
      <c r="F195" s="35">
        <f t="shared" si="25"/>
        <v>176.235294117647</v>
      </c>
      <c r="G195" s="31">
        <v>0.9608</v>
      </c>
      <c r="H195" s="7">
        <v>10.23</v>
      </c>
      <c r="I195" s="38">
        <v>1499</v>
      </c>
      <c r="J195" s="38">
        <v>2055</v>
      </c>
      <c r="K195" s="23">
        <f t="shared" si="24"/>
        <v>-0.270559610705596</v>
      </c>
      <c r="L195" s="39">
        <v>241</v>
      </c>
      <c r="M195" s="39">
        <v>268</v>
      </c>
      <c r="N195" s="23">
        <f t="shared" si="20"/>
        <v>-0.100746268656716</v>
      </c>
      <c r="O195" s="23">
        <f t="shared" si="26"/>
        <v>0.160773849232822</v>
      </c>
      <c r="P195" s="23">
        <f t="shared" si="21"/>
        <v>0.130413625304136</v>
      </c>
      <c r="Q195" s="25">
        <f t="shared" si="22"/>
        <v>0.232799478259138</v>
      </c>
      <c r="R195" s="40">
        <f>880845.28/10000</f>
        <v>88.084528</v>
      </c>
      <c r="S195" s="40">
        <f>898446.29/10000</f>
        <v>89.844629</v>
      </c>
      <c r="T195" s="23">
        <f t="shared" si="23"/>
        <v>-0.0195904977246886</v>
      </c>
      <c r="U195" s="28" t="e">
        <f>R195/#REF!</f>
        <v>#REF!</v>
      </c>
      <c r="V195" s="28" t="e">
        <f>S195/#REF!</f>
        <v>#REF!</v>
      </c>
    </row>
    <row r="196" ht="25" hidden="1" customHeight="1" spans="1:22">
      <c r="A196" s="29">
        <v>45933</v>
      </c>
      <c r="B196" s="7">
        <v>3174</v>
      </c>
      <c r="C196" s="7">
        <v>3339</v>
      </c>
      <c r="D196" s="20">
        <f t="shared" ref="D196:D259" si="27">(B196-C196)/C196</f>
        <v>-0.0494159928122192</v>
      </c>
      <c r="E196" s="37">
        <v>17</v>
      </c>
      <c r="F196" s="35">
        <f t="shared" si="25"/>
        <v>186.705882352941</v>
      </c>
      <c r="G196" s="31">
        <v>0.9634</v>
      </c>
      <c r="H196" s="7">
        <v>10.4</v>
      </c>
      <c r="I196" s="38">
        <v>1616</v>
      </c>
      <c r="J196" s="38">
        <v>1984</v>
      </c>
      <c r="K196" s="23">
        <f t="shared" si="24"/>
        <v>-0.185483870967742</v>
      </c>
      <c r="L196" s="39">
        <v>208</v>
      </c>
      <c r="M196" s="39">
        <v>243</v>
      </c>
      <c r="N196" s="23">
        <f t="shared" ref="N196:N259" si="28">(L196-M196)/M196</f>
        <v>-0.1440329218107</v>
      </c>
      <c r="O196" s="23">
        <f t="shared" si="26"/>
        <v>0.128712871287129</v>
      </c>
      <c r="P196" s="23">
        <f t="shared" ref="P196:P259" si="29">M196/J196</f>
        <v>0.122479838709677</v>
      </c>
      <c r="Q196" s="25">
        <f t="shared" ref="Q196:Q259" si="30">(O196-P196)/P196</f>
        <v>0.0508902742126087</v>
      </c>
      <c r="R196" s="40">
        <f>682902.86/10000</f>
        <v>68.290286</v>
      </c>
      <c r="S196" s="40">
        <f>831049.49/10000</f>
        <v>83.104949</v>
      </c>
      <c r="T196" s="23">
        <f t="shared" si="23"/>
        <v>-0.178264509854883</v>
      </c>
      <c r="U196" s="28" t="e">
        <f>R196/#REF!</f>
        <v>#REF!</v>
      </c>
      <c r="V196" s="28" t="e">
        <f>S196/#REF!</f>
        <v>#REF!</v>
      </c>
    </row>
    <row r="197" ht="25" hidden="1" customHeight="1" spans="1:22">
      <c r="A197" s="29">
        <v>45934</v>
      </c>
      <c r="B197" s="7">
        <v>3051</v>
      </c>
      <c r="C197" s="7">
        <v>3693</v>
      </c>
      <c r="D197" s="20">
        <f t="shared" si="27"/>
        <v>-0.173842404549147</v>
      </c>
      <c r="E197" s="37">
        <v>17</v>
      </c>
      <c r="F197" s="35">
        <f t="shared" si="25"/>
        <v>179.470588235294</v>
      </c>
      <c r="G197" s="31">
        <v>0.9763</v>
      </c>
      <c r="H197" s="7">
        <v>10.05</v>
      </c>
      <c r="I197" s="38">
        <v>1568</v>
      </c>
      <c r="J197" s="38">
        <v>2203</v>
      </c>
      <c r="K197" s="23">
        <f t="shared" si="24"/>
        <v>-0.288243304584657</v>
      </c>
      <c r="L197" s="39">
        <v>199</v>
      </c>
      <c r="M197" s="39">
        <v>273</v>
      </c>
      <c r="N197" s="23">
        <f t="shared" si="28"/>
        <v>-0.271062271062271</v>
      </c>
      <c r="O197" s="23">
        <f t="shared" si="26"/>
        <v>0.126913265306122</v>
      </c>
      <c r="P197" s="23">
        <f t="shared" si="29"/>
        <v>0.123921924648207</v>
      </c>
      <c r="Q197" s="25">
        <f t="shared" si="30"/>
        <v>0.0241389138072774</v>
      </c>
      <c r="R197" s="40">
        <f>764932.75/10000</f>
        <v>76.493275</v>
      </c>
      <c r="S197" s="40">
        <f>894519.3/10000</f>
        <v>89.45193</v>
      </c>
      <c r="T197" s="23">
        <f t="shared" si="23"/>
        <v>-0.144867248811736</v>
      </c>
      <c r="U197" s="28" t="e">
        <f>R197/#REF!</f>
        <v>#REF!</v>
      </c>
      <c r="V197" s="28" t="e">
        <f>S197/#REF!</f>
        <v>#REF!</v>
      </c>
    </row>
    <row r="198" ht="25" hidden="1" customHeight="1" spans="1:22">
      <c r="A198" s="29">
        <v>45935</v>
      </c>
      <c r="B198" s="7">
        <v>2772</v>
      </c>
      <c r="C198" s="7">
        <v>4013</v>
      </c>
      <c r="D198" s="20">
        <f t="shared" si="27"/>
        <v>-0.309244953899826</v>
      </c>
      <c r="E198" s="37">
        <v>17</v>
      </c>
      <c r="F198" s="35">
        <f t="shared" si="25"/>
        <v>163.058823529412</v>
      </c>
      <c r="G198" s="31">
        <v>0.9697</v>
      </c>
      <c r="H198" s="7">
        <v>9.3</v>
      </c>
      <c r="I198" s="38">
        <v>1541</v>
      </c>
      <c r="J198" s="38">
        <v>2357</v>
      </c>
      <c r="K198" s="23">
        <f t="shared" si="24"/>
        <v>-0.346202800169707</v>
      </c>
      <c r="L198" s="39">
        <v>233</v>
      </c>
      <c r="M198" s="39">
        <v>262</v>
      </c>
      <c r="N198" s="23">
        <f t="shared" si="28"/>
        <v>-0.110687022900763</v>
      </c>
      <c r="O198" s="23">
        <f t="shared" si="26"/>
        <v>0.151200519143413</v>
      </c>
      <c r="P198" s="23">
        <f t="shared" si="29"/>
        <v>0.111158252015274</v>
      </c>
      <c r="Q198" s="25">
        <f t="shared" si="30"/>
        <v>0.360227571072612</v>
      </c>
      <c r="R198" s="40">
        <f>870235.96/10000</f>
        <v>87.023596</v>
      </c>
      <c r="S198" s="40">
        <f>852900.14/10000</f>
        <v>85.290014</v>
      </c>
      <c r="T198" s="23">
        <f t="shared" si="23"/>
        <v>0.0203257323887882</v>
      </c>
      <c r="U198" s="28" t="e">
        <f>R198/#REF!</f>
        <v>#REF!</v>
      </c>
      <c r="V198" s="28" t="e">
        <f>S198/#REF!</f>
        <v>#REF!</v>
      </c>
    </row>
    <row r="199" ht="25" hidden="1" customHeight="1" spans="1:22">
      <c r="A199" s="29">
        <v>45936</v>
      </c>
      <c r="B199" s="7">
        <v>2577</v>
      </c>
      <c r="C199" s="7">
        <v>4257</v>
      </c>
      <c r="D199" s="20">
        <f t="shared" si="27"/>
        <v>-0.394644115574348</v>
      </c>
      <c r="E199" s="37">
        <v>17</v>
      </c>
      <c r="F199" s="35">
        <f t="shared" si="25"/>
        <v>151.588235294118</v>
      </c>
      <c r="G199" s="31">
        <v>0.9655</v>
      </c>
      <c r="H199" s="7">
        <v>10.08</v>
      </c>
      <c r="I199" s="38">
        <v>1426</v>
      </c>
      <c r="J199" s="38">
        <v>2576</v>
      </c>
      <c r="K199" s="23">
        <f t="shared" si="24"/>
        <v>-0.446428571428571</v>
      </c>
      <c r="L199" s="39">
        <v>235</v>
      </c>
      <c r="M199" s="39">
        <v>288</v>
      </c>
      <c r="N199" s="23">
        <f t="shared" si="28"/>
        <v>-0.184027777777778</v>
      </c>
      <c r="O199" s="23">
        <f t="shared" si="26"/>
        <v>0.164796633941094</v>
      </c>
      <c r="P199" s="23">
        <f t="shared" si="29"/>
        <v>0.111801242236025</v>
      </c>
      <c r="Q199" s="25">
        <f t="shared" si="30"/>
        <v>0.474014336917563</v>
      </c>
      <c r="R199" s="40">
        <f>908367.24/10000</f>
        <v>90.836724</v>
      </c>
      <c r="S199" s="40">
        <f>978721.12/10000</f>
        <v>97.872112</v>
      </c>
      <c r="T199" s="23">
        <f t="shared" si="23"/>
        <v>-0.0718834799437045</v>
      </c>
      <c r="U199" s="28" t="e">
        <f>R199/#REF!</f>
        <v>#REF!</v>
      </c>
      <c r="V199" s="28" t="e">
        <f>S199/#REF!</f>
        <v>#REF!</v>
      </c>
    </row>
    <row r="200" ht="25" hidden="1" customHeight="1" spans="1:22">
      <c r="A200" s="29">
        <v>45937</v>
      </c>
      <c r="B200" s="7">
        <v>3062</v>
      </c>
      <c r="C200" s="7">
        <v>4381</v>
      </c>
      <c r="D200" s="20">
        <f t="shared" si="27"/>
        <v>-0.30107281442593</v>
      </c>
      <c r="E200" s="37">
        <v>17</v>
      </c>
      <c r="F200" s="35">
        <f t="shared" si="25"/>
        <v>180.117647058824</v>
      </c>
      <c r="G200" s="31">
        <v>0.9706</v>
      </c>
      <c r="H200" s="7">
        <v>9.95</v>
      </c>
      <c r="I200" s="38">
        <v>1697</v>
      </c>
      <c r="J200" s="38">
        <v>2702</v>
      </c>
      <c r="K200" s="23">
        <f t="shared" si="24"/>
        <v>-0.371946706143597</v>
      </c>
      <c r="L200" s="39">
        <v>244</v>
      </c>
      <c r="M200" s="39">
        <v>276</v>
      </c>
      <c r="N200" s="23">
        <f t="shared" si="28"/>
        <v>-0.115942028985507</v>
      </c>
      <c r="O200" s="23">
        <f t="shared" si="26"/>
        <v>0.143783146729523</v>
      </c>
      <c r="P200" s="23">
        <f t="shared" si="29"/>
        <v>0.102146558105107</v>
      </c>
      <c r="Q200" s="25">
        <f t="shared" si="30"/>
        <v>0.407616168344823</v>
      </c>
      <c r="R200" s="40">
        <f>1006890.75/10000</f>
        <v>100.689075</v>
      </c>
      <c r="S200" s="40">
        <f>892418.12/10000</f>
        <v>89.241812</v>
      </c>
      <c r="T200" s="23">
        <f t="shared" si="23"/>
        <v>0.12827241786619</v>
      </c>
      <c r="U200" s="28" t="e">
        <f>R200/#REF!</f>
        <v>#REF!</v>
      </c>
      <c r="V200" s="28" t="e">
        <f>S200/#REF!</f>
        <v>#REF!</v>
      </c>
    </row>
    <row r="201" ht="25" hidden="1" customHeight="1" spans="1:22">
      <c r="A201" s="29">
        <v>45938</v>
      </c>
      <c r="B201" s="7">
        <v>3968</v>
      </c>
      <c r="C201" s="7">
        <v>4665</v>
      </c>
      <c r="D201" s="20">
        <f t="shared" si="27"/>
        <v>-0.14941050375134</v>
      </c>
      <c r="E201" s="37">
        <v>17</v>
      </c>
      <c r="F201" s="35">
        <f t="shared" si="25"/>
        <v>233.411764705882</v>
      </c>
      <c r="G201" s="31">
        <v>0.9649</v>
      </c>
      <c r="H201" s="7">
        <v>9.6</v>
      </c>
      <c r="I201" s="38">
        <v>2258</v>
      </c>
      <c r="J201" s="38">
        <v>2754</v>
      </c>
      <c r="K201" s="23">
        <f t="shared" si="24"/>
        <v>-0.180101670297749</v>
      </c>
      <c r="L201" s="39">
        <v>336</v>
      </c>
      <c r="M201" s="39">
        <v>310</v>
      </c>
      <c r="N201" s="23">
        <f t="shared" si="28"/>
        <v>0.0838709677419355</v>
      </c>
      <c r="O201" s="23">
        <f t="shared" si="26"/>
        <v>0.148804251550044</v>
      </c>
      <c r="P201" s="23">
        <f t="shared" si="29"/>
        <v>0.112563543936093</v>
      </c>
      <c r="Q201" s="25">
        <f t="shared" si="30"/>
        <v>0.321957770222004</v>
      </c>
      <c r="R201" s="40">
        <f>1436401.25/10000</f>
        <v>143.640125</v>
      </c>
      <c r="S201" s="40">
        <f>987096.77/10000</f>
        <v>98.709677</v>
      </c>
      <c r="T201" s="23">
        <f t="shared" si="23"/>
        <v>0.455177743110232</v>
      </c>
      <c r="U201" s="28" t="e">
        <f>R201/#REF!</f>
        <v>#REF!</v>
      </c>
      <c r="V201" s="28" t="e">
        <f>S201/#REF!</f>
        <v>#REF!</v>
      </c>
    </row>
    <row r="202" ht="25" hidden="1" customHeight="1" spans="1:22">
      <c r="A202" s="29">
        <v>45939</v>
      </c>
      <c r="B202" s="7">
        <v>8962</v>
      </c>
      <c r="C202" s="7">
        <v>4677</v>
      </c>
      <c r="D202" s="20">
        <f t="shared" si="27"/>
        <v>0.916185589052812</v>
      </c>
      <c r="E202" s="37">
        <v>26</v>
      </c>
      <c r="F202" s="35">
        <f t="shared" si="25"/>
        <v>344.692307692308</v>
      </c>
      <c r="G202" s="31">
        <v>0.9497</v>
      </c>
      <c r="H202" s="7">
        <v>11.91</v>
      </c>
      <c r="I202" s="38">
        <v>4484</v>
      </c>
      <c r="J202" s="38">
        <v>2787</v>
      </c>
      <c r="K202" s="23">
        <f t="shared" si="24"/>
        <v>0.608898457122354</v>
      </c>
      <c r="L202" s="39">
        <v>1070</v>
      </c>
      <c r="M202" s="39">
        <v>275</v>
      </c>
      <c r="N202" s="23">
        <f t="shared" si="28"/>
        <v>2.89090909090909</v>
      </c>
      <c r="O202" s="23">
        <f t="shared" si="26"/>
        <v>0.238626226583408</v>
      </c>
      <c r="P202" s="23">
        <f t="shared" si="29"/>
        <v>0.0986724076067456</v>
      </c>
      <c r="Q202" s="25">
        <f t="shared" si="30"/>
        <v>1.41836833995621</v>
      </c>
      <c r="R202" s="40">
        <f>3779984.23/10000</f>
        <v>377.998423</v>
      </c>
      <c r="S202" s="40">
        <f>920332.95/10000</f>
        <v>92.033295</v>
      </c>
      <c r="T202" s="23">
        <f t="shared" si="23"/>
        <v>3.1071921091166</v>
      </c>
      <c r="U202" s="28" t="e">
        <f>R202/#REF!</f>
        <v>#REF!</v>
      </c>
      <c r="V202" s="28" t="e">
        <f>S202/#REF!</f>
        <v>#REF!</v>
      </c>
    </row>
    <row r="203" ht="25" hidden="1" customHeight="1" spans="1:22">
      <c r="A203" s="29">
        <v>45940</v>
      </c>
      <c r="B203" s="7">
        <v>6167</v>
      </c>
      <c r="C203" s="7">
        <v>4718</v>
      </c>
      <c r="D203" s="20">
        <f t="shared" si="27"/>
        <v>0.307121661721068</v>
      </c>
      <c r="E203" s="37">
        <v>21</v>
      </c>
      <c r="F203" s="35">
        <f t="shared" si="25"/>
        <v>293.666666666667</v>
      </c>
      <c r="G203" s="31">
        <v>0.9448</v>
      </c>
      <c r="H203" s="7">
        <v>11.2</v>
      </c>
      <c r="I203" s="38">
        <v>2768</v>
      </c>
      <c r="J203" s="38">
        <v>2808</v>
      </c>
      <c r="K203" s="23">
        <f t="shared" si="24"/>
        <v>-0.0142450142450142</v>
      </c>
      <c r="L203" s="39">
        <v>447</v>
      </c>
      <c r="M203" s="39">
        <v>304</v>
      </c>
      <c r="N203" s="23">
        <f t="shared" si="28"/>
        <v>0.470394736842105</v>
      </c>
      <c r="O203" s="23">
        <f t="shared" si="26"/>
        <v>0.161488439306358</v>
      </c>
      <c r="P203" s="23">
        <f t="shared" si="29"/>
        <v>0.108262108262108</v>
      </c>
      <c r="Q203" s="25">
        <f t="shared" si="30"/>
        <v>0.491643215698202</v>
      </c>
      <c r="R203" s="40">
        <f>1807686.28/10000</f>
        <v>180.768628</v>
      </c>
      <c r="S203" s="40">
        <f>989314.56/10000</f>
        <v>98.931456</v>
      </c>
      <c r="T203" s="23">
        <f t="shared" si="23"/>
        <v>0.827210831709583</v>
      </c>
      <c r="U203" s="28" t="e">
        <f>R203/#REF!</f>
        <v>#REF!</v>
      </c>
      <c r="V203" s="28" t="e">
        <f>S203/#REF!</f>
        <v>#REF!</v>
      </c>
    </row>
    <row r="204" ht="25" hidden="1" customHeight="1" spans="1:22">
      <c r="A204" s="29">
        <v>45941</v>
      </c>
      <c r="B204" s="7">
        <v>3991</v>
      </c>
      <c r="C204" s="7">
        <v>4447</v>
      </c>
      <c r="D204" s="20">
        <f t="shared" si="27"/>
        <v>-0.102541038902631</v>
      </c>
      <c r="E204" s="37">
        <v>47</v>
      </c>
      <c r="F204" s="35">
        <f t="shared" si="25"/>
        <v>84.9148936170213</v>
      </c>
      <c r="G204" s="31">
        <v>0.9661</v>
      </c>
      <c r="H204" s="7">
        <v>10.86</v>
      </c>
      <c r="I204" s="38">
        <v>1869</v>
      </c>
      <c r="J204" s="38">
        <v>2667</v>
      </c>
      <c r="K204" s="23">
        <f t="shared" si="24"/>
        <v>-0.299212598425197</v>
      </c>
      <c r="L204" s="39">
        <v>198</v>
      </c>
      <c r="M204" s="39">
        <v>267</v>
      </c>
      <c r="N204" s="23">
        <f t="shared" si="28"/>
        <v>-0.258426966292135</v>
      </c>
      <c r="O204" s="23">
        <f t="shared" si="26"/>
        <v>0.105939004815409</v>
      </c>
      <c r="P204" s="23">
        <f t="shared" si="29"/>
        <v>0.100112485939258</v>
      </c>
      <c r="Q204" s="25">
        <f t="shared" si="30"/>
        <v>0.0581997222572876</v>
      </c>
      <c r="R204" s="40">
        <f>872703.93/10000</f>
        <v>87.270393</v>
      </c>
      <c r="S204" s="40">
        <f>871648.22/10000</f>
        <v>87.164822</v>
      </c>
      <c r="T204" s="23">
        <f t="shared" si="23"/>
        <v>0.0012111652106626</v>
      </c>
      <c r="U204" s="28" t="e">
        <f>R204/#REF!</f>
        <v>#REF!</v>
      </c>
      <c r="V204" s="28" t="e">
        <f>S204/#REF!</f>
        <v>#REF!</v>
      </c>
    </row>
    <row r="205" ht="25" hidden="1" customHeight="1" spans="1:22">
      <c r="A205" s="29">
        <v>45942</v>
      </c>
      <c r="B205" s="7">
        <v>4024</v>
      </c>
      <c r="C205" s="7">
        <v>4744</v>
      </c>
      <c r="D205" s="20">
        <f t="shared" si="27"/>
        <v>-0.15177065767285</v>
      </c>
      <c r="E205" s="37">
        <v>41</v>
      </c>
      <c r="F205" s="35">
        <f t="shared" si="25"/>
        <v>98.1463414634146</v>
      </c>
      <c r="G205" s="31">
        <v>0.974</v>
      </c>
      <c r="H205" s="7">
        <v>11.05</v>
      </c>
      <c r="I205" s="38">
        <v>2021</v>
      </c>
      <c r="J205" s="38">
        <v>3000</v>
      </c>
      <c r="K205" s="23">
        <f t="shared" si="24"/>
        <v>-0.326333333333333</v>
      </c>
      <c r="L205" s="39">
        <v>251</v>
      </c>
      <c r="M205" s="39">
        <v>288</v>
      </c>
      <c r="N205" s="23">
        <f t="shared" si="28"/>
        <v>-0.128472222222222</v>
      </c>
      <c r="O205" s="23">
        <f t="shared" si="26"/>
        <v>0.124195942602672</v>
      </c>
      <c r="P205" s="23">
        <f t="shared" si="29"/>
        <v>0.096</v>
      </c>
      <c r="Q205" s="25">
        <f t="shared" si="30"/>
        <v>0.2937077354445</v>
      </c>
      <c r="R205" s="40">
        <f>1092192.89/10000</f>
        <v>109.219289</v>
      </c>
      <c r="S205" s="40">
        <f>897399.36/10000</f>
        <v>89.739936</v>
      </c>
      <c r="T205" s="23">
        <f t="shared" ref="T205:T223" si="31">(R205-S205)/S205</f>
        <v>0.217064485091676</v>
      </c>
      <c r="U205" s="28" t="e">
        <f>R205/#REF!</f>
        <v>#REF!</v>
      </c>
      <c r="V205" s="28" t="e">
        <f>S205/#REF!</f>
        <v>#REF!</v>
      </c>
    </row>
    <row r="206" ht="25" hidden="1" customHeight="1" spans="1:22">
      <c r="A206" s="29">
        <v>45943</v>
      </c>
      <c r="B206" s="7">
        <v>4583</v>
      </c>
      <c r="C206" s="7">
        <v>5708</v>
      </c>
      <c r="D206" s="20">
        <f t="shared" si="27"/>
        <v>-0.197091800981079</v>
      </c>
      <c r="E206" s="37">
        <v>39</v>
      </c>
      <c r="F206" s="35">
        <f t="shared" si="25"/>
        <v>117.512820512821</v>
      </c>
      <c r="G206" s="31">
        <v>0.9638</v>
      </c>
      <c r="H206" s="7">
        <v>11.47</v>
      </c>
      <c r="I206" s="38">
        <v>2250</v>
      </c>
      <c r="J206" s="38">
        <v>3707</v>
      </c>
      <c r="K206" s="23">
        <f t="shared" ref="K206:K269" si="32">(I206-J206)/J206</f>
        <v>-0.393040194227138</v>
      </c>
      <c r="L206" s="39">
        <v>332</v>
      </c>
      <c r="M206" s="39">
        <v>387</v>
      </c>
      <c r="N206" s="23">
        <f t="shared" si="28"/>
        <v>-0.142118863049096</v>
      </c>
      <c r="O206" s="23">
        <f t="shared" si="26"/>
        <v>0.147555555555556</v>
      </c>
      <c r="P206" s="23">
        <f t="shared" si="29"/>
        <v>0.104397086592932</v>
      </c>
      <c r="Q206" s="25">
        <f t="shared" si="30"/>
        <v>0.413406833189783</v>
      </c>
      <c r="R206" s="40">
        <f>1440668.48/10000</f>
        <v>144.066848</v>
      </c>
      <c r="S206" s="40">
        <f>1203621.97/10000</f>
        <v>120.362197</v>
      </c>
      <c r="T206" s="23">
        <f t="shared" si="31"/>
        <v>0.196944319652125</v>
      </c>
      <c r="U206" s="28" t="e">
        <f>R206/#REF!</f>
        <v>#REF!</v>
      </c>
      <c r="V206" s="28" t="e">
        <f>S206/#REF!</f>
        <v>#REF!</v>
      </c>
    </row>
    <row r="207" ht="25" hidden="1" customHeight="1" spans="1:22">
      <c r="A207" s="29">
        <v>45944</v>
      </c>
      <c r="B207" s="7">
        <v>8254</v>
      </c>
      <c r="C207" s="7">
        <v>14532</v>
      </c>
      <c r="D207" s="20">
        <f t="shared" si="27"/>
        <v>-0.432012111202863</v>
      </c>
      <c r="E207" s="37">
        <v>58</v>
      </c>
      <c r="F207" s="35">
        <f t="shared" si="25"/>
        <v>142.310344827586</v>
      </c>
      <c r="G207" s="31">
        <v>0.9091</v>
      </c>
      <c r="H207" s="7">
        <v>10.25</v>
      </c>
      <c r="I207" s="38">
        <v>3842</v>
      </c>
      <c r="J207" s="38">
        <v>9645</v>
      </c>
      <c r="K207" s="23">
        <f t="shared" si="32"/>
        <v>-0.6016588906169</v>
      </c>
      <c r="L207" s="39">
        <v>1364</v>
      </c>
      <c r="M207" s="39">
        <v>2292</v>
      </c>
      <c r="N207" s="23">
        <f t="shared" si="28"/>
        <v>-0.404886561954625</v>
      </c>
      <c r="O207" s="23">
        <f t="shared" si="26"/>
        <v>0.355023425299323</v>
      </c>
      <c r="P207" s="23">
        <f t="shared" si="29"/>
        <v>0.237636080870918</v>
      </c>
      <c r="Q207" s="25">
        <f t="shared" si="30"/>
        <v>0.493979466410109</v>
      </c>
      <c r="R207" s="40">
        <f>5865666.01/10000</f>
        <v>586.566601</v>
      </c>
      <c r="S207" s="40">
        <f>6881772.24/10000</f>
        <v>688.177224</v>
      </c>
      <c r="T207" s="23">
        <f t="shared" si="31"/>
        <v>-0.147651824931655</v>
      </c>
      <c r="U207" s="28" t="e">
        <f>R207/#REF!</f>
        <v>#REF!</v>
      </c>
      <c r="V207" s="28" t="e">
        <f>S207/#REF!</f>
        <v>#REF!</v>
      </c>
    </row>
    <row r="208" ht="25" hidden="1" customHeight="1" spans="1:22">
      <c r="A208" s="29">
        <v>45945</v>
      </c>
      <c r="B208" s="7">
        <v>9905</v>
      </c>
      <c r="C208" s="7">
        <v>11344</v>
      </c>
      <c r="D208" s="20">
        <f t="shared" si="27"/>
        <v>-0.12685119887165</v>
      </c>
      <c r="E208" s="37">
        <v>42</v>
      </c>
      <c r="F208" s="35">
        <f t="shared" si="25"/>
        <v>235.833333333333</v>
      </c>
      <c r="G208" s="31">
        <v>0.9565</v>
      </c>
      <c r="H208" s="7">
        <v>12.06</v>
      </c>
      <c r="I208" s="38">
        <v>4347</v>
      </c>
      <c r="J208" s="38">
        <v>7177</v>
      </c>
      <c r="K208" s="23">
        <f t="shared" si="32"/>
        <v>-0.39431517347081</v>
      </c>
      <c r="L208" s="39">
        <v>1464</v>
      </c>
      <c r="M208" s="39">
        <v>1139</v>
      </c>
      <c r="N208" s="23">
        <f t="shared" si="28"/>
        <v>0.285338015803336</v>
      </c>
      <c r="O208" s="23">
        <f t="shared" si="26"/>
        <v>0.336783988957902</v>
      </c>
      <c r="P208" s="23">
        <f t="shared" si="29"/>
        <v>0.158701407273234</v>
      </c>
      <c r="Q208" s="25">
        <f t="shared" si="30"/>
        <v>1.12212351953544</v>
      </c>
      <c r="R208" s="40">
        <f>6306142.31/10000</f>
        <v>630.614231</v>
      </c>
      <c r="S208" s="40">
        <f>3453374.41/10000</f>
        <v>345.337441</v>
      </c>
      <c r="T208" s="23">
        <f t="shared" si="31"/>
        <v>0.82608126467237</v>
      </c>
      <c r="U208" s="28" t="e">
        <f>R208/#REF!</f>
        <v>#REF!</v>
      </c>
      <c r="V208" s="28" t="e">
        <f>S208/#REF!</f>
        <v>#REF!</v>
      </c>
    </row>
    <row r="209" ht="25" hidden="1" customHeight="1" spans="1:22">
      <c r="A209" s="29">
        <v>45946</v>
      </c>
      <c r="B209" s="7">
        <v>7572</v>
      </c>
      <c r="C209" s="7">
        <v>7971</v>
      </c>
      <c r="D209" s="20">
        <f t="shared" si="27"/>
        <v>-0.0500564546480994</v>
      </c>
      <c r="E209" s="37">
        <v>36</v>
      </c>
      <c r="F209" s="35">
        <f t="shared" si="25"/>
        <v>210.333333333333</v>
      </c>
      <c r="G209" s="31">
        <v>0.9627</v>
      </c>
      <c r="H209" s="7">
        <v>10.39</v>
      </c>
      <c r="I209" s="38">
        <v>3228</v>
      </c>
      <c r="J209" s="38">
        <v>4930</v>
      </c>
      <c r="K209" s="23">
        <f t="shared" si="32"/>
        <v>-0.345233265720081</v>
      </c>
      <c r="L209" s="39">
        <v>652</v>
      </c>
      <c r="M209" s="39">
        <v>726</v>
      </c>
      <c r="N209" s="23">
        <f t="shared" si="28"/>
        <v>-0.101928374655647</v>
      </c>
      <c r="O209" s="23">
        <f t="shared" si="26"/>
        <v>0.201982651796778</v>
      </c>
      <c r="P209" s="23">
        <f t="shared" si="29"/>
        <v>0.147261663286004</v>
      </c>
      <c r="Q209" s="25">
        <f t="shared" si="30"/>
        <v>0.371590183688864</v>
      </c>
      <c r="R209" s="40">
        <f>2595425.35/10000</f>
        <v>259.542535</v>
      </c>
      <c r="S209" s="40">
        <f>2290557.34/10000</f>
        <v>229.055734</v>
      </c>
      <c r="T209" s="23">
        <f t="shared" si="31"/>
        <v>0.133097742054342</v>
      </c>
      <c r="U209" s="28" t="e">
        <f>R209/#REF!</f>
        <v>#REF!</v>
      </c>
      <c r="V209" s="28" t="e">
        <f>S209/#REF!</f>
        <v>#REF!</v>
      </c>
    </row>
    <row r="210" ht="25" hidden="1" customHeight="1" spans="1:22">
      <c r="A210" s="29">
        <v>45947</v>
      </c>
      <c r="B210" s="7">
        <v>5922</v>
      </c>
      <c r="C210" s="7">
        <v>7788</v>
      </c>
      <c r="D210" s="20">
        <f t="shared" si="27"/>
        <v>-0.23959938366718</v>
      </c>
      <c r="E210" s="37">
        <v>28</v>
      </c>
      <c r="F210" s="35">
        <f t="shared" si="25"/>
        <v>211.5</v>
      </c>
      <c r="G210" s="31">
        <v>0.9565</v>
      </c>
      <c r="H210" s="7">
        <v>10.11</v>
      </c>
      <c r="I210" s="38">
        <v>2687</v>
      </c>
      <c r="J210" s="38">
        <v>4933</v>
      </c>
      <c r="K210" s="23">
        <f t="shared" si="32"/>
        <v>-0.455301033853639</v>
      </c>
      <c r="L210" s="39">
        <v>341</v>
      </c>
      <c r="M210" s="39">
        <v>737</v>
      </c>
      <c r="N210" s="23">
        <f t="shared" si="28"/>
        <v>-0.537313432835821</v>
      </c>
      <c r="O210" s="23">
        <f t="shared" si="26"/>
        <v>0.126907331596576</v>
      </c>
      <c r="P210" s="23">
        <f t="shared" si="29"/>
        <v>0.149401986620718</v>
      </c>
      <c r="Q210" s="25">
        <f t="shared" si="30"/>
        <v>-0.150564631253854</v>
      </c>
      <c r="R210" s="40">
        <f>1331839.77/10000</f>
        <v>133.183977</v>
      </c>
      <c r="S210" s="40">
        <f>2345616.38/10000</f>
        <v>234.561638</v>
      </c>
      <c r="T210" s="23">
        <f t="shared" si="31"/>
        <v>-0.432200516096328</v>
      </c>
      <c r="U210" s="28" t="e">
        <f>R210/#REF!</f>
        <v>#REF!</v>
      </c>
      <c r="V210" s="28" t="e">
        <f>S210/#REF!</f>
        <v>#REF!</v>
      </c>
    </row>
    <row r="211" ht="25" hidden="1" customHeight="1" spans="1:22">
      <c r="A211" s="29">
        <v>45948</v>
      </c>
      <c r="B211" s="7">
        <v>5164</v>
      </c>
      <c r="C211" s="7">
        <v>7242</v>
      </c>
      <c r="D211" s="20">
        <f t="shared" si="27"/>
        <v>-0.286937310135322</v>
      </c>
      <c r="E211" s="37">
        <v>27</v>
      </c>
      <c r="F211" s="35">
        <f t="shared" si="25"/>
        <v>191.259259259259</v>
      </c>
      <c r="G211" s="31">
        <v>0.9622</v>
      </c>
      <c r="H211" s="7">
        <v>10.44</v>
      </c>
      <c r="I211" s="38">
        <v>2273</v>
      </c>
      <c r="J211" s="38">
        <v>4586</v>
      </c>
      <c r="K211" s="23">
        <f t="shared" si="32"/>
        <v>-0.504361098996947</v>
      </c>
      <c r="L211" s="39">
        <v>189</v>
      </c>
      <c r="M211" s="39">
        <v>688</v>
      </c>
      <c r="N211" s="23">
        <f t="shared" si="28"/>
        <v>-0.725290697674419</v>
      </c>
      <c r="O211" s="23">
        <f t="shared" si="26"/>
        <v>0.0831500219973603</v>
      </c>
      <c r="P211" s="23">
        <f t="shared" si="29"/>
        <v>0.150021805494985</v>
      </c>
      <c r="Q211" s="25">
        <f t="shared" si="30"/>
        <v>-0.44574709174434</v>
      </c>
      <c r="R211" s="40">
        <f>743874.26/10000</f>
        <v>74.387426</v>
      </c>
      <c r="S211" s="40">
        <f>2104303.47/10000</f>
        <v>210.430347</v>
      </c>
      <c r="T211" s="23">
        <f t="shared" si="31"/>
        <v>-0.646498582260096</v>
      </c>
      <c r="U211" s="28" t="e">
        <f>R211/#REF!</f>
        <v>#REF!</v>
      </c>
      <c r="V211" s="28" t="e">
        <f>S211/#REF!</f>
        <v>#REF!</v>
      </c>
    </row>
    <row r="212" ht="25" hidden="1" customHeight="1" spans="1:22">
      <c r="A212" s="29">
        <v>45949</v>
      </c>
      <c r="B212" s="7">
        <v>5764</v>
      </c>
      <c r="C212" s="7">
        <v>7669</v>
      </c>
      <c r="D212" s="20">
        <f t="shared" si="27"/>
        <v>-0.248402660059982</v>
      </c>
      <c r="E212" s="37">
        <v>28</v>
      </c>
      <c r="F212" s="35">
        <f t="shared" si="25"/>
        <v>205.857142857143</v>
      </c>
      <c r="G212" s="31">
        <v>0.9599</v>
      </c>
      <c r="H212" s="7">
        <v>10.57</v>
      </c>
      <c r="I212" s="38">
        <v>2715</v>
      </c>
      <c r="J212" s="38">
        <v>4905</v>
      </c>
      <c r="K212" s="23">
        <f t="shared" si="32"/>
        <v>-0.446483180428135</v>
      </c>
      <c r="L212" s="39">
        <v>339</v>
      </c>
      <c r="M212" s="39">
        <v>723</v>
      </c>
      <c r="N212" s="23">
        <f t="shared" si="28"/>
        <v>-0.531120331950207</v>
      </c>
      <c r="O212" s="23">
        <f t="shared" si="26"/>
        <v>0.124861878453039</v>
      </c>
      <c r="P212" s="23">
        <f t="shared" si="29"/>
        <v>0.147400611620795</v>
      </c>
      <c r="Q212" s="25">
        <f t="shared" si="30"/>
        <v>-0.152908003026063</v>
      </c>
      <c r="R212" s="40">
        <f>1396884.35/10000</f>
        <v>139.688435</v>
      </c>
      <c r="S212" s="40">
        <f>2263097.59/10000</f>
        <v>226.309759</v>
      </c>
      <c r="T212" s="23">
        <f t="shared" si="31"/>
        <v>-0.382755584128389</v>
      </c>
      <c r="U212" s="28" t="e">
        <f>R212/#REF!</f>
        <v>#REF!</v>
      </c>
      <c r="V212" s="28" t="e">
        <f>S212/#REF!</f>
        <v>#REF!</v>
      </c>
    </row>
    <row r="213" ht="25" hidden="1" customHeight="1" spans="1:22">
      <c r="A213" s="29">
        <v>45950</v>
      </c>
      <c r="B213" s="7">
        <v>9211</v>
      </c>
      <c r="C213" s="7">
        <v>7512</v>
      </c>
      <c r="D213" s="20">
        <f t="shared" si="27"/>
        <v>0.226171458998935</v>
      </c>
      <c r="E213" s="37">
        <v>45</v>
      </c>
      <c r="F213" s="35">
        <f t="shared" si="25"/>
        <v>204.688888888889</v>
      </c>
      <c r="G213" s="31">
        <v>0.9476</v>
      </c>
      <c r="H213" s="7">
        <v>10.05</v>
      </c>
      <c r="I213" s="38">
        <v>4482</v>
      </c>
      <c r="J213" s="38">
        <v>4774</v>
      </c>
      <c r="K213" s="23">
        <f t="shared" si="32"/>
        <v>-0.0611646418098031</v>
      </c>
      <c r="L213" s="39">
        <v>1217</v>
      </c>
      <c r="M213" s="39">
        <v>583</v>
      </c>
      <c r="N213" s="23">
        <f t="shared" si="28"/>
        <v>1.08747855917667</v>
      </c>
      <c r="O213" s="23">
        <f t="shared" si="26"/>
        <v>0.27153056671129</v>
      </c>
      <c r="P213" s="23">
        <f t="shared" si="29"/>
        <v>0.122119815668203</v>
      </c>
      <c r="Q213" s="25">
        <f t="shared" si="30"/>
        <v>1.22347671608868</v>
      </c>
      <c r="R213" s="40">
        <f>5286142.09/10000</f>
        <v>528.614209</v>
      </c>
      <c r="S213" s="40">
        <f>1842632.74/10000</f>
        <v>184.263274</v>
      </c>
      <c r="T213" s="23">
        <f t="shared" si="31"/>
        <v>1.86879852682961</v>
      </c>
      <c r="U213" s="28" t="e">
        <f>R213/#REF!</f>
        <v>#REF!</v>
      </c>
      <c r="V213" s="28" t="e">
        <f>S213/#REF!</f>
        <v>#REF!</v>
      </c>
    </row>
    <row r="214" ht="25" hidden="1" customHeight="1" spans="1:22">
      <c r="A214" s="29">
        <v>45951</v>
      </c>
      <c r="B214" s="7">
        <v>6810</v>
      </c>
      <c r="C214" s="7">
        <v>10950</v>
      </c>
      <c r="D214" s="20">
        <f t="shared" si="27"/>
        <v>-0.378082191780822</v>
      </c>
      <c r="E214" s="37">
        <v>29</v>
      </c>
      <c r="F214" s="35">
        <f t="shared" si="25"/>
        <v>234.827586206897</v>
      </c>
      <c r="G214" s="31">
        <v>0.9599</v>
      </c>
      <c r="H214" s="7">
        <v>10.17</v>
      </c>
      <c r="I214" s="38">
        <v>3043</v>
      </c>
      <c r="J214" s="38">
        <v>7145</v>
      </c>
      <c r="K214" s="23">
        <f t="shared" si="32"/>
        <v>-0.574107767669699</v>
      </c>
      <c r="L214" s="39">
        <v>403</v>
      </c>
      <c r="M214" s="39">
        <v>1213</v>
      </c>
      <c r="N214" s="23">
        <f t="shared" si="28"/>
        <v>-0.667765869744435</v>
      </c>
      <c r="O214" s="23">
        <f t="shared" si="26"/>
        <v>0.132435096943805</v>
      </c>
      <c r="P214" s="23">
        <f t="shared" si="29"/>
        <v>0.169769069279216</v>
      </c>
      <c r="Q214" s="25">
        <f t="shared" si="30"/>
        <v>-0.21991033168715</v>
      </c>
      <c r="R214" s="40">
        <f>1680672.02/10000</f>
        <v>168.067202</v>
      </c>
      <c r="S214" s="40">
        <f>3732121.51/10000</f>
        <v>373.212151</v>
      </c>
      <c r="T214" s="23">
        <f t="shared" si="31"/>
        <v>-0.549673820775466</v>
      </c>
      <c r="U214" s="28" t="e">
        <f>R214/#REF!</f>
        <v>#REF!</v>
      </c>
      <c r="V214" s="28" t="e">
        <f>S214/#REF!</f>
        <v>#REF!</v>
      </c>
    </row>
    <row r="215" ht="25" hidden="1" customHeight="1" spans="1:22">
      <c r="A215" s="29">
        <v>45952</v>
      </c>
      <c r="B215" s="7">
        <v>5501</v>
      </c>
      <c r="C215" s="7">
        <v>9469</v>
      </c>
      <c r="D215" s="20">
        <f t="shared" si="27"/>
        <v>-0.419051642200866</v>
      </c>
      <c r="E215" s="37">
        <v>25</v>
      </c>
      <c r="F215" s="35">
        <f t="shared" si="25"/>
        <v>220.04</v>
      </c>
      <c r="G215" s="31">
        <v>0.9564</v>
      </c>
      <c r="H215" s="7">
        <v>9.9</v>
      </c>
      <c r="I215" s="38">
        <v>2707</v>
      </c>
      <c r="J215" s="38">
        <v>6102</v>
      </c>
      <c r="K215" s="23">
        <f t="shared" si="32"/>
        <v>-0.556374959029826</v>
      </c>
      <c r="L215" s="39">
        <v>277</v>
      </c>
      <c r="M215" s="39">
        <v>907</v>
      </c>
      <c r="N215" s="23">
        <f t="shared" si="28"/>
        <v>-0.694597574421169</v>
      </c>
      <c r="O215" s="23">
        <f t="shared" si="26"/>
        <v>0.102327299593646</v>
      </c>
      <c r="P215" s="23">
        <f t="shared" si="29"/>
        <v>0.148639790232711</v>
      </c>
      <c r="Q215" s="25">
        <f t="shared" si="30"/>
        <v>-0.311575322910223</v>
      </c>
      <c r="R215" s="40">
        <f>1207997.93/10000</f>
        <v>120.799793</v>
      </c>
      <c r="S215" s="40">
        <f>2791482.64/10000</f>
        <v>279.148264</v>
      </c>
      <c r="T215" s="23">
        <f t="shared" si="31"/>
        <v>-0.567255797084233</v>
      </c>
      <c r="U215" s="28" t="e">
        <f>R215/#REF!</f>
        <v>#REF!</v>
      </c>
      <c r="V215" s="28" t="e">
        <f>S215/#REF!</f>
        <v>#REF!</v>
      </c>
    </row>
    <row r="216" ht="25" hidden="1" customHeight="1" spans="1:22">
      <c r="A216" s="29">
        <v>45953</v>
      </c>
      <c r="B216" s="7">
        <v>5493</v>
      </c>
      <c r="C216" s="7">
        <v>8406</v>
      </c>
      <c r="D216" s="20">
        <f t="shared" si="27"/>
        <v>-0.346538187009279</v>
      </c>
      <c r="E216" s="37">
        <v>29</v>
      </c>
      <c r="F216" s="35">
        <f t="shared" si="25"/>
        <v>189.413793103448</v>
      </c>
      <c r="G216" s="31">
        <v>0.9542</v>
      </c>
      <c r="H216" s="7">
        <v>10.25</v>
      </c>
      <c r="I216" s="38">
        <v>2722</v>
      </c>
      <c r="J216" s="7">
        <v>5370</v>
      </c>
      <c r="K216" s="23">
        <f t="shared" si="32"/>
        <v>-0.493109869646182</v>
      </c>
      <c r="L216" s="39">
        <v>336</v>
      </c>
      <c r="M216" s="30">
        <v>745</v>
      </c>
      <c r="N216" s="23">
        <f t="shared" si="28"/>
        <v>-0.548993288590604</v>
      </c>
      <c r="O216" s="23">
        <f t="shared" si="26"/>
        <v>0.123438648052902</v>
      </c>
      <c r="P216" s="23">
        <f t="shared" si="29"/>
        <v>0.138733705772812</v>
      </c>
      <c r="Q216" s="25">
        <f t="shared" si="30"/>
        <v>-0.110247597256263</v>
      </c>
      <c r="R216" s="40">
        <f>1178426.26/10000</f>
        <v>117.842626</v>
      </c>
      <c r="S216" s="33">
        <f>2352703.39/10000</f>
        <v>235.270339</v>
      </c>
      <c r="T216" s="23">
        <f t="shared" si="31"/>
        <v>-0.499118220763052</v>
      </c>
      <c r="U216" s="28" t="e">
        <f>R216/#REF!</f>
        <v>#REF!</v>
      </c>
      <c r="V216" s="28" t="e">
        <f>S216/#REF!</f>
        <v>#REF!</v>
      </c>
    </row>
    <row r="217" ht="25" hidden="1" customHeight="1" spans="1:22">
      <c r="A217" s="29">
        <v>45954</v>
      </c>
      <c r="B217" s="7">
        <v>4916</v>
      </c>
      <c r="C217" s="7">
        <v>8575</v>
      </c>
      <c r="D217" s="20">
        <f t="shared" si="27"/>
        <v>-0.426705539358601</v>
      </c>
      <c r="E217" s="37">
        <v>31</v>
      </c>
      <c r="F217" s="35">
        <f t="shared" si="25"/>
        <v>158.58064516129</v>
      </c>
      <c r="G217" s="31">
        <v>0.9579</v>
      </c>
      <c r="H217" s="7">
        <v>10.31</v>
      </c>
      <c r="I217" s="38">
        <v>2372</v>
      </c>
      <c r="J217" s="38">
        <v>5447</v>
      </c>
      <c r="K217" s="23">
        <f t="shared" si="32"/>
        <v>-0.564530934459335</v>
      </c>
      <c r="L217" s="39">
        <v>319</v>
      </c>
      <c r="M217" s="39">
        <v>804</v>
      </c>
      <c r="N217" s="23">
        <f t="shared" si="28"/>
        <v>-0.603233830845771</v>
      </c>
      <c r="O217" s="23">
        <f t="shared" si="26"/>
        <v>0.134485666104553</v>
      </c>
      <c r="P217" s="23">
        <f t="shared" si="29"/>
        <v>0.147604185790343</v>
      </c>
      <c r="Q217" s="25">
        <f t="shared" si="30"/>
        <v>-0.088876339214552</v>
      </c>
      <c r="R217" s="40">
        <f>1327683.58/10000</f>
        <v>132.768358</v>
      </c>
      <c r="S217" s="40">
        <f>2448335.02/10000</f>
        <v>244.833502</v>
      </c>
      <c r="T217" s="23">
        <f t="shared" si="31"/>
        <v>-0.45771980993026</v>
      </c>
      <c r="U217" s="28" t="e">
        <f>R217/#REF!</f>
        <v>#REF!</v>
      </c>
      <c r="V217" s="28" t="e">
        <f>S217/#REF!</f>
        <v>#REF!</v>
      </c>
    </row>
    <row r="218" ht="25" hidden="1" customHeight="1" spans="1:22">
      <c r="A218" s="29">
        <v>45955</v>
      </c>
      <c r="B218" s="7">
        <v>5483</v>
      </c>
      <c r="C218" s="7">
        <v>8016</v>
      </c>
      <c r="D218" s="20">
        <f t="shared" si="27"/>
        <v>-0.315993013972056</v>
      </c>
      <c r="E218" s="37">
        <v>28</v>
      </c>
      <c r="F218" s="35">
        <f t="shared" si="25"/>
        <v>195.821428571429</v>
      </c>
      <c r="G218" s="31">
        <v>0.9666</v>
      </c>
      <c r="H218" s="7">
        <v>10.06</v>
      </c>
      <c r="I218" s="38">
        <v>2563</v>
      </c>
      <c r="J218" s="38">
        <v>5003</v>
      </c>
      <c r="K218" s="23">
        <f t="shared" si="32"/>
        <v>-0.487707375574655</v>
      </c>
      <c r="L218" s="39">
        <v>393</v>
      </c>
      <c r="M218" s="39">
        <v>638</v>
      </c>
      <c r="N218" s="23">
        <f t="shared" si="28"/>
        <v>-0.384012539184953</v>
      </c>
      <c r="O218" s="23">
        <f t="shared" si="26"/>
        <v>0.153335934451814</v>
      </c>
      <c r="P218" s="23">
        <f t="shared" si="29"/>
        <v>0.127523485908455</v>
      </c>
      <c r="Q218" s="25">
        <f t="shared" si="30"/>
        <v>0.202413291633896</v>
      </c>
      <c r="R218" s="40">
        <f>1767253.39/10000</f>
        <v>176.725339</v>
      </c>
      <c r="S218" s="40">
        <f>1846416.19/10000</f>
        <v>184.641619</v>
      </c>
      <c r="T218" s="23">
        <f t="shared" si="31"/>
        <v>-0.0428737575140088</v>
      </c>
      <c r="U218" s="28" t="e">
        <f>R218/#REF!</f>
        <v>#REF!</v>
      </c>
      <c r="V218" s="28" t="e">
        <f>S218/#REF!</f>
        <v>#REF!</v>
      </c>
    </row>
    <row r="219" ht="25" hidden="1" customHeight="1" spans="1:22">
      <c r="A219" s="29">
        <v>45956</v>
      </c>
      <c r="B219" s="7">
        <v>5514</v>
      </c>
      <c r="C219" s="7">
        <v>9351</v>
      </c>
      <c r="D219" s="20">
        <f t="shared" si="27"/>
        <v>-0.41033044594161</v>
      </c>
      <c r="E219" s="37">
        <v>28</v>
      </c>
      <c r="F219" s="35">
        <f t="shared" si="25"/>
        <v>196.928571428571</v>
      </c>
      <c r="G219" s="31">
        <v>0.956</v>
      </c>
      <c r="H219" s="7">
        <v>10.57</v>
      </c>
      <c r="I219" s="38">
        <v>2683</v>
      </c>
      <c r="J219" s="38">
        <v>5784</v>
      </c>
      <c r="K219" s="23">
        <f t="shared" si="32"/>
        <v>-0.536134163208852</v>
      </c>
      <c r="L219" s="39">
        <v>394</v>
      </c>
      <c r="M219" s="39">
        <v>969</v>
      </c>
      <c r="N219" s="23">
        <f t="shared" si="28"/>
        <v>-0.593395252837977</v>
      </c>
      <c r="O219" s="23">
        <f t="shared" si="26"/>
        <v>0.146850540439806</v>
      </c>
      <c r="P219" s="23">
        <f t="shared" si="29"/>
        <v>0.16753112033195</v>
      </c>
      <c r="Q219" s="25">
        <f t="shared" si="30"/>
        <v>-0.123443213721529</v>
      </c>
      <c r="R219" s="40">
        <f>1780301.48/10000</f>
        <v>178.030148</v>
      </c>
      <c r="S219" s="40">
        <f>2947338.83/10000</f>
        <v>294.733883</v>
      </c>
      <c r="T219" s="23">
        <f t="shared" si="31"/>
        <v>-0.395963076291435</v>
      </c>
      <c r="U219" s="28" t="e">
        <f>R219/#REF!</f>
        <v>#REF!</v>
      </c>
      <c r="V219" s="28" t="e">
        <f>S219/#REF!</f>
        <v>#REF!</v>
      </c>
    </row>
    <row r="220" ht="25" hidden="1" customHeight="1" spans="1:22">
      <c r="A220" s="29">
        <v>45957</v>
      </c>
      <c r="B220" s="7">
        <v>5722</v>
      </c>
      <c r="C220" s="7">
        <v>9913</v>
      </c>
      <c r="D220" s="20">
        <f t="shared" si="27"/>
        <v>-0.422778170079693</v>
      </c>
      <c r="E220" s="37">
        <v>29</v>
      </c>
      <c r="F220" s="35">
        <f t="shared" si="25"/>
        <v>197.310344827586</v>
      </c>
      <c r="G220" s="31">
        <v>0.9436</v>
      </c>
      <c r="H220" s="7">
        <v>10.07</v>
      </c>
      <c r="I220" s="38">
        <v>2747</v>
      </c>
      <c r="J220" s="38">
        <v>6248</v>
      </c>
      <c r="K220" s="23">
        <f t="shared" si="32"/>
        <v>-0.560339308578745</v>
      </c>
      <c r="L220" s="39">
        <v>383</v>
      </c>
      <c r="M220" s="39">
        <v>988</v>
      </c>
      <c r="N220" s="23">
        <f t="shared" si="28"/>
        <v>-0.612348178137652</v>
      </c>
      <c r="O220" s="23">
        <f t="shared" si="26"/>
        <v>0.139424827084092</v>
      </c>
      <c r="P220" s="23">
        <f t="shared" si="29"/>
        <v>0.158130601792574</v>
      </c>
      <c r="Q220" s="25">
        <f t="shared" si="30"/>
        <v>-0.118293198763758</v>
      </c>
      <c r="R220" s="40">
        <f>1619075.2/10000</f>
        <v>161.90752</v>
      </c>
      <c r="S220" s="40">
        <f>3010165.68/10000</f>
        <v>301.016568</v>
      </c>
      <c r="T220" s="23">
        <f t="shared" si="31"/>
        <v>-0.462130868490933</v>
      </c>
      <c r="U220" s="28" t="e">
        <f>R220/#REF!</f>
        <v>#REF!</v>
      </c>
      <c r="V220" s="28" t="e">
        <f>S220/#REF!</f>
        <v>#REF!</v>
      </c>
    </row>
    <row r="221" ht="25" hidden="1" customHeight="1" spans="1:22">
      <c r="A221" s="29">
        <v>45958</v>
      </c>
      <c r="B221" s="7">
        <v>5765</v>
      </c>
      <c r="C221" s="7">
        <v>9234</v>
      </c>
      <c r="D221" s="20">
        <f t="shared" si="27"/>
        <v>-0.37567684643708</v>
      </c>
      <c r="E221" s="37">
        <v>30</v>
      </c>
      <c r="F221" s="35">
        <f t="shared" si="25"/>
        <v>192.166666666667</v>
      </c>
      <c r="G221" s="31">
        <v>0.967</v>
      </c>
      <c r="H221" s="7">
        <v>10.01</v>
      </c>
      <c r="I221" s="38">
        <v>2832</v>
      </c>
      <c r="J221" s="38">
        <v>5727</v>
      </c>
      <c r="K221" s="23">
        <f t="shared" si="32"/>
        <v>-0.505500261917234</v>
      </c>
      <c r="L221" s="39">
        <v>422</v>
      </c>
      <c r="M221" s="39">
        <v>903</v>
      </c>
      <c r="N221" s="23">
        <f t="shared" si="28"/>
        <v>-0.532668881506091</v>
      </c>
      <c r="O221" s="23">
        <f t="shared" si="26"/>
        <v>0.149011299435028</v>
      </c>
      <c r="P221" s="23">
        <f t="shared" si="29"/>
        <v>0.157674174960712</v>
      </c>
      <c r="Q221" s="25">
        <f t="shared" si="30"/>
        <v>-0.0549416258422976</v>
      </c>
      <c r="R221" s="40">
        <f>1807296.5/10000</f>
        <v>180.72965</v>
      </c>
      <c r="S221" s="40">
        <f>2760751.54/10000</f>
        <v>276.075154</v>
      </c>
      <c r="T221" s="23">
        <f t="shared" si="31"/>
        <v>-0.345360683924494</v>
      </c>
      <c r="U221" s="28" t="e">
        <f>R221/#REF!</f>
        <v>#REF!</v>
      </c>
      <c r="V221" s="28" t="e">
        <f>S221/#REF!</f>
        <v>#REF!</v>
      </c>
    </row>
    <row r="222" ht="25" hidden="1" customHeight="1" spans="1:22">
      <c r="A222" s="29">
        <v>45959</v>
      </c>
      <c r="B222" s="7">
        <v>5615</v>
      </c>
      <c r="C222" s="7">
        <v>8653</v>
      </c>
      <c r="D222" s="20">
        <f t="shared" si="27"/>
        <v>-0.351092106783774</v>
      </c>
      <c r="E222" s="37">
        <v>30</v>
      </c>
      <c r="F222" s="35">
        <f t="shared" si="25"/>
        <v>187.166666666667</v>
      </c>
      <c r="G222" s="31">
        <v>0.9481</v>
      </c>
      <c r="H222" s="7">
        <v>9.41</v>
      </c>
      <c r="I222" s="38">
        <v>2900</v>
      </c>
      <c r="J222" s="38">
        <v>5457</v>
      </c>
      <c r="K222" s="23">
        <f t="shared" si="32"/>
        <v>-0.46857247571926</v>
      </c>
      <c r="L222" s="39">
        <v>479</v>
      </c>
      <c r="M222" s="39">
        <v>826</v>
      </c>
      <c r="N222" s="23">
        <f t="shared" si="28"/>
        <v>-0.420096852300242</v>
      </c>
      <c r="O222" s="23">
        <f t="shared" si="26"/>
        <v>0.165172413793103</v>
      </c>
      <c r="P222" s="23">
        <f t="shared" si="29"/>
        <v>0.15136521898479</v>
      </c>
      <c r="Q222" s="25">
        <f t="shared" si="30"/>
        <v>0.0912177506888171</v>
      </c>
      <c r="R222" s="40">
        <f>2040255.01/10000</f>
        <v>204.025501</v>
      </c>
      <c r="S222" s="40">
        <f>2119427.09/10000</f>
        <v>211.942709</v>
      </c>
      <c r="T222" s="23">
        <f t="shared" si="31"/>
        <v>-0.0373554157034012</v>
      </c>
      <c r="U222" s="28" t="e">
        <f>R222/#REF!</f>
        <v>#REF!</v>
      </c>
      <c r="V222" s="28" t="e">
        <f>S222/#REF!</f>
        <v>#REF!</v>
      </c>
    </row>
    <row r="223" ht="25" hidden="1" customHeight="1" spans="1:22">
      <c r="A223" s="29">
        <v>45960</v>
      </c>
      <c r="B223" s="7">
        <v>13215</v>
      </c>
      <c r="C223" s="7">
        <v>9166</v>
      </c>
      <c r="D223" s="20">
        <f t="shared" si="27"/>
        <v>0.441741217543094</v>
      </c>
      <c r="E223" s="37">
        <v>59</v>
      </c>
      <c r="F223" s="35">
        <f t="shared" si="25"/>
        <v>223.983050847458</v>
      </c>
      <c r="G223" s="31">
        <v>0.9746</v>
      </c>
      <c r="H223" s="7">
        <v>9.04</v>
      </c>
      <c r="I223" s="38">
        <v>5776</v>
      </c>
      <c r="J223" s="38">
        <v>6119</v>
      </c>
      <c r="K223" s="23">
        <f t="shared" si="32"/>
        <v>-0.056054910933159</v>
      </c>
      <c r="L223" s="39">
        <v>2526</v>
      </c>
      <c r="M223" s="39">
        <v>1078</v>
      </c>
      <c r="N223" s="23">
        <f t="shared" si="28"/>
        <v>1.34322820037106</v>
      </c>
      <c r="O223" s="23">
        <f t="shared" si="26"/>
        <v>0.437326869806094</v>
      </c>
      <c r="P223" s="23">
        <f t="shared" si="29"/>
        <v>0.1761725772185</v>
      </c>
      <c r="Q223" s="25">
        <f t="shared" si="30"/>
        <v>1.48237765894572</v>
      </c>
      <c r="R223" s="40">
        <f>11378335.72/10000</f>
        <v>1137.833572</v>
      </c>
      <c r="S223" s="40">
        <f>2441869.04/10000</f>
        <v>244.186904</v>
      </c>
      <c r="T223" s="23">
        <f t="shared" si="31"/>
        <v>3.65968302706356</v>
      </c>
      <c r="U223" s="28" t="e">
        <f>R223/#REF!</f>
        <v>#REF!</v>
      </c>
      <c r="V223" s="28" t="e">
        <f>S223/#REF!</f>
        <v>#REF!</v>
      </c>
    </row>
    <row r="224" ht="25" hidden="1" customHeight="1" spans="1:22">
      <c r="A224" s="29">
        <v>45961</v>
      </c>
      <c r="B224" s="7">
        <v>8750</v>
      </c>
      <c r="C224" s="7">
        <v>19981</v>
      </c>
      <c r="D224" s="20">
        <f t="shared" si="27"/>
        <v>-0.562083979780792</v>
      </c>
      <c r="E224" s="37">
        <v>53</v>
      </c>
      <c r="F224" s="35">
        <f t="shared" si="25"/>
        <v>165.094339622642</v>
      </c>
      <c r="G224" s="31">
        <v>0.9758</v>
      </c>
      <c r="H224" s="7">
        <v>9.39</v>
      </c>
      <c r="I224" s="38">
        <v>3605</v>
      </c>
      <c r="J224" s="38">
        <v>12979</v>
      </c>
      <c r="K224" s="23">
        <f t="shared" si="32"/>
        <v>-0.722243624316203</v>
      </c>
      <c r="L224" s="39">
        <v>901</v>
      </c>
      <c r="M224" s="39">
        <v>4900</v>
      </c>
      <c r="N224" s="23">
        <f t="shared" si="28"/>
        <v>-0.816122448979592</v>
      </c>
      <c r="O224" s="23">
        <f t="shared" si="26"/>
        <v>0.249930651872399</v>
      </c>
      <c r="P224" s="23">
        <f t="shared" si="29"/>
        <v>0.377532937822637</v>
      </c>
      <c r="Q224" s="42">
        <f t="shared" si="30"/>
        <v>-0.337989810071048</v>
      </c>
      <c r="R224" s="40">
        <f>3987071.69/10000</f>
        <v>398.707169</v>
      </c>
      <c r="S224" s="40">
        <f>11014875.62/10000</f>
        <v>1101.487562</v>
      </c>
      <c r="T224" s="43">
        <f>(R223-S223)/S223</f>
        <v>3.65968302706356</v>
      </c>
      <c r="U224" s="28" t="e">
        <f>R223/#REF!</f>
        <v>#REF!</v>
      </c>
      <c r="V224" s="28" t="e">
        <f>S223/#REF!</f>
        <v>#REF!</v>
      </c>
    </row>
    <row r="225" ht="19" customHeight="1" spans="1:22">
      <c r="A225" s="18" t="s">
        <v>326</v>
      </c>
      <c r="B225" s="19">
        <f>SUM(B226:B329)</f>
        <v>403965</v>
      </c>
      <c r="C225" s="19">
        <f>SUM(C226:C329)</f>
        <v>464577</v>
      </c>
      <c r="D225" s="20">
        <f t="shared" si="27"/>
        <v>-0.130467070044363</v>
      </c>
      <c r="E225" s="18">
        <f>SUM(E226:E329)</f>
        <v>1250</v>
      </c>
      <c r="F225" s="34">
        <f t="shared" si="25"/>
        <v>323.172</v>
      </c>
      <c r="G225" s="21">
        <f>AVERAGEA(G226:G329)</f>
        <v>0.956686956521739</v>
      </c>
      <c r="H225" s="22">
        <f>AVERAGEA(H226:H329)</f>
        <v>10.8264130434783</v>
      </c>
      <c r="I225" s="19">
        <f>SUM(I226:I329)</f>
        <v>177129</v>
      </c>
      <c r="J225" s="19">
        <f>SUM(J226:J329)</f>
        <v>265814</v>
      </c>
      <c r="K225" s="23">
        <f t="shared" si="32"/>
        <v>-0.33363554967007</v>
      </c>
      <c r="L225" s="19">
        <f>SUM(L226:L329)</f>
        <v>30654</v>
      </c>
      <c r="M225" s="19">
        <f>SUM(M226:M329)</f>
        <v>40561</v>
      </c>
      <c r="N225" s="23">
        <f t="shared" si="28"/>
        <v>-0.244249402135056</v>
      </c>
      <c r="O225" s="24">
        <f t="shared" si="26"/>
        <v>0.173060311976017</v>
      </c>
      <c r="P225" s="24">
        <f t="shared" si="29"/>
        <v>0.152591661838729</v>
      </c>
      <c r="Q225" s="25">
        <f t="shared" si="30"/>
        <v>0.134140030265356</v>
      </c>
      <c r="R225" s="44">
        <f>SUM(R226:R329)</f>
        <v>10704.208592</v>
      </c>
      <c r="S225" s="45">
        <f>SUM(S226:S329)</f>
        <v>11333.49413</v>
      </c>
      <c r="T225" s="23">
        <f t="shared" ref="T225:T288" si="33">(R225-S225)/S225</f>
        <v>-0.0555244067523949</v>
      </c>
      <c r="U225" s="24" t="e">
        <f>R225/#REF!</f>
        <v>#REF!</v>
      </c>
      <c r="V225" s="28" t="e">
        <f>S225/#REF!</f>
        <v>#REF!</v>
      </c>
    </row>
    <row r="226" ht="19" customHeight="1" spans="1:22">
      <c r="A226" s="29">
        <v>45962</v>
      </c>
      <c r="B226" s="7">
        <v>6459</v>
      </c>
      <c r="C226" s="7">
        <v>12561</v>
      </c>
      <c r="D226" s="20">
        <f t="shared" si="27"/>
        <v>-0.485789347981849</v>
      </c>
      <c r="E226" s="37">
        <v>28</v>
      </c>
      <c r="F226" s="35">
        <f t="shared" si="25"/>
        <v>230.678571428571</v>
      </c>
      <c r="G226" s="31">
        <v>0.9575</v>
      </c>
      <c r="H226" s="7">
        <v>10.03</v>
      </c>
      <c r="I226" s="38">
        <v>2988</v>
      </c>
      <c r="J226" s="38">
        <v>7185</v>
      </c>
      <c r="K226" s="23">
        <f t="shared" si="32"/>
        <v>-0.584133611691023</v>
      </c>
      <c r="L226" s="39">
        <v>596</v>
      </c>
      <c r="M226" s="39">
        <v>1502</v>
      </c>
      <c r="N226" s="23">
        <f t="shared" si="28"/>
        <v>-0.603195739014647</v>
      </c>
      <c r="O226" s="23">
        <f t="shared" si="26"/>
        <v>0.19946452476573</v>
      </c>
      <c r="P226" s="23">
        <f t="shared" si="29"/>
        <v>0.209046624913013</v>
      </c>
      <c r="Q226" s="25">
        <f t="shared" si="30"/>
        <v>-0.0458371435141345</v>
      </c>
      <c r="R226" s="40">
        <f>2597242.35/10000</f>
        <v>259.724235</v>
      </c>
      <c r="S226" s="40">
        <f>4234425.25/10000</f>
        <v>423.442525</v>
      </c>
      <c r="T226" s="23">
        <f t="shared" si="33"/>
        <v>-0.386636391798391</v>
      </c>
      <c r="U226" s="28" t="e">
        <f>R226/#REF!</f>
        <v>#REF!</v>
      </c>
      <c r="V226" s="28" t="e">
        <f>S226/#REF!</f>
        <v>#REF!</v>
      </c>
    </row>
    <row r="227" ht="19" customHeight="1" spans="1:22">
      <c r="A227" s="29">
        <v>45963</v>
      </c>
      <c r="B227" s="7">
        <v>5446</v>
      </c>
      <c r="C227" s="7">
        <v>9126</v>
      </c>
      <c r="D227" s="20">
        <f t="shared" si="27"/>
        <v>-0.403243480166557</v>
      </c>
      <c r="E227" s="37">
        <v>31</v>
      </c>
      <c r="F227" s="35">
        <f t="shared" ref="F227:F290" si="34">B227/E227</f>
        <v>175.677419354839</v>
      </c>
      <c r="G227" s="31">
        <v>0.9672</v>
      </c>
      <c r="H227" s="7">
        <v>9.99</v>
      </c>
      <c r="I227" s="38">
        <v>2265</v>
      </c>
      <c r="J227" s="38">
        <v>5253</v>
      </c>
      <c r="K227" s="23">
        <f t="shared" si="32"/>
        <v>-0.568817818389492</v>
      </c>
      <c r="L227" s="39">
        <v>264</v>
      </c>
      <c r="M227" s="39">
        <v>855</v>
      </c>
      <c r="N227" s="23">
        <f t="shared" si="28"/>
        <v>-0.691228070175439</v>
      </c>
      <c r="O227" s="23">
        <f t="shared" si="26"/>
        <v>0.116556291390728</v>
      </c>
      <c r="P227" s="23">
        <f t="shared" si="29"/>
        <v>0.162764134780126</v>
      </c>
      <c r="Q227" s="25">
        <f t="shared" si="30"/>
        <v>-0.283894504473106</v>
      </c>
      <c r="R227" s="40">
        <f>1083143.61/10000</f>
        <v>108.314361</v>
      </c>
      <c r="S227" s="40">
        <f>2676091.28/10000</f>
        <v>267.609128</v>
      </c>
      <c r="T227" s="23">
        <f t="shared" si="33"/>
        <v>-0.595251620116635</v>
      </c>
      <c r="U227" s="28" t="e">
        <f>R227/#REF!</f>
        <v>#REF!</v>
      </c>
      <c r="V227" s="28" t="e">
        <f>S227/#REF!</f>
        <v>#REF!</v>
      </c>
    </row>
    <row r="228" ht="19" customHeight="1" spans="1:22">
      <c r="A228" s="29">
        <v>45964</v>
      </c>
      <c r="B228" s="7">
        <v>5834</v>
      </c>
      <c r="C228" s="7">
        <v>9355</v>
      </c>
      <c r="D228" s="20">
        <f t="shared" si="27"/>
        <v>-0.376376269374666</v>
      </c>
      <c r="E228" s="37">
        <v>31</v>
      </c>
      <c r="F228" s="35">
        <f t="shared" si="34"/>
        <v>188.193548387097</v>
      </c>
      <c r="G228" s="31">
        <v>0.9603</v>
      </c>
      <c r="H228" s="7">
        <v>11.27</v>
      </c>
      <c r="I228" s="38">
        <v>2576</v>
      </c>
      <c r="J228" s="38">
        <v>5563</v>
      </c>
      <c r="K228" s="23">
        <f t="shared" si="32"/>
        <v>-0.536940499730361</v>
      </c>
      <c r="L228" s="39">
        <v>334</v>
      </c>
      <c r="M228" s="39">
        <v>775</v>
      </c>
      <c r="N228" s="23">
        <f t="shared" si="28"/>
        <v>-0.569032258064516</v>
      </c>
      <c r="O228" s="23">
        <f t="shared" si="26"/>
        <v>0.129658385093168</v>
      </c>
      <c r="P228" s="23">
        <f t="shared" si="29"/>
        <v>0.139313320150998</v>
      </c>
      <c r="Q228" s="25">
        <f t="shared" si="30"/>
        <v>-0.0693037467441373</v>
      </c>
      <c r="R228" s="40">
        <f>1344251.08/10000</f>
        <v>134.425108</v>
      </c>
      <c r="S228" s="40">
        <f>2342510.68/10000</f>
        <v>234.251068</v>
      </c>
      <c r="T228" s="23">
        <f t="shared" si="33"/>
        <v>-0.426149433820298</v>
      </c>
      <c r="U228" s="28" t="e">
        <f>R228/#REF!</f>
        <v>#REF!</v>
      </c>
      <c r="V228" s="28" t="e">
        <f>S228/#REF!</f>
        <v>#REF!</v>
      </c>
    </row>
    <row r="229" ht="19" customHeight="1" spans="1:22">
      <c r="A229" s="29">
        <v>45965</v>
      </c>
      <c r="B229" s="7">
        <v>5784</v>
      </c>
      <c r="C229" s="7">
        <v>8765</v>
      </c>
      <c r="D229" s="20">
        <f t="shared" si="27"/>
        <v>-0.340102681118083</v>
      </c>
      <c r="E229" s="37">
        <v>32</v>
      </c>
      <c r="F229" s="35">
        <f t="shared" si="34"/>
        <v>180.75</v>
      </c>
      <c r="G229" s="31">
        <v>0.9693</v>
      </c>
      <c r="H229" s="7">
        <v>10.53</v>
      </c>
      <c r="I229" s="38">
        <v>2554</v>
      </c>
      <c r="J229" s="38">
        <v>5045</v>
      </c>
      <c r="K229" s="23">
        <f t="shared" si="32"/>
        <v>-0.493756194251734</v>
      </c>
      <c r="L229" s="39">
        <v>367</v>
      </c>
      <c r="M229" s="39">
        <v>724</v>
      </c>
      <c r="N229" s="23">
        <f t="shared" si="28"/>
        <v>-0.493093922651934</v>
      </c>
      <c r="O229" s="23">
        <f t="shared" si="26"/>
        <v>0.143696162881754</v>
      </c>
      <c r="P229" s="23">
        <f t="shared" si="29"/>
        <v>0.143508424182359</v>
      </c>
      <c r="Q229" s="25">
        <f t="shared" si="30"/>
        <v>0.00130820682106206</v>
      </c>
      <c r="R229" s="40">
        <f>1419769.35/10000</f>
        <v>141.976935</v>
      </c>
      <c r="S229" s="40">
        <f>2237294.35/10000</f>
        <v>223.729435</v>
      </c>
      <c r="T229" s="23">
        <f t="shared" si="33"/>
        <v>-0.365407886539382</v>
      </c>
      <c r="U229" s="28" t="e">
        <f>R229/#REF!</f>
        <v>#REF!</v>
      </c>
      <c r="V229" s="28" t="e">
        <f>S229/#REF!</f>
        <v>#REF!</v>
      </c>
    </row>
    <row r="230" ht="19" customHeight="1" spans="1:22">
      <c r="A230" s="29">
        <v>45966</v>
      </c>
      <c r="B230" s="7">
        <v>6018</v>
      </c>
      <c r="C230" s="7">
        <v>8355</v>
      </c>
      <c r="D230" s="20">
        <f t="shared" si="27"/>
        <v>-0.279712746858169</v>
      </c>
      <c r="E230" s="37">
        <v>32</v>
      </c>
      <c r="F230" s="35">
        <f t="shared" si="34"/>
        <v>188.0625</v>
      </c>
      <c r="G230" s="31">
        <v>0.9704</v>
      </c>
      <c r="H230" s="7">
        <v>10.42</v>
      </c>
      <c r="I230" s="38">
        <v>2656</v>
      </c>
      <c r="J230" s="38">
        <v>4800</v>
      </c>
      <c r="K230" s="23">
        <f t="shared" si="32"/>
        <v>-0.446666666666667</v>
      </c>
      <c r="L230" s="39">
        <v>426</v>
      </c>
      <c r="M230" s="39">
        <v>701</v>
      </c>
      <c r="N230" s="23">
        <f t="shared" si="28"/>
        <v>-0.392296718972896</v>
      </c>
      <c r="O230" s="23">
        <f t="shared" si="26"/>
        <v>0.16039156626506</v>
      </c>
      <c r="P230" s="23">
        <f t="shared" si="29"/>
        <v>0.146041666666667</v>
      </c>
      <c r="Q230" s="25">
        <f t="shared" si="30"/>
        <v>0.0982589416152468</v>
      </c>
      <c r="R230" s="40">
        <f>1632490.1/10000</f>
        <v>163.24901</v>
      </c>
      <c r="S230" s="40">
        <f>2199278.47/10000</f>
        <v>219.927847</v>
      </c>
      <c r="T230" s="23">
        <f t="shared" si="33"/>
        <v>-0.257715599789416</v>
      </c>
      <c r="U230" s="28" t="e">
        <f>R230/#REF!</f>
        <v>#REF!</v>
      </c>
      <c r="V230" s="28" t="e">
        <f>S230/#REF!</f>
        <v>#REF!</v>
      </c>
    </row>
    <row r="231" ht="19" customHeight="1" spans="1:22">
      <c r="A231" s="29">
        <v>45967</v>
      </c>
      <c r="B231" s="7">
        <v>6342</v>
      </c>
      <c r="C231" s="7">
        <v>6944</v>
      </c>
      <c r="D231" s="20">
        <f t="shared" si="27"/>
        <v>-0.0866935483870968</v>
      </c>
      <c r="E231" s="37">
        <v>30</v>
      </c>
      <c r="F231" s="35">
        <f t="shared" si="34"/>
        <v>211.4</v>
      </c>
      <c r="G231" s="31">
        <v>0.9512</v>
      </c>
      <c r="H231" s="7">
        <v>11.02</v>
      </c>
      <c r="I231" s="38">
        <v>2739</v>
      </c>
      <c r="J231" s="38">
        <v>4042</v>
      </c>
      <c r="K231" s="23">
        <f t="shared" si="32"/>
        <v>-0.322365165759525</v>
      </c>
      <c r="L231" s="39">
        <v>502</v>
      </c>
      <c r="M231" s="39">
        <v>661</v>
      </c>
      <c r="N231" s="23">
        <f t="shared" si="28"/>
        <v>-0.24054462934947</v>
      </c>
      <c r="O231" s="23">
        <f t="shared" si="26"/>
        <v>0.183278568820738</v>
      </c>
      <c r="P231" s="23">
        <f t="shared" si="29"/>
        <v>0.163532904502721</v>
      </c>
      <c r="Q231" s="25">
        <f t="shared" si="30"/>
        <v>0.120744289218492</v>
      </c>
      <c r="R231" s="40">
        <f>2215106.11/10000</f>
        <v>221.510611</v>
      </c>
      <c r="S231" s="40">
        <f>2014130.03/10000</f>
        <v>201.413003</v>
      </c>
      <c r="T231" s="23">
        <f t="shared" si="33"/>
        <v>0.0997830711058909</v>
      </c>
      <c r="U231" s="28" t="e">
        <f>R231/#REF!</f>
        <v>#REF!</v>
      </c>
      <c r="V231" s="28" t="e">
        <f>S231/#REF!</f>
        <v>#REF!</v>
      </c>
    </row>
    <row r="232" ht="19" customHeight="1" spans="1:22">
      <c r="A232" s="29">
        <v>45968</v>
      </c>
      <c r="B232" s="7">
        <v>5930</v>
      </c>
      <c r="C232" s="7">
        <v>7539</v>
      </c>
      <c r="D232" s="20">
        <f t="shared" si="27"/>
        <v>-0.213423530972277</v>
      </c>
      <c r="E232" s="37">
        <v>35</v>
      </c>
      <c r="F232" s="35">
        <f t="shared" si="34"/>
        <v>169.428571428571</v>
      </c>
      <c r="G232" s="31">
        <v>0.9547</v>
      </c>
      <c r="H232" s="7">
        <v>10.62</v>
      </c>
      <c r="I232" s="38">
        <v>2580</v>
      </c>
      <c r="J232" s="38">
        <v>4494</v>
      </c>
      <c r="K232" s="23">
        <f t="shared" si="32"/>
        <v>-0.425901201602136</v>
      </c>
      <c r="L232" s="39">
        <v>496</v>
      </c>
      <c r="M232" s="39">
        <v>646</v>
      </c>
      <c r="N232" s="23">
        <f t="shared" si="28"/>
        <v>-0.232198142414861</v>
      </c>
      <c r="O232" s="23">
        <f t="shared" si="26"/>
        <v>0.192248062015504</v>
      </c>
      <c r="P232" s="23">
        <f t="shared" si="29"/>
        <v>0.143747218513574</v>
      </c>
      <c r="Q232" s="25">
        <f t="shared" si="30"/>
        <v>0.337403700770395</v>
      </c>
      <c r="R232" s="40">
        <f>2191713.18/10000</f>
        <v>219.171318</v>
      </c>
      <c r="S232" s="40">
        <f>1937102.1/10000</f>
        <v>193.71021</v>
      </c>
      <c r="T232" s="23">
        <f t="shared" si="33"/>
        <v>0.131439163686829</v>
      </c>
      <c r="U232" s="28" t="e">
        <f>R232/#REF!</f>
        <v>#REF!</v>
      </c>
      <c r="V232" s="28" t="e">
        <f>S232/#REF!</f>
        <v>#REF!</v>
      </c>
    </row>
    <row r="233" ht="19" customHeight="1" spans="1:22">
      <c r="A233" s="29">
        <v>45969</v>
      </c>
      <c r="B233" s="7">
        <v>5798</v>
      </c>
      <c r="C233" s="7">
        <v>7463</v>
      </c>
      <c r="D233" s="20">
        <f t="shared" si="27"/>
        <v>-0.22310062977355</v>
      </c>
      <c r="E233" s="37">
        <v>39</v>
      </c>
      <c r="F233" s="35">
        <f t="shared" si="34"/>
        <v>148.666666666667</v>
      </c>
      <c r="G233" s="31">
        <v>0.9457</v>
      </c>
      <c r="H233" s="7">
        <v>10.84</v>
      </c>
      <c r="I233" s="38">
        <v>2845</v>
      </c>
      <c r="J233" s="38">
        <v>4776</v>
      </c>
      <c r="K233" s="23">
        <f t="shared" si="32"/>
        <v>-0.404313232830821</v>
      </c>
      <c r="L233" s="39">
        <v>588</v>
      </c>
      <c r="M233" s="39">
        <v>863</v>
      </c>
      <c r="N233" s="23">
        <f t="shared" si="28"/>
        <v>-0.318655851680185</v>
      </c>
      <c r="O233" s="23">
        <f t="shared" si="26"/>
        <v>0.206678383128295</v>
      </c>
      <c r="P233" s="23">
        <f t="shared" si="29"/>
        <v>0.180695142378559</v>
      </c>
      <c r="Q233" s="25">
        <f t="shared" si="30"/>
        <v>0.143796011379765</v>
      </c>
      <c r="R233" s="40">
        <f>2607351.07/10000</f>
        <v>260.735107</v>
      </c>
      <c r="S233" s="40">
        <f>1713093.85/10000</f>
        <v>171.309385</v>
      </c>
      <c r="T233" s="23">
        <f t="shared" si="33"/>
        <v>0.522012976697103</v>
      </c>
      <c r="U233" s="28" t="e">
        <f>R233/#REF!</f>
        <v>#REF!</v>
      </c>
      <c r="V233" s="28" t="e">
        <f>S233/#REF!</f>
        <v>#REF!</v>
      </c>
    </row>
    <row r="234" ht="19" customHeight="1" spans="1:22">
      <c r="A234" s="29">
        <v>45970</v>
      </c>
      <c r="B234" s="7">
        <v>17332</v>
      </c>
      <c r="C234" s="7">
        <v>12984</v>
      </c>
      <c r="D234" s="20">
        <f t="shared" si="27"/>
        <v>0.334873690696242</v>
      </c>
      <c r="E234" s="37">
        <v>63</v>
      </c>
      <c r="F234" s="35">
        <f t="shared" si="34"/>
        <v>275.111111111111</v>
      </c>
      <c r="G234" s="31">
        <v>0.9483</v>
      </c>
      <c r="H234" s="7">
        <v>12.77</v>
      </c>
      <c r="I234" s="38">
        <v>7196</v>
      </c>
      <c r="J234" s="38">
        <v>8298</v>
      </c>
      <c r="K234" s="23">
        <f t="shared" si="32"/>
        <v>-0.132803085080742</v>
      </c>
      <c r="L234" s="39">
        <v>3546</v>
      </c>
      <c r="M234" s="39">
        <v>2100</v>
      </c>
      <c r="N234" s="23">
        <f t="shared" si="28"/>
        <v>0.688571428571429</v>
      </c>
      <c r="O234" s="23">
        <f t="shared" si="26"/>
        <v>0.492773763201779</v>
      </c>
      <c r="P234" s="23">
        <f t="shared" si="29"/>
        <v>0.253073029645698</v>
      </c>
      <c r="Q234" s="25">
        <f t="shared" si="30"/>
        <v>0.947160327165887</v>
      </c>
      <c r="R234" s="40">
        <f>8686297.93/10000</f>
        <v>868.629793</v>
      </c>
      <c r="S234" s="40">
        <f>4648120.27/10000</f>
        <v>464.812027</v>
      </c>
      <c r="T234" s="23">
        <f t="shared" si="33"/>
        <v>0.868776500053859</v>
      </c>
      <c r="U234" s="28" t="e">
        <f>R234/#REF!</f>
        <v>#REF!</v>
      </c>
      <c r="V234" s="28" t="e">
        <f>S234/#REF!</f>
        <v>#REF!</v>
      </c>
    </row>
    <row r="235" ht="19" customHeight="1" spans="1:22">
      <c r="A235" s="29">
        <v>45971</v>
      </c>
      <c r="B235" s="7">
        <v>11790</v>
      </c>
      <c r="C235" s="7">
        <v>17238</v>
      </c>
      <c r="D235" s="20">
        <f t="shared" si="27"/>
        <v>-0.316045945005221</v>
      </c>
      <c r="E235" s="37" t="s">
        <v>1</v>
      </c>
      <c r="F235" s="35" t="e">
        <f t="shared" si="34"/>
        <v>#VALUE!</v>
      </c>
      <c r="G235" s="31">
        <v>0.9644</v>
      </c>
      <c r="H235" s="7">
        <v>10.65</v>
      </c>
      <c r="I235" s="38">
        <v>5151</v>
      </c>
      <c r="J235" s="38">
        <v>11757</v>
      </c>
      <c r="K235" s="23">
        <f t="shared" si="32"/>
        <v>-0.561878030109722</v>
      </c>
      <c r="L235" s="39">
        <v>1457</v>
      </c>
      <c r="M235" s="39">
        <v>3550</v>
      </c>
      <c r="N235" s="23">
        <f t="shared" si="28"/>
        <v>-0.589577464788732</v>
      </c>
      <c r="O235" s="23">
        <f t="shared" si="26"/>
        <v>0.282857697534459</v>
      </c>
      <c r="P235" s="23">
        <f t="shared" si="29"/>
        <v>0.301947775793145</v>
      </c>
      <c r="Q235" s="25">
        <f t="shared" si="30"/>
        <v>-0.0632231127006664</v>
      </c>
      <c r="R235" s="40">
        <f>6506995.51/10000</f>
        <v>650.699551</v>
      </c>
      <c r="S235" s="40">
        <f>7829652.97/10000</f>
        <v>782.965297</v>
      </c>
      <c r="T235" s="23">
        <f t="shared" si="33"/>
        <v>-0.168929257154548</v>
      </c>
      <c r="U235" s="28" t="e">
        <f>R235/#REF!</f>
        <v>#REF!</v>
      </c>
      <c r="V235" s="28" t="e">
        <f>S235/#REF!</f>
        <v>#REF!</v>
      </c>
    </row>
    <row r="236" ht="19" customHeight="1" spans="1:22">
      <c r="A236" s="29">
        <v>45972</v>
      </c>
      <c r="B236" s="7">
        <v>15306</v>
      </c>
      <c r="C236" s="7">
        <v>21752</v>
      </c>
      <c r="D236" s="20">
        <f t="shared" si="27"/>
        <v>-0.2963405663847</v>
      </c>
      <c r="E236" s="37" t="s">
        <v>1</v>
      </c>
      <c r="F236" s="35" t="e">
        <f t="shared" si="34"/>
        <v>#VALUE!</v>
      </c>
      <c r="G236" s="31">
        <v>0.9634</v>
      </c>
      <c r="H236" s="7">
        <v>11.33</v>
      </c>
      <c r="I236" s="38">
        <v>7204</v>
      </c>
      <c r="J236" s="38">
        <v>14246</v>
      </c>
      <c r="K236" s="23">
        <f t="shared" si="32"/>
        <v>-0.494314193457813</v>
      </c>
      <c r="L236" s="39">
        <v>3133</v>
      </c>
      <c r="M236" s="39">
        <v>4978</v>
      </c>
      <c r="N236" s="23">
        <f t="shared" si="28"/>
        <v>-0.370630775411812</v>
      </c>
      <c r="O236" s="23">
        <f t="shared" si="26"/>
        <v>0.434897279289284</v>
      </c>
      <c r="P236" s="23">
        <f t="shared" si="29"/>
        <v>0.349431419345781</v>
      </c>
      <c r="Q236" s="25">
        <f t="shared" si="30"/>
        <v>0.244585504370257</v>
      </c>
      <c r="R236" s="40">
        <f>14162814.9/10000</f>
        <v>1416.28149</v>
      </c>
      <c r="S236" s="40">
        <f>10938472.96/10000</f>
        <v>1093.847296</v>
      </c>
      <c r="T236" s="23">
        <f t="shared" si="33"/>
        <v>0.294770755643026</v>
      </c>
      <c r="U236" s="28" t="e">
        <f>R236/#REF!</f>
        <v>#REF!</v>
      </c>
      <c r="V236" s="28" t="e">
        <f>S236/#REF!</f>
        <v>#REF!</v>
      </c>
    </row>
    <row r="237" ht="19" customHeight="1" spans="1:22">
      <c r="A237" s="29">
        <v>45973</v>
      </c>
      <c r="B237" s="7">
        <v>5520</v>
      </c>
      <c r="C237" s="7">
        <v>7539</v>
      </c>
      <c r="D237" s="20">
        <f t="shared" si="27"/>
        <v>-0.267807401512137</v>
      </c>
      <c r="E237" s="37" t="s">
        <v>1</v>
      </c>
      <c r="F237" s="35" t="e">
        <f t="shared" si="34"/>
        <v>#VALUE!</v>
      </c>
      <c r="G237" s="31">
        <v>0.9597</v>
      </c>
      <c r="H237" s="7">
        <v>10.83</v>
      </c>
      <c r="I237" s="38">
        <v>1764</v>
      </c>
      <c r="J237" s="38">
        <v>3440</v>
      </c>
      <c r="K237" s="23">
        <f t="shared" si="32"/>
        <v>-0.487209302325581</v>
      </c>
      <c r="L237" s="39">
        <v>231</v>
      </c>
      <c r="M237" s="39">
        <v>387</v>
      </c>
      <c r="N237" s="23">
        <f t="shared" si="28"/>
        <v>-0.403100775193798</v>
      </c>
      <c r="O237" s="23">
        <f t="shared" si="26"/>
        <v>0.130952380952381</v>
      </c>
      <c r="P237" s="23">
        <f t="shared" si="29"/>
        <v>0.1125</v>
      </c>
      <c r="Q237" s="25">
        <f t="shared" si="30"/>
        <v>0.164021164021164</v>
      </c>
      <c r="R237" s="40">
        <f>960137.68/10000</f>
        <v>96.013768</v>
      </c>
      <c r="S237" s="40">
        <f>1199997.74/10000</f>
        <v>119.999774</v>
      </c>
      <c r="T237" s="23">
        <f t="shared" si="33"/>
        <v>-0.199883759781081</v>
      </c>
      <c r="U237" s="28" t="e">
        <f>R237/#REF!</f>
        <v>#REF!</v>
      </c>
      <c r="V237" s="28" t="e">
        <f>S237/#REF!</f>
        <v>#REF!</v>
      </c>
    </row>
    <row r="238" ht="19" customHeight="1" spans="1:22">
      <c r="A238" s="29">
        <v>45974</v>
      </c>
      <c r="B238" s="7">
        <v>4363</v>
      </c>
      <c r="C238" s="7">
        <v>5788</v>
      </c>
      <c r="D238" s="20">
        <f t="shared" si="27"/>
        <v>-0.246199032480995</v>
      </c>
      <c r="E238" s="37">
        <v>13</v>
      </c>
      <c r="F238" s="35">
        <f t="shared" si="34"/>
        <v>335.615384615385</v>
      </c>
      <c r="G238" s="31">
        <v>0.9676</v>
      </c>
      <c r="H238" s="7">
        <v>12.44</v>
      </c>
      <c r="I238" s="46">
        <v>1445</v>
      </c>
      <c r="J238" s="38">
        <v>2690</v>
      </c>
      <c r="K238" s="23">
        <f t="shared" si="32"/>
        <v>-0.462825278810409</v>
      </c>
      <c r="L238" s="46">
        <v>173</v>
      </c>
      <c r="M238" s="46">
        <v>308</v>
      </c>
      <c r="N238" s="23">
        <f t="shared" si="28"/>
        <v>-0.438311688311688</v>
      </c>
      <c r="O238" s="23">
        <f t="shared" ref="O238:O301" si="35">L238/I238</f>
        <v>0.119723183391003</v>
      </c>
      <c r="P238" s="23">
        <f t="shared" si="29"/>
        <v>0.114498141263941</v>
      </c>
      <c r="Q238" s="25">
        <f t="shared" si="30"/>
        <v>0.045634296499344</v>
      </c>
      <c r="R238" s="47">
        <f>730481.53/10000</f>
        <v>73.048153</v>
      </c>
      <c r="S238" s="47">
        <f>954061.57/10000</f>
        <v>95.406157</v>
      </c>
      <c r="T238" s="23">
        <f t="shared" si="33"/>
        <v>-0.234345504556902</v>
      </c>
      <c r="U238" s="28" t="e">
        <f>R238/#REF!</f>
        <v>#REF!</v>
      </c>
      <c r="V238" s="28" t="e">
        <f>S238/#REF!</f>
        <v>#REF!</v>
      </c>
    </row>
    <row r="239" ht="19" customHeight="1" spans="1:22">
      <c r="A239" s="29">
        <v>45975</v>
      </c>
      <c r="B239" s="7">
        <v>4199</v>
      </c>
      <c r="C239" s="7">
        <v>5178</v>
      </c>
      <c r="D239" s="20">
        <f t="shared" si="27"/>
        <v>-0.189069138663577</v>
      </c>
      <c r="E239" s="37">
        <v>13</v>
      </c>
      <c r="F239" s="35">
        <f t="shared" si="34"/>
        <v>323</v>
      </c>
      <c r="G239" s="31">
        <v>0.9483</v>
      </c>
      <c r="H239" s="48">
        <v>11.6</v>
      </c>
      <c r="I239" s="46">
        <v>1367</v>
      </c>
      <c r="J239" s="46">
        <v>2345</v>
      </c>
      <c r="K239" s="23">
        <f t="shared" si="32"/>
        <v>-0.417057569296375</v>
      </c>
      <c r="L239" s="46">
        <v>186</v>
      </c>
      <c r="M239" s="46">
        <v>233</v>
      </c>
      <c r="N239" s="23">
        <f t="shared" si="28"/>
        <v>-0.201716738197425</v>
      </c>
      <c r="O239" s="23">
        <f t="shared" si="35"/>
        <v>0.136064374542794</v>
      </c>
      <c r="P239" s="23">
        <f t="shared" si="29"/>
        <v>0.0993603411513859</v>
      </c>
      <c r="Q239" s="25">
        <f t="shared" si="30"/>
        <v>0.369403254518683</v>
      </c>
      <c r="R239" s="49">
        <f>777493.06/10000</f>
        <v>77.749306</v>
      </c>
      <c r="S239" s="49">
        <f>791741.08/10000</f>
        <v>79.174108</v>
      </c>
      <c r="T239" s="23">
        <f t="shared" si="33"/>
        <v>-0.017995807417243</v>
      </c>
      <c r="U239" s="28" t="e">
        <f>R239/#REF!</f>
        <v>#REF!</v>
      </c>
      <c r="V239" s="28" t="e">
        <f>S239/#REF!</f>
        <v>#REF!</v>
      </c>
    </row>
    <row r="240" ht="19" customHeight="1" spans="1:22">
      <c r="A240" s="29">
        <v>45976</v>
      </c>
      <c r="B240" s="7">
        <v>3715</v>
      </c>
      <c r="C240" s="7">
        <v>5000</v>
      </c>
      <c r="D240" s="20">
        <f t="shared" si="27"/>
        <v>-0.257</v>
      </c>
      <c r="E240" s="37">
        <v>13</v>
      </c>
      <c r="F240" s="35">
        <f t="shared" si="34"/>
        <v>285.769230769231</v>
      </c>
      <c r="G240" s="31">
        <v>0.9838</v>
      </c>
      <c r="H240" s="7">
        <v>12.46</v>
      </c>
      <c r="I240" s="46">
        <v>1081</v>
      </c>
      <c r="J240" s="46">
        <v>2293</v>
      </c>
      <c r="K240" s="23">
        <f t="shared" si="32"/>
        <v>-0.528565198430004</v>
      </c>
      <c r="L240" s="46">
        <v>79</v>
      </c>
      <c r="M240" s="46">
        <v>200</v>
      </c>
      <c r="N240" s="23">
        <f t="shared" si="28"/>
        <v>-0.605</v>
      </c>
      <c r="O240" s="23">
        <f t="shared" si="35"/>
        <v>0.0730804810360777</v>
      </c>
      <c r="P240" s="23">
        <f t="shared" si="29"/>
        <v>0.0872219799389446</v>
      </c>
      <c r="Q240" s="25">
        <f t="shared" si="30"/>
        <v>-0.162132284921369</v>
      </c>
      <c r="R240" s="40">
        <f>352444.73/10000</f>
        <v>35.244473</v>
      </c>
      <c r="S240" s="40">
        <f>609777.67/10000</f>
        <v>60.977767</v>
      </c>
      <c r="T240" s="23">
        <f t="shared" si="33"/>
        <v>-0.422011091354001</v>
      </c>
      <c r="U240" s="28" t="e">
        <f>R240/#REF!</f>
        <v>#REF!</v>
      </c>
      <c r="V240" s="28" t="e">
        <f>S240/#REF!</f>
        <v>#REF!</v>
      </c>
    </row>
    <row r="241" ht="19" customHeight="1" spans="1:22">
      <c r="A241" s="29">
        <v>45977</v>
      </c>
      <c r="B241" s="7">
        <v>3868</v>
      </c>
      <c r="C241" s="7">
        <v>5555</v>
      </c>
      <c r="D241" s="20">
        <f t="shared" si="27"/>
        <v>-0.303690369036904</v>
      </c>
      <c r="E241" s="37">
        <v>10</v>
      </c>
      <c r="F241" s="35">
        <f t="shared" si="34"/>
        <v>386.8</v>
      </c>
      <c r="G241" s="31">
        <v>0.9553</v>
      </c>
      <c r="H241" s="7">
        <v>12.77</v>
      </c>
      <c r="I241" s="46">
        <v>1231</v>
      </c>
      <c r="J241" s="46">
        <v>2569</v>
      </c>
      <c r="K241" s="23">
        <f t="shared" si="32"/>
        <v>-0.520825223822499</v>
      </c>
      <c r="L241" s="46">
        <v>86</v>
      </c>
      <c r="M241" s="46">
        <v>267</v>
      </c>
      <c r="N241" s="23">
        <f t="shared" si="28"/>
        <v>-0.677902621722846</v>
      </c>
      <c r="O241" s="23">
        <f t="shared" si="35"/>
        <v>0.0698619008935824</v>
      </c>
      <c r="P241" s="23">
        <f t="shared" si="29"/>
        <v>0.103931490852472</v>
      </c>
      <c r="Q241" s="25">
        <f t="shared" si="30"/>
        <v>-0.327808152076356</v>
      </c>
      <c r="R241" s="40">
        <f>366649.17/10000</f>
        <v>36.664917</v>
      </c>
      <c r="S241" s="40">
        <f>863621.6/10000</f>
        <v>86.36216</v>
      </c>
      <c r="T241" s="23">
        <f t="shared" si="33"/>
        <v>-0.575451598246269</v>
      </c>
      <c r="U241" s="28" t="e">
        <f>R241/#REF!</f>
        <v>#REF!</v>
      </c>
      <c r="V241" s="28" t="e">
        <f>S241/#REF!</f>
        <v>#REF!</v>
      </c>
    </row>
    <row r="242" ht="19" customHeight="1" spans="1:22">
      <c r="A242" s="29">
        <v>45978</v>
      </c>
      <c r="B242" s="7">
        <v>3851</v>
      </c>
      <c r="C242" s="7">
        <v>5437</v>
      </c>
      <c r="D242" s="20">
        <f t="shared" si="27"/>
        <v>-0.291704984366379</v>
      </c>
      <c r="E242" s="37">
        <v>10</v>
      </c>
      <c r="F242" s="35">
        <f t="shared" si="34"/>
        <v>385.1</v>
      </c>
      <c r="G242" s="31">
        <v>0.9528</v>
      </c>
      <c r="H242" s="7">
        <v>12.22</v>
      </c>
      <c r="I242" s="38">
        <v>1442</v>
      </c>
      <c r="J242" s="38">
        <v>2612</v>
      </c>
      <c r="K242" s="23">
        <f t="shared" si="32"/>
        <v>-0.447932618683002</v>
      </c>
      <c r="L242" s="39">
        <v>98</v>
      </c>
      <c r="M242" s="39">
        <v>260</v>
      </c>
      <c r="N242" s="23">
        <f t="shared" si="28"/>
        <v>-0.623076923076923</v>
      </c>
      <c r="O242" s="23">
        <f t="shared" si="35"/>
        <v>0.0679611650485437</v>
      </c>
      <c r="P242" s="23">
        <f t="shared" si="29"/>
        <v>0.0995405819295559</v>
      </c>
      <c r="Q242" s="25">
        <f t="shared" si="30"/>
        <v>-0.317251680358477</v>
      </c>
      <c r="R242" s="40">
        <f>397186.35/10000</f>
        <v>39.718635</v>
      </c>
      <c r="S242" s="40">
        <f>887529.08/10000</f>
        <v>88.752908</v>
      </c>
      <c r="T242" s="23">
        <f t="shared" si="33"/>
        <v>-0.552480748011096</v>
      </c>
      <c r="U242" s="28" t="e">
        <f>R242/#REF!</f>
        <v>#REF!</v>
      </c>
      <c r="V242" s="28" t="e">
        <f>S242/#REF!</f>
        <v>#REF!</v>
      </c>
    </row>
    <row r="243" ht="19" customHeight="1" spans="1:22">
      <c r="A243" s="29">
        <v>45979</v>
      </c>
      <c r="B243" s="7">
        <v>3948</v>
      </c>
      <c r="C243" s="7">
        <v>5481</v>
      </c>
      <c r="D243" s="20">
        <f t="shared" si="27"/>
        <v>-0.279693486590038</v>
      </c>
      <c r="E243" s="37">
        <v>9</v>
      </c>
      <c r="F243" s="35">
        <f t="shared" si="34"/>
        <v>438.666666666667</v>
      </c>
      <c r="G243" s="31">
        <v>0.9714</v>
      </c>
      <c r="H243" s="7">
        <v>10.92</v>
      </c>
      <c r="I243" s="38">
        <v>1427</v>
      </c>
      <c r="J243" s="38">
        <v>2714</v>
      </c>
      <c r="K243" s="23">
        <f t="shared" si="32"/>
        <v>-0.474207811348563</v>
      </c>
      <c r="L243" s="39">
        <v>106</v>
      </c>
      <c r="M243" s="39">
        <v>289</v>
      </c>
      <c r="N243" s="23">
        <f t="shared" si="28"/>
        <v>-0.633217993079585</v>
      </c>
      <c r="O243" s="23">
        <f t="shared" si="35"/>
        <v>0.074281709880869</v>
      </c>
      <c r="P243" s="23">
        <f t="shared" si="29"/>
        <v>0.106484893146647</v>
      </c>
      <c r="Q243" s="25">
        <f t="shared" si="30"/>
        <v>-0.302420205478621</v>
      </c>
      <c r="R243" s="40">
        <f>434657.82/10000</f>
        <v>43.465782</v>
      </c>
      <c r="S243" s="40">
        <f>972378.58/10000</f>
        <v>97.237858</v>
      </c>
      <c r="T243" s="23">
        <f t="shared" si="33"/>
        <v>-0.552995274741655</v>
      </c>
      <c r="U243" s="28" t="e">
        <f>R243/#REF!</f>
        <v>#REF!</v>
      </c>
      <c r="V243" s="28" t="e">
        <f>S243/#REF!</f>
        <v>#REF!</v>
      </c>
    </row>
    <row r="244" ht="19" customHeight="1" spans="1:22">
      <c r="A244" s="29">
        <v>45980</v>
      </c>
      <c r="B244" s="50">
        <v>3707</v>
      </c>
      <c r="C244" s="50">
        <v>5093</v>
      </c>
      <c r="D244" s="20">
        <f t="shared" si="27"/>
        <v>-0.272138228941685</v>
      </c>
      <c r="E244" s="37">
        <v>9</v>
      </c>
      <c r="F244" s="35">
        <f t="shared" si="34"/>
        <v>411.888888888889</v>
      </c>
      <c r="G244" s="31">
        <v>0.9561</v>
      </c>
      <c r="H244" s="50">
        <v>12.86</v>
      </c>
      <c r="I244" s="38">
        <v>1293</v>
      </c>
      <c r="J244" s="38">
        <v>2580</v>
      </c>
      <c r="K244" s="23">
        <f t="shared" si="32"/>
        <v>-0.498837209302326</v>
      </c>
      <c r="L244" s="39">
        <v>104</v>
      </c>
      <c r="M244" s="39">
        <v>288</v>
      </c>
      <c r="N244" s="23">
        <f t="shared" si="28"/>
        <v>-0.638888888888889</v>
      </c>
      <c r="O244" s="23">
        <f t="shared" si="35"/>
        <v>0.0804331013147719</v>
      </c>
      <c r="P244" s="23">
        <f t="shared" si="29"/>
        <v>0.111627906976744</v>
      </c>
      <c r="Q244" s="25">
        <f t="shared" si="30"/>
        <v>-0.279453467388501</v>
      </c>
      <c r="R244" s="40">
        <f>431260.39/10000</f>
        <v>43.126039</v>
      </c>
      <c r="S244" s="40">
        <f>896461.77/10000</f>
        <v>89.646177</v>
      </c>
      <c r="T244" s="23">
        <f t="shared" si="33"/>
        <v>-0.518930528403905</v>
      </c>
      <c r="U244" s="28" t="e">
        <f>R244/#REF!</f>
        <v>#REF!</v>
      </c>
      <c r="V244" s="28" t="e">
        <f>S244/#REF!</f>
        <v>#REF!</v>
      </c>
    </row>
    <row r="245" ht="19" customHeight="1" spans="1:22">
      <c r="A245" s="29">
        <v>45981</v>
      </c>
      <c r="B245" s="7">
        <v>3420</v>
      </c>
      <c r="C245" s="7">
        <v>4578</v>
      </c>
      <c r="D245" s="20">
        <f t="shared" si="27"/>
        <v>-0.252948885976409</v>
      </c>
      <c r="E245" s="37">
        <v>8</v>
      </c>
      <c r="F245" s="35">
        <f t="shared" si="34"/>
        <v>427.5</v>
      </c>
      <c r="G245" s="31">
        <v>0.9583</v>
      </c>
      <c r="H245" s="7">
        <v>11.58</v>
      </c>
      <c r="I245" s="51">
        <v>1309</v>
      </c>
      <c r="J245" s="51">
        <v>2385</v>
      </c>
      <c r="K245" s="23">
        <f t="shared" si="32"/>
        <v>-0.451153039832285</v>
      </c>
      <c r="L245" s="51">
        <v>135</v>
      </c>
      <c r="M245" s="51">
        <v>293</v>
      </c>
      <c r="N245" s="23">
        <f t="shared" si="28"/>
        <v>-0.539249146757679</v>
      </c>
      <c r="O245" s="23">
        <f t="shared" si="35"/>
        <v>0.103132161955691</v>
      </c>
      <c r="P245" s="23">
        <f t="shared" si="29"/>
        <v>0.122851153039832</v>
      </c>
      <c r="Q245" s="25">
        <f t="shared" si="30"/>
        <v>-0.160511241418688</v>
      </c>
      <c r="R245" s="40">
        <v>53.24</v>
      </c>
      <c r="S245" s="40">
        <v>91.45</v>
      </c>
      <c r="T245" s="23">
        <f t="shared" si="33"/>
        <v>-0.417823947512302</v>
      </c>
      <c r="U245" s="28" t="e">
        <f>R245/#REF!</f>
        <v>#REF!</v>
      </c>
      <c r="V245" s="28" t="e">
        <f>S245/#REF!</f>
        <v>#REF!</v>
      </c>
    </row>
    <row r="246" ht="19" customHeight="1" spans="1:22">
      <c r="A246" s="29">
        <v>45982</v>
      </c>
      <c r="B246" s="7">
        <v>3333</v>
      </c>
      <c r="C246" s="7">
        <v>4518</v>
      </c>
      <c r="D246" s="20">
        <f t="shared" si="27"/>
        <v>-0.262284196547145</v>
      </c>
      <c r="E246" s="37">
        <v>8</v>
      </c>
      <c r="F246" s="35">
        <f t="shared" si="34"/>
        <v>416.625</v>
      </c>
      <c r="G246" s="31">
        <v>0.9495</v>
      </c>
      <c r="H246" s="7">
        <v>10.32</v>
      </c>
      <c r="I246" s="52">
        <v>1303</v>
      </c>
      <c r="J246" s="52">
        <v>2317</v>
      </c>
      <c r="K246" s="23">
        <f t="shared" si="32"/>
        <v>-0.43763487268019</v>
      </c>
      <c r="L246" s="52">
        <v>118</v>
      </c>
      <c r="M246" s="52">
        <v>268</v>
      </c>
      <c r="N246" s="23">
        <f t="shared" si="28"/>
        <v>-0.559701492537313</v>
      </c>
      <c r="O246" s="23">
        <f t="shared" si="35"/>
        <v>0.0905602455871067</v>
      </c>
      <c r="P246" s="23">
        <f t="shared" si="29"/>
        <v>0.115666810530859</v>
      </c>
      <c r="Q246" s="25">
        <f t="shared" si="30"/>
        <v>-0.217059369308485</v>
      </c>
      <c r="R246" s="40">
        <v>48.07</v>
      </c>
      <c r="S246" s="40">
        <v>81.31</v>
      </c>
      <c r="T246" s="23">
        <f t="shared" si="33"/>
        <v>-0.408805804944041</v>
      </c>
      <c r="U246" s="28" t="e">
        <f>R246/#REF!</f>
        <v>#REF!</v>
      </c>
      <c r="V246" s="28" t="e">
        <f>S246/#REF!</f>
        <v>#REF!</v>
      </c>
    </row>
    <row r="247" ht="19" customHeight="1" spans="1:22">
      <c r="A247" s="29">
        <v>45983</v>
      </c>
      <c r="B247" s="7">
        <v>3450</v>
      </c>
      <c r="C247" s="7">
        <v>4013</v>
      </c>
      <c r="D247" s="20">
        <f t="shared" si="27"/>
        <v>-0.140294044355844</v>
      </c>
      <c r="E247" s="37">
        <v>8</v>
      </c>
      <c r="F247" s="35">
        <f t="shared" si="34"/>
        <v>431.25</v>
      </c>
      <c r="G247" s="31">
        <v>0.9524</v>
      </c>
      <c r="H247" s="7">
        <v>11.33</v>
      </c>
      <c r="I247" s="52">
        <v>1298</v>
      </c>
      <c r="J247" s="52">
        <v>2096</v>
      </c>
      <c r="K247" s="23">
        <f t="shared" si="32"/>
        <v>-0.380725190839695</v>
      </c>
      <c r="L247" s="52">
        <v>119</v>
      </c>
      <c r="M247" s="52">
        <v>251</v>
      </c>
      <c r="N247" s="23">
        <f t="shared" si="28"/>
        <v>-0.525896414342629</v>
      </c>
      <c r="O247" s="23">
        <f t="shared" si="35"/>
        <v>0.0916795069337442</v>
      </c>
      <c r="P247" s="23">
        <f t="shared" si="29"/>
        <v>0.119751908396947</v>
      </c>
      <c r="Q247" s="25">
        <f t="shared" si="30"/>
        <v>-0.234421328553278</v>
      </c>
      <c r="R247" s="40">
        <v>51.56</v>
      </c>
      <c r="S247" s="40">
        <v>77.48</v>
      </c>
      <c r="T247" s="23">
        <f t="shared" si="33"/>
        <v>-0.3345379452762</v>
      </c>
      <c r="U247" s="28"/>
      <c r="V247" s="28"/>
    </row>
    <row r="248" ht="19" customHeight="1" spans="1:22">
      <c r="A248" s="29">
        <v>45984</v>
      </c>
      <c r="B248" s="7">
        <v>3136</v>
      </c>
      <c r="C248" s="7">
        <v>4748</v>
      </c>
      <c r="D248" s="20">
        <f t="shared" si="27"/>
        <v>-0.339511373209773</v>
      </c>
      <c r="E248" s="37">
        <v>9</v>
      </c>
      <c r="F248" s="35">
        <f t="shared" si="34"/>
        <v>348.444444444444</v>
      </c>
      <c r="G248" s="31">
        <v>0.977</v>
      </c>
      <c r="H248" s="7">
        <v>10.29</v>
      </c>
      <c r="I248" s="52">
        <v>1305</v>
      </c>
      <c r="J248" s="52">
        <v>2501</v>
      </c>
      <c r="K248" s="23">
        <f t="shared" si="32"/>
        <v>-0.478208716513395</v>
      </c>
      <c r="L248" s="52">
        <v>102</v>
      </c>
      <c r="M248" s="52">
        <v>303</v>
      </c>
      <c r="N248" s="23">
        <f t="shared" si="28"/>
        <v>-0.663366336633663</v>
      </c>
      <c r="O248" s="23">
        <f t="shared" si="35"/>
        <v>0.0781609195402299</v>
      </c>
      <c r="P248" s="23">
        <f t="shared" si="29"/>
        <v>0.121151539384246</v>
      </c>
      <c r="Q248" s="25">
        <f t="shared" si="30"/>
        <v>-0.354849967755395</v>
      </c>
      <c r="R248" s="40">
        <v>46.11</v>
      </c>
      <c r="S248" s="40">
        <v>89.31</v>
      </c>
      <c r="T248" s="23">
        <f t="shared" si="33"/>
        <v>-0.483708431306685</v>
      </c>
      <c r="U248" s="28"/>
      <c r="V248" s="28"/>
    </row>
    <row r="249" ht="19" customHeight="1" spans="1:22">
      <c r="A249" s="29">
        <v>45985</v>
      </c>
      <c r="B249" s="7">
        <v>3348</v>
      </c>
      <c r="C249" s="7">
        <v>4981</v>
      </c>
      <c r="D249" s="20">
        <f t="shared" si="27"/>
        <v>-0.327845814093556</v>
      </c>
      <c r="E249" s="37">
        <v>8</v>
      </c>
      <c r="F249" s="35">
        <f t="shared" si="34"/>
        <v>418.5</v>
      </c>
      <c r="G249" s="31">
        <v>0.9497</v>
      </c>
      <c r="H249" s="7">
        <v>13.74</v>
      </c>
      <c r="I249" s="52">
        <v>1319</v>
      </c>
      <c r="J249" s="52">
        <v>2567</v>
      </c>
      <c r="K249" s="23">
        <f t="shared" si="32"/>
        <v>-0.486170627191274</v>
      </c>
      <c r="L249" s="52">
        <v>103</v>
      </c>
      <c r="M249" s="52">
        <v>333</v>
      </c>
      <c r="N249" s="23">
        <f t="shared" si="28"/>
        <v>-0.690690690690691</v>
      </c>
      <c r="O249" s="23">
        <f t="shared" si="35"/>
        <v>0.0780894617134193</v>
      </c>
      <c r="P249" s="23">
        <f t="shared" si="29"/>
        <v>0.129723412543825</v>
      </c>
      <c r="Q249" s="25">
        <f t="shared" si="30"/>
        <v>-0.398031086431387</v>
      </c>
      <c r="R249" s="40">
        <v>40.49</v>
      </c>
      <c r="S249" s="40">
        <v>98.52</v>
      </c>
      <c r="T249" s="23">
        <f t="shared" si="33"/>
        <v>-0.589017458384084</v>
      </c>
      <c r="U249" s="28"/>
      <c r="V249" s="28"/>
    </row>
    <row r="250" ht="19" customHeight="1" spans="1:22">
      <c r="A250" s="29">
        <v>45986</v>
      </c>
      <c r="B250" s="7">
        <v>2885</v>
      </c>
      <c r="C250" s="7">
        <v>5146</v>
      </c>
      <c r="D250" s="20">
        <f t="shared" si="27"/>
        <v>-0.439370384764866</v>
      </c>
      <c r="E250" s="37">
        <v>9</v>
      </c>
      <c r="F250" s="35">
        <f t="shared" si="34"/>
        <v>320.555555555556</v>
      </c>
      <c r="G250" s="31">
        <v>0.977</v>
      </c>
      <c r="H250" s="7">
        <v>9.66</v>
      </c>
      <c r="I250" s="52">
        <v>1116</v>
      </c>
      <c r="J250" s="52">
        <v>2714</v>
      </c>
      <c r="K250" s="23">
        <f t="shared" si="32"/>
        <v>-0.588798820928519</v>
      </c>
      <c r="L250" s="52">
        <v>106</v>
      </c>
      <c r="M250" s="52">
        <v>299</v>
      </c>
      <c r="N250" s="23">
        <f t="shared" si="28"/>
        <v>-0.645484949832776</v>
      </c>
      <c r="O250" s="23">
        <f t="shared" si="35"/>
        <v>0.0949820788530466</v>
      </c>
      <c r="P250" s="23">
        <f t="shared" si="29"/>
        <v>0.110169491525424</v>
      </c>
      <c r="Q250" s="25">
        <f t="shared" si="30"/>
        <v>-0.137854976564656</v>
      </c>
      <c r="R250" s="53">
        <v>34.64</v>
      </c>
      <c r="S250" s="40">
        <v>91.81</v>
      </c>
      <c r="T250" s="23">
        <f t="shared" si="33"/>
        <v>-0.622699052390807</v>
      </c>
      <c r="U250" s="28"/>
      <c r="V250" s="28"/>
    </row>
    <row r="251" ht="19" customHeight="1" spans="1:22">
      <c r="A251" s="29">
        <v>45987</v>
      </c>
      <c r="B251" s="7">
        <v>3130</v>
      </c>
      <c r="C251" s="7">
        <v>4942</v>
      </c>
      <c r="D251" s="20">
        <f t="shared" si="27"/>
        <v>-0.366653176851477</v>
      </c>
      <c r="E251" s="37">
        <v>9</v>
      </c>
      <c r="F251" s="35">
        <f t="shared" si="34"/>
        <v>347.777777777778</v>
      </c>
      <c r="G251" s="31">
        <v>0.945</v>
      </c>
      <c r="H251" s="7">
        <v>9.6</v>
      </c>
      <c r="I251" s="52">
        <v>0</v>
      </c>
      <c r="J251" s="52">
        <v>2621</v>
      </c>
      <c r="K251" s="23">
        <f t="shared" si="32"/>
        <v>-1</v>
      </c>
      <c r="L251" s="52">
        <v>0</v>
      </c>
      <c r="M251" s="52">
        <v>265</v>
      </c>
      <c r="N251" s="23">
        <f t="shared" si="28"/>
        <v>-1</v>
      </c>
      <c r="O251" s="23" t="e">
        <f t="shared" si="35"/>
        <v>#DIV/0!</v>
      </c>
      <c r="P251" s="23">
        <f t="shared" si="29"/>
        <v>0.101106447920641</v>
      </c>
      <c r="Q251" s="25" t="e">
        <f t="shared" si="30"/>
        <v>#DIV/0!</v>
      </c>
      <c r="R251" s="53">
        <v>41.78</v>
      </c>
      <c r="S251" s="40">
        <v>88.84</v>
      </c>
      <c r="T251" s="23">
        <f t="shared" si="33"/>
        <v>-0.529716343989194</v>
      </c>
      <c r="U251" s="28"/>
      <c r="V251" s="28"/>
    </row>
    <row r="252" ht="19" customHeight="1" spans="1:22">
      <c r="A252" s="29">
        <v>45988</v>
      </c>
      <c r="B252" s="7">
        <v>3279</v>
      </c>
      <c r="C252" s="7">
        <v>4932</v>
      </c>
      <c r="D252" s="20">
        <f t="shared" si="27"/>
        <v>-0.335158150851582</v>
      </c>
      <c r="E252" s="37">
        <v>9</v>
      </c>
      <c r="F252" s="35">
        <f t="shared" si="34"/>
        <v>364.333333333333</v>
      </c>
      <c r="G252" s="31">
        <v>0.9657</v>
      </c>
      <c r="H252" s="7">
        <v>9.99</v>
      </c>
      <c r="I252" s="52">
        <v>1306</v>
      </c>
      <c r="J252" s="52">
        <v>2475</v>
      </c>
      <c r="K252" s="23">
        <f t="shared" si="32"/>
        <v>-0.472323232323232</v>
      </c>
      <c r="L252" s="52">
        <v>121</v>
      </c>
      <c r="M252" s="52">
        <v>261</v>
      </c>
      <c r="N252" s="23">
        <f t="shared" si="28"/>
        <v>-0.53639846743295</v>
      </c>
      <c r="O252" s="23">
        <f t="shared" si="35"/>
        <v>0.0926493108728943</v>
      </c>
      <c r="P252" s="23">
        <f t="shared" si="29"/>
        <v>0.105454545454545</v>
      </c>
      <c r="Q252" s="25">
        <f t="shared" si="30"/>
        <v>-0.121428948619102</v>
      </c>
      <c r="R252" s="40">
        <v>42.26</v>
      </c>
      <c r="S252" s="40">
        <v>87.12</v>
      </c>
      <c r="T252" s="23">
        <f t="shared" si="33"/>
        <v>-0.514921946740129</v>
      </c>
      <c r="U252" s="28"/>
      <c r="V252" s="28"/>
    </row>
    <row r="253" ht="19" customHeight="1" spans="1:22">
      <c r="A253" s="29">
        <v>45989</v>
      </c>
      <c r="B253" s="7">
        <v>3172</v>
      </c>
      <c r="C253" s="7">
        <v>4896</v>
      </c>
      <c r="D253" s="20">
        <f t="shared" si="27"/>
        <v>-0.352124183006536</v>
      </c>
      <c r="E253" s="37">
        <v>9</v>
      </c>
      <c r="F253" s="35">
        <f t="shared" si="34"/>
        <v>352.444444444444</v>
      </c>
      <c r="G253" s="31">
        <v>0.9412</v>
      </c>
      <c r="H253" s="7">
        <v>10.74</v>
      </c>
      <c r="I253" s="52">
        <v>1252</v>
      </c>
      <c r="J253" s="52">
        <v>2537</v>
      </c>
      <c r="K253" s="23">
        <f t="shared" si="32"/>
        <v>-0.506503744580213</v>
      </c>
      <c r="L253" s="52">
        <v>124</v>
      </c>
      <c r="M253" s="52">
        <v>260</v>
      </c>
      <c r="N253" s="23">
        <f t="shared" si="28"/>
        <v>-0.523076923076923</v>
      </c>
      <c r="O253" s="23">
        <f t="shared" si="35"/>
        <v>0.0990415335463259</v>
      </c>
      <c r="P253" s="23">
        <f t="shared" si="29"/>
        <v>0.102483247930627</v>
      </c>
      <c r="Q253" s="25">
        <f t="shared" si="30"/>
        <v>-0.033583189972969</v>
      </c>
      <c r="R253" s="40">
        <v>39.7</v>
      </c>
      <c r="S253" s="40">
        <v>87.82</v>
      </c>
      <c r="T253" s="23">
        <f t="shared" si="33"/>
        <v>-0.547938966066955</v>
      </c>
      <c r="U253" s="28"/>
      <c r="V253" s="28"/>
    </row>
    <row r="254" ht="19" customHeight="1" spans="1:22">
      <c r="A254" s="29">
        <v>45990</v>
      </c>
      <c r="B254" s="7">
        <v>3111</v>
      </c>
      <c r="C254" s="7">
        <v>4709</v>
      </c>
      <c r="D254" s="20">
        <f t="shared" si="27"/>
        <v>-0.339350180505415</v>
      </c>
      <c r="E254" s="37">
        <v>9</v>
      </c>
      <c r="F254" s="35">
        <f t="shared" si="34"/>
        <v>345.666666666667</v>
      </c>
      <c r="G254" s="31">
        <v>0.9626</v>
      </c>
      <c r="H254" s="7">
        <v>10.78</v>
      </c>
      <c r="I254" s="52">
        <v>1213</v>
      </c>
      <c r="J254" s="52">
        <v>2547</v>
      </c>
      <c r="K254" s="23">
        <f t="shared" si="32"/>
        <v>-0.523753435414213</v>
      </c>
      <c r="L254" s="52">
        <v>106</v>
      </c>
      <c r="M254" s="52">
        <v>261</v>
      </c>
      <c r="N254" s="23">
        <f t="shared" si="28"/>
        <v>-0.593869731800766</v>
      </c>
      <c r="O254" s="23">
        <f t="shared" si="35"/>
        <v>0.0873866446826051</v>
      </c>
      <c r="P254" s="23">
        <f t="shared" si="29"/>
        <v>0.102473498233216</v>
      </c>
      <c r="Q254" s="25">
        <f t="shared" si="30"/>
        <v>-0.147226881200788</v>
      </c>
      <c r="R254" s="40">
        <v>32.41</v>
      </c>
      <c r="S254" s="40">
        <v>83.44</v>
      </c>
      <c r="T254" s="23">
        <f t="shared" si="33"/>
        <v>-0.611577181208054</v>
      </c>
      <c r="U254" s="28"/>
      <c r="V254" s="28"/>
    </row>
    <row r="255" ht="19" customHeight="1" spans="1:22">
      <c r="A255" s="29">
        <v>45991</v>
      </c>
      <c r="B255" s="7">
        <v>3041</v>
      </c>
      <c r="C255" s="7">
        <v>5419</v>
      </c>
      <c r="D255" s="20">
        <f t="shared" si="27"/>
        <v>-0.438826351725411</v>
      </c>
      <c r="E255" s="37">
        <v>9</v>
      </c>
      <c r="F255" s="35">
        <f t="shared" si="34"/>
        <v>337.888888888889</v>
      </c>
      <c r="G255" s="31">
        <v>0.959</v>
      </c>
      <c r="H255" s="7">
        <v>10.04</v>
      </c>
      <c r="I255" s="52">
        <v>1355</v>
      </c>
      <c r="J255" s="52">
        <v>2988</v>
      </c>
      <c r="K255" s="23">
        <f t="shared" si="32"/>
        <v>-0.546519410977242</v>
      </c>
      <c r="L255" s="52">
        <v>104</v>
      </c>
      <c r="M255" s="52">
        <v>429</v>
      </c>
      <c r="N255" s="23">
        <f t="shared" si="28"/>
        <v>-0.757575757575758</v>
      </c>
      <c r="O255" s="23">
        <f t="shared" si="35"/>
        <v>0.0767527675276753</v>
      </c>
      <c r="P255" s="23">
        <f t="shared" si="29"/>
        <v>0.143574297188755</v>
      </c>
      <c r="Q255" s="25">
        <f t="shared" si="30"/>
        <v>-0.465414290506541</v>
      </c>
      <c r="R255" s="40">
        <v>39.85</v>
      </c>
      <c r="S255" s="40">
        <v>142.06</v>
      </c>
      <c r="T255" s="23">
        <f t="shared" si="33"/>
        <v>-0.719484724764184</v>
      </c>
      <c r="U255" s="28"/>
      <c r="V255" s="28"/>
    </row>
    <row r="256" ht="19" customHeight="1" spans="1:22">
      <c r="A256" s="29">
        <v>45992</v>
      </c>
      <c r="B256" s="7">
        <v>3423</v>
      </c>
      <c r="C256" s="7">
        <v>5454</v>
      </c>
      <c r="D256" s="20">
        <f t="shared" si="27"/>
        <v>-0.372387238723872</v>
      </c>
      <c r="E256" s="37">
        <v>9</v>
      </c>
      <c r="F256" s="35">
        <f t="shared" si="34"/>
        <v>380.333333333333</v>
      </c>
      <c r="G256" s="31">
        <v>0.9451</v>
      </c>
      <c r="H256" s="7">
        <v>10.13</v>
      </c>
      <c r="I256" s="52">
        <v>1584</v>
      </c>
      <c r="J256" s="52">
        <v>2991</v>
      </c>
      <c r="K256" s="23">
        <f t="shared" si="32"/>
        <v>-0.470411233701103</v>
      </c>
      <c r="L256" s="52">
        <v>217</v>
      </c>
      <c r="M256" s="52">
        <v>355</v>
      </c>
      <c r="N256" s="23">
        <f t="shared" si="28"/>
        <v>-0.388732394366197</v>
      </c>
      <c r="O256" s="23">
        <f t="shared" si="35"/>
        <v>0.13699494949495</v>
      </c>
      <c r="P256" s="23">
        <f t="shared" si="29"/>
        <v>0.118689401537947</v>
      </c>
      <c r="Q256" s="25">
        <f t="shared" si="30"/>
        <v>0.154230687153224</v>
      </c>
      <c r="R256" s="40">
        <v>67.29</v>
      </c>
      <c r="S256" s="40">
        <v>116.09</v>
      </c>
      <c r="T256" s="23">
        <f t="shared" si="33"/>
        <v>-0.420363511068998</v>
      </c>
      <c r="U256" s="28"/>
      <c r="V256" s="28"/>
    </row>
    <row r="257" ht="19" customHeight="1" spans="1:22">
      <c r="A257" s="29">
        <v>45993</v>
      </c>
      <c r="B257" s="7">
        <v>3800</v>
      </c>
      <c r="C257" s="7">
        <v>5231</v>
      </c>
      <c r="D257" s="20">
        <f t="shared" si="27"/>
        <v>-0.2735614605238</v>
      </c>
      <c r="E257" s="37">
        <v>9</v>
      </c>
      <c r="F257" s="35">
        <f t="shared" si="34"/>
        <v>422.222222222222</v>
      </c>
      <c r="G257" s="31">
        <v>0.9654</v>
      </c>
      <c r="H257" s="7">
        <v>10.45</v>
      </c>
      <c r="I257" s="52">
        <v>1625</v>
      </c>
      <c r="J257" s="52">
        <v>2846</v>
      </c>
      <c r="K257" s="23">
        <f t="shared" si="32"/>
        <v>-0.429023190442727</v>
      </c>
      <c r="L257" s="52">
        <v>227</v>
      </c>
      <c r="M257" s="52">
        <v>319</v>
      </c>
      <c r="N257" s="23">
        <f t="shared" si="28"/>
        <v>-0.288401253918495</v>
      </c>
      <c r="O257" s="23">
        <f t="shared" si="35"/>
        <v>0.139692307692308</v>
      </c>
      <c r="P257" s="23">
        <f t="shared" si="29"/>
        <v>0.112087139845397</v>
      </c>
      <c r="Q257" s="25">
        <f t="shared" si="30"/>
        <v>0.246283096214131</v>
      </c>
      <c r="R257" s="40">
        <v>55.53</v>
      </c>
      <c r="S257" s="40">
        <v>105.83</v>
      </c>
      <c r="T257" s="23">
        <f t="shared" si="33"/>
        <v>-0.475290560332609</v>
      </c>
      <c r="U257" s="28"/>
      <c r="V257" s="28"/>
    </row>
    <row r="258" ht="19" customHeight="1" spans="1:22">
      <c r="A258" s="29">
        <v>45994</v>
      </c>
      <c r="B258" s="7">
        <v>3424</v>
      </c>
      <c r="C258" s="7">
        <v>4730</v>
      </c>
      <c r="D258" s="20">
        <f t="shared" si="27"/>
        <v>-0.276109936575053</v>
      </c>
      <c r="E258" s="37">
        <v>8</v>
      </c>
      <c r="F258" s="35">
        <f t="shared" si="34"/>
        <v>428</v>
      </c>
      <c r="G258" s="31">
        <v>0.9213</v>
      </c>
      <c r="H258" s="7">
        <v>10.22</v>
      </c>
      <c r="I258" s="52">
        <v>1565</v>
      </c>
      <c r="J258" s="52">
        <v>2743</v>
      </c>
      <c r="K258" s="23">
        <f t="shared" si="32"/>
        <v>-0.429456799125046</v>
      </c>
      <c r="L258" s="52">
        <v>150</v>
      </c>
      <c r="M258" s="52">
        <v>369</v>
      </c>
      <c r="N258" s="23">
        <f t="shared" si="28"/>
        <v>-0.59349593495935</v>
      </c>
      <c r="O258" s="23">
        <f t="shared" si="35"/>
        <v>0.0958466453674121</v>
      </c>
      <c r="P258" s="23">
        <f t="shared" si="29"/>
        <v>0.134524243528983</v>
      </c>
      <c r="Q258" s="25">
        <f t="shared" si="30"/>
        <v>-0.287513961401596</v>
      </c>
      <c r="R258" s="40">
        <v>55.27</v>
      </c>
      <c r="S258" s="40">
        <v>120.38</v>
      </c>
      <c r="T258" s="23">
        <f t="shared" si="33"/>
        <v>-0.540870576507725</v>
      </c>
      <c r="U258" s="28"/>
      <c r="V258" s="28"/>
    </row>
    <row r="259" ht="19" customHeight="1" spans="1:22">
      <c r="A259" s="29">
        <v>45995</v>
      </c>
      <c r="B259" s="7">
        <v>3772</v>
      </c>
      <c r="C259" s="7">
        <v>4971</v>
      </c>
      <c r="D259" s="20">
        <f t="shared" si="27"/>
        <v>-0.24119895393281</v>
      </c>
      <c r="E259" s="37">
        <v>11</v>
      </c>
      <c r="F259" s="35">
        <f t="shared" si="34"/>
        <v>342.909090909091</v>
      </c>
      <c r="G259" s="31">
        <v>0.9731</v>
      </c>
      <c r="H259" s="7">
        <v>10.61</v>
      </c>
      <c r="I259" s="52">
        <v>1592</v>
      </c>
      <c r="J259" s="52">
        <v>2727</v>
      </c>
      <c r="K259" s="23">
        <f t="shared" si="32"/>
        <v>-0.416208287495416</v>
      </c>
      <c r="L259" s="52">
        <v>157</v>
      </c>
      <c r="M259" s="52">
        <v>320</v>
      </c>
      <c r="N259" s="23">
        <f t="shared" si="28"/>
        <v>-0.509375</v>
      </c>
      <c r="O259" s="23">
        <f t="shared" si="35"/>
        <v>0.0986180904522613</v>
      </c>
      <c r="P259" s="23">
        <f t="shared" si="29"/>
        <v>0.117345067840117</v>
      </c>
      <c r="Q259" s="25">
        <f t="shared" si="30"/>
        <v>-0.159588960427133</v>
      </c>
      <c r="R259" s="40">
        <v>57.6</v>
      </c>
      <c r="S259" s="40">
        <v>106.21</v>
      </c>
      <c r="T259" s="23">
        <f t="shared" si="33"/>
        <v>-0.457678184728368</v>
      </c>
      <c r="U259" s="28"/>
      <c r="V259" s="28"/>
    </row>
    <row r="260" ht="19" customHeight="1" spans="1:22">
      <c r="A260" s="29">
        <v>45996</v>
      </c>
      <c r="B260" s="7">
        <v>3888</v>
      </c>
      <c r="C260" s="7">
        <v>4808</v>
      </c>
      <c r="D260" s="20">
        <f t="shared" ref="D260:D316" si="36">(B260-C260)/C260</f>
        <v>-0.19134775374376</v>
      </c>
      <c r="E260" s="37">
        <v>18</v>
      </c>
      <c r="F260" s="35">
        <f t="shared" si="34"/>
        <v>216</v>
      </c>
      <c r="G260" s="31">
        <v>0.9554</v>
      </c>
      <c r="H260" s="7">
        <v>10.33</v>
      </c>
      <c r="I260" s="52">
        <v>1917</v>
      </c>
      <c r="J260" s="52">
        <v>2799</v>
      </c>
      <c r="K260" s="23">
        <f t="shared" si="32"/>
        <v>-0.315112540192926</v>
      </c>
      <c r="L260" s="52">
        <v>430</v>
      </c>
      <c r="M260" s="52">
        <v>295</v>
      </c>
      <c r="N260" s="23">
        <f t="shared" ref="N260:N316" si="37">(L260-M260)/M260</f>
        <v>0.457627118644068</v>
      </c>
      <c r="O260" s="23">
        <f t="shared" si="35"/>
        <v>0.224308815858112</v>
      </c>
      <c r="P260" s="23">
        <f t="shared" ref="P260:P316" si="38">M260/J260</f>
        <v>0.105394783851375</v>
      </c>
      <c r="Q260" s="25">
        <f t="shared" ref="Q260:Q316" si="39">(O260-P260)/P260</f>
        <v>1.12827245961646</v>
      </c>
      <c r="R260" s="40">
        <v>175.73</v>
      </c>
      <c r="S260" s="40">
        <v>95.27</v>
      </c>
      <c r="T260" s="23">
        <f t="shared" si="33"/>
        <v>0.844547076729296</v>
      </c>
      <c r="U260" s="28"/>
      <c r="V260" s="28"/>
    </row>
    <row r="261" ht="19" customHeight="1" spans="1:22">
      <c r="A261" s="29">
        <v>45997</v>
      </c>
      <c r="B261" s="7">
        <v>3870</v>
      </c>
      <c r="C261" s="7">
        <v>4787</v>
      </c>
      <c r="D261" s="20">
        <f t="shared" si="36"/>
        <v>-0.191560476289952</v>
      </c>
      <c r="E261" s="37">
        <v>11</v>
      </c>
      <c r="F261" s="35">
        <f t="shared" si="34"/>
        <v>351.818181818182</v>
      </c>
      <c r="G261" s="31">
        <v>0.9609</v>
      </c>
      <c r="H261" s="7">
        <v>10.17</v>
      </c>
      <c r="I261" s="52">
        <v>1934</v>
      </c>
      <c r="J261" s="52">
        <v>2686</v>
      </c>
      <c r="K261" s="23">
        <f t="shared" si="32"/>
        <v>-0.279970215934475</v>
      </c>
      <c r="L261" s="52">
        <v>317</v>
      </c>
      <c r="M261" s="52">
        <v>308</v>
      </c>
      <c r="N261" s="23">
        <f t="shared" si="37"/>
        <v>0.0292207792207792</v>
      </c>
      <c r="O261" s="23">
        <f t="shared" si="35"/>
        <v>0.163908996897622</v>
      </c>
      <c r="P261" s="23">
        <f t="shared" si="38"/>
        <v>0.114668652271035</v>
      </c>
      <c r="Q261" s="25">
        <f t="shared" si="39"/>
        <v>0.429414174243548</v>
      </c>
      <c r="R261" s="40">
        <v>192.08</v>
      </c>
      <c r="S261" s="40">
        <v>98.69</v>
      </c>
      <c r="T261" s="23">
        <f t="shared" si="33"/>
        <v>0.946296483939609</v>
      </c>
      <c r="U261" s="28"/>
      <c r="V261" s="28"/>
    </row>
    <row r="262" ht="19" customHeight="1" spans="1:22">
      <c r="A262" s="29">
        <v>45998</v>
      </c>
      <c r="B262" s="7">
        <v>6628</v>
      </c>
      <c r="C262" s="7">
        <v>4939</v>
      </c>
      <c r="D262" s="20">
        <f t="shared" si="36"/>
        <v>0.34197205912128</v>
      </c>
      <c r="E262" s="37">
        <v>18</v>
      </c>
      <c r="F262" s="35">
        <f t="shared" si="34"/>
        <v>368.222222222222</v>
      </c>
      <c r="G262" s="31">
        <v>0.9524</v>
      </c>
      <c r="H262" s="7">
        <v>10.8</v>
      </c>
      <c r="I262" s="52">
        <v>2996</v>
      </c>
      <c r="J262" s="52">
        <v>2048</v>
      </c>
      <c r="K262" s="23">
        <f t="shared" si="32"/>
        <v>0.462890625</v>
      </c>
      <c r="L262" s="52">
        <v>1020</v>
      </c>
      <c r="M262" s="52">
        <v>472</v>
      </c>
      <c r="N262" s="23">
        <f t="shared" si="37"/>
        <v>1.16101694915254</v>
      </c>
      <c r="O262" s="23">
        <f t="shared" si="35"/>
        <v>0.34045393858478</v>
      </c>
      <c r="P262" s="23">
        <f t="shared" si="38"/>
        <v>0.23046875</v>
      </c>
      <c r="Q262" s="25">
        <f t="shared" si="39"/>
        <v>0.477223869113622</v>
      </c>
      <c r="R262" s="40">
        <v>240.95</v>
      </c>
      <c r="S262" s="40">
        <v>90.65</v>
      </c>
      <c r="T262" s="23">
        <f t="shared" si="33"/>
        <v>1.65802537231109</v>
      </c>
      <c r="U262" s="28"/>
      <c r="V262" s="28"/>
    </row>
    <row r="263" ht="19" customHeight="1" spans="1:22">
      <c r="A263" s="29">
        <v>45999</v>
      </c>
      <c r="B263" s="7">
        <v>5592</v>
      </c>
      <c r="C263" s="7">
        <v>5287</v>
      </c>
      <c r="D263" s="20">
        <f t="shared" si="36"/>
        <v>0.0576886703234348</v>
      </c>
      <c r="E263" s="37">
        <v>14</v>
      </c>
      <c r="F263" s="35">
        <f t="shared" si="34"/>
        <v>399.428571428571</v>
      </c>
      <c r="G263" s="31">
        <v>0.9651</v>
      </c>
      <c r="H263" s="7">
        <v>10.22</v>
      </c>
      <c r="I263" s="52">
        <v>2407</v>
      </c>
      <c r="J263" s="52">
        <v>3138</v>
      </c>
      <c r="K263" s="23">
        <f t="shared" si="32"/>
        <v>-0.232950924155513</v>
      </c>
      <c r="L263" s="52">
        <v>406</v>
      </c>
      <c r="M263" s="52">
        <v>297</v>
      </c>
      <c r="N263" s="23">
        <f t="shared" si="37"/>
        <v>0.367003367003367</v>
      </c>
      <c r="O263" s="23">
        <f t="shared" si="35"/>
        <v>0.168674698795181</v>
      </c>
      <c r="P263" s="23">
        <f t="shared" si="38"/>
        <v>0.0946462715105163</v>
      </c>
      <c r="Q263" s="25">
        <f t="shared" si="39"/>
        <v>0.782158938785448</v>
      </c>
      <c r="R263" s="40">
        <v>135.52</v>
      </c>
      <c r="S263" s="40">
        <v>97.38</v>
      </c>
      <c r="T263" s="23">
        <f t="shared" si="33"/>
        <v>0.391661532142124</v>
      </c>
      <c r="U263" s="28"/>
      <c r="V263" s="28"/>
    </row>
    <row r="264" ht="19" customHeight="1" spans="1:22">
      <c r="A264" s="29">
        <v>46000</v>
      </c>
      <c r="B264" s="7">
        <v>4517</v>
      </c>
      <c r="C264" s="7">
        <v>7585</v>
      </c>
      <c r="D264" s="20">
        <f t="shared" si="36"/>
        <v>-0.4044825313118</v>
      </c>
      <c r="E264" s="37">
        <v>12</v>
      </c>
      <c r="F264" s="35">
        <f t="shared" si="34"/>
        <v>376.416666666667</v>
      </c>
      <c r="G264" s="31">
        <v>0.9688</v>
      </c>
      <c r="H264" s="7">
        <v>9.37</v>
      </c>
      <c r="I264" s="52">
        <v>2128</v>
      </c>
      <c r="J264" s="52">
        <v>4638</v>
      </c>
      <c r="K264" s="23">
        <f t="shared" si="32"/>
        <v>-0.541181543768866</v>
      </c>
      <c r="L264" s="52">
        <v>307</v>
      </c>
      <c r="M264" s="52">
        <v>751</v>
      </c>
      <c r="N264" s="23">
        <f t="shared" si="37"/>
        <v>-0.59121171770972</v>
      </c>
      <c r="O264" s="23">
        <f t="shared" si="35"/>
        <v>0.144266917293233</v>
      </c>
      <c r="P264" s="23">
        <f t="shared" si="38"/>
        <v>0.161923242777059</v>
      </c>
      <c r="Q264" s="25">
        <f t="shared" si="39"/>
        <v>-0.109041328354175</v>
      </c>
      <c r="R264" s="40">
        <v>91.67</v>
      </c>
      <c r="S264" s="40">
        <v>250.24</v>
      </c>
      <c r="T264" s="23">
        <f t="shared" si="33"/>
        <v>-0.633671675191816</v>
      </c>
      <c r="U264" s="28"/>
      <c r="V264" s="28"/>
    </row>
    <row r="265" ht="19" customHeight="1" spans="1:22">
      <c r="A265" s="29">
        <v>46001</v>
      </c>
      <c r="B265" s="7">
        <v>4777</v>
      </c>
      <c r="C265" s="7">
        <v>6230</v>
      </c>
      <c r="D265" s="20">
        <f t="shared" si="36"/>
        <v>-0.23322632423756</v>
      </c>
      <c r="E265" s="37">
        <v>12</v>
      </c>
      <c r="F265" s="35">
        <f t="shared" si="34"/>
        <v>398.083333333333</v>
      </c>
      <c r="G265" s="31">
        <v>0.9591</v>
      </c>
      <c r="H265" s="7">
        <v>9.71</v>
      </c>
      <c r="I265" s="52">
        <v>2234</v>
      </c>
      <c r="J265" s="52">
        <v>3642</v>
      </c>
      <c r="K265" s="23">
        <f t="shared" si="32"/>
        <v>-0.386600768808347</v>
      </c>
      <c r="L265" s="52">
        <v>348</v>
      </c>
      <c r="M265" s="52">
        <v>476</v>
      </c>
      <c r="N265" s="23">
        <f t="shared" si="37"/>
        <v>-0.26890756302521</v>
      </c>
      <c r="O265" s="23">
        <f t="shared" si="35"/>
        <v>0.155774395702775</v>
      </c>
      <c r="P265" s="23">
        <f t="shared" si="38"/>
        <v>0.130697419000549</v>
      </c>
      <c r="Q265" s="25">
        <f t="shared" si="39"/>
        <v>0.191870481406526</v>
      </c>
      <c r="R265" s="40">
        <v>108.12</v>
      </c>
      <c r="S265" s="40">
        <v>155.08</v>
      </c>
      <c r="T265" s="23">
        <f t="shared" si="33"/>
        <v>-0.302811452153727</v>
      </c>
      <c r="U265" s="28"/>
      <c r="V265" s="28"/>
    </row>
    <row r="266" ht="19" customHeight="1" spans="1:22">
      <c r="A266" s="29">
        <v>46002</v>
      </c>
      <c r="B266" s="7">
        <v>5003</v>
      </c>
      <c r="C266" s="7">
        <v>7316</v>
      </c>
      <c r="D266" s="20">
        <f t="shared" si="36"/>
        <v>-0.316156369600875</v>
      </c>
      <c r="E266" s="37">
        <v>15</v>
      </c>
      <c r="F266" s="35">
        <f t="shared" si="34"/>
        <v>333.533333333333</v>
      </c>
      <c r="G266" s="31">
        <v>0.9508</v>
      </c>
      <c r="H266" s="7">
        <v>10.12</v>
      </c>
      <c r="I266" s="52">
        <v>2577</v>
      </c>
      <c r="J266" s="52">
        <v>4253</v>
      </c>
      <c r="K266" s="23">
        <f t="shared" si="32"/>
        <v>-0.394074770750059</v>
      </c>
      <c r="L266" s="52">
        <v>439</v>
      </c>
      <c r="M266" s="52">
        <v>683</v>
      </c>
      <c r="N266" s="23">
        <f t="shared" si="37"/>
        <v>-0.357247437774524</v>
      </c>
      <c r="O266" s="23">
        <f t="shared" si="35"/>
        <v>0.17035312378735</v>
      </c>
      <c r="P266" s="23">
        <f t="shared" si="38"/>
        <v>0.160592522924994</v>
      </c>
      <c r="Q266" s="25">
        <f t="shared" si="39"/>
        <v>0.0607786756480228</v>
      </c>
      <c r="R266" s="40">
        <v>157.81</v>
      </c>
      <c r="S266" s="40">
        <v>224.61</v>
      </c>
      <c r="T266" s="23">
        <f t="shared" si="33"/>
        <v>-0.297404389831263</v>
      </c>
      <c r="U266" s="28"/>
      <c r="V266" s="28"/>
    </row>
    <row r="267" ht="19" customHeight="1" spans="1:22">
      <c r="A267" s="29">
        <v>46003</v>
      </c>
      <c r="B267" s="7">
        <v>6003</v>
      </c>
      <c r="C267" s="7">
        <v>9359</v>
      </c>
      <c r="D267" s="20">
        <f t="shared" si="36"/>
        <v>-0.358585318944332</v>
      </c>
      <c r="E267" s="37">
        <v>16</v>
      </c>
      <c r="F267" s="35">
        <f t="shared" si="34"/>
        <v>375.1875</v>
      </c>
      <c r="G267" s="31">
        <v>0.9539</v>
      </c>
      <c r="H267" s="7">
        <v>9.87</v>
      </c>
      <c r="I267" s="52">
        <v>3150</v>
      </c>
      <c r="J267" s="52">
        <v>5668</v>
      </c>
      <c r="K267" s="23">
        <f t="shared" si="32"/>
        <v>-0.44424841213832</v>
      </c>
      <c r="L267" s="52">
        <v>805</v>
      </c>
      <c r="M267" s="52">
        <v>1070</v>
      </c>
      <c r="N267" s="23">
        <f t="shared" si="37"/>
        <v>-0.247663551401869</v>
      </c>
      <c r="O267" s="23">
        <f t="shared" si="35"/>
        <v>0.255555555555556</v>
      </c>
      <c r="P267" s="23">
        <f t="shared" si="38"/>
        <v>0.188779110797459</v>
      </c>
      <c r="Q267" s="25">
        <f t="shared" si="39"/>
        <v>0.35372793354102</v>
      </c>
      <c r="R267" s="40">
        <v>235.92</v>
      </c>
      <c r="S267" s="40">
        <v>355.99</v>
      </c>
      <c r="T267" s="23">
        <f t="shared" si="33"/>
        <v>-0.337284755189753</v>
      </c>
      <c r="U267" s="28"/>
      <c r="V267" s="28"/>
    </row>
    <row r="268" ht="19" customHeight="1" spans="1:22">
      <c r="A268" s="29">
        <v>46004</v>
      </c>
      <c r="B268" s="7">
        <v>4247</v>
      </c>
      <c r="C268" s="7">
        <v>5542</v>
      </c>
      <c r="D268" s="20">
        <f t="shared" si="36"/>
        <v>-0.233670155178636</v>
      </c>
      <c r="E268" s="37">
        <v>11</v>
      </c>
      <c r="F268" s="35">
        <f t="shared" si="34"/>
        <v>386.090909090909</v>
      </c>
      <c r="G268" s="31">
        <v>0.9595</v>
      </c>
      <c r="H268" s="7">
        <v>10.11</v>
      </c>
      <c r="I268" s="52">
        <v>1862</v>
      </c>
      <c r="J268" s="52">
        <v>3175</v>
      </c>
      <c r="K268" s="23">
        <f t="shared" si="32"/>
        <v>-0.413543307086614</v>
      </c>
      <c r="L268" s="52">
        <v>180</v>
      </c>
      <c r="M268" s="52">
        <v>253</v>
      </c>
      <c r="N268" s="23">
        <f t="shared" si="37"/>
        <v>-0.288537549407115</v>
      </c>
      <c r="O268" s="23">
        <f t="shared" si="35"/>
        <v>0.0966702470461869</v>
      </c>
      <c r="P268" s="23">
        <f t="shared" si="38"/>
        <v>0.0796850393700787</v>
      </c>
      <c r="Q268" s="25">
        <f t="shared" si="39"/>
        <v>0.213154286053926</v>
      </c>
      <c r="R268" s="40">
        <v>71.02</v>
      </c>
      <c r="S268" s="40">
        <v>83.91</v>
      </c>
      <c r="T268" s="23">
        <f t="shared" si="33"/>
        <v>-0.153616970563699</v>
      </c>
      <c r="U268" s="28"/>
      <c r="V268" s="28"/>
    </row>
    <row r="269" ht="19" customHeight="1" spans="1:22">
      <c r="A269" s="29">
        <v>46005</v>
      </c>
      <c r="B269" s="7">
        <v>4407</v>
      </c>
      <c r="C269" s="7">
        <v>5565</v>
      </c>
      <c r="D269" s="20">
        <f t="shared" si="36"/>
        <v>-0.208086253369272</v>
      </c>
      <c r="E269" s="37">
        <v>12</v>
      </c>
      <c r="F269" s="35">
        <f t="shared" si="34"/>
        <v>367.25</v>
      </c>
      <c r="G269" s="31">
        <v>0.9517</v>
      </c>
      <c r="H269" s="7">
        <v>10.98</v>
      </c>
      <c r="I269" s="52">
        <v>1936</v>
      </c>
      <c r="J269" s="52">
        <v>3200</v>
      </c>
      <c r="K269" s="23">
        <f t="shared" si="32"/>
        <v>-0.395</v>
      </c>
      <c r="L269" s="52">
        <v>229</v>
      </c>
      <c r="M269" s="52">
        <v>353</v>
      </c>
      <c r="N269" s="23">
        <f t="shared" si="37"/>
        <v>-0.351274787535411</v>
      </c>
      <c r="O269" s="23">
        <f t="shared" si="35"/>
        <v>0.118285123966942</v>
      </c>
      <c r="P269" s="23">
        <f t="shared" si="38"/>
        <v>0.1103125</v>
      </c>
      <c r="Q269" s="25">
        <f t="shared" si="39"/>
        <v>0.0722730784538653</v>
      </c>
      <c r="R269" s="40">
        <v>71.13</v>
      </c>
      <c r="S269" s="40">
        <v>116.79</v>
      </c>
      <c r="T269" s="23">
        <f t="shared" si="33"/>
        <v>-0.390958129976882</v>
      </c>
      <c r="U269" s="28"/>
      <c r="V269" s="28"/>
    </row>
    <row r="270" ht="19" customHeight="1" spans="1:22">
      <c r="A270" s="29">
        <v>46006</v>
      </c>
      <c r="B270" s="7">
        <v>4105</v>
      </c>
      <c r="C270" s="7">
        <v>5759</v>
      </c>
      <c r="D270" s="20">
        <f t="shared" si="36"/>
        <v>-0.287202639347109</v>
      </c>
      <c r="E270" s="37">
        <v>11</v>
      </c>
      <c r="F270" s="35">
        <f t="shared" si="34"/>
        <v>373.181818181818</v>
      </c>
      <c r="G270" s="31">
        <v>0.9597</v>
      </c>
      <c r="H270" s="7">
        <v>10.52</v>
      </c>
      <c r="I270" s="52">
        <v>1799</v>
      </c>
      <c r="J270" s="52">
        <v>3156</v>
      </c>
      <c r="K270" s="23">
        <f t="shared" ref="K270:K316" si="40">(I270-J270)/J270</f>
        <v>-0.429974651457541</v>
      </c>
      <c r="L270" s="52">
        <v>131</v>
      </c>
      <c r="M270" s="52">
        <v>283</v>
      </c>
      <c r="N270" s="23">
        <f t="shared" si="37"/>
        <v>-0.537102473498233</v>
      </c>
      <c r="O270" s="23">
        <f t="shared" si="35"/>
        <v>0.0728182323513063</v>
      </c>
      <c r="P270" s="23">
        <f t="shared" si="38"/>
        <v>0.0896704689480355</v>
      </c>
      <c r="Q270" s="25">
        <f t="shared" si="39"/>
        <v>-0.187935189750097</v>
      </c>
      <c r="R270" s="40">
        <v>48.35</v>
      </c>
      <c r="S270" s="40">
        <v>96.31</v>
      </c>
      <c r="T270" s="23">
        <f t="shared" si="33"/>
        <v>-0.497975288132074</v>
      </c>
      <c r="U270" s="28"/>
      <c r="V270" s="28"/>
    </row>
    <row r="271" ht="19" customHeight="1" spans="1:22">
      <c r="A271" s="29">
        <v>46007</v>
      </c>
      <c r="B271" s="7">
        <v>4168</v>
      </c>
      <c r="C271" s="7">
        <v>5486</v>
      </c>
      <c r="D271" s="20">
        <f t="shared" si="36"/>
        <v>-0.240247903755013</v>
      </c>
      <c r="E271" s="37">
        <v>11</v>
      </c>
      <c r="F271" s="35">
        <f t="shared" si="34"/>
        <v>378.909090909091</v>
      </c>
      <c r="G271" s="31">
        <v>0.95</v>
      </c>
      <c r="H271" s="7">
        <v>9.61</v>
      </c>
      <c r="I271" s="52">
        <v>2038</v>
      </c>
      <c r="J271" s="52">
        <v>3208</v>
      </c>
      <c r="K271" s="23">
        <f t="shared" si="40"/>
        <v>-0.364713216957606</v>
      </c>
      <c r="L271" s="52">
        <v>238</v>
      </c>
      <c r="M271" s="52">
        <v>344</v>
      </c>
      <c r="N271" s="23">
        <f t="shared" si="37"/>
        <v>-0.308139534883721</v>
      </c>
      <c r="O271" s="23">
        <f t="shared" si="35"/>
        <v>0.116781157998037</v>
      </c>
      <c r="P271" s="23">
        <f t="shared" si="38"/>
        <v>0.107231920199501</v>
      </c>
      <c r="Q271" s="25">
        <f t="shared" si="39"/>
        <v>0.0890521943537869</v>
      </c>
      <c r="R271" s="40">
        <v>117.97</v>
      </c>
      <c r="S271" s="40">
        <v>109.94</v>
      </c>
      <c r="T271" s="23">
        <f t="shared" si="33"/>
        <v>0.0730398399126796</v>
      </c>
      <c r="U271" s="28"/>
      <c r="V271" s="28"/>
    </row>
    <row r="272" ht="19" customHeight="1" spans="1:22">
      <c r="A272" s="29">
        <v>46008</v>
      </c>
      <c r="B272" s="7">
        <v>4712</v>
      </c>
      <c r="C272" s="7">
        <v>5227</v>
      </c>
      <c r="D272" s="20">
        <f t="shared" si="36"/>
        <v>-0.0985268796632868</v>
      </c>
      <c r="E272" s="37">
        <v>14</v>
      </c>
      <c r="F272" s="35">
        <f t="shared" si="34"/>
        <v>336.571428571429</v>
      </c>
      <c r="G272" s="31">
        <v>0.9688</v>
      </c>
      <c r="H272" s="7">
        <v>10.9</v>
      </c>
      <c r="I272" s="52">
        <v>2157</v>
      </c>
      <c r="J272" s="52">
        <v>3114</v>
      </c>
      <c r="K272" s="23">
        <f t="shared" si="40"/>
        <v>-0.307321772639692</v>
      </c>
      <c r="L272" s="52">
        <v>512</v>
      </c>
      <c r="M272" s="52">
        <v>337</v>
      </c>
      <c r="N272" s="23">
        <f t="shared" si="37"/>
        <v>0.519287833827893</v>
      </c>
      <c r="O272" s="23">
        <f t="shared" si="35"/>
        <v>0.237366713027353</v>
      </c>
      <c r="P272" s="23">
        <f t="shared" si="38"/>
        <v>0.108220937700706</v>
      </c>
      <c r="Q272" s="25">
        <f t="shared" si="39"/>
        <v>1.19335295064444</v>
      </c>
      <c r="R272" s="40">
        <v>135.34</v>
      </c>
      <c r="S272" s="40">
        <v>111.69</v>
      </c>
      <c r="T272" s="23">
        <f t="shared" si="33"/>
        <v>0.211746799176292</v>
      </c>
      <c r="U272" s="28"/>
      <c r="V272" s="28"/>
    </row>
    <row r="273" ht="19" customHeight="1" spans="1:22">
      <c r="A273" s="29">
        <v>46009</v>
      </c>
      <c r="B273" s="7">
        <v>3929</v>
      </c>
      <c r="C273" s="7">
        <v>4946</v>
      </c>
      <c r="D273" s="20">
        <f t="shared" si="36"/>
        <v>-0.205620703598868</v>
      </c>
      <c r="E273" s="37">
        <v>12</v>
      </c>
      <c r="F273" s="35">
        <f t="shared" si="34"/>
        <v>327.416666666667</v>
      </c>
      <c r="G273" s="31">
        <v>0.963</v>
      </c>
      <c r="H273" s="7">
        <v>10.42</v>
      </c>
      <c r="I273" s="52">
        <v>1704</v>
      </c>
      <c r="J273" s="52">
        <v>2931</v>
      </c>
      <c r="K273" s="23">
        <f t="shared" si="40"/>
        <v>-0.418628454452405</v>
      </c>
      <c r="L273" s="52">
        <v>221</v>
      </c>
      <c r="M273" s="52">
        <v>316</v>
      </c>
      <c r="N273" s="23">
        <f t="shared" si="37"/>
        <v>-0.300632911392405</v>
      </c>
      <c r="O273" s="23">
        <f t="shared" si="35"/>
        <v>0.129694835680751</v>
      </c>
      <c r="P273" s="23">
        <f t="shared" si="38"/>
        <v>0.107813033094507</v>
      </c>
      <c r="Q273" s="25">
        <f t="shared" si="39"/>
        <v>0.202960643608485</v>
      </c>
      <c r="R273" s="40">
        <v>68.68</v>
      </c>
      <c r="S273" s="40">
        <v>105</v>
      </c>
      <c r="T273" s="23">
        <f t="shared" si="33"/>
        <v>-0.345904761904762</v>
      </c>
      <c r="U273" s="28"/>
      <c r="V273" s="28"/>
    </row>
    <row r="274" ht="19" customHeight="1" spans="1:22">
      <c r="A274" s="29">
        <v>46010</v>
      </c>
      <c r="B274" s="7">
        <v>3299</v>
      </c>
      <c r="C274" s="7">
        <v>4598</v>
      </c>
      <c r="D274" s="20">
        <f t="shared" si="36"/>
        <v>-0.282514136581122</v>
      </c>
      <c r="E274" s="37">
        <v>12</v>
      </c>
      <c r="F274" s="35">
        <f t="shared" si="34"/>
        <v>274.916666666667</v>
      </c>
      <c r="G274" s="31">
        <v>0.9647</v>
      </c>
      <c r="H274" s="7">
        <v>10.53</v>
      </c>
      <c r="I274" s="52">
        <v>1466</v>
      </c>
      <c r="J274" s="52">
        <v>2853</v>
      </c>
      <c r="K274" s="23">
        <f t="shared" si="40"/>
        <v>-0.486154924640729</v>
      </c>
      <c r="L274" s="52">
        <v>172</v>
      </c>
      <c r="M274" s="52">
        <v>296</v>
      </c>
      <c r="N274" s="23">
        <f t="shared" si="37"/>
        <v>-0.418918918918919</v>
      </c>
      <c r="O274" s="23">
        <f t="shared" si="35"/>
        <v>0.117326057298772</v>
      </c>
      <c r="P274" s="23">
        <f t="shared" si="38"/>
        <v>0.103750438135296</v>
      </c>
      <c r="Q274" s="25">
        <f t="shared" si="39"/>
        <v>0.130848788761475</v>
      </c>
      <c r="R274" s="40">
        <v>60.15</v>
      </c>
      <c r="S274" s="40">
        <v>95.03</v>
      </c>
      <c r="T274" s="23">
        <f t="shared" si="33"/>
        <v>-0.367041986741029</v>
      </c>
      <c r="U274" s="28"/>
      <c r="V274" s="28"/>
    </row>
    <row r="275" ht="19" customHeight="1" spans="1:22">
      <c r="A275" s="29">
        <v>46011</v>
      </c>
      <c r="B275" s="7">
        <v>3746</v>
      </c>
      <c r="C275" s="7">
        <v>4620</v>
      </c>
      <c r="D275" s="20">
        <f t="shared" si="36"/>
        <v>-0.189177489177489</v>
      </c>
      <c r="E275" s="37">
        <v>11</v>
      </c>
      <c r="F275" s="35">
        <f t="shared" si="34"/>
        <v>340.545454545455</v>
      </c>
      <c r="G275" s="31">
        <v>0.9611</v>
      </c>
      <c r="H275" s="7">
        <v>10.89</v>
      </c>
      <c r="I275" s="52">
        <v>1526</v>
      </c>
      <c r="J275" s="52">
        <v>2715</v>
      </c>
      <c r="K275" s="23">
        <f t="shared" si="40"/>
        <v>-0.437937384898711</v>
      </c>
      <c r="L275" s="52">
        <v>181</v>
      </c>
      <c r="M275" s="52">
        <v>317</v>
      </c>
      <c r="N275" s="23">
        <f t="shared" si="37"/>
        <v>-0.429022082018927</v>
      </c>
      <c r="O275" s="23">
        <f t="shared" si="35"/>
        <v>0.118610747051114</v>
      </c>
      <c r="P275" s="23">
        <f t="shared" si="38"/>
        <v>0.116758747697974</v>
      </c>
      <c r="Q275" s="25">
        <f t="shared" si="39"/>
        <v>0.0158617610213707</v>
      </c>
      <c r="R275" s="40">
        <v>54.41</v>
      </c>
      <c r="S275" s="40">
        <v>95.8</v>
      </c>
      <c r="T275" s="23">
        <f t="shared" si="33"/>
        <v>-0.432045929018789</v>
      </c>
      <c r="U275" s="28"/>
      <c r="V275" s="28"/>
    </row>
    <row r="276" ht="19" customHeight="1" spans="1:22">
      <c r="A276" s="29">
        <v>46012</v>
      </c>
      <c r="B276" s="7">
        <v>3580</v>
      </c>
      <c r="C276" s="7">
        <v>5012</v>
      </c>
      <c r="D276" s="20">
        <f t="shared" si="36"/>
        <v>-0.285714285714286</v>
      </c>
      <c r="E276" s="37">
        <v>10</v>
      </c>
      <c r="F276" s="35">
        <f t="shared" si="34"/>
        <v>358</v>
      </c>
      <c r="G276" s="31">
        <v>0.9571</v>
      </c>
      <c r="H276" s="7">
        <v>10.84</v>
      </c>
      <c r="I276" s="52">
        <v>1592</v>
      </c>
      <c r="J276" s="52">
        <v>3045</v>
      </c>
      <c r="K276" s="23">
        <f t="shared" si="40"/>
        <v>-0.477175697865353</v>
      </c>
      <c r="L276" s="52">
        <v>178</v>
      </c>
      <c r="M276" s="52">
        <v>344</v>
      </c>
      <c r="N276" s="23">
        <f t="shared" si="37"/>
        <v>-0.482558139534884</v>
      </c>
      <c r="O276" s="23">
        <f t="shared" si="35"/>
        <v>0.111809045226131</v>
      </c>
      <c r="P276" s="23">
        <f t="shared" si="38"/>
        <v>0.112972085385878</v>
      </c>
      <c r="Q276" s="25">
        <f t="shared" si="39"/>
        <v>-0.0102949339721835</v>
      </c>
      <c r="R276" s="40">
        <v>63.72</v>
      </c>
      <c r="S276" s="40">
        <v>97.16</v>
      </c>
      <c r="T276" s="23">
        <f t="shared" si="33"/>
        <v>-0.344174557431042</v>
      </c>
      <c r="U276" s="28"/>
      <c r="V276" s="28"/>
    </row>
    <row r="277" ht="19" customHeight="1" spans="1:22">
      <c r="A277" s="29">
        <v>46013</v>
      </c>
      <c r="B277" s="7">
        <v>4099</v>
      </c>
      <c r="C277" s="7">
        <v>5836</v>
      </c>
      <c r="D277" s="20">
        <f t="shared" si="36"/>
        <v>-0.297635366689513</v>
      </c>
      <c r="E277" s="37">
        <v>11</v>
      </c>
      <c r="F277" s="35">
        <f t="shared" si="34"/>
        <v>372.636363636364</v>
      </c>
      <c r="G277" s="31">
        <v>0.9423</v>
      </c>
      <c r="H277" s="7">
        <v>10.45</v>
      </c>
      <c r="I277" s="52">
        <v>1810</v>
      </c>
      <c r="J277" s="52">
        <v>3580</v>
      </c>
      <c r="K277" s="23">
        <f t="shared" si="40"/>
        <v>-0.494413407821229</v>
      </c>
      <c r="L277" s="52">
        <v>187</v>
      </c>
      <c r="M277" s="52">
        <v>597</v>
      </c>
      <c r="N277" s="23">
        <f t="shared" si="37"/>
        <v>-0.68676716917923</v>
      </c>
      <c r="O277" s="23">
        <f t="shared" si="35"/>
        <v>0.103314917127072</v>
      </c>
      <c r="P277" s="23">
        <f t="shared" si="38"/>
        <v>0.166759776536313</v>
      </c>
      <c r="Q277" s="25">
        <f t="shared" si="39"/>
        <v>-0.380456610862784</v>
      </c>
      <c r="R277" s="40">
        <v>57.99</v>
      </c>
      <c r="S277" s="40">
        <v>152.13</v>
      </c>
      <c r="T277" s="23">
        <f t="shared" si="33"/>
        <v>-0.618812857424571</v>
      </c>
      <c r="U277" s="28"/>
      <c r="V277" s="28"/>
    </row>
    <row r="278" ht="19" customHeight="1" spans="1:22">
      <c r="A278" s="29">
        <v>46014</v>
      </c>
      <c r="B278" s="7">
        <v>3998</v>
      </c>
      <c r="C278" s="7">
        <v>5547</v>
      </c>
      <c r="D278" s="20">
        <f t="shared" si="36"/>
        <v>-0.279250045069407</v>
      </c>
      <c r="E278" s="37">
        <v>10</v>
      </c>
      <c r="F278" s="35">
        <f t="shared" si="34"/>
        <v>399.8</v>
      </c>
      <c r="G278" s="31">
        <v>0.9724</v>
      </c>
      <c r="H278" s="7">
        <v>10.82</v>
      </c>
      <c r="I278" s="52">
        <v>1756</v>
      </c>
      <c r="J278" s="52">
        <v>3294</v>
      </c>
      <c r="K278" s="23">
        <f t="shared" si="40"/>
        <v>-0.466909532483303</v>
      </c>
      <c r="L278" s="52">
        <v>259</v>
      </c>
      <c r="M278" s="52">
        <v>481</v>
      </c>
      <c r="N278" s="23">
        <f t="shared" si="37"/>
        <v>-0.461538461538462</v>
      </c>
      <c r="O278" s="23">
        <f t="shared" si="35"/>
        <v>0.14749430523918</v>
      </c>
      <c r="P278" s="23">
        <f t="shared" si="38"/>
        <v>0.14602307225258</v>
      </c>
      <c r="Q278" s="25">
        <f t="shared" si="39"/>
        <v>0.0100753460662347</v>
      </c>
      <c r="R278" s="40">
        <v>77.56</v>
      </c>
      <c r="S278" s="40">
        <v>133.24</v>
      </c>
      <c r="T278" s="23">
        <f t="shared" si="33"/>
        <v>-0.417892524767337</v>
      </c>
      <c r="U278" s="28"/>
      <c r="V278" s="28"/>
    </row>
    <row r="279" ht="19" customHeight="1" spans="1:22">
      <c r="A279" s="29">
        <v>46015</v>
      </c>
      <c r="B279" s="7">
        <v>3828</v>
      </c>
      <c r="C279" s="7">
        <v>5157</v>
      </c>
      <c r="D279" s="20">
        <f t="shared" si="36"/>
        <v>-0.257707969749855</v>
      </c>
      <c r="E279" s="37">
        <v>13</v>
      </c>
      <c r="F279" s="35">
        <f t="shared" si="34"/>
        <v>294.461538461538</v>
      </c>
      <c r="G279" s="31">
        <v>0.9528</v>
      </c>
      <c r="H279" s="7">
        <v>10.53</v>
      </c>
      <c r="I279" s="52">
        <v>1783</v>
      </c>
      <c r="J279" s="52">
        <v>3131</v>
      </c>
      <c r="K279" s="23">
        <f t="shared" si="40"/>
        <v>-0.430533375918237</v>
      </c>
      <c r="L279" s="52">
        <v>285</v>
      </c>
      <c r="M279" s="52">
        <v>422</v>
      </c>
      <c r="N279" s="23">
        <f t="shared" si="37"/>
        <v>-0.324644549763033</v>
      </c>
      <c r="O279" s="23">
        <f t="shared" si="35"/>
        <v>0.159842961301178</v>
      </c>
      <c r="P279" s="23">
        <f t="shared" si="38"/>
        <v>0.13478122005749</v>
      </c>
      <c r="Q279" s="25">
        <f t="shared" si="39"/>
        <v>0.185943866905186</v>
      </c>
      <c r="R279" s="40">
        <v>83.9</v>
      </c>
      <c r="S279" s="40">
        <v>121.38</v>
      </c>
      <c r="T279" s="23">
        <f t="shared" si="33"/>
        <v>-0.308782336463997</v>
      </c>
      <c r="U279" s="28"/>
      <c r="V279" s="28"/>
    </row>
    <row r="280" ht="19" customHeight="1" spans="1:22">
      <c r="A280" s="29">
        <v>46016</v>
      </c>
      <c r="B280" s="7">
        <v>3890</v>
      </c>
      <c r="C280" s="7">
        <v>5372</v>
      </c>
      <c r="D280" s="20">
        <f t="shared" si="36"/>
        <v>-0.275874906924795</v>
      </c>
      <c r="E280" s="37">
        <v>13</v>
      </c>
      <c r="F280" s="35">
        <f t="shared" si="34"/>
        <v>299.230769230769</v>
      </c>
      <c r="G280" s="31">
        <v>0.9016</v>
      </c>
      <c r="H280" s="7">
        <v>11.58</v>
      </c>
      <c r="I280" s="52">
        <v>1950</v>
      </c>
      <c r="J280" s="52">
        <v>3253</v>
      </c>
      <c r="K280" s="23">
        <f t="shared" si="40"/>
        <v>-0.400553335382724</v>
      </c>
      <c r="L280" s="52">
        <v>405</v>
      </c>
      <c r="M280" s="52">
        <v>500</v>
      </c>
      <c r="N280" s="23">
        <f t="shared" si="37"/>
        <v>-0.19</v>
      </c>
      <c r="O280" s="23">
        <f t="shared" si="35"/>
        <v>0.207692307692308</v>
      </c>
      <c r="P280" s="23">
        <f t="shared" si="38"/>
        <v>0.153704272978789</v>
      </c>
      <c r="Q280" s="25">
        <f t="shared" si="39"/>
        <v>0.351246153846156</v>
      </c>
      <c r="R280" s="40">
        <v>89.58</v>
      </c>
      <c r="S280" s="40">
        <v>131.84</v>
      </c>
      <c r="T280" s="23">
        <f t="shared" si="33"/>
        <v>-0.320540048543689</v>
      </c>
      <c r="U280" s="28"/>
      <c r="V280" s="28"/>
    </row>
    <row r="281" ht="19" customHeight="1" spans="1:22">
      <c r="A281" s="29">
        <v>46017</v>
      </c>
      <c r="B281" s="7">
        <v>3835</v>
      </c>
      <c r="C281" s="7">
        <v>4736</v>
      </c>
      <c r="D281" s="20">
        <f t="shared" si="36"/>
        <v>-0.190244932432432</v>
      </c>
      <c r="E281" s="37">
        <v>13</v>
      </c>
      <c r="F281" s="35">
        <f t="shared" si="34"/>
        <v>295</v>
      </c>
      <c r="G281" s="31">
        <v>0.9618</v>
      </c>
      <c r="H281" s="7">
        <v>10.75</v>
      </c>
      <c r="I281" s="52">
        <v>1881</v>
      </c>
      <c r="J281" s="52">
        <v>2753</v>
      </c>
      <c r="K281" s="23">
        <f t="shared" si="40"/>
        <v>-0.316745368688703</v>
      </c>
      <c r="L281" s="52">
        <v>310</v>
      </c>
      <c r="M281" s="52">
        <v>326</v>
      </c>
      <c r="N281" s="23">
        <f t="shared" si="37"/>
        <v>-0.049079754601227</v>
      </c>
      <c r="O281" s="23">
        <f t="shared" si="35"/>
        <v>0.164805954279638</v>
      </c>
      <c r="P281" s="23">
        <f t="shared" si="38"/>
        <v>0.118416273156556</v>
      </c>
      <c r="Q281" s="25">
        <f t="shared" si="39"/>
        <v>0.391750896109949</v>
      </c>
      <c r="R281" s="40">
        <v>66.15</v>
      </c>
      <c r="S281" s="40">
        <v>106.46</v>
      </c>
      <c r="T281" s="23">
        <f t="shared" si="33"/>
        <v>-0.37863986473793</v>
      </c>
      <c r="U281" s="28"/>
      <c r="V281" s="28"/>
    </row>
    <row r="282" ht="19" customHeight="1" spans="1:22">
      <c r="A282" s="29">
        <v>46018</v>
      </c>
      <c r="B282" s="7">
        <v>3645</v>
      </c>
      <c r="C282" s="7">
        <v>4237</v>
      </c>
      <c r="D282" s="20">
        <f t="shared" si="36"/>
        <v>-0.139721501062072</v>
      </c>
      <c r="E282" s="37">
        <v>11</v>
      </c>
      <c r="F282" s="35">
        <f t="shared" si="34"/>
        <v>331.363636363636</v>
      </c>
      <c r="G282" s="31">
        <v>0.9302</v>
      </c>
      <c r="H282" s="7">
        <v>11.95</v>
      </c>
      <c r="I282" s="52">
        <v>1676</v>
      </c>
      <c r="J282" s="52">
        <v>2488</v>
      </c>
      <c r="K282" s="23">
        <f t="shared" si="40"/>
        <v>-0.326366559485531</v>
      </c>
      <c r="L282" s="52">
        <v>170</v>
      </c>
      <c r="M282" s="52">
        <v>300</v>
      </c>
      <c r="N282" s="23">
        <f t="shared" si="37"/>
        <v>-0.433333333333333</v>
      </c>
      <c r="O282" s="23">
        <f t="shared" si="35"/>
        <v>0.101431980906921</v>
      </c>
      <c r="P282" s="23">
        <f t="shared" si="38"/>
        <v>0.120578778135048</v>
      </c>
      <c r="Q282" s="25">
        <f t="shared" si="39"/>
        <v>-0.158790771678602</v>
      </c>
      <c r="R282" s="40">
        <v>62.8</v>
      </c>
      <c r="S282" s="40">
        <v>98.13</v>
      </c>
      <c r="T282" s="23">
        <f t="shared" si="33"/>
        <v>-0.360032609803322</v>
      </c>
      <c r="U282" s="28"/>
      <c r="V282" s="28"/>
    </row>
    <row r="283" ht="19" customHeight="1" spans="1:22">
      <c r="A283" s="29">
        <v>46019</v>
      </c>
      <c r="B283" s="7">
        <v>3696</v>
      </c>
      <c r="C283" s="7">
        <v>4590</v>
      </c>
      <c r="D283" s="20">
        <f t="shared" si="36"/>
        <v>-0.194771241830065</v>
      </c>
      <c r="E283" s="37">
        <v>11</v>
      </c>
      <c r="F283" s="35">
        <f t="shared" si="34"/>
        <v>336</v>
      </c>
      <c r="G283" s="31">
        <v>0.9793</v>
      </c>
      <c r="H283" s="7">
        <v>10.88</v>
      </c>
      <c r="I283" s="52">
        <v>1749</v>
      </c>
      <c r="J283" s="52">
        <v>2630</v>
      </c>
      <c r="K283" s="23">
        <f t="shared" si="40"/>
        <v>-0.334980988593156</v>
      </c>
      <c r="L283" s="52">
        <v>163</v>
      </c>
      <c r="M283" s="52">
        <v>339</v>
      </c>
      <c r="N283" s="23">
        <f t="shared" si="37"/>
        <v>-0.519174041297935</v>
      </c>
      <c r="O283" s="23">
        <f t="shared" si="35"/>
        <v>0.0931961120640366</v>
      </c>
      <c r="P283" s="23">
        <f t="shared" si="38"/>
        <v>0.128897338403042</v>
      </c>
      <c r="Q283" s="25">
        <f t="shared" si="39"/>
        <v>-0.27697411584538</v>
      </c>
      <c r="R283" s="40">
        <v>65.8</v>
      </c>
      <c r="S283" s="40">
        <v>109.59</v>
      </c>
      <c r="T283" s="23">
        <f t="shared" si="33"/>
        <v>-0.39958025367278</v>
      </c>
      <c r="U283" s="28"/>
      <c r="V283" s="28"/>
    </row>
    <row r="284" ht="19" customHeight="1" spans="1:22">
      <c r="A284" s="29">
        <v>46020</v>
      </c>
      <c r="B284" s="7">
        <v>3764</v>
      </c>
      <c r="C284" s="7">
        <v>4472</v>
      </c>
      <c r="D284" s="20">
        <f t="shared" si="36"/>
        <v>-0.158318425760286</v>
      </c>
      <c r="E284" s="37">
        <v>11</v>
      </c>
      <c r="F284" s="35">
        <f t="shared" si="34"/>
        <v>342.181818181818</v>
      </c>
      <c r="G284" s="31">
        <v>0.9556</v>
      </c>
      <c r="H284" s="7">
        <v>10.59</v>
      </c>
      <c r="I284" s="52">
        <v>1675</v>
      </c>
      <c r="J284" s="52">
        <v>2613</v>
      </c>
      <c r="K284" s="23">
        <f t="shared" si="40"/>
        <v>-0.358974358974359</v>
      </c>
      <c r="L284" s="52">
        <v>165</v>
      </c>
      <c r="M284" s="52">
        <v>356</v>
      </c>
      <c r="N284" s="23">
        <f t="shared" si="37"/>
        <v>-0.536516853932584</v>
      </c>
      <c r="O284" s="23">
        <f t="shared" si="35"/>
        <v>0.0985074626865672</v>
      </c>
      <c r="P284" s="23">
        <f t="shared" si="38"/>
        <v>0.136241867585151</v>
      </c>
      <c r="Q284" s="25">
        <f t="shared" si="39"/>
        <v>-0.276966292134831</v>
      </c>
      <c r="R284" s="40">
        <v>70.92</v>
      </c>
      <c r="S284" s="40">
        <v>117.89</v>
      </c>
      <c r="T284" s="23">
        <f t="shared" si="33"/>
        <v>-0.398422258037153</v>
      </c>
      <c r="U284" s="28"/>
      <c r="V284" s="28"/>
    </row>
    <row r="285" ht="19" customHeight="1" spans="1:22">
      <c r="A285" s="29">
        <v>46021</v>
      </c>
      <c r="B285" s="7">
        <v>3743</v>
      </c>
      <c r="C285" s="7">
        <v>4510</v>
      </c>
      <c r="D285" s="20">
        <f t="shared" si="36"/>
        <v>-0.170066518847007</v>
      </c>
      <c r="E285" s="37">
        <v>11</v>
      </c>
      <c r="F285" s="35">
        <f t="shared" si="34"/>
        <v>340.272727272727</v>
      </c>
      <c r="G285" s="31">
        <v>0.9681</v>
      </c>
      <c r="H285" s="7">
        <v>10.37</v>
      </c>
      <c r="I285" s="52">
        <v>1714</v>
      </c>
      <c r="J285" s="52">
        <v>2624</v>
      </c>
      <c r="K285" s="23">
        <f t="shared" si="40"/>
        <v>-0.346798780487805</v>
      </c>
      <c r="L285" s="52">
        <v>273</v>
      </c>
      <c r="M285" s="52">
        <v>326</v>
      </c>
      <c r="N285" s="23">
        <f t="shared" si="37"/>
        <v>-0.162576687116564</v>
      </c>
      <c r="O285" s="23">
        <f t="shared" si="35"/>
        <v>0.159276546091015</v>
      </c>
      <c r="P285" s="23">
        <f t="shared" si="38"/>
        <v>0.124237804878049</v>
      </c>
      <c r="Q285" s="25">
        <f t="shared" si="39"/>
        <v>0.282029622523998</v>
      </c>
      <c r="R285" s="40">
        <v>151.53</v>
      </c>
      <c r="S285" s="40">
        <v>103.93</v>
      </c>
      <c r="T285" s="23">
        <f t="shared" si="33"/>
        <v>0.458000577311652</v>
      </c>
      <c r="U285" s="28"/>
      <c r="V285" s="28"/>
    </row>
    <row r="286" ht="19" customHeight="1" spans="1:22">
      <c r="A286" s="29">
        <v>46022</v>
      </c>
      <c r="B286" s="7">
        <v>5647</v>
      </c>
      <c r="C286" s="7">
        <v>3639</v>
      </c>
      <c r="D286" s="20">
        <f t="shared" si="36"/>
        <v>0.551799945039846</v>
      </c>
      <c r="E286" s="37">
        <v>15</v>
      </c>
      <c r="F286" s="35">
        <f t="shared" si="34"/>
        <v>376.466666666667</v>
      </c>
      <c r="G286" s="31">
        <v>0.9822</v>
      </c>
      <c r="H286" s="7">
        <v>10.56</v>
      </c>
      <c r="I286" s="52">
        <v>2349</v>
      </c>
      <c r="J286" s="52">
        <v>2073</v>
      </c>
      <c r="K286" s="23">
        <f t="shared" si="40"/>
        <v>0.133140376266281</v>
      </c>
      <c r="L286" s="52">
        <v>952</v>
      </c>
      <c r="M286" s="52">
        <v>160</v>
      </c>
      <c r="N286" s="23">
        <f t="shared" si="37"/>
        <v>4.95</v>
      </c>
      <c r="O286" s="23">
        <f t="shared" si="35"/>
        <v>0.405278842060451</v>
      </c>
      <c r="P286" s="23">
        <f t="shared" si="38"/>
        <v>0.0771828268210323</v>
      </c>
      <c r="Q286" s="25">
        <f t="shared" si="39"/>
        <v>4.25089399744572</v>
      </c>
      <c r="R286" s="40">
        <v>236.81</v>
      </c>
      <c r="S286" s="40">
        <v>54.07</v>
      </c>
      <c r="T286" s="23">
        <f t="shared" si="33"/>
        <v>3.37969299056778</v>
      </c>
      <c r="U286" s="28"/>
      <c r="V286" s="28"/>
    </row>
    <row r="287" ht="19" customHeight="1" spans="1:22">
      <c r="A287" s="29">
        <v>46023</v>
      </c>
      <c r="B287" s="7">
        <v>3262</v>
      </c>
      <c r="C287" s="7">
        <v>2868</v>
      </c>
      <c r="D287" s="20">
        <f t="shared" si="36"/>
        <v>0.137377963737796</v>
      </c>
      <c r="E287" s="37">
        <v>12</v>
      </c>
      <c r="F287" s="35">
        <f t="shared" si="34"/>
        <v>271.833333333333</v>
      </c>
      <c r="G287" s="31">
        <v>0.9588</v>
      </c>
      <c r="H287" s="7">
        <v>10.48</v>
      </c>
      <c r="I287" s="52">
        <v>1299</v>
      </c>
      <c r="J287" s="52">
        <v>1687</v>
      </c>
      <c r="K287" s="23">
        <f t="shared" si="40"/>
        <v>-0.229994072317724</v>
      </c>
      <c r="L287" s="52">
        <v>131</v>
      </c>
      <c r="M287" s="52">
        <v>178</v>
      </c>
      <c r="N287" s="23">
        <f t="shared" si="37"/>
        <v>-0.264044943820225</v>
      </c>
      <c r="O287" s="23">
        <f t="shared" si="35"/>
        <v>0.100846805234796</v>
      </c>
      <c r="P287" s="23">
        <f t="shared" si="38"/>
        <v>0.105512744516894</v>
      </c>
      <c r="Q287" s="25">
        <f t="shared" si="39"/>
        <v>-0.044221570611793</v>
      </c>
      <c r="R287" s="40">
        <v>30.66</v>
      </c>
      <c r="S287" s="40">
        <v>50.66</v>
      </c>
      <c r="T287" s="23">
        <f t="shared" si="33"/>
        <v>-0.394788787998421</v>
      </c>
      <c r="U287" s="28"/>
      <c r="V287" s="28"/>
    </row>
    <row r="288" ht="19" customHeight="1" spans="1:22">
      <c r="A288" s="29">
        <v>46024</v>
      </c>
      <c r="B288" s="7">
        <v>2934</v>
      </c>
      <c r="C288" s="7">
        <v>3113</v>
      </c>
      <c r="D288" s="20">
        <f t="shared" si="36"/>
        <v>-0.057500803083842</v>
      </c>
      <c r="E288" s="37">
        <v>11</v>
      </c>
      <c r="F288" s="35">
        <f t="shared" si="34"/>
        <v>266.727272727273</v>
      </c>
      <c r="G288" s="31">
        <v>0.9375</v>
      </c>
      <c r="H288" s="7">
        <v>10.63</v>
      </c>
      <c r="I288" s="52">
        <v>1386</v>
      </c>
      <c r="J288" s="52">
        <v>1847</v>
      </c>
      <c r="K288" s="23">
        <f t="shared" si="40"/>
        <v>-0.249593936112615</v>
      </c>
      <c r="L288" s="52">
        <v>129</v>
      </c>
      <c r="M288" s="52">
        <v>162</v>
      </c>
      <c r="N288" s="23">
        <f t="shared" si="37"/>
        <v>-0.203703703703704</v>
      </c>
      <c r="O288" s="23">
        <f t="shared" si="35"/>
        <v>0.0930735930735931</v>
      </c>
      <c r="P288" s="23">
        <f t="shared" si="38"/>
        <v>0.0877097996751489</v>
      </c>
      <c r="Q288" s="25">
        <f t="shared" si="39"/>
        <v>0.0611538667094226</v>
      </c>
      <c r="R288" s="40">
        <v>38.5</v>
      </c>
      <c r="S288" s="40">
        <v>48.34</v>
      </c>
      <c r="T288" s="23">
        <f t="shared" si="33"/>
        <v>-0.203558129913115</v>
      </c>
      <c r="U288" s="28"/>
      <c r="V288" s="28"/>
    </row>
    <row r="289" ht="19" customHeight="1" spans="1:22">
      <c r="A289" s="29">
        <v>46025</v>
      </c>
      <c r="B289" s="7">
        <v>3622</v>
      </c>
      <c r="C289" s="7">
        <v>3138</v>
      </c>
      <c r="D289" s="20">
        <f t="shared" si="36"/>
        <v>0.154238368387508</v>
      </c>
      <c r="E289" s="37">
        <v>11</v>
      </c>
      <c r="F289" s="35">
        <f t="shared" si="34"/>
        <v>329.272727272727</v>
      </c>
      <c r="G289" s="31">
        <v>0.9703</v>
      </c>
      <c r="H289" s="7">
        <v>10.01</v>
      </c>
      <c r="I289" s="52">
        <v>1652</v>
      </c>
      <c r="J289" s="52">
        <v>1831</v>
      </c>
      <c r="K289" s="23">
        <f t="shared" si="40"/>
        <v>-0.0977607864554888</v>
      </c>
      <c r="L289" s="52">
        <v>165</v>
      </c>
      <c r="M289" s="52">
        <v>164</v>
      </c>
      <c r="N289" s="23">
        <f t="shared" si="37"/>
        <v>0.00609756097560976</v>
      </c>
      <c r="O289" s="23">
        <f t="shared" si="35"/>
        <v>0.0998789346246973</v>
      </c>
      <c r="P289" s="23">
        <f t="shared" si="38"/>
        <v>0.0895685417804478</v>
      </c>
      <c r="Q289" s="25">
        <f t="shared" si="39"/>
        <v>0.115111764011102</v>
      </c>
      <c r="R289" s="40">
        <v>50.18</v>
      </c>
      <c r="S289" s="40">
        <v>51.65</v>
      </c>
      <c r="T289" s="23">
        <f t="shared" ref="T289:T316" si="41">(R289-S289)/S289</f>
        <v>-0.028460793804453</v>
      </c>
      <c r="U289" s="28"/>
      <c r="V289" s="28"/>
    </row>
    <row r="290" ht="19" customHeight="1" spans="1:22">
      <c r="A290" s="29">
        <v>46026</v>
      </c>
      <c r="B290" s="7">
        <v>3995</v>
      </c>
      <c r="C290" s="7">
        <v>3460</v>
      </c>
      <c r="D290" s="20">
        <f t="shared" si="36"/>
        <v>0.154624277456647</v>
      </c>
      <c r="E290" s="37">
        <v>11</v>
      </c>
      <c r="F290" s="35">
        <f t="shared" si="34"/>
        <v>363.181818181818</v>
      </c>
      <c r="G290" s="31">
        <v>0.9493</v>
      </c>
      <c r="H290" s="7">
        <v>10.13</v>
      </c>
      <c r="I290" s="52">
        <v>1830</v>
      </c>
      <c r="J290" s="52">
        <v>1998</v>
      </c>
      <c r="K290" s="23">
        <f t="shared" si="40"/>
        <v>-0.0840840840840841</v>
      </c>
      <c r="L290" s="52">
        <v>163</v>
      </c>
      <c r="M290" s="52">
        <v>173</v>
      </c>
      <c r="N290" s="23">
        <f t="shared" si="37"/>
        <v>-0.0578034682080925</v>
      </c>
      <c r="O290" s="23">
        <f t="shared" si="35"/>
        <v>0.0890710382513661</v>
      </c>
      <c r="P290" s="23">
        <f t="shared" si="38"/>
        <v>0.0865865865865866</v>
      </c>
      <c r="Q290" s="25">
        <f t="shared" si="39"/>
        <v>0.028693262579361</v>
      </c>
      <c r="R290" s="40">
        <v>48.51</v>
      </c>
      <c r="S290" s="40">
        <v>44.31</v>
      </c>
      <c r="T290" s="23">
        <f t="shared" si="41"/>
        <v>0.0947867298578198</v>
      </c>
      <c r="U290" s="28"/>
      <c r="V290" s="28"/>
    </row>
    <row r="291" ht="19" customHeight="1" spans="1:22">
      <c r="A291" s="29">
        <v>46027</v>
      </c>
      <c r="B291" s="7">
        <v>3824</v>
      </c>
      <c r="C291" s="7">
        <v>3247</v>
      </c>
      <c r="D291" s="20">
        <f t="shared" si="36"/>
        <v>0.17770249461041</v>
      </c>
      <c r="E291" s="37">
        <v>10</v>
      </c>
      <c r="F291" s="35">
        <f t="shared" ref="F291:F316" si="42">B291/E291</f>
        <v>382.4</v>
      </c>
      <c r="G291" s="31">
        <v>0.9653</v>
      </c>
      <c r="H291" s="7">
        <v>10.15</v>
      </c>
      <c r="I291" s="52">
        <v>1668</v>
      </c>
      <c r="J291" s="52">
        <v>1947</v>
      </c>
      <c r="K291" s="23">
        <f t="shared" si="40"/>
        <v>-0.143297380585516</v>
      </c>
      <c r="L291" s="52">
        <v>164</v>
      </c>
      <c r="M291" s="52">
        <v>188</v>
      </c>
      <c r="N291" s="23">
        <f t="shared" si="37"/>
        <v>-0.127659574468085</v>
      </c>
      <c r="O291" s="23">
        <f t="shared" si="35"/>
        <v>0.0983213429256595</v>
      </c>
      <c r="P291" s="23">
        <f t="shared" si="38"/>
        <v>0.0965588084232152</v>
      </c>
      <c r="Q291" s="25">
        <f t="shared" si="39"/>
        <v>0.0182534823205268</v>
      </c>
      <c r="R291" s="40">
        <v>47.49</v>
      </c>
      <c r="S291" s="40">
        <v>49.67</v>
      </c>
      <c r="T291" s="23">
        <f t="shared" si="41"/>
        <v>-0.0438896718341051</v>
      </c>
      <c r="U291" s="28"/>
      <c r="V291" s="28"/>
    </row>
    <row r="292" ht="19" customHeight="1" spans="1:22">
      <c r="A292" s="29">
        <v>46028</v>
      </c>
      <c r="B292" s="7">
        <v>3107</v>
      </c>
      <c r="C292" s="7">
        <v>4019</v>
      </c>
      <c r="D292" s="20">
        <f t="shared" si="36"/>
        <v>-0.226922119930331</v>
      </c>
      <c r="E292" s="37">
        <v>10</v>
      </c>
      <c r="F292" s="35">
        <f t="shared" si="42"/>
        <v>310.7</v>
      </c>
      <c r="G292" s="31">
        <v>0.9667</v>
      </c>
      <c r="H292" s="7">
        <v>10.18</v>
      </c>
      <c r="I292" s="52">
        <v>1464</v>
      </c>
      <c r="J292" s="52">
        <v>2496</v>
      </c>
      <c r="K292" s="23">
        <f t="shared" si="40"/>
        <v>-0.413461538461538</v>
      </c>
      <c r="L292" s="52">
        <v>121</v>
      </c>
      <c r="M292" s="52">
        <v>467</v>
      </c>
      <c r="N292" s="23">
        <f t="shared" si="37"/>
        <v>-0.740899357601713</v>
      </c>
      <c r="O292" s="23">
        <f t="shared" si="35"/>
        <v>0.0826502732240437</v>
      </c>
      <c r="P292" s="23">
        <f t="shared" si="38"/>
        <v>0.187099358974359</v>
      </c>
      <c r="Q292" s="25">
        <f t="shared" si="39"/>
        <v>-0.558254642468495</v>
      </c>
      <c r="R292" s="40">
        <v>41.59</v>
      </c>
      <c r="S292" s="40">
        <v>103.55</v>
      </c>
      <c r="T292" s="23">
        <f t="shared" si="41"/>
        <v>-0.59835828102366</v>
      </c>
      <c r="U292" s="28"/>
      <c r="V292" s="28"/>
    </row>
    <row r="293" ht="19" customHeight="1" spans="1:22">
      <c r="A293" s="29">
        <v>46029</v>
      </c>
      <c r="B293" s="7">
        <v>3342</v>
      </c>
      <c r="C293" s="7">
        <v>3139</v>
      </c>
      <c r="D293" s="20">
        <f t="shared" si="36"/>
        <v>0.0646702771583307</v>
      </c>
      <c r="E293" s="37">
        <v>11</v>
      </c>
      <c r="F293" s="35">
        <f t="shared" si="42"/>
        <v>303.818181818182</v>
      </c>
      <c r="G293" s="31">
        <v>0.9522</v>
      </c>
      <c r="H293" s="7">
        <v>10.13</v>
      </c>
      <c r="I293" s="52">
        <v>1561</v>
      </c>
      <c r="J293" s="52">
        <v>1832</v>
      </c>
      <c r="K293" s="23">
        <f t="shared" si="40"/>
        <v>-0.14792576419214</v>
      </c>
      <c r="L293" s="52">
        <v>161</v>
      </c>
      <c r="M293" s="52">
        <v>249</v>
      </c>
      <c r="N293" s="23">
        <f t="shared" si="37"/>
        <v>-0.353413654618474</v>
      </c>
      <c r="O293" s="23">
        <f t="shared" si="35"/>
        <v>0.103139013452915</v>
      </c>
      <c r="P293" s="23">
        <f t="shared" si="38"/>
        <v>0.135917030567686</v>
      </c>
      <c r="Q293" s="25">
        <f t="shared" si="39"/>
        <v>-0.241161957246023</v>
      </c>
      <c r="R293" s="40">
        <v>54.35</v>
      </c>
      <c r="S293" s="40">
        <v>70.27</v>
      </c>
      <c r="T293" s="23">
        <f t="shared" si="41"/>
        <v>-0.226554717518144</v>
      </c>
      <c r="U293" s="28"/>
      <c r="V293" s="28"/>
    </row>
    <row r="294" ht="19" customHeight="1" spans="1:22">
      <c r="A294" s="29">
        <v>46030</v>
      </c>
      <c r="B294" s="7">
        <v>3316</v>
      </c>
      <c r="C294" s="7">
        <v>3408</v>
      </c>
      <c r="D294" s="20">
        <f t="shared" si="36"/>
        <v>-0.0269953051643192</v>
      </c>
      <c r="E294" s="37">
        <v>10</v>
      </c>
      <c r="F294" s="35">
        <f t="shared" si="42"/>
        <v>331.6</v>
      </c>
      <c r="G294" s="31">
        <v>0.9695</v>
      </c>
      <c r="H294" s="7">
        <v>9.38</v>
      </c>
      <c r="I294" s="52">
        <v>1597</v>
      </c>
      <c r="J294" s="52">
        <v>1961</v>
      </c>
      <c r="K294" s="23">
        <f t="shared" si="40"/>
        <v>-0.185619581845997</v>
      </c>
      <c r="L294" s="52">
        <v>163</v>
      </c>
      <c r="M294" s="52">
        <v>259</v>
      </c>
      <c r="N294" s="23">
        <f t="shared" si="37"/>
        <v>-0.370656370656371</v>
      </c>
      <c r="O294" s="23">
        <f t="shared" si="35"/>
        <v>0.102066374452098</v>
      </c>
      <c r="P294" s="23">
        <f t="shared" si="38"/>
        <v>0.132075471698113</v>
      </c>
      <c r="Q294" s="25">
        <f t="shared" si="39"/>
        <v>-0.227211736291258</v>
      </c>
      <c r="R294" s="40">
        <v>50.57</v>
      </c>
      <c r="S294" s="40">
        <v>76.6</v>
      </c>
      <c r="T294" s="23">
        <f t="shared" si="41"/>
        <v>-0.339817232375979</v>
      </c>
      <c r="U294" s="28"/>
      <c r="V294" s="28"/>
    </row>
    <row r="295" ht="19" customHeight="1" spans="1:22">
      <c r="A295" s="29">
        <v>46031</v>
      </c>
      <c r="B295" s="7">
        <v>3453</v>
      </c>
      <c r="C295" s="7">
        <v>3337</v>
      </c>
      <c r="D295" s="20">
        <f t="shared" si="36"/>
        <v>0.0347617620617321</v>
      </c>
      <c r="E295" s="37">
        <v>11</v>
      </c>
      <c r="F295" s="35">
        <f t="shared" si="42"/>
        <v>313.909090909091</v>
      </c>
      <c r="G295" s="31">
        <v>0.9509</v>
      </c>
      <c r="H295" s="7">
        <v>9.92</v>
      </c>
      <c r="I295" s="52">
        <v>1526</v>
      </c>
      <c r="J295" s="52">
        <v>2030</v>
      </c>
      <c r="K295" s="23">
        <f t="shared" si="40"/>
        <v>-0.248275862068966</v>
      </c>
      <c r="L295" s="52">
        <v>159</v>
      </c>
      <c r="M295" s="52">
        <v>327</v>
      </c>
      <c r="N295" s="23">
        <f t="shared" si="37"/>
        <v>-0.513761467889908</v>
      </c>
      <c r="O295" s="23">
        <f t="shared" si="35"/>
        <v>0.104193971166448</v>
      </c>
      <c r="P295" s="23">
        <f t="shared" si="38"/>
        <v>0.161083743842365</v>
      </c>
      <c r="Q295" s="25">
        <f t="shared" si="39"/>
        <v>-0.35316892517465</v>
      </c>
      <c r="R295" s="40">
        <v>56.46</v>
      </c>
      <c r="S295" s="40">
        <v>75.88</v>
      </c>
      <c r="T295" s="23">
        <f t="shared" si="41"/>
        <v>-0.255930416447022</v>
      </c>
      <c r="U295" s="28"/>
      <c r="V295" s="28"/>
    </row>
    <row r="296" ht="19" customHeight="1" spans="1:22">
      <c r="A296" s="29">
        <v>46032</v>
      </c>
      <c r="B296" s="7">
        <v>3918</v>
      </c>
      <c r="C296" s="7">
        <v>2957</v>
      </c>
      <c r="D296" s="20">
        <f t="shared" si="36"/>
        <v>0.324991545485289</v>
      </c>
      <c r="E296" s="37">
        <v>11</v>
      </c>
      <c r="F296" s="35">
        <f t="shared" si="42"/>
        <v>356.181818181818</v>
      </c>
      <c r="G296" s="31">
        <v>0.9598</v>
      </c>
      <c r="H296" s="7">
        <v>10.81</v>
      </c>
      <c r="I296" s="52">
        <v>1849</v>
      </c>
      <c r="J296" s="52">
        <v>1640</v>
      </c>
      <c r="K296" s="23">
        <f t="shared" si="40"/>
        <v>0.127439024390244</v>
      </c>
      <c r="L296" s="52">
        <v>291</v>
      </c>
      <c r="M296" s="52">
        <v>207</v>
      </c>
      <c r="N296" s="23">
        <f t="shared" si="37"/>
        <v>0.405797101449275</v>
      </c>
      <c r="O296" s="23">
        <f t="shared" si="35"/>
        <v>0.157382368848026</v>
      </c>
      <c r="P296" s="23">
        <f t="shared" si="38"/>
        <v>0.126219512195122</v>
      </c>
      <c r="Q296" s="25">
        <f t="shared" si="39"/>
        <v>0.246894130003684</v>
      </c>
      <c r="R296" s="40">
        <v>125.36</v>
      </c>
      <c r="S296" s="40">
        <v>59.42</v>
      </c>
      <c r="T296" s="23">
        <f t="shared" si="41"/>
        <v>1.10972736452373</v>
      </c>
      <c r="U296" s="28"/>
      <c r="V296" s="28"/>
    </row>
    <row r="297" ht="19" customHeight="1" spans="1:22">
      <c r="A297" s="29">
        <v>46033</v>
      </c>
      <c r="B297" s="7">
        <v>3771</v>
      </c>
      <c r="C297" s="7">
        <v>3152</v>
      </c>
      <c r="D297" s="20">
        <f t="shared" si="36"/>
        <v>0.196383248730964</v>
      </c>
      <c r="E297" s="37">
        <v>11</v>
      </c>
      <c r="F297" s="35">
        <f t="shared" si="42"/>
        <v>342.818181818182</v>
      </c>
      <c r="G297" s="31">
        <v>0.9543</v>
      </c>
      <c r="H297" s="7">
        <v>10.59</v>
      </c>
      <c r="I297" s="52">
        <v>1914</v>
      </c>
      <c r="J297" s="52">
        <v>1806</v>
      </c>
      <c r="K297" s="23">
        <f t="shared" si="40"/>
        <v>0.0598006644518272</v>
      </c>
      <c r="L297" s="52">
        <v>278</v>
      </c>
      <c r="M297" s="52">
        <v>264</v>
      </c>
      <c r="N297" s="23">
        <f t="shared" si="37"/>
        <v>0.053030303030303</v>
      </c>
      <c r="O297" s="23">
        <f t="shared" si="35"/>
        <v>0.145245559038662</v>
      </c>
      <c r="P297" s="23">
        <f t="shared" si="38"/>
        <v>0.146179401993355</v>
      </c>
      <c r="Q297" s="25">
        <f t="shared" si="39"/>
        <v>-0.00638833475824423</v>
      </c>
      <c r="R297" s="40">
        <v>162.05</v>
      </c>
      <c r="S297" s="40">
        <v>65.15</v>
      </c>
      <c r="T297" s="23">
        <f t="shared" si="41"/>
        <v>1.48733691481197</v>
      </c>
      <c r="U297" s="28"/>
      <c r="V297" s="28"/>
    </row>
    <row r="298" ht="19" customHeight="1" spans="1:22">
      <c r="A298" s="29">
        <v>46034</v>
      </c>
      <c r="B298" s="7">
        <v>5209</v>
      </c>
      <c r="C298" s="7">
        <v>3397</v>
      </c>
      <c r="D298" s="20">
        <f t="shared" si="36"/>
        <v>0.533411833971151</v>
      </c>
      <c r="E298" s="37">
        <v>16</v>
      </c>
      <c r="F298" s="35">
        <f t="shared" si="42"/>
        <v>325.5625</v>
      </c>
      <c r="G298" s="31">
        <v>0.9542</v>
      </c>
      <c r="H298" s="7">
        <v>11.43</v>
      </c>
      <c r="I298" s="52">
        <v>2507</v>
      </c>
      <c r="J298" s="52">
        <v>1963</v>
      </c>
      <c r="K298" s="23">
        <f t="shared" si="40"/>
        <v>0.277126846663271</v>
      </c>
      <c r="L298" s="52">
        <v>801</v>
      </c>
      <c r="M298" s="52">
        <v>226</v>
      </c>
      <c r="N298" s="23">
        <f t="shared" si="37"/>
        <v>2.54424778761062</v>
      </c>
      <c r="O298" s="23">
        <f t="shared" si="35"/>
        <v>0.319505384922218</v>
      </c>
      <c r="P298" s="23">
        <f t="shared" si="38"/>
        <v>0.115129903209373</v>
      </c>
      <c r="Q298" s="25">
        <f t="shared" si="39"/>
        <v>1.7751728787713</v>
      </c>
      <c r="R298" s="40">
        <v>191.47</v>
      </c>
      <c r="S298" s="40">
        <v>59</v>
      </c>
      <c r="T298" s="23">
        <f t="shared" si="41"/>
        <v>2.24525423728814</v>
      </c>
      <c r="U298" s="28"/>
      <c r="V298" s="28"/>
    </row>
    <row r="299" ht="19" customHeight="1" spans="1:22">
      <c r="A299" s="29">
        <v>46035</v>
      </c>
      <c r="B299" s="7">
        <v>3994</v>
      </c>
      <c r="C299" s="7">
        <v>3335</v>
      </c>
      <c r="D299" s="20">
        <f t="shared" si="36"/>
        <v>0.1976011994003</v>
      </c>
      <c r="E299" s="37">
        <v>14</v>
      </c>
      <c r="F299" s="35">
        <f t="shared" si="42"/>
        <v>285.285714285714</v>
      </c>
      <c r="G299" s="31">
        <v>0.9568</v>
      </c>
      <c r="H299" s="7">
        <v>10.81</v>
      </c>
      <c r="I299" s="52">
        <v>1868</v>
      </c>
      <c r="J299" s="52">
        <v>1920</v>
      </c>
      <c r="K299" s="23">
        <f t="shared" si="40"/>
        <v>-0.0270833333333333</v>
      </c>
      <c r="L299" s="52">
        <v>304</v>
      </c>
      <c r="M299" s="52">
        <v>255</v>
      </c>
      <c r="N299" s="23">
        <f t="shared" si="37"/>
        <v>0.192156862745098</v>
      </c>
      <c r="O299" s="23">
        <f t="shared" si="35"/>
        <v>0.162740899357602</v>
      </c>
      <c r="P299" s="23">
        <f t="shared" si="38"/>
        <v>0.1328125</v>
      </c>
      <c r="Q299" s="25">
        <f t="shared" si="39"/>
        <v>0.225343242221944</v>
      </c>
      <c r="R299" s="40">
        <v>92.18</v>
      </c>
      <c r="S299" s="40">
        <v>65.49</v>
      </c>
      <c r="T299" s="23">
        <f t="shared" si="41"/>
        <v>0.407543136356696</v>
      </c>
      <c r="U299" s="28"/>
      <c r="V299" s="28"/>
    </row>
    <row r="300" ht="19" customHeight="1" spans="1:22">
      <c r="A300" s="29">
        <v>46036</v>
      </c>
      <c r="B300" s="7">
        <v>3450</v>
      </c>
      <c r="C300" s="7">
        <v>3226</v>
      </c>
      <c r="D300" s="20">
        <f t="shared" si="36"/>
        <v>0.069435833849969</v>
      </c>
      <c r="E300" s="37">
        <v>12</v>
      </c>
      <c r="F300" s="35">
        <f t="shared" si="42"/>
        <v>287.5</v>
      </c>
      <c r="G300" s="31">
        <v>0.9302</v>
      </c>
      <c r="H300" s="7">
        <v>11.2</v>
      </c>
      <c r="I300" s="52">
        <v>1751</v>
      </c>
      <c r="J300" s="52">
        <v>1740</v>
      </c>
      <c r="K300" s="23">
        <f t="shared" si="40"/>
        <v>0.00632183908045977</v>
      </c>
      <c r="L300" s="52">
        <v>232</v>
      </c>
      <c r="M300" s="52">
        <v>200</v>
      </c>
      <c r="N300" s="23">
        <f t="shared" si="37"/>
        <v>0.16</v>
      </c>
      <c r="O300" s="23">
        <f t="shared" si="35"/>
        <v>0.132495716733295</v>
      </c>
      <c r="P300" s="23">
        <f t="shared" si="38"/>
        <v>0.114942528735632</v>
      </c>
      <c r="Q300" s="25">
        <f t="shared" si="39"/>
        <v>0.152712735579666</v>
      </c>
      <c r="R300" s="40">
        <v>78.46</v>
      </c>
      <c r="S300" s="40">
        <v>55.03</v>
      </c>
      <c r="T300" s="23">
        <f t="shared" si="41"/>
        <v>0.425767763038343</v>
      </c>
      <c r="U300" s="28"/>
      <c r="V300" s="28"/>
    </row>
    <row r="301" ht="19" customHeight="1" spans="1:22">
      <c r="A301" s="29">
        <v>46037</v>
      </c>
      <c r="B301" s="7">
        <v>3624</v>
      </c>
      <c r="C301" s="7">
        <v>3079</v>
      </c>
      <c r="D301" s="20">
        <f t="shared" si="36"/>
        <v>0.177005521273141</v>
      </c>
      <c r="E301" s="37">
        <v>14</v>
      </c>
      <c r="F301" s="35">
        <f t="shared" si="42"/>
        <v>258.857142857143</v>
      </c>
      <c r="G301" s="31">
        <v>0.9137</v>
      </c>
      <c r="H301" s="7">
        <v>11.69</v>
      </c>
      <c r="I301" s="52">
        <v>1773</v>
      </c>
      <c r="J301" s="52">
        <v>1756</v>
      </c>
      <c r="K301" s="23">
        <f t="shared" si="40"/>
        <v>0.00968109339407745</v>
      </c>
      <c r="L301" s="52">
        <v>256</v>
      </c>
      <c r="M301" s="52">
        <v>233</v>
      </c>
      <c r="N301" s="23">
        <f t="shared" si="37"/>
        <v>0.0987124463519313</v>
      </c>
      <c r="O301" s="23">
        <f t="shared" si="35"/>
        <v>0.1443880428652</v>
      </c>
      <c r="P301" s="23">
        <f t="shared" si="38"/>
        <v>0.132687927107062</v>
      </c>
      <c r="Q301" s="25">
        <f t="shared" si="39"/>
        <v>0.0881776964433097</v>
      </c>
      <c r="R301" s="40">
        <v>82.18</v>
      </c>
      <c r="S301" s="40">
        <v>60.85</v>
      </c>
      <c r="T301" s="23">
        <f t="shared" si="41"/>
        <v>0.350534100246508</v>
      </c>
      <c r="U301" s="28"/>
      <c r="V301" s="28"/>
    </row>
    <row r="302" ht="19" customHeight="1" spans="1:22">
      <c r="A302" s="29">
        <v>46038</v>
      </c>
      <c r="B302" s="7">
        <v>3993</v>
      </c>
      <c r="C302" s="7">
        <v>2722</v>
      </c>
      <c r="D302" s="20">
        <f t="shared" si="36"/>
        <v>0.466936076414401</v>
      </c>
      <c r="E302" s="37">
        <v>12</v>
      </c>
      <c r="F302" s="35">
        <f t="shared" si="42"/>
        <v>332.75</v>
      </c>
      <c r="G302" s="31">
        <v>0.9603</v>
      </c>
      <c r="H302" s="7">
        <v>11.46</v>
      </c>
      <c r="I302" s="52">
        <v>1680</v>
      </c>
      <c r="J302" s="52">
        <v>1560</v>
      </c>
      <c r="K302" s="23">
        <f t="shared" si="40"/>
        <v>0.0769230769230769</v>
      </c>
      <c r="L302" s="52">
        <v>221</v>
      </c>
      <c r="M302" s="52">
        <v>199</v>
      </c>
      <c r="N302" s="23">
        <f t="shared" si="37"/>
        <v>0.110552763819095</v>
      </c>
      <c r="O302" s="23">
        <f t="shared" ref="O302:O316" si="43">L302/I302</f>
        <v>0.131547619047619</v>
      </c>
      <c r="P302" s="23">
        <f t="shared" si="38"/>
        <v>0.127564102564103</v>
      </c>
      <c r="Q302" s="25">
        <f t="shared" si="39"/>
        <v>0.0312275664034459</v>
      </c>
      <c r="R302" s="40">
        <v>61.85</v>
      </c>
      <c r="S302" s="40">
        <v>52.52</v>
      </c>
      <c r="T302" s="23">
        <f t="shared" si="41"/>
        <v>0.177646610814928</v>
      </c>
      <c r="U302" s="28"/>
      <c r="V302" s="28"/>
    </row>
    <row r="303" ht="19" customHeight="1" spans="1:22">
      <c r="A303" s="54">
        <v>46039</v>
      </c>
      <c r="B303" s="55">
        <v>3898</v>
      </c>
      <c r="C303" s="55">
        <v>2920</v>
      </c>
      <c r="D303" s="56">
        <v>0.335</v>
      </c>
      <c r="E303" s="55">
        <v>13</v>
      </c>
      <c r="F303" s="57">
        <v>300</v>
      </c>
      <c r="G303" s="58">
        <v>0.96</v>
      </c>
      <c r="H303" s="55">
        <v>11.93</v>
      </c>
      <c r="I303" s="59">
        <v>1879</v>
      </c>
      <c r="J303" s="59">
        <v>1673</v>
      </c>
      <c r="K303" s="60">
        <v>0.123</v>
      </c>
      <c r="L303" s="59">
        <v>182</v>
      </c>
      <c r="M303" s="59">
        <v>255</v>
      </c>
      <c r="N303" s="60">
        <v>-0.286</v>
      </c>
      <c r="O303" s="60">
        <v>0.097</v>
      </c>
      <c r="P303" s="60">
        <v>0.152</v>
      </c>
      <c r="Q303" s="61">
        <v>-0.365</v>
      </c>
      <c r="R303" s="53">
        <v>56.98</v>
      </c>
      <c r="S303" s="53">
        <v>61.85</v>
      </c>
      <c r="T303" s="60">
        <v>-0.079</v>
      </c>
      <c r="U303" s="62"/>
      <c r="V303" s="62"/>
    </row>
    <row r="304" ht="19" customHeight="1" spans="1:22">
      <c r="A304" s="54">
        <v>46040</v>
      </c>
      <c r="B304" s="55">
        <v>4140</v>
      </c>
      <c r="C304" s="55">
        <v>2876</v>
      </c>
      <c r="D304" s="56">
        <v>0.439</v>
      </c>
      <c r="E304" s="55">
        <v>13</v>
      </c>
      <c r="F304" s="57">
        <v>318</v>
      </c>
      <c r="G304" s="58">
        <v>0.96</v>
      </c>
      <c r="H304" s="55">
        <v>11.44</v>
      </c>
      <c r="I304" s="59">
        <v>2052</v>
      </c>
      <c r="J304" s="59">
        <v>1563</v>
      </c>
      <c r="K304" s="60">
        <v>0.313</v>
      </c>
      <c r="L304" s="59">
        <v>238</v>
      </c>
      <c r="M304" s="59">
        <v>201</v>
      </c>
      <c r="N304" s="60">
        <v>0.184</v>
      </c>
      <c r="O304" s="60">
        <v>0.116</v>
      </c>
      <c r="P304" s="60">
        <v>0.129</v>
      </c>
      <c r="Q304" s="61">
        <v>-0.098</v>
      </c>
      <c r="R304" s="53">
        <v>67.69</v>
      </c>
      <c r="S304" s="53">
        <v>56.97</v>
      </c>
      <c r="T304" s="60">
        <v>0.188</v>
      </c>
      <c r="U304" s="62"/>
      <c r="V304" s="62"/>
    </row>
    <row r="305" ht="19" customHeight="1" spans="1:22">
      <c r="A305" s="29">
        <v>46041</v>
      </c>
      <c r="B305" s="7">
        <v>4218</v>
      </c>
      <c r="C305" s="7">
        <v>2733</v>
      </c>
      <c r="D305" s="20">
        <f t="shared" si="36"/>
        <v>0.543358946212953</v>
      </c>
      <c r="E305" s="37">
        <v>14</v>
      </c>
      <c r="F305" s="35">
        <f t="shared" si="42"/>
        <v>301.285714285714</v>
      </c>
      <c r="G305" s="31">
        <v>0.9533</v>
      </c>
      <c r="H305" s="7">
        <v>11.19</v>
      </c>
      <c r="I305" s="52">
        <v>1994</v>
      </c>
      <c r="J305" s="52">
        <v>1515</v>
      </c>
      <c r="K305" s="23">
        <f t="shared" si="40"/>
        <v>0.316171617161716</v>
      </c>
      <c r="L305" s="52">
        <v>323</v>
      </c>
      <c r="M305" s="52">
        <v>173</v>
      </c>
      <c r="N305" s="23">
        <f t="shared" si="37"/>
        <v>0.867052023121387</v>
      </c>
      <c r="O305" s="23">
        <f t="shared" si="43"/>
        <v>0.161985957873621</v>
      </c>
      <c r="P305" s="23">
        <f t="shared" si="38"/>
        <v>0.114191419141914</v>
      </c>
      <c r="Q305" s="25">
        <f t="shared" si="39"/>
        <v>0.418547550164946</v>
      </c>
      <c r="R305" s="40">
        <v>98.94</v>
      </c>
      <c r="S305" s="40">
        <v>51.75</v>
      </c>
      <c r="T305" s="23">
        <f t="shared" si="41"/>
        <v>0.911884057971014</v>
      </c>
      <c r="U305" s="28"/>
      <c r="V305" s="28"/>
    </row>
    <row r="306" ht="19" customHeight="1" spans="1:22">
      <c r="A306" s="29">
        <v>46042</v>
      </c>
      <c r="B306" s="7">
        <v>4418</v>
      </c>
      <c r="C306" s="7">
        <v>2714</v>
      </c>
      <c r="D306" s="20">
        <f t="shared" si="36"/>
        <v>0.627855563743552</v>
      </c>
      <c r="E306" s="37">
        <v>13</v>
      </c>
      <c r="F306" s="35">
        <f t="shared" si="42"/>
        <v>339.846153846154</v>
      </c>
      <c r="G306" s="31">
        <v>0.96</v>
      </c>
      <c r="H306" s="7">
        <v>11.18</v>
      </c>
      <c r="I306" s="52">
        <v>2096</v>
      </c>
      <c r="J306" s="52">
        <v>1562</v>
      </c>
      <c r="K306" s="23">
        <f t="shared" si="40"/>
        <v>0.341869398207426</v>
      </c>
      <c r="L306" s="52">
        <v>303</v>
      </c>
      <c r="M306" s="52">
        <v>190</v>
      </c>
      <c r="N306" s="23">
        <f t="shared" si="37"/>
        <v>0.594736842105263</v>
      </c>
      <c r="O306" s="23">
        <f t="shared" si="43"/>
        <v>0.14456106870229</v>
      </c>
      <c r="P306" s="23">
        <f t="shared" si="38"/>
        <v>0.121638924455826</v>
      </c>
      <c r="Q306" s="25">
        <f t="shared" si="39"/>
        <v>0.188444154278827</v>
      </c>
      <c r="R306" s="40">
        <v>70.39</v>
      </c>
      <c r="S306" s="40">
        <v>52.52</v>
      </c>
      <c r="T306" s="23">
        <f t="shared" si="41"/>
        <v>0.34025133282559</v>
      </c>
      <c r="U306" s="28"/>
      <c r="V306" s="28"/>
    </row>
    <row r="307" ht="19" customHeight="1" spans="1:22">
      <c r="A307" s="29">
        <v>46043</v>
      </c>
      <c r="B307" s="7">
        <v>3630</v>
      </c>
      <c r="C307" s="7">
        <v>2344</v>
      </c>
      <c r="D307" s="20">
        <f t="shared" si="36"/>
        <v>0.548634812286689</v>
      </c>
      <c r="E307" s="37">
        <v>13</v>
      </c>
      <c r="F307" s="35">
        <f t="shared" si="42"/>
        <v>279.230769230769</v>
      </c>
      <c r="G307" s="31">
        <v>0.9515</v>
      </c>
      <c r="H307" s="7">
        <v>11.4</v>
      </c>
      <c r="I307" s="52">
        <v>1789</v>
      </c>
      <c r="J307" s="52">
        <v>1278</v>
      </c>
      <c r="K307" s="23">
        <f t="shared" si="40"/>
        <v>0.399843505477308</v>
      </c>
      <c r="L307" s="52">
        <v>155</v>
      </c>
      <c r="M307" s="52">
        <v>126</v>
      </c>
      <c r="N307" s="23">
        <f t="shared" si="37"/>
        <v>0.23015873015873</v>
      </c>
      <c r="O307" s="23">
        <f t="shared" si="43"/>
        <v>0.0866405813303522</v>
      </c>
      <c r="P307" s="23">
        <f t="shared" si="38"/>
        <v>0.0985915492957746</v>
      </c>
      <c r="Q307" s="25">
        <f t="shared" si="39"/>
        <v>-0.121216960792142</v>
      </c>
      <c r="R307" s="40">
        <v>50.76</v>
      </c>
      <c r="S307" s="40">
        <v>39.2</v>
      </c>
      <c r="T307" s="23">
        <f t="shared" si="41"/>
        <v>0.294897959183673</v>
      </c>
      <c r="U307" s="28"/>
      <c r="V307" s="28"/>
    </row>
    <row r="308" ht="19" customHeight="1" spans="1:22">
      <c r="A308" s="29">
        <v>46044</v>
      </c>
      <c r="B308" s="7">
        <v>3447</v>
      </c>
      <c r="C308" s="7">
        <v>2154</v>
      </c>
      <c r="D308" s="20">
        <f t="shared" si="36"/>
        <v>0.600278551532033</v>
      </c>
      <c r="E308" s="37">
        <v>13</v>
      </c>
      <c r="F308" s="35">
        <f t="shared" si="42"/>
        <v>265.153846153846</v>
      </c>
      <c r="G308" s="31">
        <v>0.9266</v>
      </c>
      <c r="H308" s="7">
        <v>11.01</v>
      </c>
      <c r="I308" s="52">
        <v>1669</v>
      </c>
      <c r="J308" s="52">
        <v>1218</v>
      </c>
      <c r="K308" s="23">
        <f t="shared" si="40"/>
        <v>0.370279146141215</v>
      </c>
      <c r="L308" s="52">
        <v>175</v>
      </c>
      <c r="M308" s="52">
        <v>139</v>
      </c>
      <c r="N308" s="23">
        <f t="shared" si="37"/>
        <v>0.258992805755396</v>
      </c>
      <c r="O308" s="23">
        <f t="shared" si="43"/>
        <v>0.104853205512283</v>
      </c>
      <c r="P308" s="23">
        <f t="shared" si="38"/>
        <v>0.114121510673235</v>
      </c>
      <c r="Q308" s="25">
        <f t="shared" si="39"/>
        <v>-0.0812143574535219</v>
      </c>
      <c r="R308" s="40">
        <v>59.94</v>
      </c>
      <c r="S308" s="40">
        <v>38.55</v>
      </c>
      <c r="T308" s="23">
        <f t="shared" si="41"/>
        <v>0.554863813229572</v>
      </c>
      <c r="U308" s="28"/>
      <c r="V308" s="28"/>
    </row>
    <row r="309" ht="19" customHeight="1" spans="1:22">
      <c r="A309" s="29">
        <v>46045</v>
      </c>
      <c r="B309" s="7">
        <v>3333</v>
      </c>
      <c r="C309" s="7">
        <v>2096</v>
      </c>
      <c r="D309" s="20">
        <f t="shared" si="36"/>
        <v>0.590171755725191</v>
      </c>
      <c r="E309" s="37">
        <v>13</v>
      </c>
      <c r="F309" s="35">
        <f t="shared" si="42"/>
        <v>256.384615384615</v>
      </c>
      <c r="G309" s="31">
        <v>0.9794</v>
      </c>
      <c r="H309" s="7">
        <v>10.77</v>
      </c>
      <c r="I309" s="52">
        <v>1582</v>
      </c>
      <c r="J309" s="52">
        <v>1129</v>
      </c>
      <c r="K309" s="23">
        <f t="shared" si="40"/>
        <v>0.401240035429584</v>
      </c>
      <c r="L309" s="52">
        <v>160</v>
      </c>
      <c r="M309" s="52">
        <v>108</v>
      </c>
      <c r="N309" s="23">
        <f t="shared" si="37"/>
        <v>0.481481481481481</v>
      </c>
      <c r="O309" s="23">
        <f t="shared" si="43"/>
        <v>0.101137800252844</v>
      </c>
      <c r="P309" s="23">
        <f t="shared" si="38"/>
        <v>0.095659875996457</v>
      </c>
      <c r="Q309" s="25">
        <f t="shared" si="39"/>
        <v>0.0572645970876058</v>
      </c>
      <c r="R309" s="40">
        <v>48.33</v>
      </c>
      <c r="S309" s="40">
        <v>35.45</v>
      </c>
      <c r="T309" s="23">
        <f t="shared" si="41"/>
        <v>0.363328631875881</v>
      </c>
      <c r="U309" s="28"/>
      <c r="V309" s="28"/>
    </row>
    <row r="310" ht="19" customHeight="1" spans="1:22">
      <c r="A310" s="29">
        <v>46046</v>
      </c>
      <c r="B310" s="7">
        <v>3419</v>
      </c>
      <c r="C310" s="7">
        <v>1714</v>
      </c>
      <c r="D310" s="20">
        <f t="shared" si="36"/>
        <v>0.994749124854142</v>
      </c>
      <c r="E310" s="37">
        <v>13</v>
      </c>
      <c r="F310" s="35">
        <f t="shared" si="42"/>
        <v>263</v>
      </c>
      <c r="G310" s="31">
        <v>0.9536</v>
      </c>
      <c r="H310" s="7">
        <v>11.14</v>
      </c>
      <c r="I310" s="52">
        <v>1613</v>
      </c>
      <c r="J310" s="52">
        <v>906</v>
      </c>
      <c r="K310" s="23">
        <f t="shared" si="40"/>
        <v>0.780353200883002</v>
      </c>
      <c r="L310" s="52">
        <v>190</v>
      </c>
      <c r="M310" s="52">
        <v>79</v>
      </c>
      <c r="N310" s="23">
        <f t="shared" si="37"/>
        <v>1.40506329113924</v>
      </c>
      <c r="O310" s="23">
        <f t="shared" si="43"/>
        <v>0.117792932424055</v>
      </c>
      <c r="P310" s="23">
        <f t="shared" si="38"/>
        <v>0.08719646799117</v>
      </c>
      <c r="Q310" s="25">
        <f t="shared" si="39"/>
        <v>0.350891098432828</v>
      </c>
      <c r="R310" s="40">
        <v>115.75</v>
      </c>
      <c r="S310" s="40">
        <v>25.25</v>
      </c>
      <c r="T310" s="23">
        <f t="shared" si="41"/>
        <v>3.58415841584158</v>
      </c>
      <c r="U310" s="28"/>
      <c r="V310" s="28"/>
    </row>
    <row r="311" ht="19" customHeight="1" spans="1:22">
      <c r="A311" s="29">
        <v>46047</v>
      </c>
      <c r="B311" s="7">
        <v>3948</v>
      </c>
      <c r="C311" s="7">
        <v>1806</v>
      </c>
      <c r="D311" s="20">
        <f t="shared" si="36"/>
        <v>1.18604651162791</v>
      </c>
      <c r="E311" s="37">
        <v>15</v>
      </c>
      <c r="F311" s="35">
        <f t="shared" si="42"/>
        <v>263.2</v>
      </c>
      <c r="G311" s="31">
        <v>0.9511</v>
      </c>
      <c r="H311" s="7">
        <v>10.91</v>
      </c>
      <c r="I311" s="52">
        <v>1885</v>
      </c>
      <c r="J311" s="52">
        <v>1017</v>
      </c>
      <c r="K311" s="23">
        <f t="shared" si="40"/>
        <v>0.853490658800393</v>
      </c>
      <c r="L311" s="52">
        <v>395</v>
      </c>
      <c r="M311" s="52">
        <v>69</v>
      </c>
      <c r="N311" s="23">
        <f t="shared" si="37"/>
        <v>4.72463768115942</v>
      </c>
      <c r="O311" s="23">
        <f t="shared" si="43"/>
        <v>0.209549071618037</v>
      </c>
      <c r="P311" s="23">
        <f t="shared" si="38"/>
        <v>0.0678466076696165</v>
      </c>
      <c r="Q311" s="25">
        <f t="shared" si="39"/>
        <v>2.08857109906585</v>
      </c>
      <c r="R311" s="40">
        <v>94.5</v>
      </c>
      <c r="S311" s="40">
        <v>21.77</v>
      </c>
      <c r="T311" s="23">
        <f t="shared" si="41"/>
        <v>3.34083601286174</v>
      </c>
      <c r="U311" s="28"/>
      <c r="V311" s="28"/>
    </row>
    <row r="312" ht="19" customHeight="1" spans="1:22">
      <c r="A312" s="29">
        <v>46048</v>
      </c>
      <c r="B312" s="7">
        <v>3677</v>
      </c>
      <c r="C312" s="7">
        <v>1362</v>
      </c>
      <c r="D312" s="20">
        <f t="shared" si="36"/>
        <v>1.69970631424376</v>
      </c>
      <c r="E312" s="37">
        <v>13</v>
      </c>
      <c r="F312" s="35">
        <f t="shared" si="42"/>
        <v>282.846153846154</v>
      </c>
      <c r="G312" s="31">
        <v>0.9479</v>
      </c>
      <c r="H312" s="7">
        <v>11.4</v>
      </c>
      <c r="I312" s="52">
        <v>1711</v>
      </c>
      <c r="J312" s="52">
        <v>715</v>
      </c>
      <c r="K312" s="23">
        <f t="shared" si="40"/>
        <v>1.39300699300699</v>
      </c>
      <c r="L312" s="52">
        <v>177</v>
      </c>
      <c r="M312" s="52">
        <v>47</v>
      </c>
      <c r="N312" s="23">
        <f t="shared" si="37"/>
        <v>2.76595744680851</v>
      </c>
      <c r="O312" s="23">
        <f t="shared" si="43"/>
        <v>0.103448275862069</v>
      </c>
      <c r="P312" s="23">
        <f t="shared" si="38"/>
        <v>0.0657342657342657</v>
      </c>
      <c r="Q312" s="25">
        <f t="shared" si="39"/>
        <v>0.573734409391049</v>
      </c>
      <c r="R312" s="40">
        <v>55.97</v>
      </c>
      <c r="S312" s="40">
        <v>15.3</v>
      </c>
      <c r="T312" s="23">
        <f t="shared" si="41"/>
        <v>2.65816993464052</v>
      </c>
      <c r="U312" s="28"/>
      <c r="V312" s="28"/>
    </row>
    <row r="313" ht="19" customHeight="1" spans="1:22">
      <c r="A313" s="29">
        <v>46049</v>
      </c>
      <c r="B313" s="7">
        <v>3348</v>
      </c>
      <c r="C313" s="7">
        <v>1179</v>
      </c>
      <c r="D313" s="20">
        <f t="shared" si="36"/>
        <v>1.83969465648855</v>
      </c>
      <c r="E313" s="37">
        <v>12</v>
      </c>
      <c r="F313" s="35">
        <f t="shared" si="42"/>
        <v>279</v>
      </c>
      <c r="G313" s="31">
        <v>0.9488</v>
      </c>
      <c r="H313" s="7">
        <v>11.14</v>
      </c>
      <c r="I313" s="52">
        <v>1546</v>
      </c>
      <c r="J313" s="52">
        <v>649</v>
      </c>
      <c r="K313" s="23">
        <f t="shared" si="40"/>
        <v>1.38212634822804</v>
      </c>
      <c r="L313" s="52">
        <v>129</v>
      </c>
      <c r="M313" s="52">
        <v>52</v>
      </c>
      <c r="N313" s="23">
        <f t="shared" si="37"/>
        <v>1.48076923076923</v>
      </c>
      <c r="O313" s="23">
        <f t="shared" si="43"/>
        <v>0.0834411384217335</v>
      </c>
      <c r="P313" s="23">
        <f t="shared" si="38"/>
        <v>0.0801232665639445</v>
      </c>
      <c r="Q313" s="25">
        <f t="shared" si="39"/>
        <v>0.0414095929943278</v>
      </c>
      <c r="R313" s="40">
        <v>39.6</v>
      </c>
      <c r="S313" s="40">
        <v>15.26</v>
      </c>
      <c r="T313" s="23">
        <f t="shared" si="41"/>
        <v>1.59501965923984</v>
      </c>
      <c r="U313" s="28"/>
      <c r="V313" s="28"/>
    </row>
    <row r="314" ht="19" customHeight="1" spans="1:22">
      <c r="A314" s="29">
        <v>46050</v>
      </c>
      <c r="B314" s="7">
        <v>3196</v>
      </c>
      <c r="C314" s="7">
        <v>878</v>
      </c>
      <c r="D314" s="20">
        <f t="shared" si="36"/>
        <v>2.64009111617312</v>
      </c>
      <c r="E314" s="37">
        <v>12</v>
      </c>
      <c r="F314" s="35">
        <f t="shared" si="42"/>
        <v>266.333333333333</v>
      </c>
      <c r="G314" s="31">
        <v>0.9628</v>
      </c>
      <c r="H314" s="7">
        <v>11.34</v>
      </c>
      <c r="I314" s="52">
        <v>1443</v>
      </c>
      <c r="J314" s="52">
        <v>526</v>
      </c>
      <c r="K314" s="23">
        <f t="shared" si="40"/>
        <v>1.74334600760456</v>
      </c>
      <c r="L314" s="52">
        <v>133</v>
      </c>
      <c r="M314" s="52">
        <v>38</v>
      </c>
      <c r="N314" s="23">
        <f t="shared" si="37"/>
        <v>2.5</v>
      </c>
      <c r="O314" s="23">
        <f t="shared" si="43"/>
        <v>0.0921690921690922</v>
      </c>
      <c r="P314" s="23">
        <f t="shared" si="38"/>
        <v>0.0722433460076046</v>
      </c>
      <c r="Q314" s="25">
        <f t="shared" si="39"/>
        <v>0.275814275814276</v>
      </c>
      <c r="R314" s="40">
        <v>52.23</v>
      </c>
      <c r="S314" s="40">
        <v>11.97</v>
      </c>
      <c r="T314" s="23">
        <f t="shared" si="41"/>
        <v>3.36340852130326</v>
      </c>
      <c r="U314" s="28"/>
      <c r="V314" s="28"/>
    </row>
    <row r="315" ht="19" customHeight="1" spans="1:22">
      <c r="A315" s="29">
        <v>46051</v>
      </c>
      <c r="B315" s="7">
        <v>2959</v>
      </c>
      <c r="C315" s="7">
        <v>667</v>
      </c>
      <c r="D315" s="20">
        <f t="shared" si="36"/>
        <v>3.43628185907046</v>
      </c>
      <c r="E315" s="37">
        <v>13</v>
      </c>
      <c r="F315" s="35">
        <f t="shared" si="42"/>
        <v>227.615384615385</v>
      </c>
      <c r="G315" s="31">
        <v>0.9539</v>
      </c>
      <c r="H315" s="7">
        <v>11.07</v>
      </c>
      <c r="I315" s="52">
        <v>1209</v>
      </c>
      <c r="J315" s="52">
        <v>385</v>
      </c>
      <c r="K315" s="23">
        <f t="shared" si="40"/>
        <v>2.14025974025974</v>
      </c>
      <c r="L315" s="52">
        <v>136</v>
      </c>
      <c r="M315" s="52">
        <v>42</v>
      </c>
      <c r="N315" s="23">
        <f t="shared" si="37"/>
        <v>2.23809523809524</v>
      </c>
      <c r="O315" s="23">
        <f t="shared" si="43"/>
        <v>0.112489660876758</v>
      </c>
      <c r="P315" s="23">
        <f t="shared" si="38"/>
        <v>0.109090909090909</v>
      </c>
      <c r="Q315" s="25">
        <f t="shared" si="39"/>
        <v>0.0311552247036119</v>
      </c>
      <c r="R315" s="40">
        <v>49.48</v>
      </c>
      <c r="S315" s="40">
        <v>12.79</v>
      </c>
      <c r="T315" s="23">
        <f t="shared" si="41"/>
        <v>2.86864738076622</v>
      </c>
      <c r="U315" s="28"/>
      <c r="V315" s="28"/>
    </row>
    <row r="316" ht="19" customHeight="1" spans="1:22">
      <c r="A316" s="29">
        <v>46052</v>
      </c>
      <c r="B316" s="7">
        <v>2843</v>
      </c>
      <c r="C316" s="7">
        <v>938</v>
      </c>
      <c r="D316" s="20">
        <f t="shared" si="36"/>
        <v>2.03091684434968</v>
      </c>
      <c r="E316" s="37">
        <v>13</v>
      </c>
      <c r="F316" s="35">
        <f t="shared" si="42"/>
        <v>218.692307692308</v>
      </c>
      <c r="G316" s="31">
        <v>0.9582</v>
      </c>
      <c r="H316" s="7">
        <v>11.38</v>
      </c>
      <c r="I316" s="52">
        <v>1271</v>
      </c>
      <c r="J316" s="52">
        <v>580</v>
      </c>
      <c r="K316" s="23">
        <f t="shared" si="40"/>
        <v>1.19137931034483</v>
      </c>
      <c r="L316" s="52">
        <v>125</v>
      </c>
      <c r="M316" s="52">
        <v>55</v>
      </c>
      <c r="N316" s="23">
        <f t="shared" si="37"/>
        <v>1.27272727272727</v>
      </c>
      <c r="O316" s="23">
        <f t="shared" si="43"/>
        <v>0.0983477576711251</v>
      </c>
      <c r="P316" s="23">
        <f t="shared" si="38"/>
        <v>0.0948275862068965</v>
      </c>
      <c r="Q316" s="25">
        <f t="shared" si="39"/>
        <v>0.0371218081682283</v>
      </c>
      <c r="R316" s="40">
        <v>44.63</v>
      </c>
      <c r="S316" s="40">
        <v>16.31</v>
      </c>
      <c r="T316" s="23">
        <f t="shared" si="41"/>
        <v>1.73635806253832</v>
      </c>
      <c r="U316" s="28"/>
      <c r="V316" s="28"/>
    </row>
    <row r="317" ht="19" customHeight="1" spans="1:22">
      <c r="A317" s="29">
        <v>46053</v>
      </c>
      <c r="B317" s="7">
        <v>3127</v>
      </c>
      <c r="C317" s="7">
        <v>1016</v>
      </c>
      <c r="D317" s="20">
        <f>(B317-C317)/C317</f>
        <v>2.07775590551181</v>
      </c>
      <c r="E317" s="37">
        <v>11</v>
      </c>
      <c r="F317" s="35">
        <f>B317/E317</f>
        <v>284.272727272727</v>
      </c>
      <c r="G317" s="31">
        <v>0.9603</v>
      </c>
      <c r="H317" s="7">
        <v>10.81</v>
      </c>
      <c r="I317" s="52">
        <v>1353</v>
      </c>
      <c r="J317" s="52">
        <v>619</v>
      </c>
      <c r="K317" s="23">
        <f>(I317-J317)/J317</f>
        <v>1.18578352180937</v>
      </c>
      <c r="L317" s="52">
        <v>150</v>
      </c>
      <c r="M317" s="52">
        <v>61</v>
      </c>
      <c r="N317" s="23">
        <f>(L317-M317)/M317</f>
        <v>1.45901639344262</v>
      </c>
      <c r="O317" s="23">
        <f>L317/I317</f>
        <v>0.110864745011086</v>
      </c>
      <c r="P317" s="23">
        <f>M317/J317</f>
        <v>0.098546042003231</v>
      </c>
      <c r="Q317" s="25">
        <f>(O317-P317)/P317</f>
        <v>0.125004543637091</v>
      </c>
      <c r="R317" s="40">
        <v>0</v>
      </c>
      <c r="S317" s="40">
        <v>19.72</v>
      </c>
      <c r="T317" s="23">
        <f>(R317-S317)/S317</f>
        <v>-1</v>
      </c>
      <c r="U317" s="28"/>
      <c r="V317" s="28"/>
    </row>
    <row r="318" ht="19" customHeight="1" spans="1:22">
      <c r="A318" s="29"/>
      <c r="B318" s="7"/>
      <c r="C318" s="7"/>
      <c r="D318" s="20"/>
      <c r="E318" s="37"/>
      <c r="F318" s="35"/>
      <c r="G318" s="31"/>
      <c r="H318" s="7"/>
      <c r="I318" s="52"/>
      <c r="J318" s="52"/>
      <c r="K318" s="23"/>
      <c r="L318" s="52"/>
      <c r="M318" s="52"/>
      <c r="N318" s="23"/>
      <c r="O318" s="23"/>
      <c r="P318" s="23"/>
      <c r="Q318" s="25"/>
      <c r="R318" s="40"/>
      <c r="S318" s="40"/>
      <c r="T318" s="23"/>
      <c r="U318" s="28"/>
      <c r="V318" s="28"/>
    </row>
    <row r="319" ht="19" customHeight="1" spans="1:22">
      <c r="A319" s="29"/>
      <c r="B319" s="7"/>
      <c r="C319" s="7"/>
      <c r="D319" s="20"/>
      <c r="E319" s="37"/>
      <c r="F319" s="35"/>
      <c r="G319" s="31"/>
      <c r="H319" s="7"/>
      <c r="I319" s="52"/>
      <c r="J319" s="52"/>
      <c r="K319" s="23"/>
      <c r="L319" s="52"/>
      <c r="M319" s="52"/>
      <c r="N319" s="23"/>
      <c r="O319" s="23"/>
      <c r="P319" s="23"/>
      <c r="Q319" s="25"/>
      <c r="R319" s="40"/>
      <c r="S319" s="40"/>
      <c r="T319" s="23"/>
      <c r="U319" s="28"/>
      <c r="V319" s="28"/>
    </row>
    <row r="320" ht="19" customHeight="1" spans="1:22">
      <c r="A320" s="29"/>
      <c r="B320" s="7"/>
      <c r="C320" s="7"/>
      <c r="D320" s="20"/>
      <c r="E320" s="37"/>
      <c r="F320" s="35"/>
      <c r="G320" s="31"/>
      <c r="H320" s="7"/>
      <c r="I320" s="52"/>
      <c r="J320" s="52"/>
      <c r="K320" s="23"/>
      <c r="L320" s="52"/>
      <c r="M320" s="52"/>
      <c r="N320" s="23"/>
      <c r="O320" s="23"/>
      <c r="P320" s="23"/>
      <c r="Q320" s="25"/>
      <c r="R320" s="40"/>
      <c r="S320" s="40"/>
      <c r="T320" s="23"/>
      <c r="U320" s="28"/>
      <c r="V320" s="28"/>
    </row>
    <row r="321" ht="19" customHeight="1" spans="1:22">
      <c r="A321" s="29"/>
      <c r="B321" s="7"/>
      <c r="C321" s="7"/>
      <c r="D321" s="20"/>
      <c r="E321" s="37"/>
      <c r="F321" s="35"/>
      <c r="G321" s="31"/>
      <c r="H321" s="7"/>
      <c r="I321" s="52"/>
      <c r="J321" s="52"/>
      <c r="K321" s="23"/>
      <c r="L321" s="52"/>
      <c r="M321" s="52"/>
      <c r="N321" s="23"/>
      <c r="O321" s="23"/>
      <c r="P321" s="23"/>
      <c r="Q321" s="25"/>
      <c r="R321" s="40"/>
      <c r="S321" s="40"/>
      <c r="T321" s="23"/>
      <c r="U321" s="28"/>
      <c r="V321" s="28"/>
    </row>
    <row r="322" ht="19" customHeight="1" spans="1:22">
      <c r="A322" s="29"/>
      <c r="B322" s="7"/>
      <c r="C322" s="7"/>
      <c r="D322" s="20"/>
      <c r="E322" s="37"/>
      <c r="F322" s="35"/>
      <c r="G322" s="31"/>
      <c r="H322" s="7"/>
      <c r="I322" s="52"/>
      <c r="J322" s="52"/>
      <c r="K322" s="23"/>
      <c r="L322" s="52"/>
      <c r="M322" s="52"/>
      <c r="N322" s="23"/>
      <c r="O322" s="23"/>
      <c r="P322" s="23"/>
      <c r="Q322" s="25"/>
      <c r="R322" s="40"/>
      <c r="S322" s="40"/>
      <c r="T322" s="23"/>
      <c r="U322" s="28"/>
      <c r="V322" s="28"/>
    </row>
    <row r="323" ht="19" customHeight="1" spans="1:22">
      <c r="A323" s="29"/>
      <c r="B323" s="7"/>
      <c r="C323" s="7"/>
      <c r="D323" s="20"/>
      <c r="E323" s="37"/>
      <c r="F323" s="35"/>
      <c r="G323" s="31"/>
      <c r="H323" s="7"/>
      <c r="I323" s="52"/>
      <c r="J323" s="52"/>
      <c r="K323" s="23"/>
      <c r="L323" s="52"/>
      <c r="M323" s="52"/>
      <c r="N323" s="23"/>
      <c r="O323" s="23"/>
      <c r="P323" s="23"/>
      <c r="Q323" s="25"/>
      <c r="R323" s="40"/>
      <c r="S323" s="40"/>
      <c r="T323" s="23"/>
      <c r="U323" s="28"/>
      <c r="V323" s="28"/>
    </row>
    <row r="324" ht="19" customHeight="1" spans="1:22">
      <c r="A324" s="29"/>
      <c r="B324" s="7"/>
      <c r="C324" s="7"/>
      <c r="D324" s="20"/>
      <c r="E324" s="37"/>
      <c r="F324" s="35"/>
      <c r="G324" s="31"/>
      <c r="H324" s="7"/>
      <c r="I324" s="52"/>
      <c r="J324" s="52"/>
      <c r="K324" s="23"/>
      <c r="L324" s="52"/>
      <c r="M324" s="52"/>
      <c r="N324" s="23"/>
      <c r="O324" s="23"/>
      <c r="P324" s="23"/>
      <c r="Q324" s="25"/>
      <c r="R324" s="40"/>
      <c r="S324" s="40"/>
      <c r="T324" s="23"/>
      <c r="U324" s="28"/>
      <c r="V324" s="28"/>
    </row>
    <row r="325" ht="19" customHeight="1" spans="1:22">
      <c r="A325" s="29"/>
      <c r="B325" s="7"/>
      <c r="C325" s="7"/>
      <c r="D325" s="20"/>
      <c r="E325" s="37"/>
      <c r="F325" s="35"/>
      <c r="G325" s="31"/>
      <c r="H325" s="7"/>
      <c r="I325" s="52"/>
      <c r="J325" s="52"/>
      <c r="K325" s="23"/>
      <c r="L325" s="52"/>
      <c r="M325" s="52"/>
      <c r="N325" s="23"/>
      <c r="O325" s="23"/>
      <c r="P325" s="23"/>
      <c r="Q325" s="25"/>
      <c r="R325" s="40"/>
      <c r="S325" s="40"/>
      <c r="T325" s="23"/>
      <c r="U325" s="28"/>
      <c r="V325" s="28"/>
    </row>
    <row r="326" ht="19" customHeight="1" spans="1:22">
      <c r="A326" s="29"/>
      <c r="B326" s="7"/>
      <c r="C326" s="7"/>
      <c r="D326" s="20"/>
      <c r="E326" s="37"/>
      <c r="F326" s="35"/>
      <c r="G326" s="31"/>
      <c r="H326" s="7"/>
      <c r="I326" s="52"/>
      <c r="J326" s="52"/>
      <c r="K326" s="23"/>
      <c r="L326" s="52"/>
      <c r="M326" s="52"/>
      <c r="N326" s="23"/>
      <c r="O326" s="23"/>
      <c r="P326" s="23"/>
      <c r="Q326" s="25"/>
      <c r="R326" s="40"/>
      <c r="S326" s="40"/>
      <c r="T326" s="23"/>
      <c r="U326" s="28"/>
      <c r="V326" s="28"/>
    </row>
    <row r="327" ht="19" customHeight="1" spans="1:22">
      <c r="A327" s="29"/>
      <c r="B327" s="7"/>
      <c r="C327" s="7"/>
      <c r="D327" s="20"/>
      <c r="E327" s="37"/>
      <c r="F327" s="35"/>
      <c r="G327" s="31"/>
      <c r="H327" s="7"/>
      <c r="I327" s="52"/>
      <c r="J327" s="52"/>
      <c r="K327" s="23"/>
      <c r="L327" s="52"/>
      <c r="M327" s="52"/>
      <c r="N327" s="23"/>
      <c r="O327" s="23"/>
      <c r="P327" s="23"/>
      <c r="Q327" s="25"/>
      <c r="R327" s="40"/>
      <c r="S327" s="40"/>
      <c r="T327" s="23"/>
      <c r="U327" s="28"/>
      <c r="V327" s="28"/>
    </row>
    <row r="328" ht="19" customHeight="1" spans="1:22">
      <c r="A328" s="29"/>
      <c r="B328" s="7"/>
      <c r="C328" s="7"/>
      <c r="D328" s="20"/>
      <c r="E328" s="37"/>
      <c r="F328" s="35"/>
      <c r="G328" s="31"/>
      <c r="H328" s="7"/>
      <c r="I328" s="52"/>
      <c r="J328" s="52"/>
      <c r="K328" s="23"/>
      <c r="L328" s="52"/>
      <c r="M328" s="52"/>
      <c r="N328" s="23"/>
      <c r="O328" s="23"/>
      <c r="P328" s="23"/>
      <c r="Q328" s="25"/>
      <c r="R328" s="40"/>
      <c r="S328" s="40"/>
      <c r="T328" s="23"/>
      <c r="U328" s="28"/>
      <c r="V328" s="28"/>
    </row>
    <row r="329" ht="19" customHeight="1" spans="1:22">
      <c r="A329" s="29"/>
      <c r="B329" s="7"/>
      <c r="C329" s="7"/>
      <c r="D329" s="20"/>
      <c r="E329" s="37"/>
      <c r="F329" s="35"/>
      <c r="G329" s="31"/>
      <c r="H329" s="7"/>
      <c r="I329" s="52"/>
      <c r="J329" s="52"/>
      <c r="K329" s="23"/>
      <c r="L329" s="52"/>
      <c r="M329" s="52"/>
      <c r="N329" s="23"/>
      <c r="O329" s="23"/>
      <c r="P329" s="23"/>
      <c r="Q329" s="25"/>
      <c r="R329" s="40"/>
      <c r="S329" s="40"/>
      <c r="T329" s="23"/>
      <c r="U329" s="28"/>
      <c r="V329" s="28"/>
    </row>
  </sheetData>
  <mergeCells count="10">
    <mergeCell ref="B1:H1"/>
    <mergeCell ref="I1:V1"/>
    <mergeCell ref="B2:D2"/>
    <mergeCell ref="E2:F2"/>
    <mergeCell ref="I2:K2"/>
    <mergeCell ref="L2:N2"/>
    <mergeCell ref="O2:Q2"/>
    <mergeCell ref="R2:T2"/>
    <mergeCell ref="U2:V2"/>
    <mergeCell ref="A2:A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416"/>
  <sheetViews>
    <sheetView workbookViewId="0">
      <pane ySplit="1" topLeftCell="A2" activePane="bottomLeft" state="frozen"/>
      <selection/>
      <selection pane="bottomLeft" activeCell="A1" sqref="A1"/>
    </sheetView>
  </sheetViews>
  <sheetFormatPr defaultColWidth="14" defaultRowHeight="12.75"/>
  <cols>
    <col min="1" max="1" width="21" customWidth="1"/>
    <col min="2" max="2" width="17" customWidth="1"/>
    <col min="3" max="3" width="16" customWidth="1"/>
    <col min="4" max="4" width="15" customWidth="1"/>
    <col min="5" max="7" width="23" customWidth="1"/>
    <col min="8" max="11" width="15" customWidth="1"/>
    <col min="12" max="12" width="17" customWidth="1"/>
    <col min="13" max="13" width="29" customWidth="1"/>
    <col min="14" max="20" width="17" customWidth="1"/>
  </cols>
  <sheetData>
    <row r="1" ht="19" customHeight="1" spans="1:20">
      <c r="A1" s="5" t="s">
        <v>9</v>
      </c>
      <c r="B1" s="5" t="s">
        <v>327</v>
      </c>
      <c r="C1" s="5" t="s">
        <v>328</v>
      </c>
      <c r="D1" s="5" t="s">
        <v>329</v>
      </c>
      <c r="E1" s="5" t="s">
        <v>330</v>
      </c>
      <c r="F1" s="5" t="s">
        <v>331</v>
      </c>
      <c r="G1" s="5" t="s">
        <v>332</v>
      </c>
      <c r="H1" s="5" t="s">
        <v>333</v>
      </c>
      <c r="I1" s="5" t="s">
        <v>334</v>
      </c>
      <c r="J1" s="5" t="s">
        <v>335</v>
      </c>
      <c r="K1" s="5" t="s">
        <v>336</v>
      </c>
      <c r="L1" s="5" t="s">
        <v>337</v>
      </c>
      <c r="M1" s="5" t="s">
        <v>338</v>
      </c>
      <c r="N1" s="5" t="s">
        <v>1</v>
      </c>
      <c r="O1" s="5" t="s">
        <v>1</v>
      </c>
      <c r="P1" s="5" t="s">
        <v>1</v>
      </c>
      <c r="Q1" s="5" t="s">
        <v>1</v>
      </c>
      <c r="R1" s="5" t="s">
        <v>1</v>
      </c>
      <c r="S1" s="5" t="s">
        <v>1</v>
      </c>
      <c r="T1" s="5" t="s">
        <v>1</v>
      </c>
    </row>
    <row r="2" ht="19" customHeight="1" spans="1:20">
      <c r="A2" s="6">
        <v>45243</v>
      </c>
      <c r="B2" s="4">
        <v>100039707007</v>
      </c>
      <c r="C2" s="4" t="s">
        <v>339</v>
      </c>
      <c r="D2" s="4">
        <v>276</v>
      </c>
      <c r="E2" s="4">
        <v>756297.98</v>
      </c>
      <c r="F2" s="4">
        <v>760117.8</v>
      </c>
      <c r="G2" s="4">
        <v>-3819.82</v>
      </c>
      <c r="H2" s="4">
        <v>34989.8</v>
      </c>
      <c r="I2" s="4">
        <v>0</v>
      </c>
      <c r="J2" s="4">
        <v>0</v>
      </c>
      <c r="K2" s="4">
        <v>9.53</v>
      </c>
      <c r="L2" s="1" t="str">
        <f>VLOOKUP(B2,SKU匹配表!A:D,4,0)</f>
        <v>燃气热水器</v>
      </c>
      <c r="M2" s="5" t="str">
        <f>VLOOKUP(B2,SKU匹配表!A:C,3,0)</f>
        <v>16GD31</v>
      </c>
    </row>
    <row r="3" ht="19" customHeight="1" spans="1:20">
      <c r="A3" s="6">
        <v>45243</v>
      </c>
      <c r="B3" s="4">
        <v>100048028229</v>
      </c>
      <c r="C3" s="4" t="s">
        <v>340</v>
      </c>
      <c r="D3" s="4">
        <v>252</v>
      </c>
      <c r="E3" s="4">
        <v>587578.87</v>
      </c>
      <c r="F3" s="4">
        <v>622200.6</v>
      </c>
      <c r="G3" s="4">
        <v>-34621.73</v>
      </c>
      <c r="H3" s="4">
        <v>32877</v>
      </c>
      <c r="I3" s="4">
        <v>0</v>
      </c>
      <c r="J3" s="4">
        <v>0</v>
      </c>
      <c r="K3" s="4">
        <v>18.23</v>
      </c>
      <c r="L3" s="1" t="str">
        <f>VLOOKUP(B3,SKU匹配表!A:D,4,0)</f>
        <v>燃气热水器</v>
      </c>
      <c r="M3" s="5" t="str">
        <f>VLOOKUP(B3,SKU匹配表!A:C,3,0)</f>
        <v>13GD31</v>
      </c>
    </row>
    <row r="4" ht="19" customHeight="1" spans="1:20">
      <c r="A4" s="6">
        <v>45243</v>
      </c>
      <c r="B4" s="4">
        <v>100039706989</v>
      </c>
      <c r="C4" s="4" t="s">
        <v>341</v>
      </c>
      <c r="D4" s="4">
        <v>107</v>
      </c>
      <c r="E4" s="4">
        <v>320096.4</v>
      </c>
      <c r="F4" s="4">
        <v>315013.35</v>
      </c>
      <c r="G4" s="4">
        <v>5083.05</v>
      </c>
      <c r="H4" s="4">
        <v>32610</v>
      </c>
      <c r="I4" s="4">
        <v>0</v>
      </c>
      <c r="J4" s="4">
        <v>0</v>
      </c>
      <c r="K4" s="4">
        <v>15.94</v>
      </c>
      <c r="L4" s="1" t="str">
        <f>VLOOKUP(B4,SKU匹配表!A:D,4,0)</f>
        <v>燃气热水器</v>
      </c>
      <c r="M4" s="5" t="str">
        <f>VLOOKUP(B4,SKU匹配表!A:C,3,0)</f>
        <v>16GD32</v>
      </c>
    </row>
    <row r="5" ht="19" customHeight="1" spans="1:20">
      <c r="A5" s="6">
        <v>45243</v>
      </c>
      <c r="B5" s="4">
        <v>100012048672</v>
      </c>
      <c r="C5" s="4" t="s">
        <v>342</v>
      </c>
      <c r="D5" s="4">
        <v>64</v>
      </c>
      <c r="E5" s="4">
        <v>183690.21</v>
      </c>
      <c r="F5" s="4">
        <v>184896</v>
      </c>
      <c r="G5" s="4">
        <v>-1205.79</v>
      </c>
      <c r="H5" s="4">
        <v>8092</v>
      </c>
      <c r="I5" s="4">
        <v>0</v>
      </c>
      <c r="J5" s="4">
        <v>0</v>
      </c>
      <c r="K5" s="4">
        <v>10.84</v>
      </c>
      <c r="L5" s="1" t="str">
        <f>VLOOKUP(B5,SKU匹配表!A:D,4,0)</f>
        <v>燃气热水器</v>
      </c>
      <c r="M5" s="5" t="str">
        <f>VLOOKUP(B5,SKU匹配表!A:C,3,0)</f>
        <v>16QC05</v>
      </c>
    </row>
    <row r="6" ht="19" customHeight="1" spans="1:20">
      <c r="A6" s="6">
        <v>45243</v>
      </c>
      <c r="B6" s="4">
        <v>100009176306</v>
      </c>
      <c r="C6" s="4" t="s">
        <v>343</v>
      </c>
      <c r="D6" s="4">
        <v>62</v>
      </c>
      <c r="E6" s="4">
        <v>237633.48</v>
      </c>
      <c r="F6" s="4">
        <v>240870.2069</v>
      </c>
      <c r="G6" s="4">
        <v>-3236.7269</v>
      </c>
      <c r="H6" s="4">
        <v>20004</v>
      </c>
      <c r="I6" s="4">
        <v>0</v>
      </c>
      <c r="J6" s="4">
        <v>0</v>
      </c>
      <c r="K6" s="4">
        <v>31.28</v>
      </c>
      <c r="L6" s="1" t="str">
        <f>VLOOKUP(B6,SKU匹配表!A:D,4,0)</f>
        <v>燃气热水器</v>
      </c>
      <c r="M6" s="5" t="str">
        <f>VLOOKUP(B6,SKU匹配表!A:C,3,0)</f>
        <v>16QD06W</v>
      </c>
    </row>
    <row r="7" ht="19" customHeight="1" spans="1:20">
      <c r="A7" s="6">
        <v>45243</v>
      </c>
      <c r="B7" s="4">
        <v>100048028257</v>
      </c>
      <c r="C7" s="4" t="s">
        <v>344</v>
      </c>
      <c r="D7" s="4">
        <v>61</v>
      </c>
      <c r="E7" s="4">
        <v>160843.62</v>
      </c>
      <c r="F7" s="4">
        <v>167997.05</v>
      </c>
      <c r="G7" s="4">
        <v>-7153.43</v>
      </c>
      <c r="H7" s="4">
        <v>7792</v>
      </c>
      <c r="I7" s="4">
        <v>0</v>
      </c>
      <c r="J7" s="4">
        <v>0</v>
      </c>
      <c r="K7" s="4">
        <v>16.36</v>
      </c>
      <c r="L7" s="1" t="str">
        <f>VLOOKUP(B7,SKU匹配表!A:D,4,0)</f>
        <v>燃气热水器</v>
      </c>
      <c r="M7" s="5" t="str">
        <f>VLOOKUP(B7,SKU匹配表!A:C,3,0)</f>
        <v>13GD32</v>
      </c>
    </row>
    <row r="8" ht="19" customHeight="1" spans="1:20">
      <c r="A8" s="6">
        <v>45243</v>
      </c>
      <c r="B8" s="4">
        <v>100012048688</v>
      </c>
      <c r="C8" s="4" t="s">
        <v>345</v>
      </c>
      <c r="D8" s="4">
        <v>45</v>
      </c>
      <c r="E8" s="4">
        <v>111136.75</v>
      </c>
      <c r="F8" s="4">
        <v>110880.0001</v>
      </c>
      <c r="G8" s="4">
        <v>256.7499</v>
      </c>
      <c r="H8" s="4">
        <v>5952</v>
      </c>
      <c r="I8" s="4">
        <v>0</v>
      </c>
      <c r="J8" s="4">
        <v>0</v>
      </c>
      <c r="K8" s="4">
        <v>36</v>
      </c>
      <c r="L8" s="1" t="str">
        <f>VLOOKUP(B8,SKU匹配表!A:D,4,0)</f>
        <v>燃气热水器</v>
      </c>
      <c r="M8" s="5" t="str">
        <f>VLOOKUP(B8,SKU匹配表!A:C,3,0)</f>
        <v>13QC05</v>
      </c>
    </row>
    <row r="9" ht="19" customHeight="1" spans="1:20">
      <c r="A9" s="6">
        <v>45243</v>
      </c>
      <c r="B9" s="4">
        <v>100007725035</v>
      </c>
      <c r="C9" s="4" t="s">
        <v>346</v>
      </c>
      <c r="D9" s="4">
        <v>34</v>
      </c>
      <c r="E9" s="4">
        <v>97762.89</v>
      </c>
      <c r="F9" s="4">
        <v>103668.7178</v>
      </c>
      <c r="G9" s="4">
        <v>-5905.8278</v>
      </c>
      <c r="H9" s="4">
        <v>10049</v>
      </c>
      <c r="I9" s="4">
        <v>0</v>
      </c>
      <c r="J9" s="4">
        <v>0</v>
      </c>
      <c r="K9" s="4">
        <v>41.46</v>
      </c>
      <c r="L9" s="1" t="str">
        <f>VLOOKUP(B9,SKU匹配表!A:D,4,0)</f>
        <v>燃气热水器</v>
      </c>
      <c r="M9" s="5" t="str">
        <f>VLOOKUP(B9,SKU匹配表!A:C,3,0)</f>
        <v>16QD31</v>
      </c>
    </row>
    <row r="10" ht="19" customHeight="1" spans="1:20">
      <c r="A10" s="6">
        <v>45243</v>
      </c>
      <c r="B10" s="4">
        <v>100056736113</v>
      </c>
      <c r="C10" s="4" t="s">
        <v>347</v>
      </c>
      <c r="D10" s="4">
        <v>30</v>
      </c>
      <c r="E10" s="4">
        <v>141304.32</v>
      </c>
      <c r="F10" s="4">
        <v>128484</v>
      </c>
      <c r="G10" s="4">
        <v>12820.32</v>
      </c>
      <c r="H10" s="4">
        <v>11567</v>
      </c>
      <c r="I10" s="4">
        <v>0</v>
      </c>
      <c r="J10" s="4">
        <v>0</v>
      </c>
      <c r="K10" s="4">
        <v>19.23</v>
      </c>
      <c r="L10" s="1" t="str">
        <f>VLOOKUP(B10,SKU匹配表!A:D,4,0)</f>
        <v>燃气热水器</v>
      </c>
      <c r="M10" s="5" t="str">
        <f>VLOOKUP(B10,SKU匹配表!A:C,3,0)</f>
        <v>16GD61R</v>
      </c>
    </row>
    <row r="11" ht="19" customHeight="1" spans="1:20">
      <c r="A11" s="6">
        <v>45243</v>
      </c>
      <c r="B11" s="4">
        <v>100009176278</v>
      </c>
      <c r="C11" s="4" t="s">
        <v>348</v>
      </c>
      <c r="D11" s="4">
        <v>20</v>
      </c>
      <c r="E11" s="4">
        <v>59285.91</v>
      </c>
      <c r="F11" s="4">
        <v>62360.0116</v>
      </c>
      <c r="G11" s="4">
        <v>-3074.1016</v>
      </c>
      <c r="H11" s="4">
        <v>6180</v>
      </c>
      <c r="I11" s="4">
        <v>0</v>
      </c>
      <c r="J11" s="4">
        <v>0</v>
      </c>
      <c r="K11" s="4">
        <v>18.7</v>
      </c>
      <c r="L11" s="1" t="str">
        <f>VLOOKUP(B11,SKU匹配表!A:D,4,0)</f>
        <v>燃气热水器</v>
      </c>
      <c r="M11" s="5" t="str">
        <f>VLOOKUP(B11,SKU匹配表!A:C,3,0)</f>
        <v>13QD06W</v>
      </c>
    </row>
    <row r="12" ht="19" customHeight="1" spans="1:20">
      <c r="A12" s="6">
        <v>45243</v>
      </c>
      <c r="B12" s="4">
        <v>100038009912</v>
      </c>
      <c r="C12" s="4" t="s">
        <v>349</v>
      </c>
      <c r="D12" s="4">
        <v>15</v>
      </c>
      <c r="E12" s="4">
        <v>13303.77</v>
      </c>
      <c r="F12" s="4">
        <v>22787.5914</v>
      </c>
      <c r="G12" s="4">
        <v>-9483.8214</v>
      </c>
      <c r="H12" s="4">
        <v>1037</v>
      </c>
      <c r="I12" s="4">
        <v>0</v>
      </c>
      <c r="J12" s="4">
        <v>139.86</v>
      </c>
      <c r="K12" s="4">
        <v>15.86</v>
      </c>
      <c r="L12" s="1" t="str">
        <f>VLOOKUP(B12,SKU匹配表!A:D,4,0)</f>
        <v>烟灶</v>
      </c>
      <c r="M12" s="5" t="str">
        <f>VLOOKUP(B12,SKU匹配表!A:C,3,0)</f>
        <v>2E08MT</v>
      </c>
    </row>
    <row r="13" ht="19" customHeight="1" spans="1:20">
      <c r="A13" s="6">
        <v>45243</v>
      </c>
      <c r="B13" s="4">
        <v>100012689724</v>
      </c>
      <c r="C13" s="4" t="s">
        <v>350</v>
      </c>
      <c r="D13" s="4">
        <v>12</v>
      </c>
      <c r="E13" s="4">
        <v>14873.6282</v>
      </c>
      <c r="F13" s="4">
        <v>14280.0046</v>
      </c>
      <c r="G13" s="4">
        <v>593.6236</v>
      </c>
      <c r="H13" s="4">
        <v>651</v>
      </c>
      <c r="I13" s="4">
        <v>0</v>
      </c>
      <c r="J13" s="4">
        <v>0</v>
      </c>
      <c r="K13" s="4">
        <v>39.5</v>
      </c>
      <c r="L13" s="1" t="str">
        <f>VLOOKUP(B13,SKU匹配表!A:D,4,0)</f>
        <v>燃气热水器</v>
      </c>
      <c r="M13" s="5" t="str">
        <f>VLOOKUP(B13,SKU匹配表!A:C,3,0)</f>
        <v>SG</v>
      </c>
    </row>
    <row r="14" ht="19" customHeight="1" spans="1:20">
      <c r="A14" s="6">
        <v>45243</v>
      </c>
      <c r="B14" s="4">
        <v>100061470016</v>
      </c>
      <c r="C14" s="4" t="s">
        <v>351</v>
      </c>
      <c r="D14" s="4">
        <v>12</v>
      </c>
      <c r="E14" s="4">
        <v>47408.84</v>
      </c>
      <c r="F14" s="4">
        <v>48355.2</v>
      </c>
      <c r="G14" s="4">
        <v>-946.36</v>
      </c>
      <c r="H14" s="4">
        <v>3920</v>
      </c>
      <c r="I14" s="4">
        <v>0</v>
      </c>
      <c r="J14" s="4">
        <v>0</v>
      </c>
      <c r="K14" s="4">
        <v>0</v>
      </c>
      <c r="L14" s="1" t="str">
        <f>VLOOKUP(B14,SKU匹配表!A:D,4,0)</f>
        <v>燃气热水器</v>
      </c>
      <c r="M14" s="5" t="str">
        <f>VLOOKUP(B14,SKU匹配表!A:C,3,0)</f>
        <v>16QC06</v>
      </c>
    </row>
    <row r="15" ht="19" customHeight="1" spans="1:20">
      <c r="A15" s="6">
        <v>45243</v>
      </c>
      <c r="B15" s="4">
        <v>100010633262</v>
      </c>
      <c r="C15" s="4" t="s">
        <v>352</v>
      </c>
      <c r="D15" s="4">
        <v>11</v>
      </c>
      <c r="E15" s="4">
        <v>11989</v>
      </c>
      <c r="F15" s="4">
        <v>25069</v>
      </c>
      <c r="G15" s="4">
        <v>-13080</v>
      </c>
      <c r="H15" s="4">
        <v>600</v>
      </c>
      <c r="I15" s="4">
        <v>0</v>
      </c>
      <c r="J15" s="4">
        <v>0</v>
      </c>
      <c r="K15" s="4">
        <v>0</v>
      </c>
      <c r="L15" s="1" t="str">
        <f>VLOOKUP(B15,SKU匹配表!A:D,4,0)</f>
        <v>烟灶</v>
      </c>
      <c r="M15" s="5" t="str">
        <f>VLOOKUP(B15,SKU匹配表!A:C,3,0)</f>
        <v>2E01LT</v>
      </c>
    </row>
    <row r="16" ht="19" customHeight="1" spans="1:20">
      <c r="A16" s="6">
        <v>45243</v>
      </c>
      <c r="B16" s="4">
        <v>100007725017</v>
      </c>
      <c r="C16" s="4" t="s">
        <v>353</v>
      </c>
      <c r="D16" s="4">
        <v>9</v>
      </c>
      <c r="E16" s="4">
        <v>23405.85</v>
      </c>
      <c r="F16" s="4">
        <v>23616.4279</v>
      </c>
      <c r="G16" s="4">
        <v>-210.5779</v>
      </c>
      <c r="H16" s="4">
        <v>1369</v>
      </c>
      <c r="I16" s="4">
        <v>0</v>
      </c>
      <c r="J16" s="4">
        <v>0</v>
      </c>
      <c r="K16" s="4">
        <v>41.2</v>
      </c>
      <c r="L16" s="1" t="str">
        <f>VLOOKUP(B16,SKU匹配表!A:D,4,0)</f>
        <v>燃气热水器</v>
      </c>
      <c r="M16" s="5" t="str">
        <f>VLOOKUP(B16,SKU匹配表!A:C,3,0)</f>
        <v>13QD31</v>
      </c>
    </row>
    <row r="17" ht="19" customHeight="1" spans="1:13">
      <c r="A17" s="6">
        <v>45243</v>
      </c>
      <c r="B17" s="4">
        <v>100061470014</v>
      </c>
      <c r="C17" s="4" t="s">
        <v>354</v>
      </c>
      <c r="D17" s="4">
        <v>9</v>
      </c>
      <c r="E17" s="4">
        <v>27606</v>
      </c>
      <c r="F17" s="4">
        <v>28814.4</v>
      </c>
      <c r="G17" s="4">
        <v>-1208.4</v>
      </c>
      <c r="H17" s="4">
        <v>2714</v>
      </c>
      <c r="I17" s="4">
        <v>0</v>
      </c>
      <c r="J17" s="4">
        <v>0</v>
      </c>
      <c r="K17" s="4">
        <v>0</v>
      </c>
      <c r="L17" s="1" t="str">
        <f>VLOOKUP(B17,SKU匹配表!A:D,4,0)</f>
        <v>燃气热水器</v>
      </c>
      <c r="M17" s="5" t="str">
        <f>VLOOKUP(B17,SKU匹配表!A:C,3,0)</f>
        <v>13QC06</v>
      </c>
    </row>
    <row r="18" ht="19" customHeight="1" spans="1:13">
      <c r="A18" s="6">
        <v>45243</v>
      </c>
      <c r="B18" s="4">
        <v>100007649009</v>
      </c>
      <c r="C18" s="4" t="s">
        <v>343</v>
      </c>
      <c r="D18" s="4">
        <v>8</v>
      </c>
      <c r="E18" s="4">
        <v>30692.33</v>
      </c>
      <c r="F18" s="4">
        <v>34160</v>
      </c>
      <c r="G18" s="4">
        <v>-3467.67</v>
      </c>
      <c r="H18" s="4">
        <v>2404</v>
      </c>
      <c r="I18" s="4">
        <v>0</v>
      </c>
      <c r="J18" s="4">
        <v>0</v>
      </c>
      <c r="K18" s="4">
        <v>0</v>
      </c>
      <c r="L18" s="1" t="str">
        <f>VLOOKUP(B18,SKU匹配表!A:D,4,0)</f>
        <v>燃气热水器</v>
      </c>
      <c r="M18" s="5" t="str">
        <f>VLOOKUP(B18,SKU匹配表!A:C,3,0)</f>
        <v>16QD06W</v>
      </c>
    </row>
    <row r="19" ht="19" customHeight="1" spans="1:13">
      <c r="A19" s="6">
        <v>45243</v>
      </c>
      <c r="B19" s="4">
        <v>100018607305</v>
      </c>
      <c r="C19" s="4" t="s">
        <v>355</v>
      </c>
      <c r="D19" s="4">
        <v>7</v>
      </c>
      <c r="E19" s="4">
        <v>5.73</v>
      </c>
      <c r="F19" s="4">
        <v>7</v>
      </c>
      <c r="G19" s="4">
        <v>-1.27</v>
      </c>
      <c r="H19" s="4">
        <v>0</v>
      </c>
      <c r="I19" s="4">
        <v>0</v>
      </c>
      <c r="J19" s="4">
        <v>0</v>
      </c>
      <c r="K19" s="4">
        <v>0</v>
      </c>
      <c r="L19" s="1" t="str">
        <f>VLOOKUP(B19,SKU匹配表!A:D,4,0)</f>
        <v>其他</v>
      </c>
      <c r="M19" s="5" t="str">
        <f>VLOOKUP(B19,SKU匹配表!A:C,3,0)</f>
        <v>其他</v>
      </c>
    </row>
    <row r="20" ht="19" customHeight="1" spans="1:13">
      <c r="A20" s="6">
        <v>45243</v>
      </c>
      <c r="B20" s="4">
        <v>100023723341</v>
      </c>
      <c r="C20" s="4" t="s">
        <v>356</v>
      </c>
      <c r="D20" s="4">
        <v>6</v>
      </c>
      <c r="E20" s="4">
        <v>11273.11</v>
      </c>
      <c r="F20" s="4">
        <v>17664</v>
      </c>
      <c r="G20" s="4">
        <v>-6390.89</v>
      </c>
      <c r="H20" s="4">
        <v>120</v>
      </c>
      <c r="I20" s="4">
        <v>0</v>
      </c>
      <c r="J20" s="4">
        <v>0</v>
      </c>
      <c r="K20" s="4">
        <v>0</v>
      </c>
      <c r="L20" s="1" t="str">
        <f>VLOOKUP(B20,SKU匹配表!A:D,4,0)</f>
        <v>电热</v>
      </c>
      <c r="M20" s="5" t="str">
        <f>VLOOKUP(B20,SKU匹配表!A:C,3,0)</f>
        <v>DSG60-DE07PN</v>
      </c>
    </row>
    <row r="21" ht="19" customHeight="1" spans="1:13">
      <c r="A21" s="6">
        <v>45243</v>
      </c>
      <c r="B21" s="4">
        <v>100052638196</v>
      </c>
      <c r="C21" s="4" t="s">
        <v>344</v>
      </c>
      <c r="D21" s="4">
        <v>6</v>
      </c>
      <c r="E21" s="4">
        <v>15854</v>
      </c>
      <c r="F21" s="4">
        <v>16524.3</v>
      </c>
      <c r="G21" s="4">
        <v>-670.3</v>
      </c>
      <c r="H21" s="4">
        <v>840</v>
      </c>
      <c r="I21" s="4">
        <v>0</v>
      </c>
      <c r="J21" s="4">
        <v>0</v>
      </c>
      <c r="K21" s="4">
        <v>0</v>
      </c>
      <c r="L21" s="1" t="str">
        <f>VLOOKUP(B21,SKU匹配表!A:D,4,0)</f>
        <v>燃气热水器</v>
      </c>
      <c r="M21" s="5" t="str">
        <f>VLOOKUP(B21,SKU匹配表!A:C,3,0)</f>
        <v>13GD32</v>
      </c>
    </row>
    <row r="22" ht="19" customHeight="1" spans="1:13">
      <c r="A22" s="6">
        <v>45243</v>
      </c>
      <c r="B22" s="4">
        <v>100003152535</v>
      </c>
      <c r="C22" s="4" t="s">
        <v>357</v>
      </c>
      <c r="D22" s="4">
        <v>5</v>
      </c>
      <c r="E22" s="4">
        <v>41976</v>
      </c>
      <c r="F22" s="4">
        <v>39045.4</v>
      </c>
      <c r="G22" s="4">
        <v>2930.6</v>
      </c>
      <c r="H22" s="4">
        <v>2019</v>
      </c>
      <c r="I22" s="4">
        <v>0</v>
      </c>
      <c r="J22" s="4">
        <v>0</v>
      </c>
      <c r="K22" s="4">
        <v>0</v>
      </c>
      <c r="L22" s="1" t="str">
        <f>VLOOKUP(B22,SKU匹配表!A:D,4,0)</f>
        <v>壁挂炉</v>
      </c>
      <c r="M22" s="5" t="str">
        <f>VLOOKUP(B22,SKU匹配表!A:C,3,0)</f>
        <v>24C33</v>
      </c>
    </row>
    <row r="23" ht="19" customHeight="1" spans="1:13">
      <c r="A23" s="6">
        <v>45243</v>
      </c>
      <c r="B23" s="4">
        <v>100013985394</v>
      </c>
      <c r="C23" s="4" t="s">
        <v>358</v>
      </c>
      <c r="D23" s="4">
        <v>5</v>
      </c>
      <c r="E23" s="4">
        <v>12568.18</v>
      </c>
      <c r="F23" s="4">
        <v>11845.0008</v>
      </c>
      <c r="G23" s="4">
        <v>723.1792</v>
      </c>
      <c r="H23" s="4">
        <v>600</v>
      </c>
      <c r="I23" s="4">
        <v>0</v>
      </c>
      <c r="J23" s="4">
        <v>0</v>
      </c>
      <c r="K23" s="4">
        <v>34.4</v>
      </c>
      <c r="L23" s="1" t="str">
        <f>VLOOKUP(B23,SKU匹配表!A:D,4,0)</f>
        <v>燃气热水器</v>
      </c>
      <c r="M23" s="5" t="str">
        <f>VLOOKUP(B23,SKU匹配表!A:C,3,0)</f>
        <v>11QD31</v>
      </c>
    </row>
    <row r="24" ht="19" customHeight="1" spans="1:13">
      <c r="A24" s="6">
        <v>45243</v>
      </c>
      <c r="B24" s="4">
        <v>100020691862</v>
      </c>
      <c r="C24" s="4" t="s">
        <v>359</v>
      </c>
      <c r="D24" s="4">
        <v>5</v>
      </c>
      <c r="E24" s="4">
        <v>12934.48</v>
      </c>
      <c r="F24" s="4">
        <v>12820</v>
      </c>
      <c r="G24" s="4">
        <v>114.48</v>
      </c>
      <c r="H24" s="4">
        <v>660</v>
      </c>
      <c r="I24" s="4">
        <v>0</v>
      </c>
      <c r="J24" s="4">
        <v>0</v>
      </c>
      <c r="K24" s="4">
        <v>0</v>
      </c>
      <c r="L24" s="1" t="str">
        <f>VLOOKUP(B24,SKU匹配表!A:D,4,0)</f>
        <v>烟灶</v>
      </c>
      <c r="M24" s="5" t="str">
        <f>VLOOKUP(B24,SKU匹配表!A:C,3,0)</f>
        <v>2E03LS</v>
      </c>
    </row>
    <row r="25" ht="19" customHeight="1" spans="1:13">
      <c r="A25" s="6">
        <v>45243</v>
      </c>
      <c r="B25" s="4">
        <v>100023723363</v>
      </c>
      <c r="C25" s="4" t="s">
        <v>360</v>
      </c>
      <c r="D25" s="4">
        <v>5</v>
      </c>
      <c r="E25" s="4">
        <v>8995</v>
      </c>
      <c r="F25" s="4">
        <v>10920.25</v>
      </c>
      <c r="G25" s="4">
        <v>-1925.25</v>
      </c>
      <c r="H25" s="4">
        <v>0</v>
      </c>
      <c r="I25" s="4">
        <v>0</v>
      </c>
      <c r="J25" s="4">
        <v>0</v>
      </c>
      <c r="K25" s="4">
        <v>0</v>
      </c>
      <c r="L25" s="1" t="str">
        <f>VLOOKUP(B25,SKU匹配表!A:D,4,0)</f>
        <v>电热</v>
      </c>
      <c r="M25" s="5" t="str">
        <f>VLOOKUP(B25,SKU匹配表!A:C,3,0)</f>
        <v>DSG60-DE06PN</v>
      </c>
    </row>
    <row r="26" ht="19" customHeight="1" spans="1:13">
      <c r="A26" s="6">
        <v>45243</v>
      </c>
      <c r="B26" s="4">
        <v>100061989051</v>
      </c>
      <c r="C26" s="4" t="s">
        <v>361</v>
      </c>
      <c r="D26" s="4">
        <v>5</v>
      </c>
      <c r="E26" s="4">
        <v>10199.2526</v>
      </c>
      <c r="F26" s="4">
        <v>12345.25</v>
      </c>
      <c r="G26" s="4">
        <v>-2145.9974</v>
      </c>
      <c r="H26" s="4">
        <v>483</v>
      </c>
      <c r="I26" s="4">
        <v>0</v>
      </c>
      <c r="J26" s="4">
        <v>0</v>
      </c>
      <c r="K26" s="4">
        <v>0</v>
      </c>
      <c r="L26" s="1" t="e">
        <f>VLOOKUP(B26,SKU匹配表!A:D,4,0)</f>
        <v>#N/A</v>
      </c>
      <c r="M26" s="5" t="e">
        <f>VLOOKUP(B26,SKU匹配表!A:C,3,0)</f>
        <v>#N/A</v>
      </c>
    </row>
    <row r="27" ht="19" customHeight="1" spans="1:13">
      <c r="A27" s="6">
        <v>45243</v>
      </c>
      <c r="B27" s="4">
        <v>100066733312</v>
      </c>
      <c r="C27" s="4" t="s">
        <v>362</v>
      </c>
      <c r="D27" s="4">
        <v>5</v>
      </c>
      <c r="E27" s="4">
        <v>6090</v>
      </c>
      <c r="F27" s="4">
        <v>8545.25</v>
      </c>
      <c r="G27" s="4">
        <v>-2455.25</v>
      </c>
      <c r="H27" s="4">
        <v>500</v>
      </c>
      <c r="I27" s="4">
        <v>0</v>
      </c>
      <c r="J27" s="4">
        <v>0</v>
      </c>
      <c r="K27" s="4">
        <v>0</v>
      </c>
      <c r="L27" s="1" t="str">
        <f>VLOOKUP(B27,SKU匹配表!A:D,4,0)</f>
        <v>烟灶</v>
      </c>
      <c r="M27" s="5" t="str">
        <f>VLOOKUP(B27,SKU匹配表!A:C,3,0)</f>
        <v>2E08MTX</v>
      </c>
    </row>
    <row r="28" ht="19" customHeight="1" spans="1:13">
      <c r="A28" s="6">
        <v>45243</v>
      </c>
      <c r="B28" s="4">
        <v>100002444086</v>
      </c>
      <c r="C28" s="4" t="s">
        <v>363</v>
      </c>
      <c r="D28" s="4">
        <v>4</v>
      </c>
      <c r="E28" s="4">
        <v>392</v>
      </c>
      <c r="F28" s="4">
        <v>380</v>
      </c>
      <c r="G28" s="4">
        <v>12</v>
      </c>
      <c r="H28" s="4">
        <v>0</v>
      </c>
      <c r="I28" s="4">
        <v>0</v>
      </c>
      <c r="J28" s="4">
        <v>0</v>
      </c>
      <c r="K28" s="4">
        <v>0</v>
      </c>
      <c r="L28" s="1" t="str">
        <f>VLOOKUP(B28,SKU匹配表!A:D,4,0)</f>
        <v>定金</v>
      </c>
      <c r="M28" s="5" t="str">
        <f>VLOOKUP(B28,SKU匹配表!A:C,3,0)</f>
        <v>定金</v>
      </c>
    </row>
    <row r="29" ht="19" customHeight="1" spans="1:13">
      <c r="A29" s="6">
        <v>45243</v>
      </c>
      <c r="B29" s="4">
        <v>100007648993</v>
      </c>
      <c r="C29" s="4" t="s">
        <v>348</v>
      </c>
      <c r="D29" s="4">
        <v>4</v>
      </c>
      <c r="E29" s="4">
        <v>12037</v>
      </c>
      <c r="F29" s="4">
        <v>13636</v>
      </c>
      <c r="G29" s="4">
        <v>-1599</v>
      </c>
      <c r="H29" s="4">
        <v>1167</v>
      </c>
      <c r="I29" s="4">
        <v>0</v>
      </c>
      <c r="J29" s="4">
        <v>0</v>
      </c>
      <c r="K29" s="4">
        <v>0</v>
      </c>
      <c r="L29" s="1" t="str">
        <f>VLOOKUP(B29,SKU匹配表!A:D,4,0)</f>
        <v>燃气热水器</v>
      </c>
      <c r="M29" s="5" t="str">
        <f>VLOOKUP(B29,SKU匹配表!A:C,3,0)</f>
        <v>13QD06W</v>
      </c>
    </row>
    <row r="30" ht="19" customHeight="1" spans="1:13">
      <c r="A30" s="6">
        <v>45243</v>
      </c>
      <c r="B30" s="4">
        <v>100007649003</v>
      </c>
      <c r="C30" s="4" t="s">
        <v>364</v>
      </c>
      <c r="D30" s="4">
        <v>4</v>
      </c>
      <c r="E30" s="4">
        <v>9289.7</v>
      </c>
      <c r="F30" s="4">
        <v>10436</v>
      </c>
      <c r="G30" s="4">
        <v>-1146.3</v>
      </c>
      <c r="H30" s="4">
        <v>260</v>
      </c>
      <c r="I30" s="4">
        <v>0</v>
      </c>
      <c r="J30" s="4">
        <v>0</v>
      </c>
      <c r="K30" s="4">
        <v>0</v>
      </c>
      <c r="L30" s="1" t="str">
        <f>VLOOKUP(B30,SKU匹配表!A:D,4,0)</f>
        <v>燃气热水器</v>
      </c>
      <c r="M30" s="5" t="str">
        <f>VLOOKUP(B30,SKU匹配表!A:C,3,0)</f>
        <v>13QD01</v>
      </c>
    </row>
    <row r="31" ht="19" customHeight="1" spans="1:13">
      <c r="A31" s="6">
        <v>45243</v>
      </c>
      <c r="B31" s="4">
        <v>100024530025</v>
      </c>
      <c r="C31" s="4" t="s">
        <v>365</v>
      </c>
      <c r="D31" s="4">
        <v>4</v>
      </c>
      <c r="E31" s="4">
        <v>6065.03</v>
      </c>
      <c r="F31" s="4">
        <v>11600</v>
      </c>
      <c r="G31" s="4">
        <v>-5534.97</v>
      </c>
      <c r="H31" s="4">
        <v>480</v>
      </c>
      <c r="I31" s="4">
        <v>0</v>
      </c>
      <c r="J31" s="4">
        <v>50.97</v>
      </c>
      <c r="K31" s="4">
        <v>0</v>
      </c>
      <c r="L31" s="1" t="str">
        <f>VLOOKUP(B31,SKU匹配表!A:D,4,0)</f>
        <v>烟灶</v>
      </c>
      <c r="M31" s="5" t="str">
        <f>VLOOKUP(B31,SKU匹配表!A:C,3,0)</f>
        <v>NM10T</v>
      </c>
    </row>
    <row r="32" ht="19" customHeight="1" spans="1:13">
      <c r="A32" s="6">
        <v>45243</v>
      </c>
      <c r="B32" s="4">
        <v>100033816230</v>
      </c>
      <c r="C32" s="4" t="s">
        <v>366</v>
      </c>
      <c r="D32" s="4">
        <v>4</v>
      </c>
      <c r="E32" s="4">
        <v>30168.67</v>
      </c>
      <c r="F32" s="4">
        <v>30016.2</v>
      </c>
      <c r="G32" s="4">
        <v>152.47</v>
      </c>
      <c r="H32" s="4">
        <v>2293</v>
      </c>
      <c r="I32" s="4">
        <v>0</v>
      </c>
      <c r="J32" s="4">
        <v>0</v>
      </c>
      <c r="K32" s="4">
        <v>0</v>
      </c>
      <c r="L32" s="1" t="str">
        <f>VLOOKUP(B32,SKU匹配表!A:D,4,0)</f>
        <v>壁挂炉</v>
      </c>
      <c r="M32" s="5" t="str">
        <f>VLOOKUP(B32,SKU匹配表!A:C,3,0)</f>
        <v>24C30</v>
      </c>
    </row>
    <row r="33" ht="19" customHeight="1" spans="1:13">
      <c r="A33" s="6">
        <v>45243</v>
      </c>
      <c r="B33" s="4">
        <v>100044938343</v>
      </c>
      <c r="C33" s="4" t="s">
        <v>367</v>
      </c>
      <c r="D33" s="4">
        <v>4</v>
      </c>
      <c r="E33" s="4">
        <v>32407.03</v>
      </c>
      <c r="F33" s="4">
        <v>32596</v>
      </c>
      <c r="G33" s="4">
        <v>-188.97</v>
      </c>
      <c r="H33" s="4">
        <v>1759</v>
      </c>
      <c r="I33" s="4">
        <v>0</v>
      </c>
      <c r="J33" s="4">
        <v>257.97</v>
      </c>
      <c r="K33" s="4">
        <v>0</v>
      </c>
      <c r="L33" s="1" t="str">
        <f>VLOOKUP(B33,SKU匹配表!A:D,4,0)</f>
        <v>壁挂炉</v>
      </c>
      <c r="M33" s="5" t="str">
        <f>VLOOKUP(B33,SKU匹配表!A:C,3,0)</f>
        <v>24C39</v>
      </c>
    </row>
    <row r="34" ht="19" customHeight="1" spans="1:13">
      <c r="A34" s="6">
        <v>45243</v>
      </c>
      <c r="B34" s="4">
        <v>100055128198</v>
      </c>
      <c r="C34" s="4" t="s">
        <v>368</v>
      </c>
      <c r="D34" s="4">
        <v>4</v>
      </c>
      <c r="E34" s="4">
        <v>17981</v>
      </c>
      <c r="F34" s="4">
        <v>32596</v>
      </c>
      <c r="G34" s="4">
        <v>-14615</v>
      </c>
      <c r="H34" s="4">
        <v>14823</v>
      </c>
      <c r="I34" s="4">
        <v>0</v>
      </c>
      <c r="J34" s="4">
        <v>0</v>
      </c>
      <c r="K34" s="4">
        <v>0</v>
      </c>
      <c r="L34" s="1" t="e">
        <f>VLOOKUP(B34,SKU匹配表!A:D,4,0)</f>
        <v>#N/A</v>
      </c>
      <c r="M34" s="5" t="e">
        <f>VLOOKUP(B34,SKU匹配表!A:C,3,0)</f>
        <v>#N/A</v>
      </c>
    </row>
    <row r="35" ht="19" customHeight="1" spans="1:13">
      <c r="A35" s="6">
        <v>45243</v>
      </c>
      <c r="B35" s="4">
        <v>100059353151</v>
      </c>
      <c r="C35" s="4" t="s">
        <v>347</v>
      </c>
      <c r="D35" s="4">
        <v>4</v>
      </c>
      <c r="E35" s="4">
        <v>18960</v>
      </c>
      <c r="F35" s="4">
        <v>17131.2</v>
      </c>
      <c r="G35" s="4">
        <v>1828.8</v>
      </c>
      <c r="H35" s="4">
        <v>1320</v>
      </c>
      <c r="I35" s="4">
        <v>0</v>
      </c>
      <c r="J35" s="4">
        <v>0</v>
      </c>
      <c r="K35" s="4">
        <v>0</v>
      </c>
      <c r="L35" s="1" t="str">
        <f>VLOOKUP(B35,SKU匹配表!A:D,4,0)</f>
        <v>燃气热水器</v>
      </c>
      <c r="M35" s="5" t="str">
        <f>VLOOKUP(B35,SKU匹配表!A:C,3,0)</f>
        <v>16GD61R</v>
      </c>
    </row>
    <row r="36" ht="19" customHeight="1" spans="1:13">
      <c r="A36" s="6">
        <v>45243</v>
      </c>
      <c r="B36" s="4">
        <v>100007648991</v>
      </c>
      <c r="C36" s="4" t="s">
        <v>369</v>
      </c>
      <c r="D36" s="4">
        <v>3</v>
      </c>
      <c r="E36" s="4">
        <v>6127</v>
      </c>
      <c r="F36" s="4">
        <v>6804</v>
      </c>
      <c r="G36" s="4">
        <v>-677</v>
      </c>
      <c r="H36" s="4">
        <v>140</v>
      </c>
      <c r="I36" s="4">
        <v>0</v>
      </c>
      <c r="J36" s="4">
        <v>0</v>
      </c>
      <c r="K36" s="4">
        <v>0</v>
      </c>
      <c r="L36" s="1" t="str">
        <f>VLOOKUP(B36,SKU匹配表!A:D,4,0)</f>
        <v>燃气热水器</v>
      </c>
      <c r="M36" s="5" t="str">
        <f>VLOOKUP(B36,SKU匹配表!A:C,3,0)</f>
        <v>10QD01</v>
      </c>
    </row>
    <row r="37" ht="19" customHeight="1" spans="1:13">
      <c r="A37" s="6">
        <v>45243</v>
      </c>
      <c r="B37" s="4">
        <v>100023723347</v>
      </c>
      <c r="C37" s="4" t="s">
        <v>370</v>
      </c>
      <c r="D37" s="4">
        <v>3</v>
      </c>
      <c r="E37" s="4">
        <v>4856.4</v>
      </c>
      <c r="F37" s="4">
        <v>7977.15</v>
      </c>
      <c r="G37" s="4">
        <v>-3120.75</v>
      </c>
      <c r="H37" s="4">
        <v>240</v>
      </c>
      <c r="I37" s="4">
        <v>0</v>
      </c>
      <c r="J37" s="4">
        <v>0</v>
      </c>
      <c r="K37" s="4">
        <v>0</v>
      </c>
      <c r="L37" s="1" t="str">
        <f>VLOOKUP(B37,SKU匹配表!A:D,4,0)</f>
        <v>电热</v>
      </c>
      <c r="M37" s="5" t="str">
        <f>VLOOKUP(B37,SKU匹配表!A:C,3,0)</f>
        <v>DSG50-DE07PN</v>
      </c>
    </row>
    <row r="38" ht="19" customHeight="1" spans="1:13">
      <c r="A38" s="6">
        <v>45243</v>
      </c>
      <c r="B38" s="4">
        <v>100052638194</v>
      </c>
      <c r="C38" s="4" t="s">
        <v>340</v>
      </c>
      <c r="D38" s="4">
        <v>3</v>
      </c>
      <c r="E38" s="4">
        <v>7127</v>
      </c>
      <c r="F38" s="4">
        <v>7407.15</v>
      </c>
      <c r="G38" s="4">
        <v>-280.15</v>
      </c>
      <c r="H38" s="4">
        <v>360</v>
      </c>
      <c r="I38" s="4">
        <v>0</v>
      </c>
      <c r="J38" s="4">
        <v>0</v>
      </c>
      <c r="K38" s="4">
        <v>0</v>
      </c>
      <c r="L38" s="1" t="str">
        <f>VLOOKUP(B38,SKU匹配表!A:D,4,0)</f>
        <v>燃气热水器</v>
      </c>
      <c r="M38" s="5" t="str">
        <f>VLOOKUP(B38,SKU匹配表!A:C,3,0)</f>
        <v>13GD31</v>
      </c>
    </row>
    <row r="39" ht="19" customHeight="1" spans="1:13">
      <c r="A39" s="6">
        <v>45243</v>
      </c>
      <c r="B39" s="4">
        <v>100058904275</v>
      </c>
      <c r="C39" s="4" t="s">
        <v>339</v>
      </c>
      <c r="D39" s="4">
        <v>3</v>
      </c>
      <c r="E39" s="4">
        <v>8208.21</v>
      </c>
      <c r="F39" s="4">
        <v>8262.15</v>
      </c>
      <c r="G39" s="4">
        <v>-53.94</v>
      </c>
      <c r="H39" s="4">
        <v>480</v>
      </c>
      <c r="I39" s="4">
        <v>0</v>
      </c>
      <c r="J39" s="4">
        <v>0</v>
      </c>
      <c r="K39" s="4">
        <v>0</v>
      </c>
      <c r="L39" s="1" t="str">
        <f>VLOOKUP(B39,SKU匹配表!A:D,4,0)</f>
        <v>燃气热水器</v>
      </c>
      <c r="M39" s="5" t="str">
        <f>VLOOKUP(B39,SKU匹配表!A:C,3,0)</f>
        <v>16GD31</v>
      </c>
    </row>
    <row r="40" ht="19" customHeight="1" spans="1:13">
      <c r="A40" s="6">
        <v>45243</v>
      </c>
      <c r="B40" s="4">
        <v>100007178207</v>
      </c>
      <c r="C40" s="4" t="s">
        <v>348</v>
      </c>
      <c r="D40" s="4">
        <v>2</v>
      </c>
      <c r="E40" s="4">
        <v>5925</v>
      </c>
      <c r="F40" s="4">
        <v>6236</v>
      </c>
      <c r="G40" s="4">
        <v>-311</v>
      </c>
      <c r="H40" s="4">
        <v>875</v>
      </c>
      <c r="I40" s="4">
        <v>0</v>
      </c>
      <c r="J40" s="4">
        <v>0</v>
      </c>
      <c r="K40" s="4">
        <v>0</v>
      </c>
      <c r="L40" s="1" t="str">
        <f>VLOOKUP(B40,SKU匹配表!A:D,4,0)</f>
        <v>燃气热水器</v>
      </c>
      <c r="M40" s="5" t="str">
        <f>VLOOKUP(B40,SKU匹配表!A:C,3,0)</f>
        <v>13QD06W</v>
      </c>
    </row>
    <row r="41" ht="19" customHeight="1" spans="1:13">
      <c r="A41" s="6">
        <v>45243</v>
      </c>
      <c r="B41" s="4">
        <v>100007726501</v>
      </c>
      <c r="C41" s="4" t="s">
        <v>371</v>
      </c>
      <c r="D41" s="4">
        <v>2</v>
      </c>
      <c r="E41" s="4">
        <v>4951</v>
      </c>
      <c r="F41" s="4">
        <v>4568</v>
      </c>
      <c r="G41" s="4">
        <v>383</v>
      </c>
      <c r="H41" s="4">
        <v>240</v>
      </c>
      <c r="I41" s="4">
        <v>0</v>
      </c>
      <c r="J41" s="4">
        <v>0</v>
      </c>
      <c r="K41" s="4">
        <v>66.5</v>
      </c>
      <c r="L41" s="1" t="str">
        <f>VLOOKUP(B41,SKU匹配表!A:D,4,0)</f>
        <v>燃气热水器</v>
      </c>
      <c r="M41" s="5" t="str">
        <f>VLOOKUP(B41,SKU匹配表!A:C,3,0)</f>
        <v>10QD31</v>
      </c>
    </row>
    <row r="42" ht="19" customHeight="1" spans="1:13">
      <c r="A42" s="6">
        <v>45243</v>
      </c>
      <c r="B42" s="4">
        <v>100044938307</v>
      </c>
      <c r="C42" s="4" t="s">
        <v>372</v>
      </c>
      <c r="D42" s="4">
        <v>2</v>
      </c>
      <c r="E42" s="4">
        <v>18455.99</v>
      </c>
      <c r="F42" s="4">
        <v>18498</v>
      </c>
      <c r="G42" s="4">
        <v>-42.01</v>
      </c>
      <c r="H42" s="4">
        <v>970</v>
      </c>
      <c r="I42" s="4">
        <v>0</v>
      </c>
      <c r="J42" s="4">
        <v>0</v>
      </c>
      <c r="K42" s="4">
        <v>0</v>
      </c>
      <c r="L42" s="1" t="str">
        <f>VLOOKUP(B42,SKU匹配表!A:D,4,0)</f>
        <v>壁挂炉</v>
      </c>
      <c r="M42" s="5" t="str">
        <f>VLOOKUP(B42,SKU匹配表!A:C,3,0)</f>
        <v>28C39</v>
      </c>
    </row>
    <row r="43" ht="19" customHeight="1" spans="1:13">
      <c r="A43" s="6">
        <v>45243</v>
      </c>
      <c r="B43" s="4">
        <v>100048630889</v>
      </c>
      <c r="C43" s="4" t="s">
        <v>373</v>
      </c>
      <c r="D43" s="4">
        <v>2</v>
      </c>
      <c r="E43" s="4">
        <v>8962.9</v>
      </c>
      <c r="F43" s="4">
        <v>9878.1</v>
      </c>
      <c r="G43" s="4">
        <v>-915.2</v>
      </c>
      <c r="H43" s="4">
        <v>435.1</v>
      </c>
      <c r="I43" s="4">
        <v>0</v>
      </c>
      <c r="J43" s="4">
        <v>0</v>
      </c>
      <c r="K43" s="4">
        <v>0</v>
      </c>
      <c r="L43" s="1" t="str">
        <f>VLOOKUP(B43,SKU匹配表!A:D,4,0)</f>
        <v>烟灶</v>
      </c>
      <c r="M43" s="5" t="str">
        <f>VLOOKUP(B43,SKU匹配表!A:C,3,0)</f>
        <v>NM11T+2E03LS</v>
      </c>
    </row>
    <row r="44" ht="19" customHeight="1" spans="1:13">
      <c r="A44" s="6">
        <v>45243</v>
      </c>
      <c r="B44" s="4">
        <v>100052638198</v>
      </c>
      <c r="C44" s="4" t="s">
        <v>374</v>
      </c>
      <c r="D44" s="4">
        <v>2</v>
      </c>
      <c r="E44" s="4">
        <v>5898</v>
      </c>
      <c r="F44" s="4">
        <v>5888.1</v>
      </c>
      <c r="G44" s="4">
        <v>9.9</v>
      </c>
      <c r="H44" s="4">
        <v>600</v>
      </c>
      <c r="I44" s="4">
        <v>0</v>
      </c>
      <c r="J44" s="4">
        <v>0</v>
      </c>
      <c r="K44" s="4">
        <v>0</v>
      </c>
      <c r="L44" s="1" t="str">
        <f>VLOOKUP(B44,SKU匹配表!A:D,4,0)</f>
        <v>燃气热水器</v>
      </c>
      <c r="M44" s="5" t="str">
        <f>VLOOKUP(B44,SKU匹配表!A:C,3,0)</f>
        <v>16GD32</v>
      </c>
    </row>
    <row r="45" ht="19" customHeight="1" spans="1:13">
      <c r="A45" s="6">
        <v>45243</v>
      </c>
      <c r="B45" s="4">
        <v>100061989131</v>
      </c>
      <c r="C45" s="4" t="s">
        <v>375</v>
      </c>
      <c r="D45" s="4">
        <v>2</v>
      </c>
      <c r="E45" s="4">
        <v>4511.58</v>
      </c>
      <c r="F45" s="4">
        <v>5508.1</v>
      </c>
      <c r="G45" s="4">
        <v>-996.52</v>
      </c>
      <c r="H45" s="4">
        <v>163</v>
      </c>
      <c r="I45" s="4">
        <v>0</v>
      </c>
      <c r="J45" s="4">
        <v>0</v>
      </c>
      <c r="K45" s="4">
        <v>0</v>
      </c>
      <c r="L45" s="1" t="e">
        <f>VLOOKUP(B45,SKU匹配表!A:D,4,0)</f>
        <v>#N/A</v>
      </c>
      <c r="M45" s="5" t="e">
        <f>VLOOKUP(B45,SKU匹配表!A:C,3,0)</f>
        <v>#N/A</v>
      </c>
    </row>
    <row r="46" ht="19" customHeight="1" spans="1:13">
      <c r="A46" s="6">
        <v>45243</v>
      </c>
      <c r="B46" s="4">
        <v>100012868940</v>
      </c>
      <c r="C46" s="4" t="s">
        <v>376</v>
      </c>
      <c r="D46" s="4">
        <v>1</v>
      </c>
      <c r="E46" s="4">
        <v>3897</v>
      </c>
      <c r="F46" s="4">
        <v>3885.029</v>
      </c>
      <c r="G46" s="4">
        <v>11.971</v>
      </c>
      <c r="H46" s="4">
        <v>213</v>
      </c>
      <c r="I46" s="4">
        <v>0</v>
      </c>
      <c r="J46" s="4">
        <v>0</v>
      </c>
      <c r="K46" s="4">
        <v>0</v>
      </c>
      <c r="L46" s="1" t="str">
        <f>VLOOKUP(B46,SKU匹配表!A:D,4,0)</f>
        <v>燃气热水器</v>
      </c>
      <c r="M46" s="5" t="str">
        <f>VLOOKUP(B46,SKU匹配表!A:C,3,0)</f>
        <v>16QD06W+SG</v>
      </c>
    </row>
    <row r="47" ht="19" customHeight="1" spans="1:13">
      <c r="A47" s="6">
        <v>45243</v>
      </c>
      <c r="B47" s="4">
        <v>100012934637</v>
      </c>
      <c r="C47" s="4" t="s">
        <v>377</v>
      </c>
      <c r="D47" s="4">
        <v>1</v>
      </c>
      <c r="E47" s="4">
        <v>12599</v>
      </c>
      <c r="F47" s="4">
        <v>12159.05</v>
      </c>
      <c r="G47" s="4">
        <v>439.95</v>
      </c>
      <c r="H47" s="4">
        <v>400</v>
      </c>
      <c r="I47" s="4">
        <v>0</v>
      </c>
      <c r="J47" s="4">
        <v>0</v>
      </c>
      <c r="K47" s="4">
        <v>0</v>
      </c>
      <c r="L47" s="1" t="str">
        <f>VLOOKUP(B47,SKU匹配表!A:D,4,0)</f>
        <v>壁挂炉</v>
      </c>
      <c r="M47" s="5" t="str">
        <f>VLOOKUP(B47,SKU匹配表!A:C,3,0)</f>
        <v>35C66L</v>
      </c>
    </row>
    <row r="48" ht="19" customHeight="1" spans="1:13">
      <c r="A48" s="6">
        <v>45243</v>
      </c>
      <c r="B48" s="4">
        <v>100013112736</v>
      </c>
      <c r="C48" s="4" t="s">
        <v>378</v>
      </c>
      <c r="D48" s="4">
        <v>1</v>
      </c>
      <c r="E48" s="4">
        <v>2597</v>
      </c>
      <c r="F48" s="4">
        <v>2889</v>
      </c>
      <c r="G48" s="4">
        <v>-292</v>
      </c>
      <c r="H48" s="4">
        <v>210</v>
      </c>
      <c r="I48" s="4">
        <v>0</v>
      </c>
      <c r="J48" s="4">
        <v>0</v>
      </c>
      <c r="K48" s="4">
        <v>0</v>
      </c>
      <c r="L48" s="1" t="str">
        <f>VLOOKUP(B48,SKU匹配表!A:D,4,0)</f>
        <v>燃气热水器</v>
      </c>
      <c r="M48" s="5" t="str">
        <f>VLOOKUP(B48,SKU匹配表!A:C,3,0)</f>
        <v>16QC05+SG</v>
      </c>
    </row>
    <row r="49" ht="19" customHeight="1" spans="1:13">
      <c r="A49" s="6">
        <v>45243</v>
      </c>
      <c r="B49" s="4">
        <v>100014130481</v>
      </c>
      <c r="C49" s="4" t="s">
        <v>379</v>
      </c>
      <c r="D49" s="4">
        <v>1</v>
      </c>
      <c r="E49" s="4">
        <v>1554</v>
      </c>
      <c r="F49" s="4">
        <v>1614</v>
      </c>
      <c r="G49" s="4">
        <v>-60</v>
      </c>
      <c r="H49" s="4">
        <v>145</v>
      </c>
      <c r="I49" s="4">
        <v>0</v>
      </c>
      <c r="J49" s="4">
        <v>0</v>
      </c>
      <c r="K49" s="4">
        <v>0</v>
      </c>
      <c r="L49" s="1" t="str">
        <f>VLOOKUP(B49,SKU匹配表!A:D,4,0)</f>
        <v>净水器</v>
      </c>
      <c r="M49" s="5" t="str">
        <f>VLOOKUP(B49,SKU匹配表!A:C,3,0)</f>
        <v>RWTS-RO63-D</v>
      </c>
    </row>
    <row r="50" ht="19" customHeight="1" spans="1:13">
      <c r="A50" s="6">
        <v>45243</v>
      </c>
      <c r="B50" s="4">
        <v>100014171250</v>
      </c>
      <c r="C50" s="4" t="s">
        <v>380</v>
      </c>
      <c r="D50" s="4">
        <v>1</v>
      </c>
      <c r="E50" s="4">
        <v>3898</v>
      </c>
      <c r="F50" s="4">
        <v>4229</v>
      </c>
      <c r="G50" s="4">
        <v>-331</v>
      </c>
      <c r="H50" s="4">
        <v>300</v>
      </c>
      <c r="I50" s="4">
        <v>0</v>
      </c>
      <c r="J50" s="4">
        <v>0</v>
      </c>
      <c r="K50" s="4">
        <v>0</v>
      </c>
      <c r="L50" s="1" t="str">
        <f>VLOOKUP(B50,SKU匹配表!A:D,4,0)</f>
        <v>燃气热水器</v>
      </c>
      <c r="M50" s="5" t="str">
        <f>VLOOKUP(B50,SKU匹配表!A:C,3,0)</f>
        <v>16QD31+SG</v>
      </c>
    </row>
    <row r="51" ht="19" customHeight="1" spans="1:13">
      <c r="A51" s="6">
        <v>45243</v>
      </c>
      <c r="B51" s="4">
        <v>100014171252</v>
      </c>
      <c r="C51" s="4" t="s">
        <v>381</v>
      </c>
      <c r="D51" s="4">
        <v>1</v>
      </c>
      <c r="E51" s="4">
        <v>3498</v>
      </c>
      <c r="F51" s="4">
        <v>4179</v>
      </c>
      <c r="G51" s="4">
        <v>-681</v>
      </c>
      <c r="H51" s="4">
        <v>300</v>
      </c>
      <c r="I51" s="4">
        <v>0</v>
      </c>
      <c r="J51" s="4">
        <v>0</v>
      </c>
      <c r="K51" s="4">
        <v>0</v>
      </c>
      <c r="L51" s="1" t="str">
        <f>VLOOKUP(B51,SKU匹配表!A:D,4,0)</f>
        <v>燃气热水器</v>
      </c>
      <c r="M51" s="5" t="str">
        <f>VLOOKUP(B51,SKU匹配表!A:C,3,0)</f>
        <v>13QD31+SG</v>
      </c>
    </row>
    <row r="52" ht="19" customHeight="1" spans="1:13">
      <c r="A52" s="6">
        <v>45243</v>
      </c>
      <c r="B52" s="4">
        <v>100014671660</v>
      </c>
      <c r="C52" s="4" t="s">
        <v>382</v>
      </c>
      <c r="D52" s="4">
        <v>1</v>
      </c>
      <c r="E52" s="4">
        <v>1999</v>
      </c>
      <c r="F52" s="4">
        <v>1519</v>
      </c>
      <c r="G52" s="4">
        <v>480</v>
      </c>
      <c r="H52" s="4">
        <v>0</v>
      </c>
      <c r="I52" s="4">
        <v>0</v>
      </c>
      <c r="J52" s="4">
        <v>0</v>
      </c>
      <c r="K52" s="4">
        <v>0</v>
      </c>
      <c r="L52" s="1" t="str">
        <f>VLOOKUP(B52,SKU匹配表!A:D,4,0)</f>
        <v>电热</v>
      </c>
      <c r="M52" s="5" t="str">
        <f>VLOOKUP(B52,SKU匹配表!A:C,3,0)</f>
        <v>DSG50-E02P</v>
      </c>
    </row>
    <row r="53" ht="19" customHeight="1" spans="1:13">
      <c r="A53" s="6">
        <v>45243</v>
      </c>
      <c r="B53" s="4">
        <v>100018559870</v>
      </c>
      <c r="C53" s="4" t="s">
        <v>383</v>
      </c>
      <c r="D53" s="4">
        <v>1</v>
      </c>
      <c r="E53" s="4">
        <v>9398</v>
      </c>
      <c r="F53" s="4">
        <v>9119.05</v>
      </c>
      <c r="G53" s="4">
        <v>278.95</v>
      </c>
      <c r="H53" s="4">
        <v>400</v>
      </c>
      <c r="I53" s="4">
        <v>0</v>
      </c>
      <c r="J53" s="4">
        <v>0</v>
      </c>
      <c r="K53" s="4">
        <v>0</v>
      </c>
      <c r="L53" s="1" t="str">
        <f>VLOOKUP(B53,SKU匹配表!A:D,4,0)</f>
        <v>壁挂炉</v>
      </c>
      <c r="M53" s="5" t="str">
        <f>VLOOKUP(B53,SKU匹配表!A:C,3,0)</f>
        <v>24C33+SG</v>
      </c>
    </row>
    <row r="54" ht="19" customHeight="1" spans="1:13">
      <c r="A54" s="6">
        <v>45243</v>
      </c>
      <c r="B54" s="4">
        <v>100022495217</v>
      </c>
      <c r="C54" s="4" t="s">
        <v>384</v>
      </c>
      <c r="D54" s="4">
        <v>1</v>
      </c>
      <c r="E54" s="4">
        <v>1298.99</v>
      </c>
      <c r="F54" s="4">
        <v>2659.05</v>
      </c>
      <c r="G54" s="4">
        <v>-1360.06</v>
      </c>
      <c r="H54" s="4">
        <v>100</v>
      </c>
      <c r="I54" s="4">
        <v>0</v>
      </c>
      <c r="J54" s="4">
        <v>0</v>
      </c>
      <c r="K54" s="4">
        <v>0</v>
      </c>
      <c r="L54" s="1" t="str">
        <f>VLOOKUP(B54,SKU匹配表!A:D,4,0)</f>
        <v>烟灶</v>
      </c>
      <c r="M54" s="5" t="str">
        <f>VLOOKUP(B54,SKU匹配表!A:C,3,0)</f>
        <v>NMW21J</v>
      </c>
    </row>
    <row r="55" ht="19" customHeight="1" spans="1:13">
      <c r="A55" s="6">
        <v>45243</v>
      </c>
      <c r="B55" s="4">
        <v>100023173827</v>
      </c>
      <c r="C55" s="4" t="s">
        <v>385</v>
      </c>
      <c r="D55" s="4">
        <v>1</v>
      </c>
      <c r="E55" s="4">
        <v>3396.62</v>
      </c>
      <c r="F55" s="4">
        <v>3599</v>
      </c>
      <c r="G55" s="4">
        <v>-202.38</v>
      </c>
      <c r="H55" s="4">
        <v>300</v>
      </c>
      <c r="I55" s="4">
        <v>0</v>
      </c>
      <c r="J55" s="4">
        <v>0</v>
      </c>
      <c r="K55" s="4">
        <v>0</v>
      </c>
      <c r="L55" s="1" t="str">
        <f>VLOOKUP(B55,SKU匹配表!A:D,4,0)</f>
        <v>烟灶</v>
      </c>
      <c r="M55" s="5" t="str">
        <f>VLOOKUP(B55,SKU匹配表!A:C,3,0)</f>
        <v>NM09J+2E07MT</v>
      </c>
    </row>
    <row r="56" ht="19" customHeight="1" spans="1:13">
      <c r="A56" s="6">
        <v>45243</v>
      </c>
      <c r="B56" s="4">
        <v>100023723339</v>
      </c>
      <c r="C56" s="4" t="s">
        <v>386</v>
      </c>
      <c r="D56" s="4">
        <v>1</v>
      </c>
      <c r="E56" s="4">
        <v>7460</v>
      </c>
      <c r="F56" s="4">
        <v>6358</v>
      </c>
      <c r="G56" s="4">
        <v>1102</v>
      </c>
      <c r="H56" s="4">
        <v>600</v>
      </c>
      <c r="I56" s="4">
        <v>0</v>
      </c>
      <c r="J56" s="4">
        <v>0</v>
      </c>
      <c r="K56" s="4">
        <v>0</v>
      </c>
      <c r="L56" s="1" t="str">
        <f>VLOOKUP(B56,SKU匹配表!A:D,4,0)</f>
        <v>燃气热水器</v>
      </c>
      <c r="M56" s="5" t="str">
        <f>VLOOKUP(B56,SKU匹配表!A:C,3,0)</f>
        <v>R20E32FRF</v>
      </c>
    </row>
    <row r="57" ht="19" customHeight="1" spans="1:13">
      <c r="A57" s="6">
        <v>45243</v>
      </c>
      <c r="B57" s="4">
        <v>100023723349</v>
      </c>
      <c r="C57" s="4" t="s">
        <v>387</v>
      </c>
      <c r="D57" s="4">
        <v>1</v>
      </c>
      <c r="E57" s="4">
        <v>6480</v>
      </c>
      <c r="F57" s="4">
        <v>6146</v>
      </c>
      <c r="G57" s="4">
        <v>334</v>
      </c>
      <c r="H57" s="4">
        <v>500</v>
      </c>
      <c r="I57" s="4">
        <v>0</v>
      </c>
      <c r="J57" s="4">
        <v>0</v>
      </c>
      <c r="K57" s="4">
        <v>0</v>
      </c>
      <c r="L57" s="1" t="str">
        <f>VLOOKUP(B57,SKU匹配表!A:D,4,0)</f>
        <v>燃气热水器</v>
      </c>
      <c r="M57" s="5" t="str">
        <f>VLOOKUP(B57,SKU匹配表!A:C,3,0)</f>
        <v>R16E32FBF</v>
      </c>
    </row>
    <row r="58" ht="19" customHeight="1" spans="1:13">
      <c r="A58" s="6">
        <v>45243</v>
      </c>
      <c r="B58" s="4">
        <v>100028791380</v>
      </c>
      <c r="C58" s="4" t="s">
        <v>345</v>
      </c>
      <c r="D58" s="4">
        <v>1</v>
      </c>
      <c r="E58" s="4">
        <v>2457</v>
      </c>
      <c r="F58" s="4">
        <v>2464</v>
      </c>
      <c r="G58" s="4">
        <v>-7</v>
      </c>
      <c r="H58" s="4">
        <v>140</v>
      </c>
      <c r="I58" s="4">
        <v>0</v>
      </c>
      <c r="J58" s="4">
        <v>0</v>
      </c>
      <c r="K58" s="4">
        <v>0</v>
      </c>
      <c r="L58" s="1" t="e">
        <f>VLOOKUP(B58,SKU匹配表!A:D,4,0)</f>
        <v>#N/A</v>
      </c>
      <c r="M58" s="5" t="e">
        <f>VLOOKUP(B58,SKU匹配表!A:C,3,0)</f>
        <v>#N/A</v>
      </c>
    </row>
    <row r="59" ht="19" customHeight="1" spans="1:13">
      <c r="A59" s="6">
        <v>45243</v>
      </c>
      <c r="B59" s="4">
        <v>100033816268</v>
      </c>
      <c r="C59" s="4" t="s">
        <v>388</v>
      </c>
      <c r="D59" s="4">
        <v>1</v>
      </c>
      <c r="E59" s="4">
        <v>8599</v>
      </c>
      <c r="F59" s="4">
        <v>8929.05</v>
      </c>
      <c r="G59" s="4">
        <v>-330.05</v>
      </c>
      <c r="H59" s="4">
        <v>1000</v>
      </c>
      <c r="I59" s="4">
        <v>0</v>
      </c>
      <c r="J59" s="4">
        <v>0</v>
      </c>
      <c r="K59" s="4">
        <v>0</v>
      </c>
      <c r="L59" s="1" t="str">
        <f>VLOOKUP(B59,SKU匹配表!A:D,4,0)</f>
        <v>壁挂炉</v>
      </c>
      <c r="M59" s="5" t="str">
        <f>VLOOKUP(B59,SKU匹配表!A:C,3,0)</f>
        <v>28C30</v>
      </c>
    </row>
    <row r="60" ht="19" customHeight="1" spans="1:13">
      <c r="A60" s="6">
        <v>45243</v>
      </c>
      <c r="B60" s="4">
        <v>100036802387</v>
      </c>
      <c r="C60" s="4" t="s">
        <v>389</v>
      </c>
      <c r="D60" s="4">
        <v>1</v>
      </c>
      <c r="E60" s="4">
        <v>1294</v>
      </c>
      <c r="F60" s="4">
        <v>2279.05</v>
      </c>
      <c r="G60" s="4">
        <v>-985.05</v>
      </c>
      <c r="H60" s="4">
        <v>100</v>
      </c>
      <c r="I60" s="4">
        <v>0</v>
      </c>
      <c r="J60" s="4">
        <v>0</v>
      </c>
      <c r="K60" s="4">
        <v>0</v>
      </c>
      <c r="L60" s="1" t="str">
        <f>VLOOKUP(B60,SKU匹配表!A:D,4,0)</f>
        <v>烟灶</v>
      </c>
      <c r="M60" s="5" t="str">
        <f>VLOOKUP(B60,SKU匹配表!A:C,3,0)</f>
        <v>NM05T</v>
      </c>
    </row>
    <row r="61" ht="19" customHeight="1" spans="1:13">
      <c r="A61" s="6">
        <v>45243</v>
      </c>
      <c r="B61" s="4">
        <v>100043001361</v>
      </c>
      <c r="C61" s="4" t="s">
        <v>390</v>
      </c>
      <c r="D61" s="4">
        <v>1</v>
      </c>
      <c r="E61" s="4">
        <v>1</v>
      </c>
      <c r="F61" s="4">
        <v>0.9</v>
      </c>
      <c r="G61" s="4">
        <v>0.1</v>
      </c>
      <c r="H61" s="4">
        <v>0</v>
      </c>
      <c r="I61" s="4">
        <v>0</v>
      </c>
      <c r="J61" s="4">
        <v>0</v>
      </c>
      <c r="K61" s="4">
        <v>0</v>
      </c>
      <c r="L61" s="1" t="str">
        <f>VLOOKUP(B61,SKU匹配表!A:D,4,0)</f>
        <v>其他</v>
      </c>
      <c r="M61" s="5" t="str">
        <f>VLOOKUP(B61,SKU匹配表!A:C,3,0)</f>
        <v>其他</v>
      </c>
    </row>
    <row r="62" ht="19" customHeight="1" spans="1:13">
      <c r="A62" s="6">
        <v>45243</v>
      </c>
      <c r="B62" s="4">
        <v>100048630893</v>
      </c>
      <c r="C62" s="4" t="s">
        <v>391</v>
      </c>
      <c r="D62" s="4">
        <v>1</v>
      </c>
      <c r="E62" s="4">
        <v>3399</v>
      </c>
      <c r="F62" s="4">
        <v>3704.05</v>
      </c>
      <c r="G62" s="4">
        <v>-305.05</v>
      </c>
      <c r="H62" s="4">
        <v>200</v>
      </c>
      <c r="I62" s="4">
        <v>0</v>
      </c>
      <c r="J62" s="4">
        <v>0</v>
      </c>
      <c r="K62" s="4">
        <v>0</v>
      </c>
      <c r="L62" s="1" t="str">
        <f>VLOOKUP(B62,SKU匹配表!A:D,4,0)</f>
        <v>烟灶</v>
      </c>
      <c r="M62" s="5" t="str">
        <f>VLOOKUP(B62,SKU匹配表!A:C,3,0)</f>
        <v>NM11T+2E08MT</v>
      </c>
    </row>
    <row r="63" ht="19" customHeight="1" spans="1:13">
      <c r="A63" s="6">
        <v>45243</v>
      </c>
      <c r="B63" s="4">
        <v>100055433550</v>
      </c>
      <c r="C63" s="4" t="s">
        <v>392</v>
      </c>
      <c r="D63" s="4">
        <v>1</v>
      </c>
      <c r="E63" s="4">
        <v>2842</v>
      </c>
      <c r="F63" s="4">
        <v>3399</v>
      </c>
      <c r="G63" s="4">
        <v>-557</v>
      </c>
      <c r="H63" s="4">
        <v>457</v>
      </c>
      <c r="I63" s="4">
        <v>0</v>
      </c>
      <c r="J63" s="4">
        <v>0</v>
      </c>
      <c r="K63" s="4">
        <v>0</v>
      </c>
      <c r="L63" s="1" t="str">
        <f>VLOOKUP(B63,SKU匹配表!A:D,4,0)</f>
        <v>烟灶</v>
      </c>
      <c r="M63" s="5" t="str">
        <f>VLOOKUP(B63,SKU匹配表!A:C,3,0)</f>
        <v>NM10T+2E08MT</v>
      </c>
    </row>
    <row r="64" ht="19" customHeight="1" spans="1:13">
      <c r="A64" s="6">
        <v>45243</v>
      </c>
      <c r="B64" s="4">
        <v>100057296400</v>
      </c>
      <c r="C64" s="4" t="s">
        <v>393</v>
      </c>
      <c r="D64" s="4">
        <v>1</v>
      </c>
      <c r="E64" s="4">
        <v>1546</v>
      </c>
      <c r="F64" s="4">
        <v>2754.05</v>
      </c>
      <c r="G64" s="4">
        <v>-1208.05</v>
      </c>
      <c r="H64" s="4">
        <v>82</v>
      </c>
      <c r="I64" s="4">
        <v>0</v>
      </c>
      <c r="J64" s="4">
        <v>0</v>
      </c>
      <c r="K64" s="4">
        <v>0</v>
      </c>
      <c r="L64" s="1" t="e">
        <f>VLOOKUP(B64,SKU匹配表!A:D,4,0)</f>
        <v>#N/A</v>
      </c>
      <c r="M64" s="5" t="e">
        <f>VLOOKUP(B64,SKU匹配表!A:C,3,0)</f>
        <v>#N/A</v>
      </c>
    </row>
    <row r="65" ht="19" customHeight="1" spans="1:13">
      <c r="A65" s="6">
        <v>45243</v>
      </c>
      <c r="B65" s="4">
        <v>100061469994</v>
      </c>
      <c r="C65" s="4" t="s">
        <v>394</v>
      </c>
      <c r="D65" s="4">
        <v>1</v>
      </c>
      <c r="E65" s="4">
        <v>4079</v>
      </c>
      <c r="F65" s="4">
        <v>4305.6</v>
      </c>
      <c r="G65" s="4">
        <v>-226.6</v>
      </c>
      <c r="H65" s="4">
        <v>300</v>
      </c>
      <c r="I65" s="4">
        <v>0</v>
      </c>
      <c r="J65" s="4">
        <v>0</v>
      </c>
      <c r="K65" s="4">
        <v>0</v>
      </c>
      <c r="L65" s="1" t="str">
        <f>VLOOKUP(B65,SKU匹配表!A:D,4,0)</f>
        <v>燃气热水器</v>
      </c>
      <c r="M65" s="5" t="str">
        <f>VLOOKUP(B65,SKU匹配表!A:C,3,0)</f>
        <v>13QC06+SG</v>
      </c>
    </row>
    <row r="66" ht="19" customHeight="1" spans="1:13">
      <c r="A66" s="6">
        <v>45243</v>
      </c>
      <c r="B66" s="4">
        <v>100064771629</v>
      </c>
      <c r="C66" s="4" t="s">
        <v>395</v>
      </c>
      <c r="D66" s="4">
        <v>1</v>
      </c>
      <c r="E66" s="4">
        <v>4979</v>
      </c>
      <c r="F66" s="4">
        <v>5133.6</v>
      </c>
      <c r="G66" s="4">
        <v>-154.6</v>
      </c>
      <c r="H66" s="4">
        <v>400</v>
      </c>
      <c r="I66" s="4">
        <v>0</v>
      </c>
      <c r="J66" s="4">
        <v>0</v>
      </c>
      <c r="K66" s="4">
        <v>0</v>
      </c>
      <c r="L66" s="1" t="str">
        <f>VLOOKUP(B66,SKU匹配表!A:D,4,0)</f>
        <v>燃气热水器</v>
      </c>
      <c r="M66" s="5" t="str">
        <f>VLOOKUP(B66,SKU匹配表!A:C,3,0)</f>
        <v>16QC06+SG</v>
      </c>
    </row>
    <row r="67" ht="19" customHeight="1" spans="1:13">
      <c r="A67" s="6">
        <v>45243</v>
      </c>
      <c r="B67" s="4">
        <v>100068280115</v>
      </c>
      <c r="C67" s="4" t="s">
        <v>396</v>
      </c>
      <c r="D67" s="4">
        <v>1</v>
      </c>
      <c r="E67" s="4">
        <v>1298</v>
      </c>
      <c r="F67" s="4">
        <v>1804.05</v>
      </c>
      <c r="G67" s="4">
        <v>-506.05</v>
      </c>
      <c r="H67" s="4">
        <v>100</v>
      </c>
      <c r="I67" s="4">
        <v>0</v>
      </c>
      <c r="J67" s="4">
        <v>0</v>
      </c>
      <c r="K67" s="4">
        <v>0</v>
      </c>
      <c r="L67" s="1" t="str">
        <f>VLOOKUP(B67,SKU匹配表!A:D,4,0)</f>
        <v>烟灶</v>
      </c>
      <c r="M67" s="5" t="str">
        <f>VLOOKUP(B67,SKU匹配表!A:C,3,0)</f>
        <v>2E07MTX</v>
      </c>
    </row>
    <row r="68" ht="19" customHeight="1" spans="1:13">
      <c r="A68" s="6">
        <v>45243</v>
      </c>
      <c r="B68" s="4">
        <v>100068687237</v>
      </c>
      <c r="C68" s="4" t="s">
        <v>397</v>
      </c>
      <c r="D68" s="4">
        <v>1</v>
      </c>
      <c r="E68" s="4">
        <v>6337</v>
      </c>
      <c r="F68" s="4">
        <v>7029.05</v>
      </c>
      <c r="G68" s="4">
        <v>-692.05</v>
      </c>
      <c r="H68" s="4">
        <v>62</v>
      </c>
      <c r="I68" s="4">
        <v>0</v>
      </c>
      <c r="J68" s="4">
        <v>0</v>
      </c>
      <c r="K68" s="4">
        <v>0</v>
      </c>
      <c r="L68" s="1" t="str">
        <f>VLOOKUP(B68,SKU匹配表!A:D,4,0)</f>
        <v>烟灶</v>
      </c>
      <c r="M68" s="5" t="str">
        <f>VLOOKUP(B68,SKU匹配表!A:C,3,0)</f>
        <v>2E07MTX+NM09J+16GD31</v>
      </c>
    </row>
    <row r="69" ht="19" customHeight="1" spans="1:13">
      <c r="A69" s="6">
        <v>45243</v>
      </c>
      <c r="B69" s="4">
        <v>100069172537</v>
      </c>
      <c r="C69" s="4" t="s">
        <v>398</v>
      </c>
      <c r="D69" s="4">
        <v>1</v>
      </c>
      <c r="E69" s="4">
        <v>2829</v>
      </c>
      <c r="F69" s="4">
        <v>3514.05</v>
      </c>
      <c r="G69" s="4">
        <v>-685.05</v>
      </c>
      <c r="H69" s="4">
        <v>120</v>
      </c>
      <c r="I69" s="4">
        <v>0</v>
      </c>
      <c r="J69" s="4">
        <v>0</v>
      </c>
      <c r="K69" s="4">
        <v>0</v>
      </c>
      <c r="L69" s="1" t="str">
        <f>VLOOKUP(B69,SKU匹配表!A:D,4,0)</f>
        <v>烟灶</v>
      </c>
      <c r="M69" s="5" t="str">
        <f>VLOOKUP(B69,SKU匹配表!A:C,3,0)</f>
        <v>3E07M</v>
      </c>
    </row>
    <row r="70" ht="19" customHeight="1" spans="1:13">
      <c r="A70" s="6">
        <v>45243</v>
      </c>
      <c r="B70" s="4">
        <v>100069368166</v>
      </c>
      <c r="C70" s="4" t="s">
        <v>399</v>
      </c>
      <c r="D70" s="4">
        <v>1</v>
      </c>
      <c r="E70" s="4">
        <v>1989</v>
      </c>
      <c r="F70" s="4">
        <v>4084</v>
      </c>
      <c r="G70" s="4">
        <v>-2095</v>
      </c>
      <c r="H70" s="4">
        <v>140</v>
      </c>
      <c r="I70" s="4">
        <v>0</v>
      </c>
      <c r="J70" s="4">
        <v>0</v>
      </c>
      <c r="K70" s="4">
        <v>0</v>
      </c>
      <c r="L70" s="1" t="str">
        <f>VLOOKUP(B70,SKU匹配表!A:D,4,0)</f>
        <v>烟灶</v>
      </c>
      <c r="M70" s="5" t="str">
        <f>VLOOKUP(B70,SKU匹配表!A:C,3,0)</f>
        <v>NMW21J+2E08MT</v>
      </c>
    </row>
    <row r="71" ht="19" customHeight="1" spans="1:13">
      <c r="A71" s="6">
        <v>45243</v>
      </c>
      <c r="B71" s="4">
        <v>100048899107</v>
      </c>
      <c r="C71" s="4" t="s">
        <v>349</v>
      </c>
      <c r="D71" s="4">
        <v>0</v>
      </c>
      <c r="E71" s="4">
        <v>20.03</v>
      </c>
      <c r="F71" s="4">
        <v>0</v>
      </c>
      <c r="G71" s="4">
        <v>20.03</v>
      </c>
      <c r="H71" s="4">
        <v>0</v>
      </c>
      <c r="I71" s="4">
        <v>0</v>
      </c>
      <c r="J71" s="4">
        <v>29.97</v>
      </c>
      <c r="K71" s="4">
        <v>0</v>
      </c>
      <c r="L71" s="1" t="str">
        <f>VLOOKUP(B71,SKU匹配表!A:D,4,0)</f>
        <v>烟灶</v>
      </c>
      <c r="M71" s="5" t="str">
        <f>VLOOKUP(B71,SKU匹配表!A:C,3,0)</f>
        <v>2E08MT</v>
      </c>
    </row>
    <row r="72" ht="19" customHeight="1" spans="1:13">
      <c r="A72" s="6">
        <v>45243</v>
      </c>
      <c r="B72" s="4">
        <v>100008442137</v>
      </c>
      <c r="C72" s="4" t="s">
        <v>400</v>
      </c>
      <c r="D72" s="4">
        <v>-1</v>
      </c>
      <c r="E72" s="4">
        <v>-205.84</v>
      </c>
      <c r="F72" s="4">
        <v>-379</v>
      </c>
      <c r="G72" s="4">
        <v>173.16</v>
      </c>
      <c r="H72" s="4">
        <v>0</v>
      </c>
      <c r="I72" s="4">
        <v>0</v>
      </c>
      <c r="J72" s="4">
        <v>0</v>
      </c>
      <c r="K72" s="4">
        <v>0</v>
      </c>
      <c r="L72" s="1" t="str">
        <f>VLOOKUP(B72,SKU匹配表!A:D,4,0)</f>
        <v>净水器</v>
      </c>
      <c r="M72" s="5" t="str">
        <f>VLOOKUP(B72,SKU匹配表!A:C,3,0)</f>
        <v>RWTS-PF-1</v>
      </c>
    </row>
    <row r="73" ht="19" customHeight="1" spans="1:13">
      <c r="A73" s="6">
        <v>45243</v>
      </c>
      <c r="B73" s="4">
        <v>100014142126</v>
      </c>
      <c r="C73" s="4" t="s">
        <v>380</v>
      </c>
      <c r="D73" s="4">
        <v>-1</v>
      </c>
      <c r="E73" s="4">
        <v>-3121.7908</v>
      </c>
      <c r="F73" s="4">
        <v>-3049.1957</v>
      </c>
      <c r="G73" s="4">
        <v>-72.5951</v>
      </c>
      <c r="H73" s="4">
        <v>0</v>
      </c>
      <c r="I73" s="4">
        <v>0</v>
      </c>
      <c r="J73" s="4">
        <v>0</v>
      </c>
      <c r="K73" s="4">
        <v>0</v>
      </c>
      <c r="L73" s="1" t="str">
        <f>VLOOKUP(B73,SKU匹配表!A:D,4,0)</f>
        <v>燃气热水器</v>
      </c>
      <c r="M73" s="5" t="str">
        <f>VLOOKUP(B73,SKU匹配表!A:C,3,0)</f>
        <v>16QD31+SG</v>
      </c>
    </row>
    <row r="74" ht="19" customHeight="1" spans="1:13">
      <c r="A74" s="6">
        <v>45243</v>
      </c>
      <c r="B74" s="4">
        <v>100023723365</v>
      </c>
      <c r="C74" s="4" t="s">
        <v>401</v>
      </c>
      <c r="D74" s="4">
        <v>-1</v>
      </c>
      <c r="E74" s="4">
        <v>-1499</v>
      </c>
      <c r="F74" s="4">
        <v>-2184.05</v>
      </c>
      <c r="G74" s="4">
        <v>685.05</v>
      </c>
      <c r="H74" s="4">
        <v>0</v>
      </c>
      <c r="I74" s="4">
        <v>0</v>
      </c>
      <c r="J74" s="4">
        <v>0</v>
      </c>
      <c r="K74" s="4">
        <v>0</v>
      </c>
      <c r="L74" s="1" t="str">
        <f>VLOOKUP(B74,SKU匹配表!A:D,4,0)</f>
        <v>电热</v>
      </c>
      <c r="M74" s="5" t="str">
        <f>VLOOKUP(B74,SKU匹配表!A:C,3,0)</f>
        <v>DSG50-DE06PN</v>
      </c>
    </row>
    <row r="75" ht="19" customHeight="1" spans="1:13">
      <c r="A75" s="6">
        <v>45243</v>
      </c>
      <c r="B75" s="4">
        <v>100048630871</v>
      </c>
      <c r="C75" s="4" t="s">
        <v>402</v>
      </c>
      <c r="D75" s="4">
        <v>-1</v>
      </c>
      <c r="E75" s="4">
        <v>-2599</v>
      </c>
      <c r="F75" s="4">
        <v>-2849.05</v>
      </c>
      <c r="G75" s="4">
        <v>250.05</v>
      </c>
      <c r="H75" s="4">
        <v>0</v>
      </c>
      <c r="I75" s="4">
        <v>0</v>
      </c>
      <c r="J75" s="4">
        <v>0</v>
      </c>
      <c r="K75" s="4">
        <v>0</v>
      </c>
      <c r="L75" s="1" t="str">
        <f>VLOOKUP(B75,SKU匹配表!A:D,4,0)</f>
        <v>烟灶</v>
      </c>
      <c r="M75" s="5" t="str">
        <f>VLOOKUP(B75,SKU匹配表!A:C,3,0)</f>
        <v>NM11T</v>
      </c>
    </row>
    <row r="76" ht="19" customHeight="1" spans="1:13">
      <c r="A76" s="6">
        <v>45243</v>
      </c>
      <c r="B76" s="4">
        <v>100048345256</v>
      </c>
      <c r="C76" s="4" t="s">
        <v>403</v>
      </c>
      <c r="D76" s="4">
        <v>-2</v>
      </c>
      <c r="E76" s="4">
        <v>-881</v>
      </c>
      <c r="F76" s="4">
        <v>-948.1</v>
      </c>
      <c r="G76" s="4">
        <v>67.1</v>
      </c>
      <c r="H76" s="4">
        <v>0</v>
      </c>
      <c r="I76" s="4">
        <v>0</v>
      </c>
      <c r="J76" s="4">
        <v>0</v>
      </c>
      <c r="K76" s="4">
        <v>0</v>
      </c>
      <c r="L76" s="1" t="str">
        <f>VLOOKUP(B76,SKU匹配表!A:D,4,0)</f>
        <v>净水器</v>
      </c>
      <c r="M76" s="5" t="str">
        <f>VLOOKUP(B76,SKU匹配表!A:C,3,0)</f>
        <v>RWTS-PF-10</v>
      </c>
    </row>
    <row r="77" ht="19" customHeight="1" spans="1:13">
      <c r="A77" s="6">
        <v>45243</v>
      </c>
      <c r="B77" s="4">
        <v>100056046455</v>
      </c>
      <c r="C77" s="4" t="s">
        <v>404</v>
      </c>
      <c r="D77" s="4">
        <v>-2</v>
      </c>
      <c r="E77" s="4">
        <v>-986.34</v>
      </c>
      <c r="F77" s="4">
        <v>-1043.1</v>
      </c>
      <c r="G77" s="4">
        <v>56.76</v>
      </c>
      <c r="H77" s="4">
        <v>0</v>
      </c>
      <c r="I77" s="4">
        <v>0</v>
      </c>
      <c r="J77" s="4">
        <v>0</v>
      </c>
      <c r="K77" s="4">
        <v>0</v>
      </c>
      <c r="L77" s="1" t="str">
        <f>VLOOKUP(B77,SKU匹配表!A:D,4,0)</f>
        <v>净水器</v>
      </c>
      <c r="M77" s="5" t="str">
        <f>VLOOKUP(B77,SKU匹配表!A:C,3,0)</f>
        <v>RWTS-PF-11</v>
      </c>
    </row>
    <row r="78" ht="19" customHeight="1" spans="1:13">
      <c r="A78" s="6">
        <v>45244</v>
      </c>
      <c r="B78" s="4">
        <v>100039707007</v>
      </c>
      <c r="C78" s="4" t="s">
        <v>339</v>
      </c>
      <c r="D78" s="4">
        <v>218</v>
      </c>
      <c r="E78" s="4">
        <v>603369.88</v>
      </c>
      <c r="F78" s="4">
        <v>600382.9</v>
      </c>
      <c r="G78" s="4">
        <v>2986.98</v>
      </c>
      <c r="H78" s="4">
        <v>28413.95</v>
      </c>
      <c r="I78" s="4">
        <v>0</v>
      </c>
      <c r="J78" s="4">
        <v>0</v>
      </c>
      <c r="K78" s="4">
        <v>11</v>
      </c>
      <c r="L78" s="1" t="str">
        <f>VLOOKUP(B78,SKU匹配表!A:D,4,0)</f>
        <v>燃气热水器</v>
      </c>
      <c r="M78" s="5" t="str">
        <f>VLOOKUP(B78,SKU匹配表!A:C,3,0)</f>
        <v>16GD31</v>
      </c>
    </row>
    <row r="79" ht="19" customHeight="1" spans="1:13">
      <c r="A79" s="6">
        <v>45244</v>
      </c>
      <c r="B79" s="4">
        <v>100048028229</v>
      </c>
      <c r="C79" s="4" t="s">
        <v>340</v>
      </c>
      <c r="D79" s="4">
        <v>181</v>
      </c>
      <c r="E79" s="4">
        <v>430931.05</v>
      </c>
      <c r="F79" s="4">
        <v>446898.05</v>
      </c>
      <c r="G79" s="4">
        <v>-15967</v>
      </c>
      <c r="H79" s="4">
        <v>22923</v>
      </c>
      <c r="I79" s="4">
        <v>0</v>
      </c>
      <c r="J79" s="4">
        <v>0</v>
      </c>
      <c r="K79" s="4">
        <v>24.38</v>
      </c>
      <c r="L79" s="1" t="str">
        <f>VLOOKUP(B79,SKU匹配表!A:D,4,0)</f>
        <v>燃气热水器</v>
      </c>
      <c r="M79" s="5" t="str">
        <f>VLOOKUP(B79,SKU匹配表!A:C,3,0)</f>
        <v>13GD31</v>
      </c>
    </row>
    <row r="80" ht="19" customHeight="1" spans="1:13">
      <c r="A80" s="6">
        <v>45244</v>
      </c>
      <c r="B80" s="4">
        <v>100039706989</v>
      </c>
      <c r="C80" s="4" t="s">
        <v>341</v>
      </c>
      <c r="D80" s="4">
        <v>107</v>
      </c>
      <c r="E80" s="4">
        <v>317143.03</v>
      </c>
      <c r="F80" s="4">
        <v>315013.35</v>
      </c>
      <c r="G80" s="4">
        <v>2129.68</v>
      </c>
      <c r="H80" s="4">
        <v>34609</v>
      </c>
      <c r="I80" s="4">
        <v>0</v>
      </c>
      <c r="J80" s="4">
        <v>0</v>
      </c>
      <c r="K80" s="4">
        <v>14.92</v>
      </c>
      <c r="L80" s="1" t="str">
        <f>VLOOKUP(B80,SKU匹配表!A:D,4,0)</f>
        <v>燃气热水器</v>
      </c>
      <c r="M80" s="5" t="str">
        <f>VLOOKUP(B80,SKU匹配表!A:C,3,0)</f>
        <v>16GD32</v>
      </c>
    </row>
    <row r="81" ht="19" customHeight="1" spans="1:13">
      <c r="A81" s="6">
        <v>45244</v>
      </c>
      <c r="B81" s="4">
        <v>100009176306</v>
      </c>
      <c r="C81" s="4" t="s">
        <v>343</v>
      </c>
      <c r="D81" s="4">
        <v>46</v>
      </c>
      <c r="E81" s="4">
        <v>176753.27</v>
      </c>
      <c r="F81" s="4">
        <v>178711.3796</v>
      </c>
      <c r="G81" s="4">
        <v>-1958.1096</v>
      </c>
      <c r="H81" s="4">
        <v>16122.9</v>
      </c>
      <c r="I81" s="4">
        <v>0</v>
      </c>
      <c r="J81" s="4">
        <v>0</v>
      </c>
      <c r="K81" s="4">
        <v>41.07</v>
      </c>
      <c r="L81" s="1" t="str">
        <f>VLOOKUP(B81,SKU匹配表!A:D,4,0)</f>
        <v>燃气热水器</v>
      </c>
      <c r="M81" s="5" t="str">
        <f>VLOOKUP(B81,SKU匹配表!A:C,3,0)</f>
        <v>16QD06W</v>
      </c>
    </row>
    <row r="82" ht="19" customHeight="1" spans="1:13">
      <c r="A82" s="6">
        <v>45244</v>
      </c>
      <c r="B82" s="4">
        <v>100012048688</v>
      </c>
      <c r="C82" s="4" t="s">
        <v>345</v>
      </c>
      <c r="D82" s="4">
        <v>46</v>
      </c>
      <c r="E82" s="4">
        <v>114087.68</v>
      </c>
      <c r="F82" s="4">
        <v>113343.9992</v>
      </c>
      <c r="G82" s="4">
        <v>743.6808</v>
      </c>
      <c r="H82" s="4">
        <v>6252</v>
      </c>
      <c r="I82" s="4">
        <v>0</v>
      </c>
      <c r="J82" s="4">
        <v>200</v>
      </c>
      <c r="K82" s="4">
        <v>34</v>
      </c>
      <c r="L82" s="1" t="str">
        <f>VLOOKUP(B82,SKU匹配表!A:D,4,0)</f>
        <v>燃气热水器</v>
      </c>
      <c r="M82" s="5" t="str">
        <f>VLOOKUP(B82,SKU匹配表!A:C,3,0)</f>
        <v>13QC05</v>
      </c>
    </row>
    <row r="83" ht="19" customHeight="1" spans="1:13">
      <c r="A83" s="6">
        <v>45244</v>
      </c>
      <c r="B83" s="4">
        <v>100012048672</v>
      </c>
      <c r="C83" s="4" t="s">
        <v>342</v>
      </c>
      <c r="D83" s="4">
        <v>43</v>
      </c>
      <c r="E83" s="4">
        <v>122212.19</v>
      </c>
      <c r="F83" s="4">
        <v>124227</v>
      </c>
      <c r="G83" s="4">
        <v>-2014.81</v>
      </c>
      <c r="H83" s="4">
        <v>5720</v>
      </c>
      <c r="I83" s="4">
        <v>0</v>
      </c>
      <c r="J83" s="4">
        <v>0</v>
      </c>
      <c r="K83" s="4">
        <v>15.05</v>
      </c>
      <c r="L83" s="1" t="str">
        <f>VLOOKUP(B83,SKU匹配表!A:D,4,0)</f>
        <v>燃气热水器</v>
      </c>
      <c r="M83" s="5" t="str">
        <f>VLOOKUP(B83,SKU匹配表!A:C,3,0)</f>
        <v>16QC05</v>
      </c>
    </row>
    <row r="84" ht="19" customHeight="1" spans="1:13">
      <c r="A84" s="6">
        <v>45244</v>
      </c>
      <c r="B84" s="4">
        <v>100048028257</v>
      </c>
      <c r="C84" s="4" t="s">
        <v>344</v>
      </c>
      <c r="D84" s="4">
        <v>37</v>
      </c>
      <c r="E84" s="4">
        <v>97960.77</v>
      </c>
      <c r="F84" s="4">
        <v>101899.85</v>
      </c>
      <c r="G84" s="4">
        <v>-3939.08</v>
      </c>
      <c r="H84" s="4">
        <v>5391</v>
      </c>
      <c r="I84" s="4">
        <v>0</v>
      </c>
      <c r="J84" s="4">
        <v>0</v>
      </c>
      <c r="K84" s="4">
        <v>25.95</v>
      </c>
      <c r="L84" s="1" t="str">
        <f>VLOOKUP(B84,SKU匹配表!A:D,4,0)</f>
        <v>燃气热水器</v>
      </c>
      <c r="M84" s="5" t="str">
        <f>VLOOKUP(B84,SKU匹配表!A:C,3,0)</f>
        <v>13GD32</v>
      </c>
    </row>
    <row r="85" ht="19" customHeight="1" spans="1:13">
      <c r="A85" s="6">
        <v>45244</v>
      </c>
      <c r="B85" s="4">
        <v>100009176278</v>
      </c>
      <c r="C85" s="4" t="s">
        <v>348</v>
      </c>
      <c r="D85" s="4">
        <v>25</v>
      </c>
      <c r="E85" s="4">
        <v>74189.99</v>
      </c>
      <c r="F85" s="4">
        <v>77950.0061</v>
      </c>
      <c r="G85" s="4">
        <v>-3760.0161</v>
      </c>
      <c r="H85" s="4">
        <v>7664</v>
      </c>
      <c r="I85" s="4">
        <v>0</v>
      </c>
      <c r="J85" s="4">
        <v>0</v>
      </c>
      <c r="K85" s="4">
        <v>13.92</v>
      </c>
      <c r="L85" s="1" t="str">
        <f>VLOOKUP(B85,SKU匹配表!A:D,4,0)</f>
        <v>燃气热水器</v>
      </c>
      <c r="M85" s="5" t="str">
        <f>VLOOKUP(B85,SKU匹配表!A:C,3,0)</f>
        <v>13QD06W</v>
      </c>
    </row>
    <row r="86" ht="19" customHeight="1" spans="1:13">
      <c r="A86" s="6">
        <v>45244</v>
      </c>
      <c r="B86" s="4">
        <v>100056736113</v>
      </c>
      <c r="C86" s="4" t="s">
        <v>347</v>
      </c>
      <c r="D86" s="4">
        <v>18</v>
      </c>
      <c r="E86" s="4">
        <v>84845.05</v>
      </c>
      <c r="F86" s="4">
        <v>77090.4</v>
      </c>
      <c r="G86" s="4">
        <v>7754.65</v>
      </c>
      <c r="H86" s="4">
        <v>7009.8</v>
      </c>
      <c r="I86" s="4">
        <v>0</v>
      </c>
      <c r="J86" s="4">
        <v>0</v>
      </c>
      <c r="K86" s="4">
        <v>31</v>
      </c>
      <c r="L86" s="1" t="str">
        <f>VLOOKUP(B86,SKU匹配表!A:D,4,0)</f>
        <v>燃气热水器</v>
      </c>
      <c r="M86" s="5" t="str">
        <f>VLOOKUP(B86,SKU匹配表!A:C,3,0)</f>
        <v>16GD61R</v>
      </c>
    </row>
    <row r="87" ht="19" customHeight="1" spans="1:13">
      <c r="A87" s="6">
        <v>45244</v>
      </c>
      <c r="B87" s="4">
        <v>100007725035</v>
      </c>
      <c r="C87" s="4" t="s">
        <v>346</v>
      </c>
      <c r="D87" s="4">
        <v>16</v>
      </c>
      <c r="E87" s="4">
        <v>45786.73</v>
      </c>
      <c r="F87" s="4">
        <v>48787.4257</v>
      </c>
      <c r="G87" s="4">
        <v>-3000.6957</v>
      </c>
      <c r="H87" s="4">
        <v>4986</v>
      </c>
      <c r="I87" s="4">
        <v>0</v>
      </c>
      <c r="J87" s="4">
        <v>0</v>
      </c>
      <c r="K87" s="4">
        <v>86.96</v>
      </c>
      <c r="L87" s="1" t="str">
        <f>VLOOKUP(B87,SKU匹配表!A:D,4,0)</f>
        <v>燃气热水器</v>
      </c>
      <c r="M87" s="5" t="str">
        <f>VLOOKUP(B87,SKU匹配表!A:C,3,0)</f>
        <v>16QD31</v>
      </c>
    </row>
    <row r="88" ht="19" customHeight="1" spans="1:13">
      <c r="A88" s="6">
        <v>45244</v>
      </c>
      <c r="B88" s="4">
        <v>100012689724</v>
      </c>
      <c r="C88" s="4" t="s">
        <v>350</v>
      </c>
      <c r="D88" s="4">
        <v>15</v>
      </c>
      <c r="E88" s="4">
        <v>17134</v>
      </c>
      <c r="F88" s="4">
        <v>17849.7264</v>
      </c>
      <c r="G88" s="4">
        <v>-715.7264</v>
      </c>
      <c r="H88" s="4">
        <v>927</v>
      </c>
      <c r="I88" s="4">
        <v>0</v>
      </c>
      <c r="J88" s="4">
        <v>0</v>
      </c>
      <c r="K88" s="4">
        <v>30.4</v>
      </c>
      <c r="L88" s="1" t="str">
        <f>VLOOKUP(B88,SKU匹配表!A:D,4,0)</f>
        <v>燃气热水器</v>
      </c>
      <c r="M88" s="5" t="str">
        <f>VLOOKUP(B88,SKU匹配表!A:C,3,0)</f>
        <v>SG</v>
      </c>
    </row>
    <row r="89" ht="19" customHeight="1" spans="1:13">
      <c r="A89" s="6">
        <v>45244</v>
      </c>
      <c r="B89" s="4">
        <v>100038009912</v>
      </c>
      <c r="C89" s="4" t="s">
        <v>349</v>
      </c>
      <c r="D89" s="4">
        <v>15</v>
      </c>
      <c r="E89" s="4">
        <v>13356.79</v>
      </c>
      <c r="F89" s="4">
        <v>22793.4101</v>
      </c>
      <c r="G89" s="4">
        <v>-9436.6201</v>
      </c>
      <c r="H89" s="4">
        <v>827.6</v>
      </c>
      <c r="I89" s="4">
        <v>0</v>
      </c>
      <c r="J89" s="4">
        <v>186.37</v>
      </c>
      <c r="K89" s="4">
        <v>14.85</v>
      </c>
      <c r="L89" s="1" t="str">
        <f>VLOOKUP(B89,SKU匹配表!A:D,4,0)</f>
        <v>烟灶</v>
      </c>
      <c r="M89" s="5" t="str">
        <f>VLOOKUP(B89,SKU匹配表!A:C,3,0)</f>
        <v>2E08MT</v>
      </c>
    </row>
    <row r="90" ht="19" customHeight="1" spans="1:13">
      <c r="A90" s="6">
        <v>45244</v>
      </c>
      <c r="B90" s="4">
        <v>100007725017</v>
      </c>
      <c r="C90" s="4" t="s">
        <v>353</v>
      </c>
      <c r="D90" s="4">
        <v>11</v>
      </c>
      <c r="E90" s="4">
        <v>29308.91</v>
      </c>
      <c r="F90" s="4">
        <v>28864.7402</v>
      </c>
      <c r="G90" s="4">
        <v>444.1698</v>
      </c>
      <c r="H90" s="4">
        <v>1380</v>
      </c>
      <c r="I90" s="4">
        <v>0</v>
      </c>
      <c r="J90" s="4">
        <v>0</v>
      </c>
      <c r="K90" s="4">
        <v>32.71</v>
      </c>
      <c r="L90" s="1" t="str">
        <f>VLOOKUP(B90,SKU匹配表!A:D,4,0)</f>
        <v>燃气热水器</v>
      </c>
      <c r="M90" s="5" t="str">
        <f>VLOOKUP(B90,SKU匹配表!A:C,3,0)</f>
        <v>13QD31</v>
      </c>
    </row>
    <row r="91" ht="19" customHeight="1" spans="1:13">
      <c r="A91" s="6">
        <v>45244</v>
      </c>
      <c r="B91" s="4">
        <v>100061470016</v>
      </c>
      <c r="C91" s="4" t="s">
        <v>351</v>
      </c>
      <c r="D91" s="4">
        <v>8</v>
      </c>
      <c r="E91" s="4">
        <v>32334</v>
      </c>
      <c r="F91" s="4">
        <v>32236.8</v>
      </c>
      <c r="G91" s="4">
        <v>97.2</v>
      </c>
      <c r="H91" s="4">
        <v>1900</v>
      </c>
      <c r="I91" s="4">
        <v>0</v>
      </c>
      <c r="J91" s="4">
        <v>0</v>
      </c>
      <c r="K91" s="4">
        <v>0</v>
      </c>
      <c r="L91" s="1" t="str">
        <f>VLOOKUP(B91,SKU匹配表!A:D,4,0)</f>
        <v>燃气热水器</v>
      </c>
      <c r="M91" s="5" t="str">
        <f>VLOOKUP(B91,SKU匹配表!A:C,3,0)</f>
        <v>16QC06</v>
      </c>
    </row>
    <row r="92" ht="19" customHeight="1" spans="1:13">
      <c r="A92" s="6">
        <v>45244</v>
      </c>
      <c r="B92" s="4">
        <v>100057296400</v>
      </c>
      <c r="C92" s="4" t="s">
        <v>393</v>
      </c>
      <c r="D92" s="4">
        <v>7</v>
      </c>
      <c r="E92" s="4">
        <v>17577.99</v>
      </c>
      <c r="F92" s="4">
        <v>19278.35</v>
      </c>
      <c r="G92" s="4">
        <v>-1700.36</v>
      </c>
      <c r="H92" s="4">
        <v>816</v>
      </c>
      <c r="I92" s="4">
        <v>0</v>
      </c>
      <c r="J92" s="4">
        <v>0</v>
      </c>
      <c r="K92" s="4">
        <v>0</v>
      </c>
      <c r="L92" s="1" t="e">
        <f>VLOOKUP(B92,SKU匹配表!A:D,4,0)</f>
        <v>#N/A</v>
      </c>
      <c r="M92" s="5" t="e">
        <f>VLOOKUP(B92,SKU匹配表!A:C,3,0)</f>
        <v>#N/A</v>
      </c>
    </row>
    <row r="93" ht="19" customHeight="1" spans="1:13">
      <c r="A93" s="6">
        <v>45244</v>
      </c>
      <c r="B93" s="4">
        <v>100007649009</v>
      </c>
      <c r="C93" s="4" t="s">
        <v>343</v>
      </c>
      <c r="D93" s="4">
        <v>6</v>
      </c>
      <c r="E93" s="4">
        <v>23319</v>
      </c>
      <c r="F93" s="4">
        <v>25620</v>
      </c>
      <c r="G93" s="4">
        <v>-2301</v>
      </c>
      <c r="H93" s="4">
        <v>1758</v>
      </c>
      <c r="I93" s="4">
        <v>0</v>
      </c>
      <c r="J93" s="4">
        <v>0</v>
      </c>
      <c r="K93" s="4">
        <v>0</v>
      </c>
      <c r="L93" s="1" t="str">
        <f>VLOOKUP(B93,SKU匹配表!A:D,4,0)</f>
        <v>燃气热水器</v>
      </c>
      <c r="M93" s="5" t="str">
        <f>VLOOKUP(B93,SKU匹配表!A:C,3,0)</f>
        <v>16QD06W</v>
      </c>
    </row>
    <row r="94" ht="19" customHeight="1" spans="1:13">
      <c r="A94" s="6">
        <v>45244</v>
      </c>
      <c r="B94" s="4">
        <v>100013985394</v>
      </c>
      <c r="C94" s="4" t="s">
        <v>358</v>
      </c>
      <c r="D94" s="4">
        <v>6</v>
      </c>
      <c r="E94" s="4">
        <v>15579.25</v>
      </c>
      <c r="F94" s="4">
        <v>14214</v>
      </c>
      <c r="G94" s="4">
        <v>1365.25</v>
      </c>
      <c r="H94" s="4">
        <v>580</v>
      </c>
      <c r="I94" s="4">
        <v>0</v>
      </c>
      <c r="J94" s="4">
        <v>0</v>
      </c>
      <c r="K94" s="4">
        <v>27.67</v>
      </c>
      <c r="L94" s="1" t="str">
        <f>VLOOKUP(B94,SKU匹配表!A:D,4,0)</f>
        <v>燃气热水器</v>
      </c>
      <c r="M94" s="5" t="str">
        <f>VLOOKUP(B94,SKU匹配表!A:C,3,0)</f>
        <v>11QD31</v>
      </c>
    </row>
    <row r="95" ht="19" customHeight="1" spans="1:13">
      <c r="A95" s="6">
        <v>45244</v>
      </c>
      <c r="B95" s="4">
        <v>100061470014</v>
      </c>
      <c r="C95" s="4" t="s">
        <v>354</v>
      </c>
      <c r="D95" s="4">
        <v>6</v>
      </c>
      <c r="E95" s="4">
        <v>18219</v>
      </c>
      <c r="F95" s="4">
        <v>19209.6</v>
      </c>
      <c r="G95" s="4">
        <v>-990.6</v>
      </c>
      <c r="H95" s="4">
        <v>2328</v>
      </c>
      <c r="I95" s="4">
        <v>0</v>
      </c>
      <c r="J95" s="4">
        <v>0</v>
      </c>
      <c r="K95" s="4">
        <v>0</v>
      </c>
      <c r="L95" s="1" t="str">
        <f>VLOOKUP(B95,SKU匹配表!A:D,4,0)</f>
        <v>燃气热水器</v>
      </c>
      <c r="M95" s="5" t="str">
        <f>VLOOKUP(B95,SKU匹配表!A:C,3,0)</f>
        <v>13QC06</v>
      </c>
    </row>
    <row r="96" ht="19" customHeight="1" spans="1:13">
      <c r="A96" s="6">
        <v>45244</v>
      </c>
      <c r="B96" s="4">
        <v>100018607305</v>
      </c>
      <c r="C96" s="4" t="s">
        <v>355</v>
      </c>
      <c r="D96" s="4">
        <v>5</v>
      </c>
      <c r="E96" s="4">
        <v>4.04</v>
      </c>
      <c r="F96" s="4">
        <v>5</v>
      </c>
      <c r="G96" s="4">
        <v>-0.96</v>
      </c>
      <c r="H96" s="4">
        <v>0</v>
      </c>
      <c r="I96" s="4">
        <v>0</v>
      </c>
      <c r="J96" s="4">
        <v>0</v>
      </c>
      <c r="K96" s="4">
        <v>0</v>
      </c>
      <c r="L96" s="1" t="str">
        <f>VLOOKUP(B96,SKU匹配表!A:D,4,0)</f>
        <v>其他</v>
      </c>
      <c r="M96" s="5" t="str">
        <f>VLOOKUP(B96,SKU匹配表!A:C,3,0)</f>
        <v>其他</v>
      </c>
    </row>
    <row r="97" ht="19" customHeight="1" spans="1:13">
      <c r="A97" s="6">
        <v>45244</v>
      </c>
      <c r="B97" s="4">
        <v>100044938343</v>
      </c>
      <c r="C97" s="4" t="s">
        <v>367</v>
      </c>
      <c r="D97" s="4">
        <v>4</v>
      </c>
      <c r="E97" s="4">
        <v>32965.44</v>
      </c>
      <c r="F97" s="4">
        <v>32596</v>
      </c>
      <c r="G97" s="4">
        <v>369.44</v>
      </c>
      <c r="H97" s="4">
        <v>1759</v>
      </c>
      <c r="I97" s="4">
        <v>0</v>
      </c>
      <c r="J97" s="4">
        <v>259.56</v>
      </c>
      <c r="K97" s="4">
        <v>0</v>
      </c>
      <c r="L97" s="1" t="str">
        <f>VLOOKUP(B97,SKU匹配表!A:D,4,0)</f>
        <v>壁挂炉</v>
      </c>
      <c r="M97" s="5" t="str">
        <f>VLOOKUP(B97,SKU匹配表!A:C,3,0)</f>
        <v>24C39</v>
      </c>
    </row>
    <row r="98" ht="19" customHeight="1" spans="1:13">
      <c r="A98" s="6">
        <v>45244</v>
      </c>
      <c r="B98" s="4">
        <v>100033816230</v>
      </c>
      <c r="C98" s="4" t="s">
        <v>366</v>
      </c>
      <c r="D98" s="4">
        <v>3</v>
      </c>
      <c r="E98" s="4">
        <v>22815.22</v>
      </c>
      <c r="F98" s="4">
        <v>22512.15</v>
      </c>
      <c r="G98" s="4">
        <v>303.07</v>
      </c>
      <c r="H98" s="4">
        <v>1197</v>
      </c>
      <c r="I98" s="4">
        <v>0</v>
      </c>
      <c r="J98" s="4">
        <v>0</v>
      </c>
      <c r="K98" s="4">
        <v>0</v>
      </c>
      <c r="L98" s="1" t="str">
        <f>VLOOKUP(B98,SKU匹配表!A:D,4,0)</f>
        <v>壁挂炉</v>
      </c>
      <c r="M98" s="5" t="str">
        <f>VLOOKUP(B98,SKU匹配表!A:C,3,0)</f>
        <v>24C30</v>
      </c>
    </row>
    <row r="99" ht="19" customHeight="1" spans="1:13">
      <c r="A99" s="6">
        <v>45244</v>
      </c>
      <c r="B99" s="4">
        <v>100044938307</v>
      </c>
      <c r="C99" s="4" t="s">
        <v>372</v>
      </c>
      <c r="D99" s="4">
        <v>3</v>
      </c>
      <c r="E99" s="4">
        <v>27795.1</v>
      </c>
      <c r="F99" s="4">
        <v>27747</v>
      </c>
      <c r="G99" s="4">
        <v>48.1</v>
      </c>
      <c r="H99" s="4">
        <v>1307</v>
      </c>
      <c r="I99" s="4">
        <v>0</v>
      </c>
      <c r="J99" s="4">
        <v>0</v>
      </c>
      <c r="K99" s="4">
        <v>0</v>
      </c>
      <c r="L99" s="1" t="str">
        <f>VLOOKUP(B99,SKU匹配表!A:D,4,0)</f>
        <v>壁挂炉</v>
      </c>
      <c r="M99" s="5" t="str">
        <f>VLOOKUP(B99,SKU匹配表!A:C,3,0)</f>
        <v>28C39</v>
      </c>
    </row>
    <row r="100" ht="19" customHeight="1" spans="1:13">
      <c r="A100" s="6">
        <v>45244</v>
      </c>
      <c r="B100" s="4">
        <v>100058904275</v>
      </c>
      <c r="C100" s="4" t="s">
        <v>339</v>
      </c>
      <c r="D100" s="4">
        <v>3</v>
      </c>
      <c r="E100" s="4">
        <v>8337</v>
      </c>
      <c r="F100" s="4">
        <v>8262.15</v>
      </c>
      <c r="G100" s="4">
        <v>74.85</v>
      </c>
      <c r="H100" s="4">
        <v>360</v>
      </c>
      <c r="I100" s="4">
        <v>0</v>
      </c>
      <c r="J100" s="4">
        <v>0</v>
      </c>
      <c r="K100" s="4">
        <v>0</v>
      </c>
      <c r="L100" s="1" t="str">
        <f>VLOOKUP(B100,SKU匹配表!A:D,4,0)</f>
        <v>燃气热水器</v>
      </c>
      <c r="M100" s="5" t="str">
        <f>VLOOKUP(B100,SKU匹配表!A:C,3,0)</f>
        <v>16GD31</v>
      </c>
    </row>
    <row r="101" ht="19" customHeight="1" spans="1:13">
      <c r="A101" s="6">
        <v>45244</v>
      </c>
      <c r="B101" s="4">
        <v>100007649003</v>
      </c>
      <c r="C101" s="4" t="s">
        <v>364</v>
      </c>
      <c r="D101" s="4">
        <v>2</v>
      </c>
      <c r="E101" s="4">
        <v>4618</v>
      </c>
      <c r="F101" s="4">
        <v>5218</v>
      </c>
      <c r="G101" s="4">
        <v>-600</v>
      </c>
      <c r="H101" s="4">
        <v>130</v>
      </c>
      <c r="I101" s="4">
        <v>0</v>
      </c>
      <c r="J101" s="4">
        <v>0</v>
      </c>
      <c r="K101" s="4">
        <v>0</v>
      </c>
      <c r="L101" s="1" t="str">
        <f>VLOOKUP(B101,SKU匹配表!A:D,4,0)</f>
        <v>燃气热水器</v>
      </c>
      <c r="M101" s="5" t="str">
        <f>VLOOKUP(B101,SKU匹配表!A:C,3,0)</f>
        <v>13QD01</v>
      </c>
    </row>
    <row r="102" ht="19" customHeight="1" spans="1:13">
      <c r="A102" s="6">
        <v>45244</v>
      </c>
      <c r="B102" s="4">
        <v>100009176298</v>
      </c>
      <c r="C102" s="4" t="s">
        <v>376</v>
      </c>
      <c r="D102" s="4">
        <v>2</v>
      </c>
      <c r="E102" s="4">
        <v>9774</v>
      </c>
      <c r="F102" s="4">
        <v>11208</v>
      </c>
      <c r="G102" s="4">
        <v>-1434</v>
      </c>
      <c r="H102" s="4">
        <v>786</v>
      </c>
      <c r="I102" s="4">
        <v>0</v>
      </c>
      <c r="J102" s="4">
        <v>0</v>
      </c>
      <c r="K102" s="4">
        <v>0</v>
      </c>
      <c r="L102" s="1" t="str">
        <f>VLOOKUP(B102,SKU匹配表!A:D,4,0)</f>
        <v>燃气热水器</v>
      </c>
      <c r="M102" s="5" t="str">
        <f>VLOOKUP(B102,SKU匹配表!A:C,3,0)</f>
        <v>16QD06W+SG</v>
      </c>
    </row>
    <row r="103" ht="19" customHeight="1" spans="1:13">
      <c r="A103" s="6">
        <v>45244</v>
      </c>
      <c r="B103" s="4">
        <v>100014171250</v>
      </c>
      <c r="C103" s="4" t="s">
        <v>380</v>
      </c>
      <c r="D103" s="4">
        <v>2</v>
      </c>
      <c r="E103" s="4">
        <v>7363</v>
      </c>
      <c r="F103" s="4">
        <v>8458</v>
      </c>
      <c r="G103" s="4">
        <v>-1095</v>
      </c>
      <c r="H103" s="4">
        <v>833</v>
      </c>
      <c r="I103" s="4">
        <v>0</v>
      </c>
      <c r="J103" s="4">
        <v>0</v>
      </c>
      <c r="K103" s="4">
        <v>0</v>
      </c>
      <c r="L103" s="1" t="str">
        <f>VLOOKUP(B103,SKU匹配表!A:D,4,0)</f>
        <v>燃气热水器</v>
      </c>
      <c r="M103" s="5" t="str">
        <f>VLOOKUP(B103,SKU匹配表!A:C,3,0)</f>
        <v>16QD31+SG</v>
      </c>
    </row>
    <row r="104" ht="19" customHeight="1" spans="1:13">
      <c r="A104" s="6">
        <v>45244</v>
      </c>
      <c r="B104" s="4">
        <v>100052638194</v>
      </c>
      <c r="C104" s="4" t="s">
        <v>340</v>
      </c>
      <c r="D104" s="4">
        <v>2</v>
      </c>
      <c r="E104" s="4">
        <v>4753</v>
      </c>
      <c r="F104" s="4">
        <v>4938.1</v>
      </c>
      <c r="G104" s="4">
        <v>-185.1</v>
      </c>
      <c r="H104" s="4">
        <v>240</v>
      </c>
      <c r="I104" s="4">
        <v>0</v>
      </c>
      <c r="J104" s="4">
        <v>0</v>
      </c>
      <c r="K104" s="4">
        <v>0</v>
      </c>
      <c r="L104" s="1" t="str">
        <f>VLOOKUP(B104,SKU匹配表!A:D,4,0)</f>
        <v>燃气热水器</v>
      </c>
      <c r="M104" s="5" t="str">
        <f>VLOOKUP(B104,SKU匹配表!A:C,3,0)</f>
        <v>13GD31</v>
      </c>
    </row>
    <row r="105" ht="19" customHeight="1" spans="1:13">
      <c r="A105" s="6">
        <v>45244</v>
      </c>
      <c r="B105" s="4">
        <v>100052638196</v>
      </c>
      <c r="C105" s="4" t="s">
        <v>344</v>
      </c>
      <c r="D105" s="4">
        <v>2</v>
      </c>
      <c r="E105" s="4">
        <v>5238</v>
      </c>
      <c r="F105" s="4">
        <v>5508.1</v>
      </c>
      <c r="G105" s="4">
        <v>-270.1</v>
      </c>
      <c r="H105" s="4">
        <v>260</v>
      </c>
      <c r="I105" s="4">
        <v>0</v>
      </c>
      <c r="J105" s="4">
        <v>0</v>
      </c>
      <c r="K105" s="4">
        <v>0</v>
      </c>
      <c r="L105" s="1" t="str">
        <f>VLOOKUP(B105,SKU匹配表!A:D,4,0)</f>
        <v>燃气热水器</v>
      </c>
      <c r="M105" s="5" t="str">
        <f>VLOOKUP(B105,SKU匹配表!A:C,3,0)</f>
        <v>13GD32</v>
      </c>
    </row>
    <row r="106" ht="19" customHeight="1" spans="1:13">
      <c r="A106" s="6">
        <v>45244</v>
      </c>
      <c r="B106" s="4">
        <v>100059353151</v>
      </c>
      <c r="C106" s="4" t="s">
        <v>347</v>
      </c>
      <c r="D106" s="4">
        <v>2</v>
      </c>
      <c r="E106" s="4">
        <v>9280</v>
      </c>
      <c r="F106" s="4">
        <v>8565.6</v>
      </c>
      <c r="G106" s="4">
        <v>714.4</v>
      </c>
      <c r="H106" s="4">
        <v>800</v>
      </c>
      <c r="I106" s="4">
        <v>0</v>
      </c>
      <c r="J106" s="4">
        <v>0</v>
      </c>
      <c r="K106" s="4">
        <v>0</v>
      </c>
      <c r="L106" s="1" t="str">
        <f>VLOOKUP(B106,SKU匹配表!A:D,4,0)</f>
        <v>燃气热水器</v>
      </c>
      <c r="M106" s="5" t="str">
        <f>VLOOKUP(B106,SKU匹配表!A:C,3,0)</f>
        <v>16GD61R</v>
      </c>
    </row>
    <row r="107" ht="19" customHeight="1" spans="1:13">
      <c r="A107" s="6">
        <v>45244</v>
      </c>
      <c r="B107" s="4">
        <v>100061989051</v>
      </c>
      <c r="C107" s="4" t="s">
        <v>361</v>
      </c>
      <c r="D107" s="4">
        <v>2</v>
      </c>
      <c r="E107" s="4">
        <v>4101.05</v>
      </c>
      <c r="F107" s="4">
        <v>4938.1</v>
      </c>
      <c r="G107" s="4">
        <v>-837.05</v>
      </c>
      <c r="H107" s="4">
        <v>154</v>
      </c>
      <c r="I107" s="4">
        <v>0</v>
      </c>
      <c r="J107" s="4">
        <v>0</v>
      </c>
      <c r="K107" s="4">
        <v>0</v>
      </c>
      <c r="L107" s="1" t="e">
        <f>VLOOKUP(B107,SKU匹配表!A:D,4,0)</f>
        <v>#N/A</v>
      </c>
      <c r="M107" s="5" t="e">
        <f>VLOOKUP(B107,SKU匹配表!A:C,3,0)</f>
        <v>#N/A</v>
      </c>
    </row>
    <row r="108" ht="19" customHeight="1" spans="1:13">
      <c r="A108" s="6">
        <v>45244</v>
      </c>
      <c r="B108" s="4">
        <v>100066733312</v>
      </c>
      <c r="C108" s="4" t="s">
        <v>362</v>
      </c>
      <c r="D108" s="4">
        <v>2</v>
      </c>
      <c r="E108" s="4">
        <v>2496</v>
      </c>
      <c r="F108" s="4">
        <v>3418.1</v>
      </c>
      <c r="G108" s="4">
        <v>-922.1</v>
      </c>
      <c r="H108" s="4">
        <v>200</v>
      </c>
      <c r="I108" s="4">
        <v>0</v>
      </c>
      <c r="J108" s="4">
        <v>0</v>
      </c>
      <c r="K108" s="4">
        <v>0</v>
      </c>
      <c r="L108" s="1" t="str">
        <f>VLOOKUP(B108,SKU匹配表!A:D,4,0)</f>
        <v>烟灶</v>
      </c>
      <c r="M108" s="5" t="str">
        <f>VLOOKUP(B108,SKU匹配表!A:C,3,0)</f>
        <v>2E08MTX</v>
      </c>
    </row>
    <row r="109" ht="19" customHeight="1" spans="1:13">
      <c r="A109" s="6">
        <v>45244</v>
      </c>
      <c r="B109" s="4">
        <v>100068280115</v>
      </c>
      <c r="C109" s="4" t="s">
        <v>396</v>
      </c>
      <c r="D109" s="4">
        <v>2</v>
      </c>
      <c r="E109" s="4">
        <v>2596</v>
      </c>
      <c r="F109" s="4">
        <v>3608.1</v>
      </c>
      <c r="G109" s="4">
        <v>-1012.1</v>
      </c>
      <c r="H109" s="4">
        <v>200</v>
      </c>
      <c r="I109" s="4">
        <v>0</v>
      </c>
      <c r="J109" s="4">
        <v>0</v>
      </c>
      <c r="K109" s="4">
        <v>0</v>
      </c>
      <c r="L109" s="1" t="str">
        <f>VLOOKUP(B109,SKU匹配表!A:D,4,0)</f>
        <v>烟灶</v>
      </c>
      <c r="M109" s="5" t="str">
        <f>VLOOKUP(B109,SKU匹配表!A:C,3,0)</f>
        <v>2E07MTX</v>
      </c>
    </row>
    <row r="110" ht="19" customHeight="1" spans="1:13">
      <c r="A110" s="6">
        <v>45244</v>
      </c>
      <c r="B110" s="4">
        <v>100002444086</v>
      </c>
      <c r="C110" s="4" t="s">
        <v>363</v>
      </c>
      <c r="D110" s="4">
        <v>1</v>
      </c>
      <c r="E110" s="4">
        <v>100.37</v>
      </c>
      <c r="F110" s="4">
        <v>95</v>
      </c>
      <c r="G110" s="4">
        <v>5.37</v>
      </c>
      <c r="H110" s="4">
        <v>0</v>
      </c>
      <c r="I110" s="4">
        <v>0</v>
      </c>
      <c r="J110" s="4">
        <v>0</v>
      </c>
      <c r="K110" s="4">
        <v>0</v>
      </c>
      <c r="L110" s="1" t="str">
        <f>VLOOKUP(B110,SKU匹配表!A:D,4,0)</f>
        <v>定金</v>
      </c>
      <c r="M110" s="5" t="str">
        <f>VLOOKUP(B110,SKU匹配表!A:C,3,0)</f>
        <v>定金</v>
      </c>
    </row>
    <row r="111" ht="19" customHeight="1" spans="1:13">
      <c r="A111" s="6">
        <v>45244</v>
      </c>
      <c r="B111" s="4">
        <v>100007178207</v>
      </c>
      <c r="C111" s="4" t="s">
        <v>348</v>
      </c>
      <c r="D111" s="4">
        <v>1</v>
      </c>
      <c r="E111" s="4">
        <v>2817</v>
      </c>
      <c r="F111" s="4">
        <v>3118</v>
      </c>
      <c r="G111" s="4">
        <v>-301</v>
      </c>
      <c r="H111" s="4">
        <v>583</v>
      </c>
      <c r="I111" s="4">
        <v>0</v>
      </c>
      <c r="J111" s="4">
        <v>0</v>
      </c>
      <c r="K111" s="4">
        <v>0</v>
      </c>
      <c r="L111" s="1" t="str">
        <f>VLOOKUP(B111,SKU匹配表!A:D,4,0)</f>
        <v>燃气热水器</v>
      </c>
      <c r="M111" s="5" t="str">
        <f>VLOOKUP(B111,SKU匹配表!A:C,3,0)</f>
        <v>13QD06W</v>
      </c>
    </row>
    <row r="112" ht="19" customHeight="1" spans="1:13">
      <c r="A112" s="6">
        <v>45244</v>
      </c>
      <c r="B112" s="4">
        <v>100007303429</v>
      </c>
      <c r="C112" s="4" t="s">
        <v>405</v>
      </c>
      <c r="D112" s="4">
        <v>1</v>
      </c>
      <c r="E112" s="4">
        <v>3697</v>
      </c>
      <c r="F112" s="4">
        <v>4079</v>
      </c>
      <c r="G112" s="4">
        <v>-382</v>
      </c>
      <c r="H112" s="4">
        <v>300</v>
      </c>
      <c r="I112" s="4">
        <v>0</v>
      </c>
      <c r="J112" s="4">
        <v>0</v>
      </c>
      <c r="K112" s="4">
        <v>0</v>
      </c>
      <c r="L112" s="1" t="str">
        <f>VLOOKUP(B112,SKU匹配表!A:D,4,0)</f>
        <v>燃气热水器</v>
      </c>
      <c r="M112" s="5" t="str">
        <f>VLOOKUP(B112,SKU匹配表!A:C,3,0)</f>
        <v>16QC05+SG</v>
      </c>
    </row>
    <row r="113" ht="19" customHeight="1" spans="1:13">
      <c r="A113" s="6">
        <v>45244</v>
      </c>
      <c r="B113" s="4">
        <v>100007648993</v>
      </c>
      <c r="C113" s="4" t="s">
        <v>348</v>
      </c>
      <c r="D113" s="4">
        <v>1</v>
      </c>
      <c r="E113" s="4">
        <v>3009</v>
      </c>
      <c r="F113" s="4">
        <v>3409</v>
      </c>
      <c r="G113" s="4">
        <v>-400</v>
      </c>
      <c r="H113" s="4">
        <v>292</v>
      </c>
      <c r="I113" s="4">
        <v>0</v>
      </c>
      <c r="J113" s="4">
        <v>0</v>
      </c>
      <c r="K113" s="4">
        <v>0</v>
      </c>
      <c r="L113" s="1" t="str">
        <f>VLOOKUP(B113,SKU匹配表!A:D,4,0)</f>
        <v>燃气热水器</v>
      </c>
      <c r="M113" s="5" t="str">
        <f>VLOOKUP(B113,SKU匹配表!A:C,3,0)</f>
        <v>13QD06W</v>
      </c>
    </row>
    <row r="114" ht="19" customHeight="1" spans="1:13">
      <c r="A114" s="6">
        <v>45244</v>
      </c>
      <c r="B114" s="4">
        <v>100007726501</v>
      </c>
      <c r="C114" s="4" t="s">
        <v>371</v>
      </c>
      <c r="D114" s="4">
        <v>1</v>
      </c>
      <c r="E114" s="4">
        <v>2478</v>
      </c>
      <c r="F114" s="4">
        <v>2284</v>
      </c>
      <c r="G114" s="4">
        <v>194</v>
      </c>
      <c r="H114" s="4">
        <v>120</v>
      </c>
      <c r="I114" s="4">
        <v>0</v>
      </c>
      <c r="J114" s="4">
        <v>0</v>
      </c>
      <c r="K114" s="4">
        <v>132</v>
      </c>
      <c r="L114" s="1" t="str">
        <f>VLOOKUP(B114,SKU匹配表!A:D,4,0)</f>
        <v>燃气热水器</v>
      </c>
      <c r="M114" s="5" t="str">
        <f>VLOOKUP(B114,SKU匹配表!A:C,3,0)</f>
        <v>10QD31</v>
      </c>
    </row>
    <row r="115" ht="19" customHeight="1" spans="1:13">
      <c r="A115" s="6">
        <v>45244</v>
      </c>
      <c r="B115" s="4">
        <v>100012446046</v>
      </c>
      <c r="C115" s="4" t="s">
        <v>342</v>
      </c>
      <c r="D115" s="4">
        <v>1</v>
      </c>
      <c r="E115" s="4">
        <v>2698</v>
      </c>
      <c r="F115" s="4">
        <v>3124</v>
      </c>
      <c r="G115" s="4">
        <v>-426</v>
      </c>
      <c r="H115" s="4">
        <v>300</v>
      </c>
      <c r="I115" s="4">
        <v>0</v>
      </c>
      <c r="J115" s="4">
        <v>0</v>
      </c>
      <c r="K115" s="4">
        <v>0</v>
      </c>
      <c r="L115" s="1" t="str">
        <f>VLOOKUP(B115,SKU匹配表!A:D,4,0)</f>
        <v>燃气热水器</v>
      </c>
      <c r="M115" s="5" t="str">
        <f>VLOOKUP(B115,SKU匹配表!A:C,3,0)</f>
        <v>16QC05</v>
      </c>
    </row>
    <row r="116" ht="19" customHeight="1" spans="1:13">
      <c r="A116" s="6">
        <v>45244</v>
      </c>
      <c r="B116" s="4">
        <v>100012868940</v>
      </c>
      <c r="C116" s="4" t="s">
        <v>376</v>
      </c>
      <c r="D116" s="4">
        <v>1</v>
      </c>
      <c r="E116" s="4">
        <v>3786</v>
      </c>
      <c r="F116" s="4">
        <v>3885.0039</v>
      </c>
      <c r="G116" s="4">
        <v>-99.0039</v>
      </c>
      <c r="H116" s="4">
        <v>304</v>
      </c>
      <c r="I116" s="4">
        <v>0</v>
      </c>
      <c r="J116" s="4">
        <v>0</v>
      </c>
      <c r="K116" s="4">
        <v>0</v>
      </c>
      <c r="L116" s="1" t="str">
        <f>VLOOKUP(B116,SKU匹配表!A:D,4,0)</f>
        <v>燃气热水器</v>
      </c>
      <c r="M116" s="5" t="str">
        <f>VLOOKUP(B116,SKU匹配表!A:C,3,0)</f>
        <v>16QD06W+SG</v>
      </c>
    </row>
    <row r="117" ht="19" customHeight="1" spans="1:13">
      <c r="A117" s="6">
        <v>45244</v>
      </c>
      <c r="B117" s="4">
        <v>100012934637</v>
      </c>
      <c r="C117" s="4" t="s">
        <v>377</v>
      </c>
      <c r="D117" s="4">
        <v>1</v>
      </c>
      <c r="E117" s="4">
        <v>12599</v>
      </c>
      <c r="F117" s="4">
        <v>12159.05</v>
      </c>
      <c r="G117" s="4">
        <v>439.95</v>
      </c>
      <c r="H117" s="4">
        <v>400</v>
      </c>
      <c r="I117" s="4">
        <v>0</v>
      </c>
      <c r="J117" s="4">
        <v>0</v>
      </c>
      <c r="K117" s="4">
        <v>0</v>
      </c>
      <c r="L117" s="1" t="str">
        <f>VLOOKUP(B117,SKU匹配表!A:D,4,0)</f>
        <v>壁挂炉</v>
      </c>
      <c r="M117" s="5" t="str">
        <f>VLOOKUP(B117,SKU匹配表!A:C,3,0)</f>
        <v>35C66L</v>
      </c>
    </row>
    <row r="118" ht="19" customHeight="1" spans="1:13">
      <c r="A118" s="6">
        <v>45244</v>
      </c>
      <c r="B118" s="4">
        <v>100013112736</v>
      </c>
      <c r="C118" s="4" t="s">
        <v>378</v>
      </c>
      <c r="D118" s="4">
        <v>1</v>
      </c>
      <c r="E118" s="4">
        <v>2597</v>
      </c>
      <c r="F118" s="4">
        <v>2889</v>
      </c>
      <c r="G118" s="4">
        <v>-292</v>
      </c>
      <c r="H118" s="4">
        <v>210</v>
      </c>
      <c r="I118" s="4">
        <v>0</v>
      </c>
      <c r="J118" s="4">
        <v>0</v>
      </c>
      <c r="K118" s="4">
        <v>0</v>
      </c>
      <c r="L118" s="1" t="str">
        <f>VLOOKUP(B118,SKU匹配表!A:D,4,0)</f>
        <v>燃气热水器</v>
      </c>
      <c r="M118" s="5" t="str">
        <f>VLOOKUP(B118,SKU匹配表!A:C,3,0)</f>
        <v>16QC05+SG</v>
      </c>
    </row>
    <row r="119" ht="19" customHeight="1" spans="1:13">
      <c r="A119" s="6">
        <v>45244</v>
      </c>
      <c r="B119" s="4">
        <v>100013707740</v>
      </c>
      <c r="C119" s="4" t="s">
        <v>406</v>
      </c>
      <c r="D119" s="4">
        <v>1</v>
      </c>
      <c r="E119" s="4">
        <v>719</v>
      </c>
      <c r="F119" s="4">
        <v>617</v>
      </c>
      <c r="G119" s="4">
        <v>102</v>
      </c>
      <c r="H119" s="4">
        <v>0</v>
      </c>
      <c r="I119" s="4">
        <v>0</v>
      </c>
      <c r="J119" s="4">
        <v>0</v>
      </c>
      <c r="K119" s="4">
        <v>0</v>
      </c>
      <c r="L119" s="1" t="str">
        <f>VLOOKUP(B119,SKU匹配表!A:D,4,0)</f>
        <v>电热</v>
      </c>
      <c r="M119" s="5" t="str">
        <f>VLOOKUP(B119,SKU匹配表!A:C,3,0)</f>
        <v>DSG6-M01L</v>
      </c>
    </row>
    <row r="120" ht="19" customHeight="1" spans="1:13">
      <c r="A120" s="6">
        <v>45244</v>
      </c>
      <c r="B120" s="4">
        <v>100014142126</v>
      </c>
      <c r="C120" s="4" t="s">
        <v>380</v>
      </c>
      <c r="D120" s="4">
        <v>1</v>
      </c>
      <c r="E120" s="4">
        <v>2793</v>
      </c>
      <c r="F120" s="4">
        <v>3049.0092</v>
      </c>
      <c r="G120" s="4">
        <v>-256.0092</v>
      </c>
      <c r="H120" s="4">
        <v>215</v>
      </c>
      <c r="I120" s="4">
        <v>0</v>
      </c>
      <c r="J120" s="4">
        <v>0</v>
      </c>
      <c r="K120" s="4">
        <v>0</v>
      </c>
      <c r="L120" s="1" t="str">
        <f>VLOOKUP(B120,SKU匹配表!A:D,4,0)</f>
        <v>燃气热水器</v>
      </c>
      <c r="M120" s="5" t="str">
        <f>VLOOKUP(B120,SKU匹配表!A:C,3,0)</f>
        <v>16QD31+SG</v>
      </c>
    </row>
    <row r="121" ht="19" customHeight="1" spans="1:13">
      <c r="A121" s="6">
        <v>45244</v>
      </c>
      <c r="B121" s="4">
        <v>100014171252</v>
      </c>
      <c r="C121" s="4" t="s">
        <v>381</v>
      </c>
      <c r="D121" s="4">
        <v>1</v>
      </c>
      <c r="E121" s="4">
        <v>3498</v>
      </c>
      <c r="F121" s="4">
        <v>4179</v>
      </c>
      <c r="G121" s="4">
        <v>-681</v>
      </c>
      <c r="H121" s="4">
        <v>300</v>
      </c>
      <c r="I121" s="4">
        <v>0</v>
      </c>
      <c r="J121" s="4">
        <v>0</v>
      </c>
      <c r="K121" s="4">
        <v>0</v>
      </c>
      <c r="L121" s="1" t="str">
        <f>VLOOKUP(B121,SKU匹配表!A:D,4,0)</f>
        <v>燃气热水器</v>
      </c>
      <c r="M121" s="5" t="str">
        <f>VLOOKUP(B121,SKU匹配表!A:C,3,0)</f>
        <v>13QD31+SG</v>
      </c>
    </row>
    <row r="122" ht="19" customHeight="1" spans="1:13">
      <c r="A122" s="6">
        <v>45244</v>
      </c>
      <c r="B122" s="4">
        <v>100014664222</v>
      </c>
      <c r="C122" s="4" t="s">
        <v>346</v>
      </c>
      <c r="D122" s="4">
        <v>1</v>
      </c>
      <c r="E122" s="4">
        <v>3299</v>
      </c>
      <c r="F122" s="4">
        <v>3049</v>
      </c>
      <c r="G122" s="4">
        <v>250</v>
      </c>
      <c r="H122" s="4">
        <v>0</v>
      </c>
      <c r="I122" s="4">
        <v>0</v>
      </c>
      <c r="J122" s="4">
        <v>0</v>
      </c>
      <c r="K122" s="4">
        <v>0</v>
      </c>
      <c r="L122" s="1" t="str">
        <f>VLOOKUP(B122,SKU匹配表!A:D,4,0)</f>
        <v>燃气热水器</v>
      </c>
      <c r="M122" s="5" t="str">
        <f>VLOOKUP(B122,SKU匹配表!A:C,3,0)</f>
        <v>16QD31</v>
      </c>
    </row>
    <row r="123" ht="19" customHeight="1" spans="1:13">
      <c r="A123" s="6">
        <v>45244</v>
      </c>
      <c r="B123" s="4">
        <v>100016574664</v>
      </c>
      <c r="C123" s="4" t="s">
        <v>346</v>
      </c>
      <c r="D123" s="4">
        <v>1</v>
      </c>
      <c r="E123" s="4">
        <v>2899</v>
      </c>
      <c r="F123" s="4">
        <v>3314</v>
      </c>
      <c r="G123" s="4">
        <v>-415</v>
      </c>
      <c r="H123" s="4">
        <v>300</v>
      </c>
      <c r="I123" s="4">
        <v>0</v>
      </c>
      <c r="J123" s="4">
        <v>0</v>
      </c>
      <c r="K123" s="4">
        <v>0</v>
      </c>
      <c r="L123" s="1" t="str">
        <f>VLOOKUP(B123,SKU匹配表!A:D,4,0)</f>
        <v>燃气热水器</v>
      </c>
      <c r="M123" s="5" t="str">
        <f>VLOOKUP(B123,SKU匹配表!A:C,3,0)</f>
        <v>16QD31</v>
      </c>
    </row>
    <row r="124" ht="19" customHeight="1" spans="1:13">
      <c r="A124" s="6">
        <v>45244</v>
      </c>
      <c r="B124" s="4">
        <v>100019121379</v>
      </c>
      <c r="C124" s="4" t="s">
        <v>407</v>
      </c>
      <c r="D124" s="4">
        <v>1</v>
      </c>
      <c r="E124" s="4">
        <v>8199</v>
      </c>
      <c r="F124" s="4">
        <v>7314</v>
      </c>
      <c r="G124" s="4">
        <v>885</v>
      </c>
      <c r="H124" s="4">
        <v>0</v>
      </c>
      <c r="I124" s="4">
        <v>0</v>
      </c>
      <c r="J124" s="4">
        <v>0</v>
      </c>
      <c r="K124" s="4">
        <v>0</v>
      </c>
      <c r="L124" s="1" t="str">
        <f>VLOOKUP(B124,SKU匹配表!A:D,4,0)</f>
        <v>壁挂炉</v>
      </c>
      <c r="M124" s="5" t="str">
        <f>VLOOKUP(B124,SKU匹配表!A:C,3,0)</f>
        <v>18C30</v>
      </c>
    </row>
    <row r="125" ht="19" customHeight="1" spans="1:13">
      <c r="A125" s="6">
        <v>45244</v>
      </c>
      <c r="B125" s="4">
        <v>100023723339</v>
      </c>
      <c r="C125" s="4" t="s">
        <v>386</v>
      </c>
      <c r="D125" s="4">
        <v>1</v>
      </c>
      <c r="E125" s="4">
        <v>7480</v>
      </c>
      <c r="F125" s="4">
        <v>6358</v>
      </c>
      <c r="G125" s="4">
        <v>1122</v>
      </c>
      <c r="H125" s="4">
        <v>600</v>
      </c>
      <c r="I125" s="4">
        <v>0</v>
      </c>
      <c r="J125" s="4">
        <v>0</v>
      </c>
      <c r="K125" s="4">
        <v>0</v>
      </c>
      <c r="L125" s="1" t="str">
        <f>VLOOKUP(B125,SKU匹配表!A:D,4,0)</f>
        <v>燃气热水器</v>
      </c>
      <c r="M125" s="5" t="str">
        <f>VLOOKUP(B125,SKU匹配表!A:C,3,0)</f>
        <v>R20E32FRF</v>
      </c>
    </row>
    <row r="126" ht="19" customHeight="1" spans="1:13">
      <c r="A126" s="6">
        <v>45244</v>
      </c>
      <c r="B126" s="4">
        <v>100023723341</v>
      </c>
      <c r="C126" s="4" t="s">
        <v>356</v>
      </c>
      <c r="D126" s="4">
        <v>1</v>
      </c>
      <c r="E126" s="4">
        <v>1779</v>
      </c>
      <c r="F126" s="4">
        <v>2944</v>
      </c>
      <c r="G126" s="4">
        <v>-1165</v>
      </c>
      <c r="H126" s="4">
        <v>120</v>
      </c>
      <c r="I126" s="4">
        <v>0</v>
      </c>
      <c r="J126" s="4">
        <v>0</v>
      </c>
      <c r="K126" s="4">
        <v>0</v>
      </c>
      <c r="L126" s="1" t="str">
        <f>VLOOKUP(B126,SKU匹配表!A:D,4,0)</f>
        <v>电热</v>
      </c>
      <c r="M126" s="5" t="str">
        <f>VLOOKUP(B126,SKU匹配表!A:C,3,0)</f>
        <v>DSG60-DE07PN</v>
      </c>
    </row>
    <row r="127" ht="19" customHeight="1" spans="1:13">
      <c r="A127" s="6">
        <v>45244</v>
      </c>
      <c r="B127" s="4">
        <v>100024530025</v>
      </c>
      <c r="C127" s="4" t="s">
        <v>365</v>
      </c>
      <c r="D127" s="4">
        <v>1</v>
      </c>
      <c r="E127" s="4">
        <v>1579</v>
      </c>
      <c r="F127" s="4">
        <v>2900</v>
      </c>
      <c r="G127" s="4">
        <v>-1321</v>
      </c>
      <c r="H127" s="4">
        <v>120</v>
      </c>
      <c r="I127" s="4">
        <v>0</v>
      </c>
      <c r="J127" s="4">
        <v>0</v>
      </c>
      <c r="K127" s="4">
        <v>0</v>
      </c>
      <c r="L127" s="1" t="str">
        <f>VLOOKUP(B127,SKU匹配表!A:D,4,0)</f>
        <v>烟灶</v>
      </c>
      <c r="M127" s="5" t="str">
        <f>VLOOKUP(B127,SKU匹配表!A:C,3,0)</f>
        <v>NM10T</v>
      </c>
    </row>
    <row r="128" ht="19" customHeight="1" spans="1:13">
      <c r="A128" s="6">
        <v>45244</v>
      </c>
      <c r="B128" s="4">
        <v>100028791380</v>
      </c>
      <c r="C128" s="4" t="s">
        <v>345</v>
      </c>
      <c r="D128" s="4">
        <v>1</v>
      </c>
      <c r="E128" s="4">
        <v>2499</v>
      </c>
      <c r="F128" s="4">
        <v>2464</v>
      </c>
      <c r="G128" s="4">
        <v>35</v>
      </c>
      <c r="H128" s="4">
        <v>100</v>
      </c>
      <c r="I128" s="4">
        <v>0</v>
      </c>
      <c r="J128" s="4">
        <v>0</v>
      </c>
      <c r="K128" s="4">
        <v>0</v>
      </c>
      <c r="L128" s="1" t="e">
        <f>VLOOKUP(B128,SKU匹配表!A:D,4,0)</f>
        <v>#N/A</v>
      </c>
      <c r="M128" s="5" t="e">
        <f>VLOOKUP(B128,SKU匹配表!A:C,3,0)</f>
        <v>#N/A</v>
      </c>
    </row>
    <row r="129" ht="19" customHeight="1" spans="1:13">
      <c r="A129" s="6">
        <v>45244</v>
      </c>
      <c r="B129" s="4">
        <v>100033816268</v>
      </c>
      <c r="C129" s="4" t="s">
        <v>388</v>
      </c>
      <c r="D129" s="4">
        <v>1</v>
      </c>
      <c r="E129" s="4">
        <v>9799</v>
      </c>
      <c r="F129" s="4">
        <v>8929.05</v>
      </c>
      <c r="G129" s="4">
        <v>869.95</v>
      </c>
      <c r="H129" s="4">
        <v>0</v>
      </c>
      <c r="I129" s="4">
        <v>0</v>
      </c>
      <c r="J129" s="4">
        <v>0</v>
      </c>
      <c r="K129" s="4">
        <v>0</v>
      </c>
      <c r="L129" s="1" t="str">
        <f>VLOOKUP(B129,SKU匹配表!A:D,4,0)</f>
        <v>壁挂炉</v>
      </c>
      <c r="M129" s="5" t="str">
        <f>VLOOKUP(B129,SKU匹配表!A:C,3,0)</f>
        <v>28C30</v>
      </c>
    </row>
    <row r="130" ht="19" customHeight="1" spans="1:13">
      <c r="A130" s="6">
        <v>45244</v>
      </c>
      <c r="B130" s="4">
        <v>100035717120</v>
      </c>
      <c r="C130" s="4" t="s">
        <v>408</v>
      </c>
      <c r="D130" s="4">
        <v>1</v>
      </c>
      <c r="E130" s="4">
        <v>6699</v>
      </c>
      <c r="F130" s="4">
        <v>7098</v>
      </c>
      <c r="G130" s="4">
        <v>-399</v>
      </c>
      <c r="H130" s="4">
        <v>500</v>
      </c>
      <c r="I130" s="4">
        <v>0</v>
      </c>
      <c r="J130" s="4">
        <v>0</v>
      </c>
      <c r="K130" s="4">
        <v>0</v>
      </c>
      <c r="L130" s="1" t="str">
        <f>VLOOKUP(B130,SKU匹配表!A:D,4,0)</f>
        <v>洗碗机</v>
      </c>
      <c r="M130" s="5" t="str">
        <f>VLOOKUP(B130,SKU匹配表!A:C,3,0)</f>
        <v>M5WB</v>
      </c>
    </row>
    <row r="131" ht="19" customHeight="1" spans="1:13">
      <c r="A131" s="6">
        <v>45244</v>
      </c>
      <c r="B131" s="4">
        <v>100036478078</v>
      </c>
      <c r="C131" s="4" t="s">
        <v>409</v>
      </c>
      <c r="D131" s="4">
        <v>1</v>
      </c>
      <c r="E131" s="4">
        <v>799</v>
      </c>
      <c r="F131" s="4">
        <v>759</v>
      </c>
      <c r="G131" s="4">
        <v>40</v>
      </c>
      <c r="H131" s="4">
        <v>0</v>
      </c>
      <c r="I131" s="4">
        <v>0</v>
      </c>
      <c r="J131" s="4">
        <v>0</v>
      </c>
      <c r="K131" s="4">
        <v>0</v>
      </c>
      <c r="L131" s="1" t="str">
        <f>VLOOKUP(B131,SKU匹配表!A:D,4,0)</f>
        <v>洗碗机</v>
      </c>
      <c r="M131" s="5" t="str">
        <f>VLOOKUP(B131,SKU匹配表!A:C,3,0)</f>
        <v>M5WB</v>
      </c>
    </row>
    <row r="132" ht="19" customHeight="1" spans="1:13">
      <c r="A132" s="6">
        <v>45244</v>
      </c>
      <c r="B132" s="4">
        <v>100036802387</v>
      </c>
      <c r="C132" s="4" t="s">
        <v>389</v>
      </c>
      <c r="D132" s="4">
        <v>1</v>
      </c>
      <c r="E132" s="4">
        <v>1299</v>
      </c>
      <c r="F132" s="4">
        <v>2279.05</v>
      </c>
      <c r="G132" s="4">
        <v>-980.05</v>
      </c>
      <c r="H132" s="4">
        <v>100</v>
      </c>
      <c r="I132" s="4">
        <v>0</v>
      </c>
      <c r="J132" s="4">
        <v>0</v>
      </c>
      <c r="K132" s="4">
        <v>0</v>
      </c>
      <c r="L132" s="1" t="str">
        <f>VLOOKUP(B132,SKU匹配表!A:D,4,0)</f>
        <v>烟灶</v>
      </c>
      <c r="M132" s="5" t="str">
        <f>VLOOKUP(B132,SKU匹配表!A:C,3,0)</f>
        <v>NM05T</v>
      </c>
    </row>
    <row r="133" ht="19" customHeight="1" spans="1:13">
      <c r="A133" s="6">
        <v>45244</v>
      </c>
      <c r="B133" s="4">
        <v>100039895616</v>
      </c>
      <c r="C133" s="4" t="s">
        <v>410</v>
      </c>
      <c r="D133" s="4">
        <v>1</v>
      </c>
      <c r="E133" s="4">
        <v>6199</v>
      </c>
      <c r="F133" s="4">
        <v>6174</v>
      </c>
      <c r="G133" s="4">
        <v>25</v>
      </c>
      <c r="H133" s="4">
        <v>200</v>
      </c>
      <c r="I133" s="4">
        <v>0</v>
      </c>
      <c r="J133" s="4">
        <v>0</v>
      </c>
      <c r="K133" s="4">
        <v>0</v>
      </c>
      <c r="L133" s="1" t="str">
        <f>VLOOKUP(B133,SKU匹配表!A:D,4,0)</f>
        <v>烟灶</v>
      </c>
      <c r="M133" s="5" t="str">
        <f>VLOOKUP(B133,SKU匹配表!A:C,3,0)</f>
        <v>NM09J+2E07MT+16QC05</v>
      </c>
    </row>
    <row r="134" ht="19" customHeight="1" spans="1:13">
      <c r="A134" s="6">
        <v>45244</v>
      </c>
      <c r="B134" s="4">
        <v>100047264414</v>
      </c>
      <c r="C134" s="4" t="s">
        <v>411</v>
      </c>
      <c r="D134" s="4">
        <v>1</v>
      </c>
      <c r="E134" s="4">
        <v>8549.03</v>
      </c>
      <c r="F134" s="4">
        <v>8359.05</v>
      </c>
      <c r="G134" s="4">
        <v>189.98</v>
      </c>
      <c r="H134" s="4">
        <v>180</v>
      </c>
      <c r="I134" s="4">
        <v>0</v>
      </c>
      <c r="J134" s="4">
        <v>269.97</v>
      </c>
      <c r="K134" s="4">
        <v>0</v>
      </c>
      <c r="L134" s="1" t="str">
        <f>VLOOKUP(B134,SKU匹配表!A:D,4,0)</f>
        <v>烟灶</v>
      </c>
      <c r="M134" s="5" t="str">
        <f>VLOOKUP(B134,SKU匹配表!A:C,3,0)</f>
        <v>NM11T+2E03LS+16QD06W</v>
      </c>
    </row>
    <row r="135" ht="19" customHeight="1" spans="1:13">
      <c r="A135" s="6">
        <v>45244</v>
      </c>
      <c r="B135" s="4">
        <v>100048569017</v>
      </c>
      <c r="C135" s="4" t="s">
        <v>412</v>
      </c>
      <c r="D135" s="4">
        <v>1</v>
      </c>
      <c r="E135" s="4">
        <v>299</v>
      </c>
      <c r="F135" s="4">
        <v>199</v>
      </c>
      <c r="G135" s="4">
        <v>100</v>
      </c>
      <c r="H135" s="4">
        <v>0</v>
      </c>
      <c r="I135" s="4">
        <v>0</v>
      </c>
      <c r="J135" s="4">
        <v>0</v>
      </c>
      <c r="K135" s="4">
        <v>0</v>
      </c>
      <c r="L135" s="1" t="str">
        <f>VLOOKUP(B135,SKU匹配表!A:D,4,0)</f>
        <v>其他</v>
      </c>
      <c r="M135" s="5" t="str">
        <f>VLOOKUP(B135,SKU匹配表!A:C,3,0)</f>
        <v>其他</v>
      </c>
    </row>
    <row r="136" ht="19" customHeight="1" spans="1:13">
      <c r="A136" s="6">
        <v>45244</v>
      </c>
      <c r="B136" s="4">
        <v>100052638198</v>
      </c>
      <c r="C136" s="4" t="s">
        <v>374</v>
      </c>
      <c r="D136" s="4">
        <v>1</v>
      </c>
      <c r="E136" s="4">
        <v>2999</v>
      </c>
      <c r="F136" s="4">
        <v>2944.05</v>
      </c>
      <c r="G136" s="4">
        <v>54.95</v>
      </c>
      <c r="H136" s="4">
        <v>300</v>
      </c>
      <c r="I136" s="4">
        <v>0</v>
      </c>
      <c r="J136" s="4">
        <v>0</v>
      </c>
      <c r="K136" s="4">
        <v>0</v>
      </c>
      <c r="L136" s="1" t="str">
        <f>VLOOKUP(B136,SKU匹配表!A:D,4,0)</f>
        <v>燃气热水器</v>
      </c>
      <c r="M136" s="5" t="str">
        <f>VLOOKUP(B136,SKU匹配表!A:C,3,0)</f>
        <v>16GD32</v>
      </c>
    </row>
    <row r="137" ht="19" customHeight="1" spans="1:13">
      <c r="A137" s="6">
        <v>45244</v>
      </c>
      <c r="B137" s="4">
        <v>100055128250</v>
      </c>
      <c r="C137" s="4" t="s">
        <v>413</v>
      </c>
      <c r="D137" s="4">
        <v>1</v>
      </c>
      <c r="E137" s="4">
        <v>10005</v>
      </c>
      <c r="F137" s="4">
        <v>10349</v>
      </c>
      <c r="G137" s="4">
        <v>-344</v>
      </c>
      <c r="H137" s="4">
        <v>396</v>
      </c>
      <c r="I137" s="4">
        <v>0</v>
      </c>
      <c r="J137" s="4">
        <v>0</v>
      </c>
      <c r="K137" s="4">
        <v>0</v>
      </c>
      <c r="L137" s="1" t="e">
        <f>VLOOKUP(B137,SKU匹配表!A:D,4,0)</f>
        <v>#N/A</v>
      </c>
      <c r="M137" s="5" t="e">
        <f>VLOOKUP(B137,SKU匹配表!A:C,3,0)</f>
        <v>#N/A</v>
      </c>
    </row>
    <row r="138" ht="19" customHeight="1" spans="1:13">
      <c r="A138" s="6">
        <v>45244</v>
      </c>
      <c r="B138" s="4">
        <v>100057296534</v>
      </c>
      <c r="C138" s="4" t="s">
        <v>414</v>
      </c>
      <c r="D138" s="4">
        <v>1</v>
      </c>
      <c r="E138" s="4">
        <v>2715</v>
      </c>
      <c r="F138" s="4">
        <v>2944.05</v>
      </c>
      <c r="G138" s="4">
        <v>-229.05</v>
      </c>
      <c r="H138" s="4">
        <v>213</v>
      </c>
      <c r="I138" s="4">
        <v>0</v>
      </c>
      <c r="J138" s="4">
        <v>0</v>
      </c>
      <c r="K138" s="4">
        <v>0</v>
      </c>
      <c r="L138" s="1" t="e">
        <f>VLOOKUP(B138,SKU匹配表!A:D,4,0)</f>
        <v>#N/A</v>
      </c>
      <c r="M138" s="5" t="e">
        <f>VLOOKUP(B138,SKU匹配表!A:C,3,0)</f>
        <v>#N/A</v>
      </c>
    </row>
    <row r="139" ht="19" customHeight="1" spans="1:13">
      <c r="A139" s="6">
        <v>45244</v>
      </c>
      <c r="B139" s="4">
        <v>100069172537</v>
      </c>
      <c r="C139" s="4" t="s">
        <v>398</v>
      </c>
      <c r="D139" s="4">
        <v>1</v>
      </c>
      <c r="E139" s="4">
        <v>2879</v>
      </c>
      <c r="F139" s="4">
        <v>3514.05</v>
      </c>
      <c r="G139" s="4">
        <v>-635.05</v>
      </c>
      <c r="H139" s="4">
        <v>120</v>
      </c>
      <c r="I139" s="4">
        <v>0</v>
      </c>
      <c r="J139" s="4">
        <v>0</v>
      </c>
      <c r="K139" s="4">
        <v>0</v>
      </c>
      <c r="L139" s="1" t="str">
        <f>VLOOKUP(B139,SKU匹配表!A:D,4,0)</f>
        <v>烟灶</v>
      </c>
      <c r="M139" s="5" t="str">
        <f>VLOOKUP(B139,SKU匹配表!A:C,3,0)</f>
        <v>3E07M</v>
      </c>
    </row>
    <row r="140" ht="19" customHeight="1" spans="1:13">
      <c r="A140" s="6">
        <v>45244</v>
      </c>
      <c r="B140" s="4">
        <v>100069368154</v>
      </c>
      <c r="C140" s="4" t="s">
        <v>415</v>
      </c>
      <c r="D140" s="4">
        <v>1</v>
      </c>
      <c r="E140" s="4">
        <v>1879</v>
      </c>
      <c r="F140" s="4">
        <v>3894</v>
      </c>
      <c r="G140" s="4">
        <v>-2015</v>
      </c>
      <c r="H140" s="4">
        <v>120</v>
      </c>
      <c r="I140" s="4">
        <v>0</v>
      </c>
      <c r="J140" s="4">
        <v>0</v>
      </c>
      <c r="K140" s="4">
        <v>0</v>
      </c>
      <c r="L140" s="1" t="str">
        <f>VLOOKUP(B140,SKU匹配表!A:D,4,0)</f>
        <v>烟灶</v>
      </c>
      <c r="M140" s="5" t="str">
        <f>VLOOKUP(B140,SKU匹配表!A:C,3,0)</f>
        <v>NM05T+2E08MT</v>
      </c>
    </row>
    <row r="141" ht="19" customHeight="1" spans="1:13">
      <c r="A141" s="6">
        <v>45244</v>
      </c>
      <c r="B141" s="4">
        <v>100071623195</v>
      </c>
      <c r="C141" s="4" t="s">
        <v>416</v>
      </c>
      <c r="D141" s="4">
        <v>1</v>
      </c>
      <c r="E141" s="4">
        <v>1579</v>
      </c>
      <c r="F141" s="4">
        <v>2900</v>
      </c>
      <c r="G141" s="4">
        <v>-1321</v>
      </c>
      <c r="H141" s="4">
        <v>120</v>
      </c>
      <c r="I141" s="4">
        <v>0</v>
      </c>
      <c r="J141" s="4">
        <v>0</v>
      </c>
      <c r="K141" s="4">
        <v>0</v>
      </c>
      <c r="L141" s="1" t="str">
        <f>VLOOKUP(B141,SKU匹配表!A:D,4,0)</f>
        <v>烟灶</v>
      </c>
      <c r="M141" s="5" t="str">
        <f>VLOOKUP(B141,SKU匹配表!A:C,3,0)</f>
        <v>NM10T</v>
      </c>
    </row>
    <row r="142" ht="19" customHeight="1" spans="1:13">
      <c r="A142" s="6">
        <v>45244</v>
      </c>
      <c r="B142" s="4">
        <v>100072785977</v>
      </c>
      <c r="C142" s="4" t="s">
        <v>417</v>
      </c>
      <c r="D142" s="4">
        <v>1</v>
      </c>
      <c r="E142" s="4">
        <v>9.9</v>
      </c>
      <c r="F142" s="4">
        <v>6</v>
      </c>
      <c r="G142" s="4">
        <v>3.9</v>
      </c>
      <c r="H142" s="4">
        <v>0</v>
      </c>
      <c r="I142" s="4">
        <v>0</v>
      </c>
      <c r="J142" s="4">
        <v>0</v>
      </c>
      <c r="K142" s="4">
        <v>0</v>
      </c>
      <c r="L142" s="1" t="str">
        <f>VLOOKUP(B142,SKU匹配表!A:D,4,0)</f>
        <v>其他</v>
      </c>
      <c r="M142" s="5" t="str">
        <f>VLOOKUP(B142,SKU匹配表!A:C,3,0)</f>
        <v>其他</v>
      </c>
    </row>
    <row r="143" ht="19" customHeight="1" spans="1:13">
      <c r="A143" s="6">
        <v>45244</v>
      </c>
      <c r="B143" s="4">
        <v>100007648991</v>
      </c>
      <c r="C143" s="4" t="s">
        <v>369</v>
      </c>
      <c r="D143" s="4">
        <v>0</v>
      </c>
      <c r="E143" s="4">
        <v>44</v>
      </c>
      <c r="F143" s="4">
        <v>0</v>
      </c>
      <c r="G143" s="4">
        <v>44</v>
      </c>
      <c r="H143" s="4">
        <v>-44</v>
      </c>
      <c r="I143" s="4">
        <v>0</v>
      </c>
      <c r="J143" s="4">
        <v>0</v>
      </c>
      <c r="K143" s="4">
        <v>0</v>
      </c>
      <c r="L143" s="1" t="str">
        <f>VLOOKUP(B143,SKU匹配表!A:D,4,0)</f>
        <v>燃气热水器</v>
      </c>
      <c r="M143" s="5" t="str">
        <f>VLOOKUP(B143,SKU匹配表!A:C,3,0)</f>
        <v>10QD01</v>
      </c>
    </row>
    <row r="144" ht="19" customHeight="1" spans="1:13">
      <c r="A144" s="6">
        <v>45244</v>
      </c>
      <c r="B144" s="4">
        <v>100020691862</v>
      </c>
      <c r="C144" s="4" t="s">
        <v>359</v>
      </c>
      <c r="D144" s="4">
        <v>0</v>
      </c>
      <c r="E144" s="4">
        <v>30</v>
      </c>
      <c r="F144" s="4">
        <v>0</v>
      </c>
      <c r="G144" s="4">
        <v>30</v>
      </c>
      <c r="H144" s="4">
        <v>120</v>
      </c>
      <c r="I144" s="4">
        <v>0</v>
      </c>
      <c r="J144" s="4">
        <v>0</v>
      </c>
      <c r="K144" s="4">
        <v>0</v>
      </c>
      <c r="L144" s="1" t="str">
        <f>VLOOKUP(B144,SKU匹配表!A:D,4,0)</f>
        <v>烟灶</v>
      </c>
      <c r="M144" s="5" t="str">
        <f>VLOOKUP(B144,SKU匹配表!A:C,3,0)</f>
        <v>2E03LS</v>
      </c>
    </row>
    <row r="145" ht="19" customHeight="1" spans="1:13">
      <c r="A145" s="6">
        <v>45244</v>
      </c>
      <c r="B145" s="4">
        <v>100036802383</v>
      </c>
      <c r="C145" s="4" t="s">
        <v>418</v>
      </c>
      <c r="D145" s="4">
        <v>-1</v>
      </c>
      <c r="E145" s="4">
        <v>-7860.69</v>
      </c>
      <c r="F145" s="4">
        <v>-7011</v>
      </c>
      <c r="G145" s="4">
        <v>-849.69</v>
      </c>
      <c r="H145" s="4">
        <v>0</v>
      </c>
      <c r="I145" s="4">
        <v>0</v>
      </c>
      <c r="J145" s="4">
        <v>0</v>
      </c>
      <c r="K145" s="4">
        <v>0</v>
      </c>
      <c r="L145" s="1" t="str">
        <f>VLOOKUP(B145,SKU匹配表!A:D,4,0)</f>
        <v>燃气热水器</v>
      </c>
      <c r="M145" s="5" t="str">
        <f>VLOOKUP(B145,SKU匹配表!A:C,3,0)</f>
        <v>R24E32FRF</v>
      </c>
    </row>
    <row r="146" ht="19" customHeight="1" spans="1:13">
      <c r="A146" s="6">
        <v>45244</v>
      </c>
      <c r="B146" s="4">
        <v>100048630889</v>
      </c>
      <c r="C146" s="4" t="s">
        <v>373</v>
      </c>
      <c r="D146" s="4">
        <v>-1</v>
      </c>
      <c r="E146" s="4">
        <v>-4349</v>
      </c>
      <c r="F146" s="4">
        <v>-4939.05</v>
      </c>
      <c r="G146" s="4">
        <v>590.05</v>
      </c>
      <c r="H146" s="4">
        <v>0</v>
      </c>
      <c r="I146" s="4">
        <v>0</v>
      </c>
      <c r="J146" s="4">
        <v>0</v>
      </c>
      <c r="K146" s="4">
        <v>0</v>
      </c>
      <c r="L146" s="1" t="str">
        <f>VLOOKUP(B146,SKU匹配表!A:D,4,0)</f>
        <v>烟灶</v>
      </c>
      <c r="M146" s="5" t="str">
        <f>VLOOKUP(B146,SKU匹配表!A:C,3,0)</f>
        <v>NM11T+2E03LS</v>
      </c>
    </row>
    <row r="147" ht="19" customHeight="1" spans="1:13">
      <c r="A147" s="6">
        <v>45244</v>
      </c>
      <c r="B147" s="4">
        <v>100056046455</v>
      </c>
      <c r="C147" s="4" t="s">
        <v>404</v>
      </c>
      <c r="D147" s="4">
        <v>-1</v>
      </c>
      <c r="E147" s="4">
        <v>-545.48</v>
      </c>
      <c r="F147" s="4">
        <v>-521.55</v>
      </c>
      <c r="G147" s="4">
        <v>-23.93</v>
      </c>
      <c r="H147" s="4">
        <v>0</v>
      </c>
      <c r="I147" s="4">
        <v>0</v>
      </c>
      <c r="J147" s="4">
        <v>0</v>
      </c>
      <c r="K147" s="4">
        <v>0</v>
      </c>
      <c r="L147" s="1" t="str">
        <f>VLOOKUP(B147,SKU匹配表!A:D,4,0)</f>
        <v>净水器</v>
      </c>
      <c r="M147" s="5" t="str">
        <f>VLOOKUP(B147,SKU匹配表!A:C,3,0)</f>
        <v>RWTS-PF-11</v>
      </c>
    </row>
    <row r="148" ht="19" customHeight="1" spans="1:13">
      <c r="A148" s="6">
        <v>45244</v>
      </c>
      <c r="B148" s="4">
        <v>100048345256</v>
      </c>
      <c r="C148" s="4" t="s">
        <v>403</v>
      </c>
      <c r="D148" s="4">
        <v>-2</v>
      </c>
      <c r="E148" s="4">
        <v>-894</v>
      </c>
      <c r="F148" s="4">
        <v>-948.1</v>
      </c>
      <c r="G148" s="4">
        <v>54.1</v>
      </c>
      <c r="H148" s="4">
        <v>0</v>
      </c>
      <c r="I148" s="4">
        <v>0</v>
      </c>
      <c r="J148" s="4">
        <v>0</v>
      </c>
      <c r="K148" s="4">
        <v>0</v>
      </c>
      <c r="L148" s="1" t="str">
        <f>VLOOKUP(B148,SKU匹配表!A:D,4,0)</f>
        <v>净水器</v>
      </c>
      <c r="M148" s="5" t="str">
        <f>VLOOKUP(B148,SKU匹配表!A:C,3,0)</f>
        <v>RWTS-PF-10</v>
      </c>
    </row>
    <row r="149" ht="19" customHeight="1" spans="1:13">
      <c r="A149" s="6">
        <v>45244</v>
      </c>
      <c r="B149" s="4">
        <v>100008442137</v>
      </c>
      <c r="C149" s="4" t="s">
        <v>400</v>
      </c>
      <c r="D149" s="4">
        <v>-6</v>
      </c>
      <c r="E149" s="4">
        <v>-1931.3</v>
      </c>
      <c r="F149" s="4">
        <v>-2274</v>
      </c>
      <c r="G149" s="4">
        <v>342.7</v>
      </c>
      <c r="H149" s="4">
        <v>0</v>
      </c>
      <c r="I149" s="4">
        <v>0</v>
      </c>
      <c r="J149" s="4">
        <v>0</v>
      </c>
      <c r="K149" s="4">
        <v>0</v>
      </c>
      <c r="L149" s="1" t="str">
        <f>VLOOKUP(B149,SKU匹配表!A:D,4,0)</f>
        <v>净水器</v>
      </c>
      <c r="M149" s="5" t="str">
        <f>VLOOKUP(B149,SKU匹配表!A:C,3,0)</f>
        <v>RWTS-PF-1</v>
      </c>
    </row>
    <row r="150" ht="19" customHeight="1" spans="1:13">
      <c r="A150" s="6">
        <v>45245</v>
      </c>
      <c r="B150" s="4">
        <v>100048028229</v>
      </c>
      <c r="C150" s="4" t="s">
        <v>340</v>
      </c>
      <c r="D150" s="4">
        <v>160</v>
      </c>
      <c r="E150" s="4">
        <v>388677.1</v>
      </c>
      <c r="F150" s="4">
        <v>395048</v>
      </c>
      <c r="G150" s="4">
        <v>-6370.9</v>
      </c>
      <c r="H150" s="4">
        <v>20314.4</v>
      </c>
      <c r="I150" s="4">
        <v>0</v>
      </c>
      <c r="J150" s="4">
        <v>0</v>
      </c>
      <c r="K150" s="4">
        <v>26.54</v>
      </c>
      <c r="L150" s="1" t="str">
        <f>VLOOKUP(B150,SKU匹配表!A:D,4,0)</f>
        <v>燃气热水器</v>
      </c>
      <c r="M150" s="5" t="str">
        <f>VLOOKUP(B150,SKU匹配表!A:C,3,0)</f>
        <v>13GD31</v>
      </c>
    </row>
    <row r="151" ht="19" customHeight="1" spans="1:13">
      <c r="A151" s="6">
        <v>45245</v>
      </c>
      <c r="B151" s="4">
        <v>100039707007</v>
      </c>
      <c r="C151" s="4" t="s">
        <v>339</v>
      </c>
      <c r="D151" s="4">
        <v>140</v>
      </c>
      <c r="E151" s="4">
        <v>391957.62</v>
      </c>
      <c r="F151" s="4">
        <v>385567</v>
      </c>
      <c r="G151" s="4">
        <v>6390.62</v>
      </c>
      <c r="H151" s="4">
        <v>18568.95</v>
      </c>
      <c r="I151" s="4">
        <v>0</v>
      </c>
      <c r="J151" s="4">
        <v>0</v>
      </c>
      <c r="K151" s="4">
        <v>16.11</v>
      </c>
      <c r="L151" s="1" t="str">
        <f>VLOOKUP(B151,SKU匹配表!A:D,4,0)</f>
        <v>燃气热水器</v>
      </c>
      <c r="M151" s="5" t="str">
        <f>VLOOKUP(B151,SKU匹配表!A:C,3,0)</f>
        <v>16GD31</v>
      </c>
    </row>
    <row r="152" ht="19" customHeight="1" spans="1:13">
      <c r="A152" s="6">
        <v>45245</v>
      </c>
      <c r="B152" s="4">
        <v>100039706989</v>
      </c>
      <c r="C152" s="4" t="s">
        <v>341</v>
      </c>
      <c r="D152" s="4">
        <v>54</v>
      </c>
      <c r="E152" s="4">
        <v>161815.05</v>
      </c>
      <c r="F152" s="4">
        <v>158978.7</v>
      </c>
      <c r="G152" s="4">
        <v>2836.35</v>
      </c>
      <c r="H152" s="4">
        <v>18817.9</v>
      </c>
      <c r="I152" s="4">
        <v>0</v>
      </c>
      <c r="J152" s="4">
        <v>0</v>
      </c>
      <c r="K152" s="4">
        <v>28.37</v>
      </c>
      <c r="L152" s="1" t="str">
        <f>VLOOKUP(B152,SKU匹配表!A:D,4,0)</f>
        <v>燃气热水器</v>
      </c>
      <c r="M152" s="5" t="str">
        <f>VLOOKUP(B152,SKU匹配表!A:C,3,0)</f>
        <v>16GD32</v>
      </c>
    </row>
    <row r="153" ht="19" customHeight="1" spans="1:13">
      <c r="A153" s="6">
        <v>45245</v>
      </c>
      <c r="B153" s="4">
        <v>100009176306</v>
      </c>
      <c r="C153" s="4" t="s">
        <v>343</v>
      </c>
      <c r="D153" s="4">
        <v>43</v>
      </c>
      <c r="E153" s="4">
        <v>165307.31</v>
      </c>
      <c r="F153" s="4">
        <v>167060.1324</v>
      </c>
      <c r="G153" s="4">
        <v>-1752.8224</v>
      </c>
      <c r="H153" s="4">
        <v>14816.7</v>
      </c>
      <c r="I153" s="4">
        <v>0</v>
      </c>
      <c r="J153" s="4">
        <v>0</v>
      </c>
      <c r="K153" s="4">
        <v>42.86</v>
      </c>
      <c r="L153" s="1" t="str">
        <f>VLOOKUP(B153,SKU匹配表!A:D,4,0)</f>
        <v>燃气热水器</v>
      </c>
      <c r="M153" s="5" t="str">
        <f>VLOOKUP(B153,SKU匹配表!A:C,3,0)</f>
        <v>16QD06W</v>
      </c>
    </row>
    <row r="154" ht="19" customHeight="1" spans="1:13">
      <c r="A154" s="6">
        <v>45245</v>
      </c>
      <c r="B154" s="4">
        <v>100056736113</v>
      </c>
      <c r="C154" s="4" t="s">
        <v>347</v>
      </c>
      <c r="D154" s="4">
        <v>43</v>
      </c>
      <c r="E154" s="4">
        <v>206691.66</v>
      </c>
      <c r="F154" s="4">
        <v>184160.4</v>
      </c>
      <c r="G154" s="4">
        <v>22531.26</v>
      </c>
      <c r="H154" s="4">
        <v>15020</v>
      </c>
      <c r="I154" s="4">
        <v>0</v>
      </c>
      <c r="J154" s="4">
        <v>0</v>
      </c>
      <c r="K154" s="4">
        <v>11.98</v>
      </c>
      <c r="L154" s="1" t="str">
        <f>VLOOKUP(B154,SKU匹配表!A:D,4,0)</f>
        <v>燃气热水器</v>
      </c>
      <c r="M154" s="5" t="str">
        <f>VLOOKUP(B154,SKU匹配表!A:C,3,0)</f>
        <v>16GD61R</v>
      </c>
    </row>
    <row r="155" ht="19" customHeight="1" spans="1:13">
      <c r="A155" s="6">
        <v>45245</v>
      </c>
      <c r="B155" s="4">
        <v>100012048672</v>
      </c>
      <c r="C155" s="4" t="s">
        <v>342</v>
      </c>
      <c r="D155" s="4">
        <v>32</v>
      </c>
      <c r="E155" s="4">
        <v>92340.74</v>
      </c>
      <c r="F155" s="4">
        <v>92448</v>
      </c>
      <c r="G155" s="4">
        <v>-107.26</v>
      </c>
      <c r="H155" s="4">
        <v>4361</v>
      </c>
      <c r="I155" s="4">
        <v>0</v>
      </c>
      <c r="J155" s="4">
        <v>0</v>
      </c>
      <c r="K155" s="4">
        <v>19.16</v>
      </c>
      <c r="L155" s="1" t="str">
        <f>VLOOKUP(B155,SKU匹配表!A:D,4,0)</f>
        <v>燃气热水器</v>
      </c>
      <c r="M155" s="5" t="str">
        <f>VLOOKUP(B155,SKU匹配表!A:C,3,0)</f>
        <v>16QC05</v>
      </c>
    </row>
    <row r="156" ht="19" customHeight="1" spans="1:13">
      <c r="A156" s="6">
        <v>45245</v>
      </c>
      <c r="B156" s="4">
        <v>100012048688</v>
      </c>
      <c r="C156" s="4" t="s">
        <v>345</v>
      </c>
      <c r="D156" s="4">
        <v>27</v>
      </c>
      <c r="E156" s="4">
        <v>69063.26</v>
      </c>
      <c r="F156" s="4">
        <v>66527.9999</v>
      </c>
      <c r="G156" s="4">
        <v>2535.2601</v>
      </c>
      <c r="H156" s="4">
        <v>2760</v>
      </c>
      <c r="I156" s="4">
        <v>0</v>
      </c>
      <c r="J156" s="4">
        <v>0</v>
      </c>
      <c r="K156" s="4">
        <v>56.96</v>
      </c>
      <c r="L156" s="1" t="str">
        <f>VLOOKUP(B156,SKU匹配表!A:D,4,0)</f>
        <v>燃气热水器</v>
      </c>
      <c r="M156" s="5" t="str">
        <f>VLOOKUP(B156,SKU匹配表!A:C,3,0)</f>
        <v>13QC05</v>
      </c>
    </row>
    <row r="157" ht="19" customHeight="1" spans="1:13">
      <c r="A157" s="6">
        <v>45245</v>
      </c>
      <c r="B157" s="4">
        <v>100048028257</v>
      </c>
      <c r="C157" s="4" t="s">
        <v>344</v>
      </c>
      <c r="D157" s="4">
        <v>27</v>
      </c>
      <c r="E157" s="4">
        <v>72673.39</v>
      </c>
      <c r="F157" s="4">
        <v>74359.35</v>
      </c>
      <c r="G157" s="4">
        <v>-1685.96</v>
      </c>
      <c r="H157" s="4">
        <v>3936.5</v>
      </c>
      <c r="I157" s="4">
        <v>0</v>
      </c>
      <c r="J157" s="4">
        <v>0</v>
      </c>
      <c r="K157" s="4">
        <v>34.44</v>
      </c>
      <c r="L157" s="1" t="str">
        <f>VLOOKUP(B157,SKU匹配表!A:D,4,0)</f>
        <v>燃气热水器</v>
      </c>
      <c r="M157" s="5" t="str">
        <f>VLOOKUP(B157,SKU匹配表!A:C,3,0)</f>
        <v>13GD32</v>
      </c>
    </row>
    <row r="158" ht="19" customHeight="1" spans="1:13">
      <c r="A158" s="6">
        <v>45245</v>
      </c>
      <c r="B158" s="4">
        <v>100038009912</v>
      </c>
      <c r="C158" s="4" t="s">
        <v>349</v>
      </c>
      <c r="D158" s="4">
        <v>15</v>
      </c>
      <c r="E158" s="4">
        <v>14074.46</v>
      </c>
      <c r="F158" s="4">
        <v>22790.8444</v>
      </c>
      <c r="G158" s="4">
        <v>-8716.3844</v>
      </c>
      <c r="H158" s="4">
        <v>621.2</v>
      </c>
      <c r="I158" s="4">
        <v>0</v>
      </c>
      <c r="J158" s="4">
        <v>92.06</v>
      </c>
      <c r="K158" s="4">
        <v>13.86</v>
      </c>
      <c r="L158" s="1" t="str">
        <f>VLOOKUP(B158,SKU匹配表!A:D,4,0)</f>
        <v>烟灶</v>
      </c>
      <c r="M158" s="5" t="str">
        <f>VLOOKUP(B158,SKU匹配表!A:C,3,0)</f>
        <v>2E08MT</v>
      </c>
    </row>
    <row r="159" ht="19" customHeight="1" spans="1:13">
      <c r="A159" s="6">
        <v>45245</v>
      </c>
      <c r="B159" s="4">
        <v>100007725035</v>
      </c>
      <c r="C159" s="4" t="s">
        <v>346</v>
      </c>
      <c r="D159" s="4">
        <v>13</v>
      </c>
      <c r="E159" s="4">
        <v>37008.56</v>
      </c>
      <c r="F159" s="4">
        <v>39637.2805</v>
      </c>
      <c r="G159" s="4">
        <v>-2628.7205</v>
      </c>
      <c r="H159" s="4">
        <v>4376.7</v>
      </c>
      <c r="I159" s="4">
        <v>0</v>
      </c>
      <c r="J159" s="4">
        <v>0</v>
      </c>
      <c r="K159" s="4">
        <v>105.89</v>
      </c>
      <c r="L159" s="1" t="str">
        <f>VLOOKUP(B159,SKU匹配表!A:D,4,0)</f>
        <v>燃气热水器</v>
      </c>
      <c r="M159" s="5" t="str">
        <f>VLOOKUP(B159,SKU匹配表!A:C,3,0)</f>
        <v>16QD31</v>
      </c>
    </row>
    <row r="160" ht="19" customHeight="1" spans="1:13">
      <c r="A160" s="6">
        <v>45245</v>
      </c>
      <c r="B160" s="4">
        <v>100009176278</v>
      </c>
      <c r="C160" s="4" t="s">
        <v>348</v>
      </c>
      <c r="D160" s="4">
        <v>10</v>
      </c>
      <c r="E160" s="4">
        <v>30031.46</v>
      </c>
      <c r="F160" s="4">
        <v>31180.0372</v>
      </c>
      <c r="G160" s="4">
        <v>-1148.5772</v>
      </c>
      <c r="H160" s="4">
        <v>2790</v>
      </c>
      <c r="I160" s="4">
        <v>0</v>
      </c>
      <c r="J160" s="4">
        <v>0</v>
      </c>
      <c r="K160" s="4">
        <v>33.9</v>
      </c>
      <c r="L160" s="1" t="str">
        <f>VLOOKUP(B160,SKU匹配表!A:D,4,0)</f>
        <v>燃气热水器</v>
      </c>
      <c r="M160" s="5" t="str">
        <f>VLOOKUP(B160,SKU匹配表!A:C,3,0)</f>
        <v>13QD06W</v>
      </c>
    </row>
    <row r="161" ht="19" customHeight="1" spans="1:13">
      <c r="A161" s="6">
        <v>45245</v>
      </c>
      <c r="B161" s="4">
        <v>100002444086</v>
      </c>
      <c r="C161" s="4" t="s">
        <v>363</v>
      </c>
      <c r="D161" s="4">
        <v>9</v>
      </c>
      <c r="E161" s="4">
        <v>882</v>
      </c>
      <c r="F161" s="4">
        <v>855</v>
      </c>
      <c r="G161" s="4">
        <v>27</v>
      </c>
      <c r="H161" s="4">
        <v>0</v>
      </c>
      <c r="I161" s="4">
        <v>0</v>
      </c>
      <c r="J161" s="4">
        <v>0</v>
      </c>
      <c r="K161" s="4">
        <v>0</v>
      </c>
      <c r="L161" s="1" t="str">
        <f>VLOOKUP(B161,SKU匹配表!A:D,4,0)</f>
        <v>定金</v>
      </c>
      <c r="M161" s="5" t="str">
        <f>VLOOKUP(B161,SKU匹配表!A:C,3,0)</f>
        <v>定金</v>
      </c>
    </row>
    <row r="162" ht="19" customHeight="1" spans="1:13">
      <c r="A162" s="6">
        <v>45245</v>
      </c>
      <c r="B162" s="4">
        <v>100012689724</v>
      </c>
      <c r="C162" s="4" t="s">
        <v>350</v>
      </c>
      <c r="D162" s="4">
        <v>9</v>
      </c>
      <c r="E162" s="4">
        <v>9953.9395</v>
      </c>
      <c r="F162" s="4">
        <v>10709.9511</v>
      </c>
      <c r="G162" s="4">
        <v>-756.0116</v>
      </c>
      <c r="H162" s="4">
        <v>702</v>
      </c>
      <c r="I162" s="4">
        <v>0</v>
      </c>
      <c r="J162" s="4">
        <v>0</v>
      </c>
      <c r="K162" s="4">
        <v>49.22</v>
      </c>
      <c r="L162" s="1" t="str">
        <f>VLOOKUP(B162,SKU匹配表!A:D,4,0)</f>
        <v>燃气热水器</v>
      </c>
      <c r="M162" s="5" t="str">
        <f>VLOOKUP(B162,SKU匹配表!A:C,3,0)</f>
        <v>SG</v>
      </c>
    </row>
    <row r="163" ht="19" customHeight="1" spans="1:13">
      <c r="A163" s="6">
        <v>45245</v>
      </c>
      <c r="B163" s="4">
        <v>100061470016</v>
      </c>
      <c r="C163" s="4" t="s">
        <v>351</v>
      </c>
      <c r="D163" s="4">
        <v>7</v>
      </c>
      <c r="E163" s="4">
        <v>29879.97</v>
      </c>
      <c r="F163" s="4">
        <v>28207.2</v>
      </c>
      <c r="G163" s="4">
        <v>1672.77</v>
      </c>
      <c r="H163" s="4">
        <v>1800</v>
      </c>
      <c r="I163" s="4">
        <v>0</v>
      </c>
      <c r="J163" s="4">
        <v>0</v>
      </c>
      <c r="K163" s="4">
        <v>0</v>
      </c>
      <c r="L163" s="1" t="str">
        <f>VLOOKUP(B163,SKU匹配表!A:D,4,0)</f>
        <v>燃气热水器</v>
      </c>
      <c r="M163" s="5" t="str">
        <f>VLOOKUP(B163,SKU匹配表!A:C,3,0)</f>
        <v>16QC06</v>
      </c>
    </row>
    <row r="164" ht="19" customHeight="1" spans="1:13">
      <c r="A164" s="6">
        <v>45245</v>
      </c>
      <c r="B164" s="4">
        <v>100007725017</v>
      </c>
      <c r="C164" s="4" t="s">
        <v>353</v>
      </c>
      <c r="D164" s="4">
        <v>6</v>
      </c>
      <c r="E164" s="4">
        <v>16593.88</v>
      </c>
      <c r="F164" s="4">
        <v>15744.5789</v>
      </c>
      <c r="G164" s="4">
        <v>849.3011</v>
      </c>
      <c r="H164" s="4">
        <v>800</v>
      </c>
      <c r="I164" s="4">
        <v>0</v>
      </c>
      <c r="J164" s="4">
        <v>0</v>
      </c>
      <c r="K164" s="4">
        <v>58.97</v>
      </c>
      <c r="L164" s="1" t="str">
        <f>VLOOKUP(B164,SKU匹配表!A:D,4,0)</f>
        <v>燃气热水器</v>
      </c>
      <c r="M164" s="5" t="str">
        <f>VLOOKUP(B164,SKU匹配表!A:C,3,0)</f>
        <v>13QD31</v>
      </c>
    </row>
    <row r="165" ht="19" customHeight="1" spans="1:13">
      <c r="A165" s="6">
        <v>45245</v>
      </c>
      <c r="B165" s="4">
        <v>100013985394</v>
      </c>
      <c r="C165" s="4" t="s">
        <v>358</v>
      </c>
      <c r="D165" s="4">
        <v>5</v>
      </c>
      <c r="E165" s="4">
        <v>13132</v>
      </c>
      <c r="F165" s="4">
        <v>11845</v>
      </c>
      <c r="G165" s="4">
        <v>1287</v>
      </c>
      <c r="H165" s="4">
        <v>360</v>
      </c>
      <c r="I165" s="4">
        <v>0</v>
      </c>
      <c r="J165" s="4">
        <v>0</v>
      </c>
      <c r="K165" s="4">
        <v>32.2</v>
      </c>
      <c r="L165" s="1" t="str">
        <f>VLOOKUP(B165,SKU匹配表!A:D,4,0)</f>
        <v>燃气热水器</v>
      </c>
      <c r="M165" s="5" t="str">
        <f>VLOOKUP(B165,SKU匹配表!A:C,3,0)</f>
        <v>11QD31</v>
      </c>
    </row>
    <row r="166" ht="19" customHeight="1" spans="1:13">
      <c r="A166" s="6">
        <v>45245</v>
      </c>
      <c r="B166" s="4">
        <v>100057296400</v>
      </c>
      <c r="C166" s="4" t="s">
        <v>393</v>
      </c>
      <c r="D166" s="4">
        <v>5</v>
      </c>
      <c r="E166" s="4">
        <v>12534.58</v>
      </c>
      <c r="F166" s="4">
        <v>13770.25</v>
      </c>
      <c r="G166" s="4">
        <v>-1235.67</v>
      </c>
      <c r="H166" s="4">
        <v>462</v>
      </c>
      <c r="I166" s="4">
        <v>0</v>
      </c>
      <c r="J166" s="4">
        <v>0</v>
      </c>
      <c r="K166" s="4">
        <v>0</v>
      </c>
      <c r="L166" s="1" t="e">
        <f>VLOOKUP(B166,SKU匹配表!A:D,4,0)</f>
        <v>#N/A</v>
      </c>
      <c r="M166" s="5" t="e">
        <f>VLOOKUP(B166,SKU匹配表!A:C,3,0)</f>
        <v>#N/A</v>
      </c>
    </row>
    <row r="167" ht="19" customHeight="1" spans="1:13">
      <c r="A167" s="6">
        <v>45245</v>
      </c>
      <c r="B167" s="4">
        <v>100061470014</v>
      </c>
      <c r="C167" s="4" t="s">
        <v>354</v>
      </c>
      <c r="D167" s="4">
        <v>4</v>
      </c>
      <c r="E167" s="4">
        <v>12989</v>
      </c>
      <c r="F167" s="4">
        <v>12806.4</v>
      </c>
      <c r="G167" s="4">
        <v>182.6</v>
      </c>
      <c r="H167" s="4">
        <v>1000</v>
      </c>
      <c r="I167" s="4">
        <v>0</v>
      </c>
      <c r="J167" s="4">
        <v>0</v>
      </c>
      <c r="K167" s="4">
        <v>0</v>
      </c>
      <c r="L167" s="1" t="str">
        <f>VLOOKUP(B167,SKU匹配表!A:D,4,0)</f>
        <v>燃气热水器</v>
      </c>
      <c r="M167" s="5" t="str">
        <f>VLOOKUP(B167,SKU匹配表!A:C,3,0)</f>
        <v>13QC06</v>
      </c>
    </row>
    <row r="168" ht="19" customHeight="1" spans="1:13">
      <c r="A168" s="6">
        <v>45245</v>
      </c>
      <c r="B168" s="4">
        <v>100018607305</v>
      </c>
      <c r="C168" s="4" t="s">
        <v>355</v>
      </c>
      <c r="D168" s="4">
        <v>3</v>
      </c>
      <c r="E168" s="4">
        <v>3</v>
      </c>
      <c r="F168" s="4">
        <v>3</v>
      </c>
      <c r="G168" s="4">
        <v>0</v>
      </c>
      <c r="H168" s="4">
        <v>0</v>
      </c>
      <c r="I168" s="4">
        <v>0</v>
      </c>
      <c r="J168" s="4">
        <v>0</v>
      </c>
      <c r="K168" s="4">
        <v>0</v>
      </c>
      <c r="L168" s="1" t="str">
        <f>VLOOKUP(B168,SKU匹配表!A:D,4,0)</f>
        <v>其他</v>
      </c>
      <c r="M168" s="5" t="str">
        <f>VLOOKUP(B168,SKU匹配表!A:C,3,0)</f>
        <v>其他</v>
      </c>
    </row>
    <row r="169" ht="19" customHeight="1" spans="1:13">
      <c r="A169" s="6">
        <v>45245</v>
      </c>
      <c r="B169" s="4">
        <v>100066733312</v>
      </c>
      <c r="C169" s="4" t="s">
        <v>362</v>
      </c>
      <c r="D169" s="4">
        <v>3</v>
      </c>
      <c r="E169" s="4">
        <v>4356</v>
      </c>
      <c r="F169" s="4">
        <v>5127.15</v>
      </c>
      <c r="G169" s="4">
        <v>-771.15</v>
      </c>
      <c r="H169" s="4">
        <v>140</v>
      </c>
      <c r="I169" s="4">
        <v>0</v>
      </c>
      <c r="J169" s="4">
        <v>0</v>
      </c>
      <c r="K169" s="4">
        <v>0</v>
      </c>
      <c r="L169" s="1" t="str">
        <f>VLOOKUP(B169,SKU匹配表!A:D,4,0)</f>
        <v>烟灶</v>
      </c>
      <c r="M169" s="5" t="str">
        <f>VLOOKUP(B169,SKU匹配表!A:C,3,0)</f>
        <v>2E08MTX</v>
      </c>
    </row>
    <row r="170" ht="19" customHeight="1" spans="1:13">
      <c r="A170" s="6">
        <v>45245</v>
      </c>
      <c r="B170" s="4">
        <v>100072387214</v>
      </c>
      <c r="C170" s="4" t="s">
        <v>419</v>
      </c>
      <c r="D170" s="4">
        <v>3</v>
      </c>
      <c r="E170" s="4">
        <v>6297</v>
      </c>
      <c r="F170" s="4">
        <v>11037</v>
      </c>
      <c r="G170" s="4">
        <v>-4740</v>
      </c>
      <c r="H170" s="4">
        <v>0</v>
      </c>
      <c r="I170" s="4">
        <v>0</v>
      </c>
      <c r="J170" s="4">
        <v>0</v>
      </c>
      <c r="K170" s="4">
        <v>0</v>
      </c>
      <c r="L170" s="1" t="str">
        <f>VLOOKUP(B170,SKU匹配表!A:D,4,0)</f>
        <v>烟灶</v>
      </c>
      <c r="M170" s="5" t="str">
        <f>VLOOKUP(B170,SKU匹配表!A:C,3,0)</f>
        <v>NMW21J+2E01LT</v>
      </c>
    </row>
    <row r="171" ht="19" customHeight="1" spans="1:13">
      <c r="A171" s="6">
        <v>45245</v>
      </c>
      <c r="B171" s="4">
        <v>100007648991</v>
      </c>
      <c r="C171" s="4" t="s">
        <v>369</v>
      </c>
      <c r="D171" s="4">
        <v>2</v>
      </c>
      <c r="E171" s="4">
        <v>4178</v>
      </c>
      <c r="F171" s="4">
        <v>4536</v>
      </c>
      <c r="G171" s="4">
        <v>-358</v>
      </c>
      <c r="H171" s="4">
        <v>0</v>
      </c>
      <c r="I171" s="4">
        <v>0</v>
      </c>
      <c r="J171" s="4">
        <v>0</v>
      </c>
      <c r="K171" s="4">
        <v>0</v>
      </c>
      <c r="L171" s="1" t="str">
        <f>VLOOKUP(B171,SKU匹配表!A:D,4,0)</f>
        <v>燃气热水器</v>
      </c>
      <c r="M171" s="5" t="str">
        <f>VLOOKUP(B171,SKU匹配表!A:C,3,0)</f>
        <v>10QD01</v>
      </c>
    </row>
    <row r="172" ht="19" customHeight="1" spans="1:13">
      <c r="A172" s="6">
        <v>45245</v>
      </c>
      <c r="B172" s="4">
        <v>100014142126</v>
      </c>
      <c r="C172" s="4" t="s">
        <v>380</v>
      </c>
      <c r="D172" s="4">
        <v>2</v>
      </c>
      <c r="E172" s="4">
        <v>5672</v>
      </c>
      <c r="F172" s="4">
        <v>6098.0024</v>
      </c>
      <c r="G172" s="4">
        <v>-426.0024</v>
      </c>
      <c r="H172" s="4">
        <v>344</v>
      </c>
      <c r="I172" s="4">
        <v>0</v>
      </c>
      <c r="J172" s="4">
        <v>0</v>
      </c>
      <c r="K172" s="4">
        <v>0</v>
      </c>
      <c r="L172" s="1" t="str">
        <f>VLOOKUP(B172,SKU匹配表!A:D,4,0)</f>
        <v>燃气热水器</v>
      </c>
      <c r="M172" s="5" t="str">
        <f>VLOOKUP(B172,SKU匹配表!A:C,3,0)</f>
        <v>16QD31+SG</v>
      </c>
    </row>
    <row r="173" ht="19" customHeight="1" spans="1:13">
      <c r="A173" s="6">
        <v>45245</v>
      </c>
      <c r="B173" s="4">
        <v>100043001361</v>
      </c>
      <c r="C173" s="4" t="s">
        <v>390</v>
      </c>
      <c r="D173" s="4">
        <v>2</v>
      </c>
      <c r="E173" s="4">
        <v>2</v>
      </c>
      <c r="F173" s="4">
        <v>1.8</v>
      </c>
      <c r="G173" s="4">
        <v>0.2</v>
      </c>
      <c r="H173" s="4">
        <v>0</v>
      </c>
      <c r="I173" s="4">
        <v>0</v>
      </c>
      <c r="J173" s="4">
        <v>0</v>
      </c>
      <c r="K173" s="4">
        <v>0</v>
      </c>
      <c r="L173" s="1" t="str">
        <f>VLOOKUP(B173,SKU匹配表!A:D,4,0)</f>
        <v>其他</v>
      </c>
      <c r="M173" s="5" t="str">
        <f>VLOOKUP(B173,SKU匹配表!A:C,3,0)</f>
        <v>其他</v>
      </c>
    </row>
    <row r="174" ht="19" customHeight="1" spans="1:13">
      <c r="A174" s="6">
        <v>45245</v>
      </c>
      <c r="B174" s="4">
        <v>100057296534</v>
      </c>
      <c r="C174" s="4" t="s">
        <v>414</v>
      </c>
      <c r="D174" s="4">
        <v>2</v>
      </c>
      <c r="E174" s="4">
        <v>5592</v>
      </c>
      <c r="F174" s="4">
        <v>5888.1</v>
      </c>
      <c r="G174" s="4">
        <v>-296.1</v>
      </c>
      <c r="H174" s="4">
        <v>444</v>
      </c>
      <c r="I174" s="4">
        <v>0</v>
      </c>
      <c r="J174" s="4">
        <v>0</v>
      </c>
      <c r="K174" s="4">
        <v>0</v>
      </c>
      <c r="L174" s="1" t="e">
        <f>VLOOKUP(B174,SKU匹配表!A:D,4,0)</f>
        <v>#N/A</v>
      </c>
      <c r="M174" s="5" t="e">
        <f>VLOOKUP(B174,SKU匹配表!A:C,3,0)</f>
        <v>#N/A</v>
      </c>
    </row>
    <row r="175" ht="19" customHeight="1" spans="1:13">
      <c r="A175" s="6">
        <v>45245</v>
      </c>
      <c r="B175" s="4">
        <v>100064771629</v>
      </c>
      <c r="C175" s="4" t="s">
        <v>395</v>
      </c>
      <c r="D175" s="4">
        <v>2</v>
      </c>
      <c r="E175" s="4">
        <v>10758</v>
      </c>
      <c r="F175" s="4">
        <v>10267.2</v>
      </c>
      <c r="G175" s="4">
        <v>490.8</v>
      </c>
      <c r="H175" s="4">
        <v>0</v>
      </c>
      <c r="I175" s="4">
        <v>0</v>
      </c>
      <c r="J175" s="4">
        <v>0</v>
      </c>
      <c r="K175" s="4">
        <v>0</v>
      </c>
      <c r="L175" s="1" t="str">
        <f>VLOOKUP(B175,SKU匹配表!A:D,4,0)</f>
        <v>燃气热水器</v>
      </c>
      <c r="M175" s="5" t="str">
        <f>VLOOKUP(B175,SKU匹配表!A:C,3,0)</f>
        <v>16QC06+SG</v>
      </c>
    </row>
    <row r="176" ht="19" customHeight="1" spans="1:13">
      <c r="A176" s="6">
        <v>45245</v>
      </c>
      <c r="B176" s="4">
        <v>100003152535</v>
      </c>
      <c r="C176" s="4" t="s">
        <v>357</v>
      </c>
      <c r="D176" s="4">
        <v>1</v>
      </c>
      <c r="E176" s="4">
        <v>8999</v>
      </c>
      <c r="F176" s="4">
        <v>7809.08</v>
      </c>
      <c r="G176" s="4">
        <v>1189.92</v>
      </c>
      <c r="H176" s="4">
        <v>0</v>
      </c>
      <c r="I176" s="4">
        <v>0</v>
      </c>
      <c r="J176" s="4">
        <v>0</v>
      </c>
      <c r="K176" s="4">
        <v>0</v>
      </c>
      <c r="L176" s="1" t="str">
        <f>VLOOKUP(B176,SKU匹配表!A:D,4,0)</f>
        <v>壁挂炉</v>
      </c>
      <c r="M176" s="5" t="str">
        <f>VLOOKUP(B176,SKU匹配表!A:C,3,0)</f>
        <v>24C33</v>
      </c>
    </row>
    <row r="177" ht="19" customHeight="1" spans="1:13">
      <c r="A177" s="6">
        <v>45245</v>
      </c>
      <c r="B177" s="4">
        <v>100007303429</v>
      </c>
      <c r="C177" s="4" t="s">
        <v>405</v>
      </c>
      <c r="D177" s="4">
        <v>1</v>
      </c>
      <c r="E177" s="4">
        <v>3697</v>
      </c>
      <c r="F177" s="4">
        <v>4079</v>
      </c>
      <c r="G177" s="4">
        <v>-382</v>
      </c>
      <c r="H177" s="4">
        <v>300</v>
      </c>
      <c r="I177" s="4">
        <v>0</v>
      </c>
      <c r="J177" s="4">
        <v>0</v>
      </c>
      <c r="K177" s="4">
        <v>0</v>
      </c>
      <c r="L177" s="1" t="str">
        <f>VLOOKUP(B177,SKU匹配表!A:D,4,0)</f>
        <v>燃气热水器</v>
      </c>
      <c r="M177" s="5" t="str">
        <f>VLOOKUP(B177,SKU匹配表!A:C,3,0)</f>
        <v>16QC05+SG</v>
      </c>
    </row>
    <row r="178" ht="19" customHeight="1" spans="1:13">
      <c r="A178" s="6">
        <v>45245</v>
      </c>
      <c r="B178" s="4">
        <v>100007343539</v>
      </c>
      <c r="C178" s="4" t="s">
        <v>420</v>
      </c>
      <c r="D178" s="4">
        <v>1</v>
      </c>
      <c r="E178" s="4">
        <v>2399</v>
      </c>
      <c r="F178" s="4">
        <v>2279</v>
      </c>
      <c r="G178" s="4">
        <v>120</v>
      </c>
      <c r="H178" s="4">
        <v>0</v>
      </c>
      <c r="I178" s="4">
        <v>0</v>
      </c>
      <c r="J178" s="4">
        <v>0</v>
      </c>
      <c r="K178" s="4">
        <v>0</v>
      </c>
      <c r="L178" s="1" t="str">
        <f>VLOOKUP(B178,SKU匹配表!A:D,4,0)</f>
        <v>净水器</v>
      </c>
      <c r="M178" s="5" t="str">
        <f>VLOOKUP(B178,SKU匹配表!A:C,3,0)</f>
        <v>RWTS-RO12-A</v>
      </c>
    </row>
    <row r="179" ht="19" customHeight="1" spans="1:13">
      <c r="A179" s="6">
        <v>45245</v>
      </c>
      <c r="B179" s="4">
        <v>100009176298</v>
      </c>
      <c r="C179" s="4" t="s">
        <v>376</v>
      </c>
      <c r="D179" s="4">
        <v>1</v>
      </c>
      <c r="E179" s="4">
        <v>4843.99</v>
      </c>
      <c r="F179" s="4">
        <v>5604</v>
      </c>
      <c r="G179" s="4">
        <v>-760.01</v>
      </c>
      <c r="H179" s="4">
        <v>356</v>
      </c>
      <c r="I179" s="4">
        <v>0</v>
      </c>
      <c r="J179" s="4">
        <v>0</v>
      </c>
      <c r="K179" s="4">
        <v>0</v>
      </c>
      <c r="L179" s="1" t="str">
        <f>VLOOKUP(B179,SKU匹配表!A:D,4,0)</f>
        <v>燃气热水器</v>
      </c>
      <c r="M179" s="5" t="str">
        <f>VLOOKUP(B179,SKU匹配表!A:C,3,0)</f>
        <v>16QD06W+SG</v>
      </c>
    </row>
    <row r="180" ht="19" customHeight="1" spans="1:13">
      <c r="A180" s="6">
        <v>45245</v>
      </c>
      <c r="B180" s="4">
        <v>100012868940</v>
      </c>
      <c r="C180" s="4" t="s">
        <v>376</v>
      </c>
      <c r="D180" s="4">
        <v>1</v>
      </c>
      <c r="E180" s="4">
        <v>4362.1587</v>
      </c>
      <c r="F180" s="4">
        <v>3886.2264</v>
      </c>
      <c r="G180" s="4">
        <v>475.9323</v>
      </c>
      <c r="H180" s="4">
        <v>304</v>
      </c>
      <c r="I180" s="4">
        <v>0</v>
      </c>
      <c r="J180" s="4">
        <v>0</v>
      </c>
      <c r="K180" s="4">
        <v>0</v>
      </c>
      <c r="L180" s="1" t="str">
        <f>VLOOKUP(B180,SKU匹配表!A:D,4,0)</f>
        <v>燃气热水器</v>
      </c>
      <c r="M180" s="5" t="str">
        <f>VLOOKUP(B180,SKU匹配表!A:C,3,0)</f>
        <v>16QD06W+SG</v>
      </c>
    </row>
    <row r="181" ht="19" customHeight="1" spans="1:13">
      <c r="A181" s="6">
        <v>45245</v>
      </c>
      <c r="B181" s="4">
        <v>100014171252</v>
      </c>
      <c r="C181" s="4" t="s">
        <v>381</v>
      </c>
      <c r="D181" s="4">
        <v>1</v>
      </c>
      <c r="E181" s="4">
        <v>3898</v>
      </c>
      <c r="F181" s="4">
        <v>4179</v>
      </c>
      <c r="G181" s="4">
        <v>-281</v>
      </c>
      <c r="H181" s="4">
        <v>0</v>
      </c>
      <c r="I181" s="4">
        <v>0</v>
      </c>
      <c r="J181" s="4">
        <v>0</v>
      </c>
      <c r="K181" s="4">
        <v>0</v>
      </c>
      <c r="L181" s="1" t="str">
        <f>VLOOKUP(B181,SKU匹配表!A:D,4,0)</f>
        <v>燃气热水器</v>
      </c>
      <c r="M181" s="5" t="str">
        <f>VLOOKUP(B181,SKU匹配表!A:C,3,0)</f>
        <v>13QD31+SG</v>
      </c>
    </row>
    <row r="182" ht="19" customHeight="1" spans="1:13">
      <c r="A182" s="6">
        <v>45245</v>
      </c>
      <c r="B182" s="4">
        <v>100016281262</v>
      </c>
      <c r="C182" s="4" t="s">
        <v>386</v>
      </c>
      <c r="D182" s="4">
        <v>1</v>
      </c>
      <c r="E182" s="4">
        <v>7679</v>
      </c>
      <c r="F182" s="4">
        <v>6358</v>
      </c>
      <c r="G182" s="4">
        <v>1321</v>
      </c>
      <c r="H182" s="4">
        <v>400</v>
      </c>
      <c r="I182" s="4">
        <v>0</v>
      </c>
      <c r="J182" s="4">
        <v>0</v>
      </c>
      <c r="K182" s="4">
        <v>9</v>
      </c>
      <c r="L182" s="1" t="str">
        <f>VLOOKUP(B182,SKU匹配表!A:D,4,0)</f>
        <v>燃气热水器</v>
      </c>
      <c r="M182" s="5" t="str">
        <f>VLOOKUP(B182,SKU匹配表!A:C,3,0)</f>
        <v>R20E32FRF</v>
      </c>
    </row>
    <row r="183" ht="19" customHeight="1" spans="1:13">
      <c r="A183" s="6">
        <v>45245</v>
      </c>
      <c r="B183" s="4">
        <v>100016574664</v>
      </c>
      <c r="C183" s="4" t="s">
        <v>346</v>
      </c>
      <c r="D183" s="4">
        <v>1</v>
      </c>
      <c r="E183" s="4">
        <v>3299</v>
      </c>
      <c r="F183" s="4">
        <v>3314</v>
      </c>
      <c r="G183" s="4">
        <v>-15</v>
      </c>
      <c r="H183" s="4">
        <v>200</v>
      </c>
      <c r="I183" s="4">
        <v>0</v>
      </c>
      <c r="J183" s="4">
        <v>0</v>
      </c>
      <c r="K183" s="4">
        <v>0</v>
      </c>
      <c r="L183" s="1" t="str">
        <f>VLOOKUP(B183,SKU匹配表!A:D,4,0)</f>
        <v>燃气热水器</v>
      </c>
      <c r="M183" s="5" t="str">
        <f>VLOOKUP(B183,SKU匹配表!A:C,3,0)</f>
        <v>16QD31</v>
      </c>
    </row>
    <row r="184" ht="19" customHeight="1" spans="1:13">
      <c r="A184" s="6">
        <v>45245</v>
      </c>
      <c r="B184" s="4">
        <v>100019647559</v>
      </c>
      <c r="C184" s="4" t="s">
        <v>421</v>
      </c>
      <c r="D184" s="4">
        <v>1</v>
      </c>
      <c r="E184" s="4">
        <v>8698</v>
      </c>
      <c r="F184" s="4">
        <v>8644.05</v>
      </c>
      <c r="G184" s="4">
        <v>53.95</v>
      </c>
      <c r="H184" s="4">
        <v>600</v>
      </c>
      <c r="I184" s="4">
        <v>0</v>
      </c>
      <c r="J184" s="4">
        <v>0</v>
      </c>
      <c r="K184" s="4">
        <v>0</v>
      </c>
      <c r="L184" s="1" t="str">
        <f>VLOOKUP(B184,SKU匹配表!A:D,4,0)</f>
        <v>壁挂炉</v>
      </c>
      <c r="M184" s="5" t="str">
        <f>VLOOKUP(B184,SKU匹配表!A:C,3,0)</f>
        <v>24C30+SG</v>
      </c>
    </row>
    <row r="185" ht="19" customHeight="1" spans="1:13">
      <c r="A185" s="6">
        <v>45245</v>
      </c>
      <c r="B185" s="4">
        <v>100028791380</v>
      </c>
      <c r="C185" s="4" t="s">
        <v>345</v>
      </c>
      <c r="D185" s="4">
        <v>1</v>
      </c>
      <c r="E185" s="4">
        <v>2599</v>
      </c>
      <c r="F185" s="4">
        <v>2464</v>
      </c>
      <c r="G185" s="4">
        <v>135</v>
      </c>
      <c r="H185" s="4">
        <v>0</v>
      </c>
      <c r="I185" s="4">
        <v>0</v>
      </c>
      <c r="J185" s="4">
        <v>0</v>
      </c>
      <c r="K185" s="4">
        <v>0</v>
      </c>
      <c r="L185" s="1" t="e">
        <f>VLOOKUP(B185,SKU匹配表!A:D,4,0)</f>
        <v>#N/A</v>
      </c>
      <c r="M185" s="5" t="e">
        <f>VLOOKUP(B185,SKU匹配表!A:C,3,0)</f>
        <v>#N/A</v>
      </c>
    </row>
    <row r="186" ht="19" customHeight="1" spans="1:13">
      <c r="A186" s="6">
        <v>45245</v>
      </c>
      <c r="B186" s="4">
        <v>100033816230</v>
      </c>
      <c r="C186" s="4" t="s">
        <v>366</v>
      </c>
      <c r="D186" s="4">
        <v>1</v>
      </c>
      <c r="E186" s="4">
        <v>8271</v>
      </c>
      <c r="F186" s="4">
        <v>7504.05</v>
      </c>
      <c r="G186" s="4">
        <v>766.95</v>
      </c>
      <c r="H186" s="4">
        <v>0</v>
      </c>
      <c r="I186" s="4">
        <v>0</v>
      </c>
      <c r="J186" s="4">
        <v>0</v>
      </c>
      <c r="K186" s="4">
        <v>0</v>
      </c>
      <c r="L186" s="1" t="str">
        <f>VLOOKUP(B186,SKU匹配表!A:D,4,0)</f>
        <v>壁挂炉</v>
      </c>
      <c r="M186" s="5" t="str">
        <f>VLOOKUP(B186,SKU匹配表!A:C,3,0)</f>
        <v>24C30</v>
      </c>
    </row>
    <row r="187" ht="19" customHeight="1" spans="1:13">
      <c r="A187" s="6">
        <v>45245</v>
      </c>
      <c r="B187" s="4">
        <v>100039988554</v>
      </c>
      <c r="C187" s="4" t="s">
        <v>422</v>
      </c>
      <c r="D187" s="4">
        <v>1</v>
      </c>
      <c r="E187" s="4">
        <v>1</v>
      </c>
      <c r="F187" s="4">
        <v>1</v>
      </c>
      <c r="G187" s="4">
        <v>0</v>
      </c>
      <c r="H187" s="4">
        <v>0</v>
      </c>
      <c r="I187" s="4">
        <v>0</v>
      </c>
      <c r="J187" s="4">
        <v>0</v>
      </c>
      <c r="K187" s="4">
        <v>6</v>
      </c>
      <c r="L187" s="1" t="str">
        <f>VLOOKUP(B187,SKU匹配表!A:D,4,0)</f>
        <v>燃气热水器</v>
      </c>
      <c r="M187" s="5" t="str">
        <f>VLOOKUP(B187,SKU匹配表!A:C,3,0)</f>
        <v>其他</v>
      </c>
    </row>
    <row r="188" ht="19" customHeight="1" spans="1:13">
      <c r="A188" s="6">
        <v>45245</v>
      </c>
      <c r="B188" s="4">
        <v>100044608292</v>
      </c>
      <c r="C188" s="4" t="s">
        <v>423</v>
      </c>
      <c r="D188" s="4">
        <v>1</v>
      </c>
      <c r="E188" s="4">
        <v>3399</v>
      </c>
      <c r="F188" s="4">
        <v>3514.05</v>
      </c>
      <c r="G188" s="4">
        <v>-115.05</v>
      </c>
      <c r="H188" s="4">
        <v>0</v>
      </c>
      <c r="I188" s="4">
        <v>0</v>
      </c>
      <c r="J188" s="4">
        <v>0</v>
      </c>
      <c r="K188" s="4">
        <v>0</v>
      </c>
      <c r="L188" s="1" t="str">
        <f>VLOOKUP(B188,SKU匹配表!A:D,4,0)</f>
        <v>烟灶</v>
      </c>
      <c r="M188" s="5" t="str">
        <f>VLOOKUP(B188,SKU匹配表!A:C,3,0)</f>
        <v>2E30L</v>
      </c>
    </row>
    <row r="189" ht="19" customHeight="1" spans="1:13">
      <c r="A189" s="6">
        <v>45245</v>
      </c>
      <c r="B189" s="4">
        <v>100044938307</v>
      </c>
      <c r="C189" s="4" t="s">
        <v>372</v>
      </c>
      <c r="D189" s="4">
        <v>1</v>
      </c>
      <c r="E189" s="4">
        <v>9507</v>
      </c>
      <c r="F189" s="4">
        <v>9249</v>
      </c>
      <c r="G189" s="4">
        <v>258</v>
      </c>
      <c r="H189" s="4">
        <v>594</v>
      </c>
      <c r="I189" s="4">
        <v>0</v>
      </c>
      <c r="J189" s="4">
        <v>0</v>
      </c>
      <c r="K189" s="4">
        <v>0</v>
      </c>
      <c r="L189" s="1" t="str">
        <f>VLOOKUP(B189,SKU匹配表!A:D,4,0)</f>
        <v>壁挂炉</v>
      </c>
      <c r="M189" s="5" t="str">
        <f>VLOOKUP(B189,SKU匹配表!A:C,3,0)</f>
        <v>28C39</v>
      </c>
    </row>
    <row r="190" ht="19" customHeight="1" spans="1:13">
      <c r="A190" s="6">
        <v>45245</v>
      </c>
      <c r="B190" s="4">
        <v>100052638194</v>
      </c>
      <c r="C190" s="4" t="s">
        <v>340</v>
      </c>
      <c r="D190" s="4">
        <v>1</v>
      </c>
      <c r="E190" s="4">
        <v>2374</v>
      </c>
      <c r="F190" s="4">
        <v>2469.05</v>
      </c>
      <c r="G190" s="4">
        <v>-95.05</v>
      </c>
      <c r="H190" s="4">
        <v>120</v>
      </c>
      <c r="I190" s="4">
        <v>0</v>
      </c>
      <c r="J190" s="4">
        <v>0</v>
      </c>
      <c r="K190" s="4">
        <v>0</v>
      </c>
      <c r="L190" s="1" t="str">
        <f>VLOOKUP(B190,SKU匹配表!A:D,4,0)</f>
        <v>燃气热水器</v>
      </c>
      <c r="M190" s="5" t="str">
        <f>VLOOKUP(B190,SKU匹配表!A:C,3,0)</f>
        <v>13GD31</v>
      </c>
    </row>
    <row r="191" ht="19" customHeight="1" spans="1:13">
      <c r="A191" s="6">
        <v>45245</v>
      </c>
      <c r="B191" s="4">
        <v>100058904275</v>
      </c>
      <c r="C191" s="4" t="s">
        <v>339</v>
      </c>
      <c r="D191" s="4">
        <v>1</v>
      </c>
      <c r="E191" s="4">
        <v>2754</v>
      </c>
      <c r="F191" s="4">
        <v>2754.05</v>
      </c>
      <c r="G191" s="4">
        <v>-0.05</v>
      </c>
      <c r="H191" s="4">
        <v>140</v>
      </c>
      <c r="I191" s="4">
        <v>0</v>
      </c>
      <c r="J191" s="4">
        <v>0</v>
      </c>
      <c r="K191" s="4">
        <v>0</v>
      </c>
      <c r="L191" s="1" t="str">
        <f>VLOOKUP(B191,SKU匹配表!A:D,4,0)</f>
        <v>燃气热水器</v>
      </c>
      <c r="M191" s="5" t="str">
        <f>VLOOKUP(B191,SKU匹配表!A:C,3,0)</f>
        <v>16GD31</v>
      </c>
    </row>
    <row r="192" ht="19" customHeight="1" spans="1:13">
      <c r="A192" s="6">
        <v>45245</v>
      </c>
      <c r="B192" s="4">
        <v>100060792398</v>
      </c>
      <c r="C192" s="4" t="s">
        <v>424</v>
      </c>
      <c r="D192" s="4">
        <v>1</v>
      </c>
      <c r="E192" s="4">
        <v>6696.94</v>
      </c>
      <c r="F192" s="4">
        <v>6934</v>
      </c>
      <c r="G192" s="4">
        <v>-237.06</v>
      </c>
      <c r="H192" s="4">
        <v>600</v>
      </c>
      <c r="I192" s="4">
        <v>0</v>
      </c>
      <c r="J192" s="4">
        <v>0</v>
      </c>
      <c r="K192" s="4">
        <v>0</v>
      </c>
      <c r="L192" s="1" t="str">
        <f>VLOOKUP(B192,SKU匹配表!A:D,4,0)</f>
        <v>烟灶</v>
      </c>
      <c r="M192" s="5" t="str">
        <f>VLOOKUP(B192,SKU匹配表!A:C,3,0)</f>
        <v>NM11T+2E07MT+16GD32</v>
      </c>
    </row>
    <row r="193" ht="19" customHeight="1" spans="1:13">
      <c r="A193" s="6">
        <v>45245</v>
      </c>
      <c r="B193" s="4">
        <v>100068073174</v>
      </c>
      <c r="C193" s="4" t="s">
        <v>425</v>
      </c>
      <c r="D193" s="4">
        <v>1</v>
      </c>
      <c r="E193" s="4">
        <v>2899</v>
      </c>
      <c r="F193" s="4">
        <v>3419.05</v>
      </c>
      <c r="G193" s="4">
        <v>-520.05</v>
      </c>
      <c r="H193" s="4">
        <v>0</v>
      </c>
      <c r="I193" s="4">
        <v>0</v>
      </c>
      <c r="J193" s="4">
        <v>0</v>
      </c>
      <c r="K193" s="4">
        <v>0</v>
      </c>
      <c r="L193" s="1" t="str">
        <f>VLOOKUP(B193,SKU匹配表!A:D,4,0)</f>
        <v>烟灶</v>
      </c>
      <c r="M193" s="5" t="str">
        <f>VLOOKUP(B193,SKU匹配表!A:C,3,0)</f>
        <v>3E08M</v>
      </c>
    </row>
    <row r="194" ht="19" customHeight="1" spans="1:13">
      <c r="A194" s="6">
        <v>45245</v>
      </c>
      <c r="B194" s="4">
        <v>100068687233</v>
      </c>
      <c r="C194" s="4" t="s">
        <v>426</v>
      </c>
      <c r="D194" s="4">
        <v>1</v>
      </c>
      <c r="E194" s="4">
        <v>6031</v>
      </c>
      <c r="F194" s="4">
        <v>7314.05</v>
      </c>
      <c r="G194" s="4">
        <v>-1283.05</v>
      </c>
      <c r="H194" s="4">
        <v>668</v>
      </c>
      <c r="I194" s="4">
        <v>0</v>
      </c>
      <c r="J194" s="4">
        <v>0</v>
      </c>
      <c r="K194" s="4">
        <v>0</v>
      </c>
      <c r="L194" s="1" t="str">
        <f>VLOOKUP(B194,SKU匹配表!A:D,4,0)</f>
        <v>烟灶</v>
      </c>
      <c r="M194" s="5" t="str">
        <f>VLOOKUP(B194,SKU匹配表!A:C,3,0)</f>
        <v>2E07MTX+NM11T+16GD31</v>
      </c>
    </row>
    <row r="195" ht="19" customHeight="1" spans="1:13">
      <c r="A195" s="6">
        <v>45245</v>
      </c>
      <c r="B195" s="4">
        <v>100069368166</v>
      </c>
      <c r="C195" s="4" t="s">
        <v>399</v>
      </c>
      <c r="D195" s="4">
        <v>1</v>
      </c>
      <c r="E195" s="4">
        <v>2079</v>
      </c>
      <c r="F195" s="4">
        <v>4084</v>
      </c>
      <c r="G195" s="4">
        <v>-2005</v>
      </c>
      <c r="H195" s="4">
        <v>120</v>
      </c>
      <c r="I195" s="4">
        <v>0</v>
      </c>
      <c r="J195" s="4">
        <v>0</v>
      </c>
      <c r="K195" s="4">
        <v>0</v>
      </c>
      <c r="L195" s="1" t="str">
        <f>VLOOKUP(B195,SKU匹配表!A:D,4,0)</f>
        <v>烟灶</v>
      </c>
      <c r="M195" s="5" t="str">
        <f>VLOOKUP(B195,SKU匹配表!A:C,3,0)</f>
        <v>NMW21J+2E08MT</v>
      </c>
    </row>
    <row r="196" ht="19" customHeight="1" spans="1:13">
      <c r="A196" s="6">
        <v>45245</v>
      </c>
      <c r="B196" s="4">
        <v>100071751860</v>
      </c>
      <c r="C196" s="4" t="s">
        <v>427</v>
      </c>
      <c r="D196" s="4">
        <v>1</v>
      </c>
      <c r="E196" s="4">
        <v>1499</v>
      </c>
      <c r="F196" s="4">
        <v>2719</v>
      </c>
      <c r="G196" s="4">
        <v>-1220</v>
      </c>
      <c r="H196" s="4">
        <v>0</v>
      </c>
      <c r="I196" s="4">
        <v>0</v>
      </c>
      <c r="J196" s="4">
        <v>0</v>
      </c>
      <c r="K196" s="4">
        <v>0</v>
      </c>
      <c r="L196" s="1" t="str">
        <f>VLOOKUP(B196,SKU匹配表!A:D,4,0)</f>
        <v>烟灶</v>
      </c>
      <c r="M196" s="5" t="str">
        <f>VLOOKUP(B196,SKU匹配表!A:C,3,0)</f>
        <v>NMW21J）</v>
      </c>
    </row>
    <row r="197" ht="19" customHeight="1" spans="1:13">
      <c r="A197" s="6">
        <v>45245</v>
      </c>
      <c r="B197" s="4">
        <v>100072785977</v>
      </c>
      <c r="C197" s="4" t="s">
        <v>417</v>
      </c>
      <c r="D197" s="4">
        <v>1</v>
      </c>
      <c r="E197" s="4">
        <v>9.9</v>
      </c>
      <c r="F197" s="4">
        <v>6</v>
      </c>
      <c r="G197" s="4">
        <v>3.9</v>
      </c>
      <c r="H197" s="4">
        <v>0</v>
      </c>
      <c r="I197" s="4">
        <v>0</v>
      </c>
      <c r="J197" s="4">
        <v>0</v>
      </c>
      <c r="K197" s="4">
        <v>0</v>
      </c>
      <c r="L197" s="1" t="str">
        <f>VLOOKUP(B197,SKU匹配表!A:D,4,0)</f>
        <v>其他</v>
      </c>
      <c r="M197" s="5" t="str">
        <f>VLOOKUP(B197,SKU匹配表!A:C,3,0)</f>
        <v>其他</v>
      </c>
    </row>
    <row r="198" ht="19" customHeight="1" spans="1:13">
      <c r="A198" s="6">
        <v>45245</v>
      </c>
      <c r="B198" s="4">
        <v>100013112736</v>
      </c>
      <c r="C198" s="4" t="s">
        <v>378</v>
      </c>
      <c r="D198" s="4">
        <v>0</v>
      </c>
      <c r="E198" s="4">
        <v>-338.2421</v>
      </c>
      <c r="F198" s="4">
        <v>0</v>
      </c>
      <c r="G198" s="4">
        <v>-338.2421</v>
      </c>
      <c r="H198" s="4">
        <v>210</v>
      </c>
      <c r="I198" s="4">
        <v>0</v>
      </c>
      <c r="J198" s="4">
        <v>0</v>
      </c>
      <c r="K198" s="4">
        <v>0</v>
      </c>
      <c r="L198" s="1" t="str">
        <f>VLOOKUP(B198,SKU匹配表!A:D,4,0)</f>
        <v>燃气热水器</v>
      </c>
      <c r="M198" s="5" t="str">
        <f>VLOOKUP(B198,SKU匹配表!A:C,3,0)</f>
        <v>16QC05+SG</v>
      </c>
    </row>
    <row r="199" ht="19" customHeight="1" spans="1:13">
      <c r="A199" s="6">
        <v>45245</v>
      </c>
      <c r="B199" s="4">
        <v>100023723363</v>
      </c>
      <c r="C199" s="4" t="s">
        <v>360</v>
      </c>
      <c r="D199" s="4">
        <v>0</v>
      </c>
      <c r="E199" s="4">
        <v>43</v>
      </c>
      <c r="F199" s="4">
        <v>0</v>
      </c>
      <c r="G199" s="4">
        <v>43</v>
      </c>
      <c r="H199" s="4">
        <v>0</v>
      </c>
      <c r="I199" s="4">
        <v>0</v>
      </c>
      <c r="J199" s="4">
        <v>0</v>
      </c>
      <c r="K199" s="4">
        <v>0</v>
      </c>
      <c r="L199" s="1" t="str">
        <f>VLOOKUP(B199,SKU匹配表!A:D,4,0)</f>
        <v>电热</v>
      </c>
      <c r="M199" s="5" t="str">
        <f>VLOOKUP(B199,SKU匹配表!A:C,3,0)</f>
        <v>DSG60-DE06PN</v>
      </c>
    </row>
    <row r="200" ht="19" customHeight="1" spans="1:13">
      <c r="A200" s="6">
        <v>45245</v>
      </c>
      <c r="B200" s="4">
        <v>100052638198</v>
      </c>
      <c r="C200" s="4" t="s">
        <v>374</v>
      </c>
      <c r="D200" s="4">
        <v>0</v>
      </c>
      <c r="E200" s="4">
        <v>-100</v>
      </c>
      <c r="F200" s="4">
        <v>0</v>
      </c>
      <c r="G200" s="4">
        <v>-100</v>
      </c>
      <c r="H200" s="4">
        <v>300</v>
      </c>
      <c r="I200" s="4">
        <v>0</v>
      </c>
      <c r="J200" s="4">
        <v>0</v>
      </c>
      <c r="K200" s="4">
        <v>0</v>
      </c>
      <c r="L200" s="1" t="str">
        <f>VLOOKUP(B200,SKU匹配表!A:D,4,0)</f>
        <v>燃气热水器</v>
      </c>
      <c r="M200" s="5" t="str">
        <f>VLOOKUP(B200,SKU匹配表!A:C,3,0)</f>
        <v>16GD32</v>
      </c>
    </row>
    <row r="201" ht="19" customHeight="1" spans="1:13">
      <c r="A201" s="6">
        <v>45245</v>
      </c>
      <c r="B201" s="4">
        <v>100061989051</v>
      </c>
      <c r="C201" s="4" t="s">
        <v>361</v>
      </c>
      <c r="D201" s="4">
        <v>0</v>
      </c>
      <c r="E201" s="4">
        <v>-452.9361</v>
      </c>
      <c r="F201" s="4">
        <v>0</v>
      </c>
      <c r="G201" s="4">
        <v>-452.9361</v>
      </c>
      <c r="H201" s="4">
        <v>77</v>
      </c>
      <c r="I201" s="4">
        <v>0</v>
      </c>
      <c r="J201" s="4">
        <v>0</v>
      </c>
      <c r="K201" s="4">
        <v>0</v>
      </c>
      <c r="L201" s="1" t="e">
        <f>VLOOKUP(B201,SKU匹配表!A:D,4,0)</f>
        <v>#N/A</v>
      </c>
      <c r="M201" s="5" t="e">
        <f>VLOOKUP(B201,SKU匹配表!A:C,3,0)</f>
        <v>#N/A</v>
      </c>
    </row>
    <row r="202" ht="19" customHeight="1" spans="1:13">
      <c r="A202" s="6">
        <v>45245</v>
      </c>
      <c r="B202" s="4">
        <v>100023723347</v>
      </c>
      <c r="C202" s="4" t="s">
        <v>370</v>
      </c>
      <c r="D202" s="4">
        <v>-1</v>
      </c>
      <c r="E202" s="4">
        <v>-1594.29</v>
      </c>
      <c r="F202" s="4">
        <v>-2659.05</v>
      </c>
      <c r="G202" s="4">
        <v>1064.76</v>
      </c>
      <c r="H202" s="4">
        <v>0</v>
      </c>
      <c r="I202" s="4">
        <v>0</v>
      </c>
      <c r="J202" s="4">
        <v>0</v>
      </c>
      <c r="K202" s="4">
        <v>0</v>
      </c>
      <c r="L202" s="1" t="str">
        <f>VLOOKUP(B202,SKU匹配表!A:D,4,0)</f>
        <v>电热</v>
      </c>
      <c r="M202" s="5" t="str">
        <f>VLOOKUP(B202,SKU匹配表!A:C,3,0)</f>
        <v>DSG50-DE07PN</v>
      </c>
    </row>
    <row r="203" ht="19" customHeight="1" spans="1:13">
      <c r="A203" s="6">
        <v>45245</v>
      </c>
      <c r="B203" s="4">
        <v>100024530025</v>
      </c>
      <c r="C203" s="4" t="s">
        <v>365</v>
      </c>
      <c r="D203" s="4">
        <v>-1</v>
      </c>
      <c r="E203" s="4">
        <v>-1399</v>
      </c>
      <c r="F203" s="4">
        <v>-2900</v>
      </c>
      <c r="G203" s="4">
        <v>1501</v>
      </c>
      <c r="H203" s="4">
        <v>0</v>
      </c>
      <c r="I203" s="4">
        <v>0</v>
      </c>
      <c r="J203" s="4">
        <v>0</v>
      </c>
      <c r="K203" s="4">
        <v>0</v>
      </c>
      <c r="L203" s="1" t="str">
        <f>VLOOKUP(B203,SKU匹配表!A:D,4,0)</f>
        <v>烟灶</v>
      </c>
      <c r="M203" s="5" t="str">
        <f>VLOOKUP(B203,SKU匹配表!A:C,3,0)</f>
        <v>NM10T</v>
      </c>
    </row>
    <row r="204" ht="19" customHeight="1" spans="1:13">
      <c r="A204" s="6">
        <v>45245</v>
      </c>
      <c r="B204" s="4">
        <v>100008442137</v>
      </c>
      <c r="C204" s="4" t="s">
        <v>400</v>
      </c>
      <c r="D204" s="4">
        <v>-2</v>
      </c>
      <c r="E204" s="4">
        <v>-689</v>
      </c>
      <c r="F204" s="4">
        <v>-758</v>
      </c>
      <c r="G204" s="4">
        <v>69</v>
      </c>
      <c r="H204" s="4">
        <v>-30</v>
      </c>
      <c r="I204" s="4">
        <v>0</v>
      </c>
      <c r="J204" s="4">
        <v>0</v>
      </c>
      <c r="K204" s="4">
        <v>0</v>
      </c>
      <c r="L204" s="1" t="str">
        <f>VLOOKUP(B204,SKU匹配表!A:D,4,0)</f>
        <v>净水器</v>
      </c>
      <c r="M204" s="5" t="str">
        <f>VLOOKUP(B204,SKU匹配表!A:C,3,0)</f>
        <v>RWTS-PF-1</v>
      </c>
    </row>
    <row r="205" ht="19" customHeight="1" spans="1:13">
      <c r="A205" s="6">
        <v>45245</v>
      </c>
      <c r="B205" s="4">
        <v>100013429772</v>
      </c>
      <c r="C205" s="4" t="s">
        <v>428</v>
      </c>
      <c r="D205" s="4">
        <v>-2</v>
      </c>
      <c r="E205" s="4">
        <v>-1452</v>
      </c>
      <c r="F205" s="4">
        <v>-1424</v>
      </c>
      <c r="G205" s="4">
        <v>-28</v>
      </c>
      <c r="H205" s="4">
        <v>0</v>
      </c>
      <c r="I205" s="4">
        <v>0</v>
      </c>
      <c r="J205" s="4">
        <v>0</v>
      </c>
      <c r="K205" s="4">
        <v>0</v>
      </c>
      <c r="L205" s="1" t="str">
        <f>VLOOKUP(B205,SKU匹配表!A:D,4,0)</f>
        <v>净水器</v>
      </c>
      <c r="M205" s="5" t="str">
        <f>VLOOKUP(B205,SKU匹配表!A:C,3,0)</f>
        <v>RWTS-R063-A</v>
      </c>
    </row>
    <row r="206" ht="19" customHeight="1" spans="1:13">
      <c r="A206" s="6">
        <v>45245</v>
      </c>
      <c r="B206" s="4">
        <v>100059353151</v>
      </c>
      <c r="C206" s="4" t="s">
        <v>347</v>
      </c>
      <c r="D206" s="4">
        <v>-2</v>
      </c>
      <c r="E206" s="4">
        <v>-9451.34</v>
      </c>
      <c r="F206" s="4">
        <v>-8565.6</v>
      </c>
      <c r="G206" s="4">
        <v>-885.74</v>
      </c>
      <c r="H206" s="4">
        <v>0</v>
      </c>
      <c r="I206" s="4">
        <v>0</v>
      </c>
      <c r="J206" s="4">
        <v>0</v>
      </c>
      <c r="K206" s="4">
        <v>0</v>
      </c>
      <c r="L206" s="1" t="str">
        <f>VLOOKUP(B206,SKU匹配表!A:D,4,0)</f>
        <v>燃气热水器</v>
      </c>
      <c r="M206" s="5" t="str">
        <f>VLOOKUP(B206,SKU匹配表!A:C,3,0)</f>
        <v>16GD61R</v>
      </c>
    </row>
    <row r="207" ht="19" customHeight="1" spans="1:13">
      <c r="A207" s="6">
        <v>45246</v>
      </c>
      <c r="B207" s="4">
        <v>100048028229</v>
      </c>
      <c r="C207" s="4" t="s">
        <v>340</v>
      </c>
      <c r="D207" s="4">
        <v>154</v>
      </c>
      <c r="E207" s="4">
        <v>385873.8</v>
      </c>
      <c r="F207" s="4">
        <v>380233.7</v>
      </c>
      <c r="G207" s="4">
        <v>5640.1</v>
      </c>
      <c r="H207" s="4">
        <v>19341.25</v>
      </c>
      <c r="I207" s="4">
        <v>0</v>
      </c>
      <c r="J207" s="4">
        <v>0</v>
      </c>
      <c r="K207" s="4">
        <v>26.55</v>
      </c>
      <c r="L207" s="1" t="str">
        <f>VLOOKUP(B207,SKU匹配表!A:D,4,0)</f>
        <v>燃气热水器</v>
      </c>
      <c r="M207" s="5" t="str">
        <f>VLOOKUP(B207,SKU匹配表!A:C,3,0)</f>
        <v>13GD31</v>
      </c>
    </row>
    <row r="208" ht="19" customHeight="1" spans="1:13">
      <c r="A208" s="6">
        <v>45246</v>
      </c>
      <c r="B208" s="4">
        <v>100039707007</v>
      </c>
      <c r="C208" s="4" t="s">
        <v>339</v>
      </c>
      <c r="D208" s="4">
        <v>149</v>
      </c>
      <c r="E208" s="4">
        <v>425718.19</v>
      </c>
      <c r="F208" s="4">
        <v>410353.45</v>
      </c>
      <c r="G208" s="4">
        <v>15364.74</v>
      </c>
      <c r="H208" s="4">
        <v>19624</v>
      </c>
      <c r="I208" s="4">
        <v>0</v>
      </c>
      <c r="J208" s="4">
        <v>0</v>
      </c>
      <c r="K208" s="4">
        <v>14.1</v>
      </c>
      <c r="L208" s="1" t="str">
        <f>VLOOKUP(B208,SKU匹配表!A:D,4,0)</f>
        <v>燃气热水器</v>
      </c>
      <c r="M208" s="5" t="str">
        <f>VLOOKUP(B208,SKU匹配表!A:C,3,0)</f>
        <v>16GD31</v>
      </c>
    </row>
    <row r="209" ht="19" customHeight="1" spans="1:13">
      <c r="A209" s="6">
        <v>45246</v>
      </c>
      <c r="B209" s="4">
        <v>100039706989</v>
      </c>
      <c r="C209" s="4" t="s">
        <v>341</v>
      </c>
      <c r="D209" s="4">
        <v>118</v>
      </c>
      <c r="E209" s="4">
        <v>356377.94</v>
      </c>
      <c r="F209" s="4">
        <v>347397.9</v>
      </c>
      <c r="G209" s="4">
        <v>8980.04</v>
      </c>
      <c r="H209" s="4">
        <v>35337</v>
      </c>
      <c r="I209" s="4">
        <v>0</v>
      </c>
      <c r="J209" s="4">
        <v>0</v>
      </c>
      <c r="K209" s="4">
        <v>12.98</v>
      </c>
      <c r="L209" s="1" t="str">
        <f>VLOOKUP(B209,SKU匹配表!A:D,4,0)</f>
        <v>燃气热水器</v>
      </c>
      <c r="M209" s="5" t="str">
        <f>VLOOKUP(B209,SKU匹配表!A:C,3,0)</f>
        <v>16GD32</v>
      </c>
    </row>
    <row r="210" ht="19" customHeight="1" spans="1:13">
      <c r="A210" s="6">
        <v>45246</v>
      </c>
      <c r="B210" s="4">
        <v>100068280115</v>
      </c>
      <c r="C210" s="4" t="s">
        <v>396</v>
      </c>
      <c r="D210" s="4">
        <v>53</v>
      </c>
      <c r="E210" s="4">
        <v>73279.69</v>
      </c>
      <c r="F210" s="4">
        <v>95614.65</v>
      </c>
      <c r="G210" s="4">
        <v>-22334.96</v>
      </c>
      <c r="H210" s="4">
        <v>4757</v>
      </c>
      <c r="I210" s="4">
        <v>0</v>
      </c>
      <c r="J210" s="4">
        <v>0</v>
      </c>
      <c r="K210" s="4">
        <v>0</v>
      </c>
      <c r="L210" s="1" t="str">
        <f>VLOOKUP(B210,SKU匹配表!A:D,4,0)</f>
        <v>烟灶</v>
      </c>
      <c r="M210" s="5" t="str">
        <f>VLOOKUP(B210,SKU匹配表!A:C,3,0)</f>
        <v>2E07MTX</v>
      </c>
    </row>
    <row r="211" ht="19" customHeight="1" spans="1:13">
      <c r="A211" s="6">
        <v>45246</v>
      </c>
      <c r="B211" s="4">
        <v>100056736113</v>
      </c>
      <c r="C211" s="4" t="s">
        <v>347</v>
      </c>
      <c r="D211" s="4">
        <v>51</v>
      </c>
      <c r="E211" s="4">
        <v>247602.39</v>
      </c>
      <c r="F211" s="4">
        <v>218422.8</v>
      </c>
      <c r="G211" s="4">
        <v>29179.59</v>
      </c>
      <c r="H211" s="4">
        <v>15940</v>
      </c>
      <c r="I211" s="4">
        <v>0</v>
      </c>
      <c r="J211" s="4">
        <v>0</v>
      </c>
      <c r="K211" s="4">
        <v>10.96</v>
      </c>
      <c r="L211" s="1" t="str">
        <f>VLOOKUP(B211,SKU匹配表!A:D,4,0)</f>
        <v>燃气热水器</v>
      </c>
      <c r="M211" s="5" t="str">
        <f>VLOOKUP(B211,SKU匹配表!A:C,3,0)</f>
        <v>16GD61R</v>
      </c>
    </row>
    <row r="212" ht="19" customHeight="1" spans="1:13">
      <c r="A212" s="6">
        <v>45246</v>
      </c>
      <c r="B212" s="4">
        <v>100009176278</v>
      </c>
      <c r="C212" s="4" t="s">
        <v>348</v>
      </c>
      <c r="D212" s="4">
        <v>37</v>
      </c>
      <c r="E212" s="4">
        <v>110203.44</v>
      </c>
      <c r="F212" s="4">
        <v>115367.0878</v>
      </c>
      <c r="G212" s="4">
        <v>-5163.6478</v>
      </c>
      <c r="H212" s="4">
        <v>11884</v>
      </c>
      <c r="I212" s="4">
        <v>0</v>
      </c>
      <c r="J212" s="4">
        <v>0</v>
      </c>
      <c r="K212" s="4">
        <v>9.35</v>
      </c>
      <c r="L212" s="1" t="str">
        <f>VLOOKUP(B212,SKU匹配表!A:D,4,0)</f>
        <v>燃气热水器</v>
      </c>
      <c r="M212" s="5" t="str">
        <f>VLOOKUP(B212,SKU匹配表!A:C,3,0)</f>
        <v>13QD06W</v>
      </c>
    </row>
    <row r="213" ht="19" customHeight="1" spans="1:13">
      <c r="A213" s="6">
        <v>45246</v>
      </c>
      <c r="B213" s="4">
        <v>100012048672</v>
      </c>
      <c r="C213" s="4" t="s">
        <v>342</v>
      </c>
      <c r="D213" s="4">
        <v>32</v>
      </c>
      <c r="E213" s="4">
        <v>93258.69</v>
      </c>
      <c r="F213" s="4">
        <v>92448</v>
      </c>
      <c r="G213" s="4">
        <v>810.69</v>
      </c>
      <c r="H213" s="4">
        <v>4507.31</v>
      </c>
      <c r="I213" s="4">
        <v>0</v>
      </c>
      <c r="J213" s="4">
        <v>0</v>
      </c>
      <c r="K213" s="4">
        <v>18.22</v>
      </c>
      <c r="L213" s="1" t="str">
        <f>VLOOKUP(B213,SKU匹配表!A:D,4,0)</f>
        <v>燃气热水器</v>
      </c>
      <c r="M213" s="5" t="str">
        <f>VLOOKUP(B213,SKU匹配表!A:C,3,0)</f>
        <v>16QC05</v>
      </c>
    </row>
    <row r="214" ht="19" customHeight="1" spans="1:13">
      <c r="A214" s="6">
        <v>45246</v>
      </c>
      <c r="B214" s="4">
        <v>100012048688</v>
      </c>
      <c r="C214" s="4" t="s">
        <v>345</v>
      </c>
      <c r="D214" s="4">
        <v>29</v>
      </c>
      <c r="E214" s="4">
        <v>73156.04</v>
      </c>
      <c r="F214" s="4">
        <v>71455.9993</v>
      </c>
      <c r="G214" s="4">
        <v>1700.0407</v>
      </c>
      <c r="H214" s="4">
        <v>3345</v>
      </c>
      <c r="I214" s="4">
        <v>0</v>
      </c>
      <c r="J214" s="4">
        <v>0</v>
      </c>
      <c r="K214" s="4">
        <v>52.03</v>
      </c>
      <c r="L214" s="1" t="str">
        <f>VLOOKUP(B214,SKU匹配表!A:D,4,0)</f>
        <v>燃气热水器</v>
      </c>
      <c r="M214" s="5" t="str">
        <f>VLOOKUP(B214,SKU匹配表!A:C,3,0)</f>
        <v>13QC05</v>
      </c>
    </row>
    <row r="215" ht="19" customHeight="1" spans="1:13">
      <c r="A215" s="6">
        <v>45246</v>
      </c>
      <c r="B215" s="4">
        <v>100048028257</v>
      </c>
      <c r="C215" s="4" t="s">
        <v>344</v>
      </c>
      <c r="D215" s="4">
        <v>21</v>
      </c>
      <c r="E215" s="4">
        <v>57694.64</v>
      </c>
      <c r="F215" s="4">
        <v>57835.05</v>
      </c>
      <c r="G215" s="4">
        <v>-140.41</v>
      </c>
      <c r="H215" s="4">
        <v>3001</v>
      </c>
      <c r="I215" s="4">
        <v>0</v>
      </c>
      <c r="J215" s="4">
        <v>0</v>
      </c>
      <c r="K215" s="4">
        <v>43.43</v>
      </c>
      <c r="L215" s="1" t="str">
        <f>VLOOKUP(B215,SKU匹配表!A:D,4,0)</f>
        <v>燃气热水器</v>
      </c>
      <c r="M215" s="5" t="str">
        <f>VLOOKUP(B215,SKU匹配表!A:C,3,0)</f>
        <v>13GD32</v>
      </c>
    </row>
    <row r="216" ht="19" customHeight="1" spans="1:13">
      <c r="A216" s="6">
        <v>45246</v>
      </c>
      <c r="B216" s="4">
        <v>100007725035</v>
      </c>
      <c r="C216" s="4" t="s">
        <v>346</v>
      </c>
      <c r="D216" s="4">
        <v>14</v>
      </c>
      <c r="E216" s="4">
        <v>41562.4</v>
      </c>
      <c r="F216" s="4">
        <v>42688.472</v>
      </c>
      <c r="G216" s="4">
        <v>-1126.072</v>
      </c>
      <c r="H216" s="4">
        <v>3720</v>
      </c>
      <c r="I216" s="4">
        <v>0</v>
      </c>
      <c r="J216" s="4">
        <v>0</v>
      </c>
      <c r="K216" s="4">
        <v>97.17</v>
      </c>
      <c r="L216" s="1" t="str">
        <f>VLOOKUP(B216,SKU匹配表!A:D,4,0)</f>
        <v>燃气热水器</v>
      </c>
      <c r="M216" s="5" t="str">
        <f>VLOOKUP(B216,SKU匹配表!A:C,3,0)</f>
        <v>16QD31</v>
      </c>
    </row>
    <row r="217" ht="19" customHeight="1" spans="1:13">
      <c r="A217" s="6">
        <v>45246</v>
      </c>
      <c r="B217" s="4">
        <v>100038009912</v>
      </c>
      <c r="C217" s="4" t="s">
        <v>349</v>
      </c>
      <c r="D217" s="4">
        <v>10</v>
      </c>
      <c r="E217" s="4">
        <v>9528</v>
      </c>
      <c r="F217" s="4">
        <v>15191.1874</v>
      </c>
      <c r="G217" s="4">
        <v>-5663.1874</v>
      </c>
      <c r="H217" s="4">
        <v>345</v>
      </c>
      <c r="I217" s="4">
        <v>0</v>
      </c>
      <c r="J217" s="4">
        <v>0</v>
      </c>
      <c r="K217" s="4">
        <v>21.19</v>
      </c>
      <c r="L217" s="1" t="str">
        <f>VLOOKUP(B217,SKU匹配表!A:D,4,0)</f>
        <v>烟灶</v>
      </c>
      <c r="M217" s="5" t="str">
        <f>VLOOKUP(B217,SKU匹配表!A:C,3,0)</f>
        <v>2E08MT</v>
      </c>
    </row>
    <row r="218" ht="19" customHeight="1" spans="1:13">
      <c r="A218" s="6">
        <v>45246</v>
      </c>
      <c r="B218" s="4">
        <v>100023723339</v>
      </c>
      <c r="C218" s="4" t="s">
        <v>386</v>
      </c>
      <c r="D218" s="4">
        <v>6</v>
      </c>
      <c r="E218" s="4">
        <v>45679.28</v>
      </c>
      <c r="F218" s="4">
        <v>38148</v>
      </c>
      <c r="G218" s="4">
        <v>7531.28</v>
      </c>
      <c r="H218" s="4">
        <v>2800</v>
      </c>
      <c r="I218" s="4">
        <v>0</v>
      </c>
      <c r="J218" s="4">
        <v>0</v>
      </c>
      <c r="K218" s="4">
        <v>0</v>
      </c>
      <c r="L218" s="1" t="str">
        <f>VLOOKUP(B218,SKU匹配表!A:D,4,0)</f>
        <v>燃气热水器</v>
      </c>
      <c r="M218" s="5" t="str">
        <f>VLOOKUP(B218,SKU匹配表!A:C,3,0)</f>
        <v>R20E32FRF</v>
      </c>
    </row>
    <row r="219" ht="19" customHeight="1" spans="1:13">
      <c r="A219" s="6">
        <v>45246</v>
      </c>
      <c r="B219" s="4">
        <v>100012689724</v>
      </c>
      <c r="C219" s="4" t="s">
        <v>350</v>
      </c>
      <c r="D219" s="4">
        <v>5</v>
      </c>
      <c r="E219" s="4">
        <v>5817</v>
      </c>
      <c r="F219" s="4">
        <v>5949.857</v>
      </c>
      <c r="G219" s="4">
        <v>-132.857</v>
      </c>
      <c r="H219" s="4">
        <v>301</v>
      </c>
      <c r="I219" s="4">
        <v>0</v>
      </c>
      <c r="J219" s="4">
        <v>0</v>
      </c>
      <c r="K219" s="4">
        <v>87.8</v>
      </c>
      <c r="L219" s="1" t="str">
        <f>VLOOKUP(B219,SKU匹配表!A:D,4,0)</f>
        <v>燃气热水器</v>
      </c>
      <c r="M219" s="5" t="str">
        <f>VLOOKUP(B219,SKU匹配表!A:C,3,0)</f>
        <v>SG</v>
      </c>
    </row>
    <row r="220" ht="19" customHeight="1" spans="1:13">
      <c r="A220" s="6">
        <v>45246</v>
      </c>
      <c r="B220" s="4">
        <v>100068280133</v>
      </c>
      <c r="C220" s="4" t="s">
        <v>429</v>
      </c>
      <c r="D220" s="4">
        <v>5</v>
      </c>
      <c r="E220" s="4">
        <v>16112</v>
      </c>
      <c r="F220" s="4">
        <v>20420.25</v>
      </c>
      <c r="G220" s="4">
        <v>-4308.25</v>
      </c>
      <c r="H220" s="4">
        <v>1280</v>
      </c>
      <c r="I220" s="4">
        <v>0</v>
      </c>
      <c r="J220" s="4">
        <v>0</v>
      </c>
      <c r="K220" s="4">
        <v>0</v>
      </c>
      <c r="L220" s="1" t="str">
        <f>VLOOKUP(B220,SKU匹配表!A:D,4,0)</f>
        <v>烟灶</v>
      </c>
      <c r="M220" s="5" t="str">
        <f>VLOOKUP(B220,SKU匹配表!A:C,3,0)</f>
        <v>NM09J+2E07MTX</v>
      </c>
    </row>
    <row r="221" ht="19" customHeight="1" spans="1:13">
      <c r="A221" s="6">
        <v>45246</v>
      </c>
      <c r="B221" s="4">
        <v>100061470014</v>
      </c>
      <c r="C221" s="4" t="s">
        <v>354</v>
      </c>
      <c r="D221" s="4">
        <v>4</v>
      </c>
      <c r="E221" s="4">
        <v>12692</v>
      </c>
      <c r="F221" s="4">
        <v>12806.4</v>
      </c>
      <c r="G221" s="4">
        <v>-114.4</v>
      </c>
      <c r="H221" s="4">
        <v>1020</v>
      </c>
      <c r="I221" s="4">
        <v>0</v>
      </c>
      <c r="J221" s="4">
        <v>0</v>
      </c>
      <c r="K221" s="4">
        <v>0</v>
      </c>
      <c r="L221" s="1" t="str">
        <f>VLOOKUP(B221,SKU匹配表!A:D,4,0)</f>
        <v>燃气热水器</v>
      </c>
      <c r="M221" s="5" t="str">
        <f>VLOOKUP(B221,SKU匹配表!A:C,3,0)</f>
        <v>13QC06</v>
      </c>
    </row>
    <row r="222" ht="19" customHeight="1" spans="1:13">
      <c r="A222" s="6">
        <v>45246</v>
      </c>
      <c r="B222" s="4">
        <v>100057296400</v>
      </c>
      <c r="C222" s="4" t="s">
        <v>393</v>
      </c>
      <c r="D222" s="4">
        <v>4</v>
      </c>
      <c r="E222" s="4">
        <v>10208</v>
      </c>
      <c r="F222" s="4">
        <v>11016.2</v>
      </c>
      <c r="G222" s="4">
        <v>-808.2</v>
      </c>
      <c r="H222" s="4">
        <v>444</v>
      </c>
      <c r="I222" s="4">
        <v>0</v>
      </c>
      <c r="J222" s="4">
        <v>0</v>
      </c>
      <c r="K222" s="4">
        <v>0</v>
      </c>
      <c r="L222" s="1" t="e">
        <f>VLOOKUP(B222,SKU匹配表!A:D,4,0)</f>
        <v>#N/A</v>
      </c>
      <c r="M222" s="5" t="e">
        <f>VLOOKUP(B222,SKU匹配表!A:C,3,0)</f>
        <v>#N/A</v>
      </c>
    </row>
    <row r="223" ht="19" customHeight="1" spans="1:13">
      <c r="A223" s="6">
        <v>45246</v>
      </c>
      <c r="B223" s="4">
        <v>100007725017</v>
      </c>
      <c r="C223" s="4" t="s">
        <v>353</v>
      </c>
      <c r="D223" s="4">
        <v>4</v>
      </c>
      <c r="E223" s="4">
        <v>11076</v>
      </c>
      <c r="F223" s="4">
        <v>10496.1755</v>
      </c>
      <c r="G223" s="4">
        <v>579.8245</v>
      </c>
      <c r="H223" s="4">
        <v>420</v>
      </c>
      <c r="I223" s="4">
        <v>0</v>
      </c>
      <c r="J223" s="4">
        <v>0</v>
      </c>
      <c r="K223" s="4">
        <v>87.46</v>
      </c>
      <c r="L223" s="1" t="str">
        <f>VLOOKUP(B223,SKU匹配表!A:D,4,0)</f>
        <v>燃气热水器</v>
      </c>
      <c r="M223" s="5" t="str">
        <f>VLOOKUP(B223,SKU匹配表!A:C,3,0)</f>
        <v>13QD31</v>
      </c>
    </row>
    <row r="224" ht="19" customHeight="1" spans="1:13">
      <c r="A224" s="6">
        <v>45246</v>
      </c>
      <c r="B224" s="4">
        <v>100061470016</v>
      </c>
      <c r="C224" s="4" t="s">
        <v>351</v>
      </c>
      <c r="D224" s="4">
        <v>3</v>
      </c>
      <c r="E224" s="4">
        <v>14245</v>
      </c>
      <c r="F224" s="4">
        <v>12088.8</v>
      </c>
      <c r="G224" s="4">
        <v>2156.2</v>
      </c>
      <c r="H224" s="4">
        <v>1100</v>
      </c>
      <c r="I224" s="4">
        <v>0</v>
      </c>
      <c r="J224" s="4">
        <v>0</v>
      </c>
      <c r="K224" s="4">
        <v>0</v>
      </c>
      <c r="L224" s="1" t="str">
        <f>VLOOKUP(B224,SKU匹配表!A:D,4,0)</f>
        <v>燃气热水器</v>
      </c>
      <c r="M224" s="5" t="str">
        <f>VLOOKUP(B224,SKU匹配表!A:C,3,0)</f>
        <v>16QC06</v>
      </c>
    </row>
    <row r="225" ht="19" customHeight="1" spans="1:13">
      <c r="A225" s="6">
        <v>45246</v>
      </c>
      <c r="B225" s="4">
        <v>100068280113</v>
      </c>
      <c r="C225" s="4" t="s">
        <v>430</v>
      </c>
      <c r="D225" s="4">
        <v>3</v>
      </c>
      <c r="E225" s="4">
        <v>10717</v>
      </c>
      <c r="F225" s="4">
        <v>13392.15</v>
      </c>
      <c r="G225" s="4">
        <v>-2675.15</v>
      </c>
      <c r="H225" s="4">
        <v>780</v>
      </c>
      <c r="I225" s="4">
        <v>0</v>
      </c>
      <c r="J225" s="4">
        <v>0</v>
      </c>
      <c r="K225" s="4">
        <v>0</v>
      </c>
      <c r="L225" s="1" t="str">
        <f>VLOOKUP(B225,SKU匹配表!A:D,4,0)</f>
        <v>烟灶</v>
      </c>
      <c r="M225" s="5" t="str">
        <f>VLOOKUP(B225,SKU匹配表!A:C,3,0)</f>
        <v>NM11T+2E07MTX</v>
      </c>
    </row>
    <row r="226" ht="19" customHeight="1" spans="1:13">
      <c r="A226" s="6">
        <v>45246</v>
      </c>
      <c r="B226" s="4">
        <v>100036802383</v>
      </c>
      <c r="C226" s="4" t="s">
        <v>418</v>
      </c>
      <c r="D226" s="4">
        <v>3</v>
      </c>
      <c r="E226" s="4">
        <v>24060</v>
      </c>
      <c r="F226" s="4">
        <v>21033</v>
      </c>
      <c r="G226" s="4">
        <v>3027</v>
      </c>
      <c r="H226" s="4">
        <v>1380</v>
      </c>
      <c r="I226" s="4">
        <v>0</v>
      </c>
      <c r="J226" s="4">
        <v>0</v>
      </c>
      <c r="K226" s="4">
        <v>0</v>
      </c>
      <c r="L226" s="1" t="str">
        <f>VLOOKUP(B226,SKU匹配表!A:D,4,0)</f>
        <v>燃气热水器</v>
      </c>
      <c r="M226" s="5" t="str">
        <f>VLOOKUP(B226,SKU匹配表!A:C,3,0)</f>
        <v>R24E32FRF</v>
      </c>
    </row>
    <row r="227" ht="19" customHeight="1" spans="1:13">
      <c r="A227" s="6">
        <v>45246</v>
      </c>
      <c r="B227" s="4">
        <v>100007726501</v>
      </c>
      <c r="C227" s="4" t="s">
        <v>371</v>
      </c>
      <c r="D227" s="4">
        <v>3</v>
      </c>
      <c r="E227" s="4">
        <v>7787</v>
      </c>
      <c r="F227" s="4">
        <v>6852</v>
      </c>
      <c r="G227" s="4">
        <v>935</v>
      </c>
      <c r="H227" s="4">
        <v>10</v>
      </c>
      <c r="I227" s="4">
        <v>0</v>
      </c>
      <c r="J227" s="4">
        <v>0</v>
      </c>
      <c r="K227" s="4">
        <v>43</v>
      </c>
      <c r="L227" s="1" t="str">
        <f>VLOOKUP(B227,SKU匹配表!A:D,4,0)</f>
        <v>燃气热水器</v>
      </c>
      <c r="M227" s="5" t="str">
        <f>VLOOKUP(B227,SKU匹配表!A:C,3,0)</f>
        <v>10QD31</v>
      </c>
    </row>
    <row r="228" ht="19" customHeight="1" spans="1:13">
      <c r="A228" s="6">
        <v>45246</v>
      </c>
      <c r="B228" s="4">
        <v>100007648991</v>
      </c>
      <c r="C228" s="4" t="s">
        <v>369</v>
      </c>
      <c r="D228" s="4">
        <v>2</v>
      </c>
      <c r="E228" s="4">
        <v>4134</v>
      </c>
      <c r="F228" s="4">
        <v>4536</v>
      </c>
      <c r="G228" s="4">
        <v>-402</v>
      </c>
      <c r="H228" s="4">
        <v>30</v>
      </c>
      <c r="I228" s="4">
        <v>0</v>
      </c>
      <c r="J228" s="4">
        <v>0</v>
      </c>
      <c r="K228" s="4">
        <v>0</v>
      </c>
      <c r="L228" s="1" t="str">
        <f>VLOOKUP(B228,SKU匹配表!A:D,4,0)</f>
        <v>燃气热水器</v>
      </c>
      <c r="M228" s="5" t="str">
        <f>VLOOKUP(B228,SKU匹配表!A:C,3,0)</f>
        <v>10QD01</v>
      </c>
    </row>
    <row r="229" ht="19" customHeight="1" spans="1:13">
      <c r="A229" s="6">
        <v>45246</v>
      </c>
      <c r="B229" s="4">
        <v>100052638194</v>
      </c>
      <c r="C229" s="4" t="s">
        <v>340</v>
      </c>
      <c r="D229" s="4">
        <v>2</v>
      </c>
      <c r="E229" s="4">
        <v>5590</v>
      </c>
      <c r="F229" s="4">
        <v>4938.1</v>
      </c>
      <c r="G229" s="4">
        <v>651.9</v>
      </c>
      <c r="H229" s="4">
        <v>5</v>
      </c>
      <c r="I229" s="4">
        <v>0</v>
      </c>
      <c r="J229" s="4">
        <v>0</v>
      </c>
      <c r="K229" s="4">
        <v>0</v>
      </c>
      <c r="L229" s="1" t="str">
        <f>VLOOKUP(B229,SKU匹配表!A:D,4,0)</f>
        <v>燃气热水器</v>
      </c>
      <c r="M229" s="5" t="str">
        <f>VLOOKUP(B229,SKU匹配表!A:C,3,0)</f>
        <v>13GD31</v>
      </c>
    </row>
    <row r="230" ht="19" customHeight="1" spans="1:13">
      <c r="A230" s="6">
        <v>45246</v>
      </c>
      <c r="B230" s="4">
        <v>100044938343</v>
      </c>
      <c r="C230" s="4" t="s">
        <v>367</v>
      </c>
      <c r="D230" s="4">
        <v>2</v>
      </c>
      <c r="E230" s="4">
        <v>16810</v>
      </c>
      <c r="F230" s="4">
        <v>16298</v>
      </c>
      <c r="G230" s="4">
        <v>512</v>
      </c>
      <c r="H230" s="4">
        <v>792</v>
      </c>
      <c r="I230" s="4">
        <v>0</v>
      </c>
      <c r="J230" s="4">
        <v>0</v>
      </c>
      <c r="K230" s="4">
        <v>0</v>
      </c>
      <c r="L230" s="1" t="str">
        <f>VLOOKUP(B230,SKU匹配表!A:D,4,0)</f>
        <v>壁挂炉</v>
      </c>
      <c r="M230" s="5" t="str">
        <f>VLOOKUP(B230,SKU匹配表!A:C,3,0)</f>
        <v>24C39</v>
      </c>
    </row>
    <row r="231" ht="19" customHeight="1" spans="1:13">
      <c r="A231" s="6">
        <v>45246</v>
      </c>
      <c r="B231" s="4">
        <v>100018607305</v>
      </c>
      <c r="C231" s="4" t="s">
        <v>355</v>
      </c>
      <c r="D231" s="4">
        <v>2</v>
      </c>
      <c r="E231" s="4">
        <v>2</v>
      </c>
      <c r="F231" s="4">
        <v>2</v>
      </c>
      <c r="G231" s="4">
        <v>0</v>
      </c>
      <c r="H231" s="4">
        <v>0</v>
      </c>
      <c r="I231" s="4">
        <v>0</v>
      </c>
      <c r="J231" s="4">
        <v>0</v>
      </c>
      <c r="K231" s="4">
        <v>0</v>
      </c>
      <c r="L231" s="1" t="str">
        <f>VLOOKUP(B231,SKU匹配表!A:D,4,0)</f>
        <v>其他</v>
      </c>
      <c r="M231" s="5" t="str">
        <f>VLOOKUP(B231,SKU匹配表!A:C,3,0)</f>
        <v>其他</v>
      </c>
    </row>
    <row r="232" ht="19" customHeight="1" spans="1:13">
      <c r="A232" s="6">
        <v>45246</v>
      </c>
      <c r="B232" s="4">
        <v>100067343450</v>
      </c>
      <c r="C232" s="4" t="s">
        <v>431</v>
      </c>
      <c r="D232" s="4">
        <v>2</v>
      </c>
      <c r="E232" s="4">
        <v>11418</v>
      </c>
      <c r="F232" s="4">
        <v>13298.1</v>
      </c>
      <c r="G232" s="4">
        <v>-1880.1</v>
      </c>
      <c r="H232" s="4">
        <v>578</v>
      </c>
      <c r="I232" s="4">
        <v>0</v>
      </c>
      <c r="J232" s="4">
        <v>0</v>
      </c>
      <c r="K232" s="4">
        <v>0</v>
      </c>
      <c r="L232" s="1" t="str">
        <f>VLOOKUP(B232,SKU匹配表!A:D,4,0)</f>
        <v>烟灶</v>
      </c>
      <c r="M232" s="5" t="str">
        <f>VLOOKUP(B232,SKU匹配表!A:C,3,0)</f>
        <v>2E07MTX+NM09J+13GD31</v>
      </c>
    </row>
    <row r="233" ht="19" customHeight="1" spans="1:13">
      <c r="A233" s="6">
        <v>45246</v>
      </c>
      <c r="B233" s="4">
        <v>100019121361</v>
      </c>
      <c r="C233" s="4" t="s">
        <v>432</v>
      </c>
      <c r="D233" s="4">
        <v>1</v>
      </c>
      <c r="E233" s="4">
        <v>10699</v>
      </c>
      <c r="F233" s="4">
        <v>9765</v>
      </c>
      <c r="G233" s="4">
        <v>934</v>
      </c>
      <c r="H233" s="4">
        <v>0</v>
      </c>
      <c r="I233" s="4">
        <v>0</v>
      </c>
      <c r="J233" s="4">
        <v>0</v>
      </c>
      <c r="K233" s="4">
        <v>0</v>
      </c>
      <c r="L233" s="1" t="str">
        <f>VLOOKUP(B233,SKU匹配表!A:D,4,0)</f>
        <v>壁挂炉</v>
      </c>
      <c r="M233" s="5" t="str">
        <f>VLOOKUP(B233,SKU匹配表!A:C,3,0)</f>
        <v>35C30</v>
      </c>
    </row>
    <row r="234" ht="19" customHeight="1" spans="1:13">
      <c r="A234" s="6">
        <v>45246</v>
      </c>
      <c r="B234" s="4">
        <v>100010633246</v>
      </c>
      <c r="C234" s="4" t="s">
        <v>433</v>
      </c>
      <c r="D234" s="4">
        <v>1</v>
      </c>
      <c r="E234" s="4">
        <v>2149</v>
      </c>
      <c r="F234" s="4">
        <v>2180</v>
      </c>
      <c r="G234" s="4">
        <v>-31</v>
      </c>
      <c r="H234" s="4">
        <v>120</v>
      </c>
      <c r="I234" s="4">
        <v>0</v>
      </c>
      <c r="J234" s="4">
        <v>0</v>
      </c>
      <c r="K234" s="4">
        <v>0</v>
      </c>
      <c r="L234" s="1" t="str">
        <f>VLOOKUP(B234,SKU匹配表!A:D,4,0)</f>
        <v>烟灶</v>
      </c>
      <c r="M234" s="5" t="str">
        <f>VLOOKUP(B234,SKU匹配表!A:C,3,0)</f>
        <v>2E02LT</v>
      </c>
    </row>
    <row r="235" ht="19" customHeight="1" spans="1:13">
      <c r="A235" s="6">
        <v>45246</v>
      </c>
      <c r="B235" s="4">
        <v>100068687237</v>
      </c>
      <c r="C235" s="4" t="s">
        <v>397</v>
      </c>
      <c r="D235" s="4">
        <v>1</v>
      </c>
      <c r="E235" s="4">
        <v>5779</v>
      </c>
      <c r="F235" s="4">
        <v>7029.05</v>
      </c>
      <c r="G235" s="4">
        <v>-1250.05</v>
      </c>
      <c r="H235" s="4">
        <v>620</v>
      </c>
      <c r="I235" s="4">
        <v>0</v>
      </c>
      <c r="J235" s="4">
        <v>0</v>
      </c>
      <c r="K235" s="4">
        <v>0</v>
      </c>
      <c r="L235" s="1" t="str">
        <f>VLOOKUP(B235,SKU匹配表!A:D,4,0)</f>
        <v>烟灶</v>
      </c>
      <c r="M235" s="5" t="str">
        <f>VLOOKUP(B235,SKU匹配表!A:C,3,0)</f>
        <v>2E07MTX+NM09J+16GD31</v>
      </c>
    </row>
    <row r="236" ht="19" customHeight="1" spans="1:13">
      <c r="A236" s="6">
        <v>45246</v>
      </c>
      <c r="B236" s="4">
        <v>100023723365</v>
      </c>
      <c r="C236" s="4" t="s">
        <v>401</v>
      </c>
      <c r="D236" s="4">
        <v>1</v>
      </c>
      <c r="E236" s="4">
        <v>1599</v>
      </c>
      <c r="F236" s="4">
        <v>2184.05</v>
      </c>
      <c r="G236" s="4">
        <v>-585.05</v>
      </c>
      <c r="H236" s="4">
        <v>0</v>
      </c>
      <c r="I236" s="4">
        <v>0</v>
      </c>
      <c r="J236" s="4">
        <v>0</v>
      </c>
      <c r="K236" s="4">
        <v>0</v>
      </c>
      <c r="L236" s="1" t="str">
        <f>VLOOKUP(B236,SKU匹配表!A:D,4,0)</f>
        <v>电热</v>
      </c>
      <c r="M236" s="5" t="str">
        <f>VLOOKUP(B236,SKU匹配表!A:C,3,0)</f>
        <v>DSG50-DE06PN</v>
      </c>
    </row>
    <row r="237" ht="19" customHeight="1" spans="1:13">
      <c r="A237" s="6">
        <v>45246</v>
      </c>
      <c r="B237" s="4">
        <v>100019121379</v>
      </c>
      <c r="C237" s="4" t="s">
        <v>407</v>
      </c>
      <c r="D237" s="4">
        <v>1</v>
      </c>
      <c r="E237" s="4">
        <v>7999</v>
      </c>
      <c r="F237" s="4">
        <v>7314</v>
      </c>
      <c r="G237" s="4">
        <v>685</v>
      </c>
      <c r="H237" s="4">
        <v>0</v>
      </c>
      <c r="I237" s="4">
        <v>0</v>
      </c>
      <c r="J237" s="4">
        <v>0</v>
      </c>
      <c r="K237" s="4">
        <v>0</v>
      </c>
      <c r="L237" s="1" t="str">
        <f>VLOOKUP(B237,SKU匹配表!A:D,4,0)</f>
        <v>壁挂炉</v>
      </c>
      <c r="M237" s="5" t="str">
        <f>VLOOKUP(B237,SKU匹配表!A:C,3,0)</f>
        <v>18C30</v>
      </c>
    </row>
    <row r="238" ht="19" customHeight="1" spans="1:13">
      <c r="A238" s="6">
        <v>45246</v>
      </c>
      <c r="B238" s="4">
        <v>100025340887</v>
      </c>
      <c r="C238" s="4" t="s">
        <v>434</v>
      </c>
      <c r="D238" s="4">
        <v>1</v>
      </c>
      <c r="E238" s="4">
        <v>4799</v>
      </c>
      <c r="F238" s="4">
        <v>6070</v>
      </c>
      <c r="G238" s="4">
        <v>-1271</v>
      </c>
      <c r="H238" s="4">
        <v>420</v>
      </c>
      <c r="I238" s="4">
        <v>0</v>
      </c>
      <c r="J238" s="4">
        <v>0</v>
      </c>
      <c r="K238" s="4">
        <v>0</v>
      </c>
      <c r="L238" s="1" t="str">
        <f>VLOOKUP(B238,SKU匹配表!A:D,4,0)</f>
        <v>烟灶</v>
      </c>
      <c r="M238" s="5" t="str">
        <f>VLOOKUP(B238,SKU匹配表!A:C,3,0)</f>
        <v>NM09J+2E08MT+13QC05</v>
      </c>
    </row>
    <row r="239" ht="19" customHeight="1" spans="1:13">
      <c r="A239" s="6">
        <v>45246</v>
      </c>
      <c r="B239" s="4">
        <v>100019647559</v>
      </c>
      <c r="C239" s="4" t="s">
        <v>421</v>
      </c>
      <c r="D239" s="4">
        <v>1</v>
      </c>
      <c r="E239" s="4">
        <v>8698</v>
      </c>
      <c r="F239" s="4">
        <v>8644.05</v>
      </c>
      <c r="G239" s="4">
        <v>53.95</v>
      </c>
      <c r="H239" s="4">
        <v>400</v>
      </c>
      <c r="I239" s="4">
        <v>0</v>
      </c>
      <c r="J239" s="4">
        <v>0</v>
      </c>
      <c r="K239" s="4">
        <v>0</v>
      </c>
      <c r="L239" s="1" t="str">
        <f>VLOOKUP(B239,SKU匹配表!A:D,4,0)</f>
        <v>壁挂炉</v>
      </c>
      <c r="M239" s="5" t="str">
        <f>VLOOKUP(B239,SKU匹配表!A:C,3,0)</f>
        <v>24C30+SG</v>
      </c>
    </row>
    <row r="240" ht="19" customHeight="1" spans="1:13">
      <c r="A240" s="6">
        <v>45246</v>
      </c>
      <c r="B240" s="4">
        <v>100024539004</v>
      </c>
      <c r="C240" s="4" t="s">
        <v>435</v>
      </c>
      <c r="D240" s="4">
        <v>1</v>
      </c>
      <c r="E240" s="4">
        <v>11899</v>
      </c>
      <c r="F240" s="4">
        <v>10620</v>
      </c>
      <c r="G240" s="4">
        <v>1279</v>
      </c>
      <c r="H240" s="4">
        <v>0</v>
      </c>
      <c r="I240" s="4">
        <v>0</v>
      </c>
      <c r="J240" s="4">
        <v>0</v>
      </c>
      <c r="K240" s="4">
        <v>0</v>
      </c>
      <c r="L240" s="1" t="str">
        <f>VLOOKUP(B240,SKU匹配表!A:D,4,0)</f>
        <v>壁挂炉</v>
      </c>
      <c r="M240" s="5" t="str">
        <f>VLOOKUP(B240,SKU匹配表!A:C,3,0)</f>
        <v>28C66L</v>
      </c>
    </row>
    <row r="241" ht="19" customHeight="1" spans="1:13">
      <c r="A241" s="6">
        <v>45246</v>
      </c>
      <c r="B241" s="4">
        <v>100043251990</v>
      </c>
      <c r="C241" s="4" t="s">
        <v>436</v>
      </c>
      <c r="D241" s="4">
        <v>1</v>
      </c>
      <c r="E241" s="4">
        <v>18899</v>
      </c>
      <c r="F241" s="4">
        <v>17574.05</v>
      </c>
      <c r="G241" s="4">
        <v>1324.95</v>
      </c>
      <c r="H241" s="4">
        <v>0</v>
      </c>
      <c r="I241" s="4">
        <v>0</v>
      </c>
      <c r="J241" s="4">
        <v>0</v>
      </c>
      <c r="K241" s="4">
        <v>0</v>
      </c>
      <c r="L241" s="1" t="str">
        <f>VLOOKUP(B241,SKU匹配表!A:D,4,0)</f>
        <v>壁挂炉</v>
      </c>
      <c r="M241" s="5" t="str">
        <f>VLOOKUP(B241,SKU匹配表!A:C,3,0)</f>
        <v>30Q55A</v>
      </c>
    </row>
    <row r="242" ht="19" customHeight="1" spans="1:13">
      <c r="A242" s="6">
        <v>45246</v>
      </c>
      <c r="B242" s="4">
        <v>100007648993</v>
      </c>
      <c r="C242" s="4" t="s">
        <v>348</v>
      </c>
      <c r="D242" s="4">
        <v>1</v>
      </c>
      <c r="E242" s="4">
        <v>2803</v>
      </c>
      <c r="F242" s="4">
        <v>3409</v>
      </c>
      <c r="G242" s="4">
        <v>-606</v>
      </c>
      <c r="H242" s="4">
        <v>97</v>
      </c>
      <c r="I242" s="4">
        <v>0</v>
      </c>
      <c r="J242" s="4">
        <v>0</v>
      </c>
      <c r="K242" s="4">
        <v>0</v>
      </c>
      <c r="L242" s="1" t="str">
        <f>VLOOKUP(B242,SKU匹配表!A:D,4,0)</f>
        <v>燃气热水器</v>
      </c>
      <c r="M242" s="5" t="str">
        <f>VLOOKUP(B242,SKU匹配表!A:C,3,0)</f>
        <v>13QD06W</v>
      </c>
    </row>
    <row r="243" ht="19" customHeight="1" spans="1:13">
      <c r="A243" s="6">
        <v>45246</v>
      </c>
      <c r="B243" s="4">
        <v>100028791380</v>
      </c>
      <c r="C243" s="4" t="s">
        <v>345</v>
      </c>
      <c r="D243" s="4">
        <v>1</v>
      </c>
      <c r="E243" s="4">
        <v>2599</v>
      </c>
      <c r="F243" s="4">
        <v>2464</v>
      </c>
      <c r="G243" s="4">
        <v>135</v>
      </c>
      <c r="H243" s="4">
        <v>0</v>
      </c>
      <c r="I243" s="4">
        <v>0</v>
      </c>
      <c r="J243" s="4">
        <v>0</v>
      </c>
      <c r="K243" s="4">
        <v>0</v>
      </c>
      <c r="L243" s="1" t="e">
        <f>VLOOKUP(B243,SKU匹配表!A:D,4,0)</f>
        <v>#N/A</v>
      </c>
      <c r="M243" s="5" t="e">
        <f>VLOOKUP(B243,SKU匹配表!A:C,3,0)</f>
        <v>#N/A</v>
      </c>
    </row>
    <row r="244" ht="19" customHeight="1" spans="1:13">
      <c r="A244" s="6">
        <v>45246</v>
      </c>
      <c r="B244" s="4">
        <v>100007649003</v>
      </c>
      <c r="C244" s="4" t="s">
        <v>364</v>
      </c>
      <c r="D244" s="4">
        <v>1</v>
      </c>
      <c r="E244" s="4">
        <v>2384</v>
      </c>
      <c r="F244" s="4">
        <v>2609</v>
      </c>
      <c r="G244" s="4">
        <v>-225</v>
      </c>
      <c r="H244" s="4">
        <v>0</v>
      </c>
      <c r="I244" s="4">
        <v>0</v>
      </c>
      <c r="J244" s="4">
        <v>0</v>
      </c>
      <c r="K244" s="4">
        <v>0</v>
      </c>
      <c r="L244" s="1" t="str">
        <f>VLOOKUP(B244,SKU匹配表!A:D,4,0)</f>
        <v>燃气热水器</v>
      </c>
      <c r="M244" s="5" t="str">
        <f>VLOOKUP(B244,SKU匹配表!A:C,3,0)</f>
        <v>13QD01</v>
      </c>
    </row>
    <row r="245" ht="19" customHeight="1" spans="1:13">
      <c r="A245" s="6">
        <v>45246</v>
      </c>
      <c r="B245" s="4">
        <v>100061989051</v>
      </c>
      <c r="C245" s="4" t="s">
        <v>361</v>
      </c>
      <c r="D245" s="4">
        <v>1</v>
      </c>
      <c r="E245" s="4">
        <v>2110</v>
      </c>
      <c r="F245" s="4">
        <v>2469.05</v>
      </c>
      <c r="G245" s="4">
        <v>-359.05</v>
      </c>
      <c r="H245" s="4">
        <v>198</v>
      </c>
      <c r="I245" s="4">
        <v>0</v>
      </c>
      <c r="J245" s="4">
        <v>0</v>
      </c>
      <c r="K245" s="4">
        <v>0</v>
      </c>
      <c r="L245" s="1" t="e">
        <f>VLOOKUP(B245,SKU匹配表!A:D,4,0)</f>
        <v>#N/A</v>
      </c>
      <c r="M245" s="5" t="e">
        <f>VLOOKUP(B245,SKU匹配表!A:C,3,0)</f>
        <v>#N/A</v>
      </c>
    </row>
    <row r="246" ht="19" customHeight="1" spans="1:13">
      <c r="A246" s="6">
        <v>45246</v>
      </c>
      <c r="B246" s="4">
        <v>100072387214</v>
      </c>
      <c r="C246" s="4" t="s">
        <v>419</v>
      </c>
      <c r="D246" s="4">
        <v>1</v>
      </c>
      <c r="E246" s="4">
        <v>2099</v>
      </c>
      <c r="F246" s="4">
        <v>3679</v>
      </c>
      <c r="G246" s="4">
        <v>-1580</v>
      </c>
      <c r="H246" s="4">
        <v>0</v>
      </c>
      <c r="I246" s="4">
        <v>0</v>
      </c>
      <c r="J246" s="4">
        <v>0</v>
      </c>
      <c r="K246" s="4">
        <v>0</v>
      </c>
      <c r="L246" s="1" t="str">
        <f>VLOOKUP(B246,SKU匹配表!A:D,4,0)</f>
        <v>烟灶</v>
      </c>
      <c r="M246" s="5" t="str">
        <f>VLOOKUP(B246,SKU匹配表!A:C,3,0)</f>
        <v>NMW21J+2E01LT</v>
      </c>
    </row>
    <row r="247" ht="19" customHeight="1" spans="1:13">
      <c r="A247" s="6">
        <v>45246</v>
      </c>
      <c r="B247" s="4">
        <v>100014142126</v>
      </c>
      <c r="C247" s="4" t="s">
        <v>380</v>
      </c>
      <c r="D247" s="4">
        <v>1</v>
      </c>
      <c r="E247" s="4">
        <v>2793</v>
      </c>
      <c r="F247" s="4">
        <v>3049.0064</v>
      </c>
      <c r="G247" s="4">
        <v>-256.0064</v>
      </c>
      <c r="H247" s="4">
        <v>215</v>
      </c>
      <c r="I247" s="4">
        <v>0</v>
      </c>
      <c r="J247" s="4">
        <v>0</v>
      </c>
      <c r="K247" s="4">
        <v>0</v>
      </c>
      <c r="L247" s="1" t="str">
        <f>VLOOKUP(B247,SKU匹配表!A:D,4,0)</f>
        <v>燃气热水器</v>
      </c>
      <c r="M247" s="5" t="str">
        <f>VLOOKUP(B247,SKU匹配表!A:C,3,0)</f>
        <v>16QD31+SG</v>
      </c>
    </row>
    <row r="248" ht="19" customHeight="1" spans="1:13">
      <c r="A248" s="6">
        <v>45246</v>
      </c>
      <c r="B248" s="4">
        <v>100033816268</v>
      </c>
      <c r="C248" s="4" t="s">
        <v>388</v>
      </c>
      <c r="D248" s="4">
        <v>1</v>
      </c>
      <c r="E248" s="4">
        <v>9199</v>
      </c>
      <c r="F248" s="4">
        <v>8929.05</v>
      </c>
      <c r="G248" s="4">
        <v>269.95</v>
      </c>
      <c r="H248" s="4">
        <v>600</v>
      </c>
      <c r="I248" s="4">
        <v>0</v>
      </c>
      <c r="J248" s="4">
        <v>0</v>
      </c>
      <c r="K248" s="4">
        <v>0</v>
      </c>
      <c r="L248" s="1" t="str">
        <f>VLOOKUP(B248,SKU匹配表!A:D,4,0)</f>
        <v>壁挂炉</v>
      </c>
      <c r="M248" s="5" t="str">
        <f>VLOOKUP(B248,SKU匹配表!A:C,3,0)</f>
        <v>28C30</v>
      </c>
    </row>
    <row r="249" ht="19" customHeight="1" spans="1:13">
      <c r="A249" s="6">
        <v>45246</v>
      </c>
      <c r="B249" s="4">
        <v>100059353151</v>
      </c>
      <c r="C249" s="4" t="s">
        <v>347</v>
      </c>
      <c r="D249" s="4">
        <v>1</v>
      </c>
      <c r="E249" s="4">
        <v>5140</v>
      </c>
      <c r="F249" s="4">
        <v>4282.8</v>
      </c>
      <c r="G249" s="4">
        <v>857.2</v>
      </c>
      <c r="H249" s="4">
        <v>420</v>
      </c>
      <c r="I249" s="4">
        <v>0</v>
      </c>
      <c r="J249" s="4">
        <v>0</v>
      </c>
      <c r="K249" s="4">
        <v>0</v>
      </c>
      <c r="L249" s="1" t="str">
        <f>VLOOKUP(B249,SKU匹配表!A:D,4,0)</f>
        <v>燃气热水器</v>
      </c>
      <c r="M249" s="5" t="str">
        <f>VLOOKUP(B249,SKU匹配表!A:C,3,0)</f>
        <v>16GD61R</v>
      </c>
    </row>
    <row r="250" ht="19" customHeight="1" spans="1:13">
      <c r="A250" s="6">
        <v>45246</v>
      </c>
      <c r="B250" s="4">
        <v>100013152188</v>
      </c>
      <c r="C250" s="4" t="s">
        <v>343</v>
      </c>
      <c r="D250" s="4">
        <v>1</v>
      </c>
      <c r="E250" s="4">
        <v>3888</v>
      </c>
      <c r="F250" s="4">
        <v>3885</v>
      </c>
      <c r="G250" s="4">
        <v>3</v>
      </c>
      <c r="H250" s="4">
        <v>293</v>
      </c>
      <c r="I250" s="4">
        <v>0</v>
      </c>
      <c r="J250" s="4">
        <v>0</v>
      </c>
      <c r="K250" s="4">
        <v>0</v>
      </c>
      <c r="L250" s="1" t="str">
        <f>VLOOKUP(B250,SKU匹配表!A:D,4,0)</f>
        <v>燃气热水器</v>
      </c>
      <c r="M250" s="5" t="str">
        <f>VLOOKUP(B250,SKU匹配表!A:C,3,0)</f>
        <v>16QD06W</v>
      </c>
    </row>
    <row r="251" ht="19" customHeight="1" spans="1:13">
      <c r="A251" s="6">
        <v>45246</v>
      </c>
      <c r="B251" s="4">
        <v>100052638196</v>
      </c>
      <c r="C251" s="4" t="s">
        <v>344</v>
      </c>
      <c r="D251" s="4">
        <v>1</v>
      </c>
      <c r="E251" s="4">
        <v>2999</v>
      </c>
      <c r="F251" s="4">
        <v>2754.05</v>
      </c>
      <c r="G251" s="4">
        <v>244.95</v>
      </c>
      <c r="H251" s="4">
        <v>0</v>
      </c>
      <c r="I251" s="4">
        <v>0</v>
      </c>
      <c r="J251" s="4">
        <v>0</v>
      </c>
      <c r="K251" s="4">
        <v>0</v>
      </c>
      <c r="L251" s="1" t="str">
        <f>VLOOKUP(B251,SKU匹配表!A:D,4,0)</f>
        <v>燃气热水器</v>
      </c>
      <c r="M251" s="5" t="str">
        <f>VLOOKUP(B251,SKU匹配表!A:C,3,0)</f>
        <v>13GD32</v>
      </c>
    </row>
    <row r="252" ht="19" customHeight="1" spans="1:13">
      <c r="A252" s="6">
        <v>45246</v>
      </c>
      <c r="B252" s="4">
        <v>100013112736</v>
      </c>
      <c r="C252" s="4" t="s">
        <v>378</v>
      </c>
      <c r="D252" s="4">
        <v>1</v>
      </c>
      <c r="E252" s="4">
        <v>2560.35</v>
      </c>
      <c r="F252" s="4">
        <v>2889</v>
      </c>
      <c r="G252" s="4">
        <v>-328.65</v>
      </c>
      <c r="H252" s="4">
        <v>224</v>
      </c>
      <c r="I252" s="4">
        <v>0</v>
      </c>
      <c r="J252" s="4">
        <v>0</v>
      </c>
      <c r="K252" s="4">
        <v>0</v>
      </c>
      <c r="L252" s="1" t="str">
        <f>VLOOKUP(B252,SKU匹配表!A:D,4,0)</f>
        <v>燃气热水器</v>
      </c>
      <c r="M252" s="5" t="str">
        <f>VLOOKUP(B252,SKU匹配表!A:C,3,0)</f>
        <v>16QC05+SG</v>
      </c>
    </row>
    <row r="253" ht="19" customHeight="1" spans="1:13">
      <c r="A253" s="6">
        <v>45246</v>
      </c>
      <c r="B253" s="4">
        <v>100013152202</v>
      </c>
      <c r="C253" s="4" t="s">
        <v>342</v>
      </c>
      <c r="D253" s="4">
        <v>1</v>
      </c>
      <c r="E253" s="4">
        <v>2870</v>
      </c>
      <c r="F253" s="4">
        <v>2889</v>
      </c>
      <c r="G253" s="4">
        <v>-19</v>
      </c>
      <c r="H253" s="4">
        <v>120</v>
      </c>
      <c r="I253" s="4">
        <v>0</v>
      </c>
      <c r="J253" s="4">
        <v>0</v>
      </c>
      <c r="K253" s="4">
        <v>0</v>
      </c>
      <c r="L253" s="1" t="str">
        <f>VLOOKUP(B253,SKU匹配表!A:D,4,0)</f>
        <v>燃气热水器</v>
      </c>
      <c r="M253" s="5" t="str">
        <f>VLOOKUP(B253,SKU匹配表!A:C,3,0)</f>
        <v>16QC05</v>
      </c>
    </row>
    <row r="254" ht="19" customHeight="1" spans="1:13">
      <c r="A254" s="6">
        <v>45246</v>
      </c>
      <c r="B254" s="4">
        <v>100069368182</v>
      </c>
      <c r="C254" s="4" t="s">
        <v>437</v>
      </c>
      <c r="D254" s="4">
        <v>1</v>
      </c>
      <c r="E254" s="4">
        <v>2809</v>
      </c>
      <c r="F254" s="4">
        <v>4084</v>
      </c>
      <c r="G254" s="4">
        <v>-1275</v>
      </c>
      <c r="H254" s="4">
        <v>140</v>
      </c>
      <c r="I254" s="4">
        <v>0</v>
      </c>
      <c r="J254" s="4">
        <v>0</v>
      </c>
      <c r="K254" s="4">
        <v>0</v>
      </c>
      <c r="L254" s="1" t="str">
        <f>VLOOKUP(B254,SKU匹配表!A:D,4,0)</f>
        <v>烟灶</v>
      </c>
      <c r="M254" s="5" t="str">
        <f>VLOOKUP(B254,SKU匹配表!A:C,3,0)</f>
        <v>NM05T+2E07MTX</v>
      </c>
    </row>
    <row r="255" ht="19" customHeight="1" spans="1:13">
      <c r="A255" s="6">
        <v>45246</v>
      </c>
      <c r="B255" s="4">
        <v>100008442137</v>
      </c>
      <c r="C255" s="4" t="s">
        <v>400</v>
      </c>
      <c r="D255" s="4">
        <v>0</v>
      </c>
      <c r="E255" s="4">
        <v>44</v>
      </c>
      <c r="F255" s="4">
        <v>0</v>
      </c>
      <c r="G255" s="4">
        <v>44</v>
      </c>
      <c r="H255" s="4">
        <v>0</v>
      </c>
      <c r="I255" s="4">
        <v>0</v>
      </c>
      <c r="J255" s="4">
        <v>0</v>
      </c>
      <c r="K255" s="4">
        <v>0</v>
      </c>
      <c r="L255" s="1" t="str">
        <f>VLOOKUP(B255,SKU匹配表!A:D,4,0)</f>
        <v>净水器</v>
      </c>
      <c r="M255" s="5" t="str">
        <f>VLOOKUP(B255,SKU匹配表!A:C,3,0)</f>
        <v>RWTS-PF-1</v>
      </c>
    </row>
    <row r="256" ht="19" customHeight="1" spans="1:13">
      <c r="A256" s="6">
        <v>45246</v>
      </c>
      <c r="B256" s="4">
        <v>100023723341</v>
      </c>
      <c r="C256" s="4" t="s">
        <v>356</v>
      </c>
      <c r="D256" s="4">
        <v>0</v>
      </c>
      <c r="E256" s="4">
        <v>-12</v>
      </c>
      <c r="F256" s="4">
        <v>0</v>
      </c>
      <c r="G256" s="4">
        <v>-12</v>
      </c>
      <c r="H256" s="4">
        <v>120</v>
      </c>
      <c r="I256" s="4">
        <v>0</v>
      </c>
      <c r="J256" s="4">
        <v>0</v>
      </c>
      <c r="K256" s="4">
        <v>0</v>
      </c>
      <c r="L256" s="1" t="str">
        <f>VLOOKUP(B256,SKU匹配表!A:D,4,0)</f>
        <v>电热</v>
      </c>
      <c r="M256" s="5" t="str">
        <f>VLOOKUP(B256,SKU匹配表!A:C,3,0)</f>
        <v>DSG60-DE07PN</v>
      </c>
    </row>
    <row r="257" ht="19" customHeight="1" spans="1:13">
      <c r="A257" s="6">
        <v>45246</v>
      </c>
      <c r="B257" s="4">
        <v>100056046455</v>
      </c>
      <c r="C257" s="4" t="s">
        <v>404</v>
      </c>
      <c r="D257" s="4">
        <v>-1</v>
      </c>
      <c r="E257" s="4">
        <v>-485</v>
      </c>
      <c r="F257" s="4">
        <v>-521.55</v>
      </c>
      <c r="G257" s="4">
        <v>36.55</v>
      </c>
      <c r="H257" s="4">
        <v>0</v>
      </c>
      <c r="I257" s="4">
        <v>0</v>
      </c>
      <c r="J257" s="4">
        <v>0</v>
      </c>
      <c r="K257" s="4">
        <v>0</v>
      </c>
      <c r="L257" s="1" t="str">
        <f>VLOOKUP(B257,SKU匹配表!A:D,4,0)</f>
        <v>净水器</v>
      </c>
      <c r="M257" s="5" t="str">
        <f>VLOOKUP(B257,SKU匹配表!A:C,3,0)</f>
        <v>RWTS-PF-11</v>
      </c>
    </row>
    <row r="258" ht="19" customHeight="1" spans="1:13">
      <c r="A258" s="6">
        <v>45246</v>
      </c>
      <c r="B258" s="4">
        <v>100013982677</v>
      </c>
      <c r="C258" s="4" t="s">
        <v>438</v>
      </c>
      <c r="D258" s="4">
        <v>-1</v>
      </c>
      <c r="E258" s="4">
        <v>-1934</v>
      </c>
      <c r="F258" s="4">
        <v>-2199</v>
      </c>
      <c r="G258" s="4">
        <v>265</v>
      </c>
      <c r="H258" s="4">
        <v>-10</v>
      </c>
      <c r="I258" s="4">
        <v>0</v>
      </c>
      <c r="J258" s="4">
        <v>0</v>
      </c>
      <c r="K258" s="4">
        <v>0</v>
      </c>
      <c r="L258" s="1" t="str">
        <f>VLOOKUP(B258,SKU匹配表!A:D,4,0)</f>
        <v>净水器</v>
      </c>
      <c r="M258" s="5" t="str">
        <f>VLOOKUP(B258,SKU匹配表!A:C,3,0)</f>
        <v>RWTS-RO78-D</v>
      </c>
    </row>
    <row r="259" ht="19" customHeight="1" spans="1:13">
      <c r="A259" s="6">
        <v>45246</v>
      </c>
      <c r="B259" s="4">
        <v>100044938307</v>
      </c>
      <c r="C259" s="4" t="s">
        <v>372</v>
      </c>
      <c r="D259" s="4">
        <v>-1</v>
      </c>
      <c r="E259" s="4">
        <v>-9421</v>
      </c>
      <c r="F259" s="4">
        <v>-9249</v>
      </c>
      <c r="G259" s="4">
        <v>-172</v>
      </c>
      <c r="H259" s="4">
        <v>0</v>
      </c>
      <c r="I259" s="4">
        <v>0</v>
      </c>
      <c r="J259" s="4">
        <v>0</v>
      </c>
      <c r="K259" s="4">
        <v>0</v>
      </c>
      <c r="L259" s="1" t="str">
        <f>VLOOKUP(B259,SKU匹配表!A:D,4,0)</f>
        <v>壁挂炉</v>
      </c>
      <c r="M259" s="5" t="str">
        <f>VLOOKUP(B259,SKU匹配表!A:C,3,0)</f>
        <v>28C39</v>
      </c>
    </row>
    <row r="260" ht="19" customHeight="1" spans="1:13">
      <c r="A260" s="6">
        <v>45249</v>
      </c>
      <c r="B260" s="4">
        <v>100048028229</v>
      </c>
      <c r="C260" s="4" t="s">
        <v>340</v>
      </c>
      <c r="D260" s="4">
        <v>96</v>
      </c>
      <c r="E260" s="4">
        <v>252531.9</v>
      </c>
      <c r="F260" s="4">
        <v>237028.8</v>
      </c>
      <c r="G260" s="4">
        <v>15503.1</v>
      </c>
      <c r="H260" s="4">
        <v>10820</v>
      </c>
      <c r="I260" s="4">
        <v>0</v>
      </c>
      <c r="J260" s="4">
        <v>0</v>
      </c>
      <c r="K260" s="4">
        <v>38.73</v>
      </c>
      <c r="L260" s="1" t="str">
        <f>VLOOKUP(B260,SKU匹配表!A:D,4,0)</f>
        <v>燃气热水器</v>
      </c>
      <c r="M260" s="5" t="str">
        <f>VLOOKUP(B260,SKU匹配表!A:C,3,0)</f>
        <v>13GD31</v>
      </c>
    </row>
    <row r="261" ht="19" customHeight="1" spans="1:13">
      <c r="A261" s="6">
        <v>45249</v>
      </c>
      <c r="B261" s="4">
        <v>100039707007</v>
      </c>
      <c r="C261" s="4" t="s">
        <v>339</v>
      </c>
      <c r="D261" s="4">
        <v>79</v>
      </c>
      <c r="E261" s="4">
        <v>231759.07</v>
      </c>
      <c r="F261" s="4">
        <v>217569.95</v>
      </c>
      <c r="G261" s="4">
        <v>14189.12</v>
      </c>
      <c r="H261" s="4">
        <v>11087</v>
      </c>
      <c r="I261" s="4">
        <v>0</v>
      </c>
      <c r="J261" s="4">
        <v>0</v>
      </c>
      <c r="K261" s="4">
        <v>23.11</v>
      </c>
      <c r="L261" s="1" t="str">
        <f>VLOOKUP(B261,SKU匹配表!A:D,4,0)</f>
        <v>燃气热水器</v>
      </c>
      <c r="M261" s="5" t="str">
        <f>VLOOKUP(B261,SKU匹配表!A:C,3,0)</f>
        <v>16GD31</v>
      </c>
    </row>
    <row r="262" ht="19" customHeight="1" spans="1:13">
      <c r="A262" s="6">
        <v>45249</v>
      </c>
      <c r="B262" s="4">
        <v>100039706989</v>
      </c>
      <c r="C262" s="4" t="s">
        <v>341</v>
      </c>
      <c r="D262" s="4">
        <v>46</v>
      </c>
      <c r="E262" s="4">
        <v>145475.7</v>
      </c>
      <c r="F262" s="4">
        <v>135426.3</v>
      </c>
      <c r="G262" s="4">
        <v>10049.4</v>
      </c>
      <c r="H262" s="4">
        <v>10272</v>
      </c>
      <c r="I262" s="4">
        <v>0</v>
      </c>
      <c r="J262" s="4">
        <v>0</v>
      </c>
      <c r="K262" s="4">
        <v>31.57</v>
      </c>
      <c r="L262" s="1" t="str">
        <f>VLOOKUP(B262,SKU匹配表!A:D,4,0)</f>
        <v>燃气热水器</v>
      </c>
      <c r="M262" s="5" t="str">
        <f>VLOOKUP(B262,SKU匹配表!A:C,3,0)</f>
        <v>16GD32</v>
      </c>
    </row>
    <row r="263" ht="19" customHeight="1" spans="1:13">
      <c r="A263" s="6">
        <v>45249</v>
      </c>
      <c r="B263" s="4">
        <v>100009176306</v>
      </c>
      <c r="C263" s="4" t="s">
        <v>343</v>
      </c>
      <c r="D263" s="4">
        <v>38</v>
      </c>
      <c r="E263" s="4">
        <v>148946.65</v>
      </c>
      <c r="F263" s="4">
        <v>147631.2585</v>
      </c>
      <c r="G263" s="4">
        <v>1315.3915</v>
      </c>
      <c r="H263" s="4">
        <v>11670</v>
      </c>
      <c r="I263" s="4">
        <v>0</v>
      </c>
      <c r="J263" s="4">
        <v>0</v>
      </c>
      <c r="K263" s="4">
        <v>48.82</v>
      </c>
      <c r="L263" s="1" t="str">
        <f>VLOOKUP(B263,SKU匹配表!A:D,4,0)</f>
        <v>燃气热水器</v>
      </c>
      <c r="M263" s="5" t="str">
        <f>VLOOKUP(B263,SKU匹配表!A:C,3,0)</f>
        <v>16QD06W</v>
      </c>
    </row>
    <row r="264" ht="19" customHeight="1" spans="1:13">
      <c r="A264" s="6">
        <v>45249</v>
      </c>
      <c r="B264" s="4">
        <v>100009176278</v>
      </c>
      <c r="C264" s="4" t="s">
        <v>348</v>
      </c>
      <c r="D264" s="4">
        <v>27</v>
      </c>
      <c r="E264" s="4">
        <v>80533.27</v>
      </c>
      <c r="F264" s="4">
        <v>84186.0359</v>
      </c>
      <c r="G264" s="4">
        <v>-3652.7659</v>
      </c>
      <c r="H264" s="4">
        <v>8046</v>
      </c>
      <c r="I264" s="4">
        <v>0</v>
      </c>
      <c r="J264" s="4">
        <v>0</v>
      </c>
      <c r="K264" s="4">
        <v>13.3</v>
      </c>
      <c r="L264" s="1" t="str">
        <f>VLOOKUP(B264,SKU匹配表!A:D,4,0)</f>
        <v>燃气热水器</v>
      </c>
      <c r="M264" s="5" t="str">
        <f>VLOOKUP(B264,SKU匹配表!A:C,3,0)</f>
        <v>13QD06W</v>
      </c>
    </row>
    <row r="265" ht="19" customHeight="1" spans="1:13">
      <c r="A265" s="6">
        <v>45249</v>
      </c>
      <c r="B265" s="4">
        <v>100056736113</v>
      </c>
      <c r="C265" s="4" t="s">
        <v>347</v>
      </c>
      <c r="D265" s="4">
        <v>18</v>
      </c>
      <c r="E265" s="4">
        <v>90546.64</v>
      </c>
      <c r="F265" s="4">
        <v>77090.4</v>
      </c>
      <c r="G265" s="4">
        <v>13456.24</v>
      </c>
      <c r="H265" s="4">
        <v>4269</v>
      </c>
      <c r="I265" s="4">
        <v>0</v>
      </c>
      <c r="J265" s="4">
        <v>0</v>
      </c>
      <c r="K265" s="4">
        <v>28.39</v>
      </c>
      <c r="L265" s="1" t="str">
        <f>VLOOKUP(B265,SKU匹配表!A:D,4,0)</f>
        <v>燃气热水器</v>
      </c>
      <c r="M265" s="5" t="str">
        <f>VLOOKUP(B265,SKU匹配表!A:C,3,0)</f>
        <v>16GD61R</v>
      </c>
    </row>
    <row r="266" ht="19" customHeight="1" spans="1:13">
      <c r="A266" s="6">
        <v>45249</v>
      </c>
      <c r="B266" s="4">
        <v>100012048672</v>
      </c>
      <c r="C266" s="4" t="s">
        <v>342</v>
      </c>
      <c r="D266" s="4">
        <v>16</v>
      </c>
      <c r="E266" s="4">
        <v>47057</v>
      </c>
      <c r="F266" s="4">
        <v>46224</v>
      </c>
      <c r="G266" s="4">
        <v>833</v>
      </c>
      <c r="H266" s="4">
        <v>2016</v>
      </c>
      <c r="I266" s="4">
        <v>0</v>
      </c>
      <c r="J266" s="4">
        <v>0</v>
      </c>
      <c r="K266" s="4">
        <v>31.56</v>
      </c>
      <c r="L266" s="1" t="str">
        <f>VLOOKUP(B266,SKU匹配表!A:D,4,0)</f>
        <v>燃气热水器</v>
      </c>
      <c r="M266" s="5" t="str">
        <f>VLOOKUP(B266,SKU匹配表!A:C,3,0)</f>
        <v>16QC05</v>
      </c>
    </row>
    <row r="267" ht="19" customHeight="1" spans="1:13">
      <c r="A267" s="6">
        <v>45249</v>
      </c>
      <c r="B267" s="4">
        <v>100012048688</v>
      </c>
      <c r="C267" s="4" t="s">
        <v>345</v>
      </c>
      <c r="D267" s="4">
        <v>15</v>
      </c>
      <c r="E267" s="4">
        <v>37982</v>
      </c>
      <c r="F267" s="4">
        <v>36960.0184</v>
      </c>
      <c r="G267" s="4">
        <v>1021.9816</v>
      </c>
      <c r="H267" s="4">
        <v>1874</v>
      </c>
      <c r="I267" s="4">
        <v>0</v>
      </c>
      <c r="J267" s="4">
        <v>-100</v>
      </c>
      <c r="K267" s="4">
        <v>95.13</v>
      </c>
      <c r="L267" s="1" t="str">
        <f>VLOOKUP(B267,SKU匹配表!A:D,4,0)</f>
        <v>燃气热水器</v>
      </c>
      <c r="M267" s="5" t="str">
        <f>VLOOKUP(B267,SKU匹配表!A:C,3,0)</f>
        <v>13QC05</v>
      </c>
    </row>
    <row r="268" ht="19" customHeight="1" spans="1:13">
      <c r="A268" s="6">
        <v>45249</v>
      </c>
      <c r="B268" s="4">
        <v>100012689724</v>
      </c>
      <c r="C268" s="4" t="s">
        <v>350</v>
      </c>
      <c r="D268" s="4">
        <v>8</v>
      </c>
      <c r="E268" s="4">
        <v>10395</v>
      </c>
      <c r="F268" s="4">
        <v>9519.9981</v>
      </c>
      <c r="G268" s="4">
        <v>875.0019</v>
      </c>
      <c r="H268" s="4">
        <v>431</v>
      </c>
      <c r="I268" s="4">
        <v>0</v>
      </c>
      <c r="J268" s="4">
        <v>0</v>
      </c>
      <c r="K268" s="4">
        <v>52</v>
      </c>
      <c r="L268" s="1" t="str">
        <f>VLOOKUP(B268,SKU匹配表!A:D,4,0)</f>
        <v>燃气热水器</v>
      </c>
      <c r="M268" s="5" t="str">
        <f>VLOOKUP(B268,SKU匹配表!A:C,3,0)</f>
        <v>SG</v>
      </c>
    </row>
    <row r="269" ht="19" customHeight="1" spans="1:13">
      <c r="A269" s="6">
        <v>45249</v>
      </c>
      <c r="B269" s="4">
        <v>100007648991</v>
      </c>
      <c r="C269" s="4" t="s">
        <v>369</v>
      </c>
      <c r="D269" s="4">
        <v>6</v>
      </c>
      <c r="E269" s="4">
        <v>12513.39</v>
      </c>
      <c r="F269" s="4">
        <v>13608</v>
      </c>
      <c r="G269" s="4">
        <v>-1094.61</v>
      </c>
      <c r="H269" s="4">
        <v>0</v>
      </c>
      <c r="I269" s="4">
        <v>0</v>
      </c>
      <c r="J269" s="4">
        <v>0</v>
      </c>
      <c r="K269" s="4">
        <v>0</v>
      </c>
      <c r="L269" s="1" t="str">
        <f>VLOOKUP(B269,SKU匹配表!A:D,4,0)</f>
        <v>燃气热水器</v>
      </c>
      <c r="M269" s="5" t="str">
        <f>VLOOKUP(B269,SKU匹配表!A:C,3,0)</f>
        <v>10QD01</v>
      </c>
    </row>
    <row r="270" ht="19" customHeight="1" spans="1:13">
      <c r="A270" s="6">
        <v>45249</v>
      </c>
      <c r="B270" s="4">
        <v>100007649009</v>
      </c>
      <c r="C270" s="4" t="s">
        <v>343</v>
      </c>
      <c r="D270" s="4">
        <v>5</v>
      </c>
      <c r="E270" s="4">
        <v>22005</v>
      </c>
      <c r="F270" s="4">
        <v>21350</v>
      </c>
      <c r="G270" s="4">
        <v>655</v>
      </c>
      <c r="H270" s="4">
        <v>0</v>
      </c>
      <c r="I270" s="4">
        <v>0</v>
      </c>
      <c r="J270" s="4">
        <v>0</v>
      </c>
      <c r="K270" s="4">
        <v>0</v>
      </c>
      <c r="L270" s="1" t="str">
        <f>VLOOKUP(B270,SKU匹配表!A:D,4,0)</f>
        <v>燃气热水器</v>
      </c>
      <c r="M270" s="5" t="str">
        <f>VLOOKUP(B270,SKU匹配表!A:C,3,0)</f>
        <v>16QD06W</v>
      </c>
    </row>
    <row r="271" ht="19" customHeight="1" spans="1:13">
      <c r="A271" s="6">
        <v>45249</v>
      </c>
      <c r="B271" s="4">
        <v>100052638198</v>
      </c>
      <c r="C271" s="4" t="s">
        <v>374</v>
      </c>
      <c r="D271" s="4">
        <v>4</v>
      </c>
      <c r="E271" s="4">
        <v>12656</v>
      </c>
      <c r="F271" s="4">
        <v>11776.2</v>
      </c>
      <c r="G271" s="4">
        <v>879.8</v>
      </c>
      <c r="H271" s="4">
        <v>640</v>
      </c>
      <c r="I271" s="4">
        <v>0</v>
      </c>
      <c r="J271" s="4">
        <v>0</v>
      </c>
      <c r="K271" s="4">
        <v>0</v>
      </c>
      <c r="L271" s="1" t="str">
        <f>VLOOKUP(B271,SKU匹配表!A:D,4,0)</f>
        <v>燃气热水器</v>
      </c>
      <c r="M271" s="5" t="str">
        <f>VLOOKUP(B271,SKU匹配表!A:C,3,0)</f>
        <v>16GD32</v>
      </c>
    </row>
    <row r="272" ht="19" customHeight="1" spans="1:13">
      <c r="A272" s="6">
        <v>45249</v>
      </c>
      <c r="B272" s="4">
        <v>100007725017</v>
      </c>
      <c r="C272" s="4" t="s">
        <v>353</v>
      </c>
      <c r="D272" s="4">
        <v>3</v>
      </c>
      <c r="E272" s="4">
        <v>8157</v>
      </c>
      <c r="F272" s="4">
        <v>7872</v>
      </c>
      <c r="G272" s="4">
        <v>285</v>
      </c>
      <c r="H272" s="4">
        <v>340</v>
      </c>
      <c r="I272" s="4">
        <v>0</v>
      </c>
      <c r="J272" s="4">
        <v>0</v>
      </c>
      <c r="K272" s="4">
        <v>111.61</v>
      </c>
      <c r="L272" s="1" t="str">
        <f>VLOOKUP(B272,SKU匹配表!A:D,4,0)</f>
        <v>燃气热水器</v>
      </c>
      <c r="M272" s="5" t="str">
        <f>VLOOKUP(B272,SKU匹配表!A:C,3,0)</f>
        <v>13QD31</v>
      </c>
    </row>
    <row r="273" ht="19" customHeight="1" spans="1:13">
      <c r="A273" s="6">
        <v>45249</v>
      </c>
      <c r="B273" s="4">
        <v>100059353151</v>
      </c>
      <c r="C273" s="4" t="s">
        <v>347</v>
      </c>
      <c r="D273" s="4">
        <v>3</v>
      </c>
      <c r="E273" s="4">
        <v>14637.83</v>
      </c>
      <c r="F273" s="4">
        <v>12848.4</v>
      </c>
      <c r="G273" s="4">
        <v>1789.43</v>
      </c>
      <c r="H273" s="4">
        <v>820</v>
      </c>
      <c r="I273" s="4">
        <v>0</v>
      </c>
      <c r="J273" s="4">
        <v>0</v>
      </c>
      <c r="K273" s="4">
        <v>0</v>
      </c>
      <c r="L273" s="1" t="str">
        <f>VLOOKUP(B273,SKU匹配表!A:D,4,0)</f>
        <v>燃气热水器</v>
      </c>
      <c r="M273" s="5" t="str">
        <f>VLOOKUP(B273,SKU匹配表!A:C,3,0)</f>
        <v>16GD61R</v>
      </c>
    </row>
    <row r="274" ht="19" customHeight="1" spans="1:13">
      <c r="A274" s="6">
        <v>45249</v>
      </c>
      <c r="B274" s="4">
        <v>100057296400</v>
      </c>
      <c r="C274" s="4" t="s">
        <v>393</v>
      </c>
      <c r="D274" s="4">
        <v>3</v>
      </c>
      <c r="E274" s="4">
        <v>7337</v>
      </c>
      <c r="F274" s="4">
        <v>8262.15</v>
      </c>
      <c r="G274" s="4">
        <v>-925.15</v>
      </c>
      <c r="H274" s="4">
        <v>246</v>
      </c>
      <c r="I274" s="4">
        <v>0</v>
      </c>
      <c r="J274" s="4">
        <v>0</v>
      </c>
      <c r="K274" s="4">
        <v>0</v>
      </c>
      <c r="L274" s="1" t="e">
        <f>VLOOKUP(B274,SKU匹配表!A:D,4,0)</f>
        <v>#N/A</v>
      </c>
      <c r="M274" s="5" t="e">
        <f>VLOOKUP(B274,SKU匹配表!A:C,3,0)</f>
        <v>#N/A</v>
      </c>
    </row>
    <row r="275" ht="19" customHeight="1" spans="1:13">
      <c r="A275" s="6">
        <v>45249</v>
      </c>
      <c r="B275" s="4">
        <v>100044938343</v>
      </c>
      <c r="C275" s="4" t="s">
        <v>367</v>
      </c>
      <c r="D275" s="4">
        <v>2</v>
      </c>
      <c r="E275" s="4">
        <v>17526</v>
      </c>
      <c r="F275" s="4">
        <v>16298</v>
      </c>
      <c r="G275" s="4">
        <v>1228</v>
      </c>
      <c r="H275" s="4">
        <v>199</v>
      </c>
      <c r="I275" s="4">
        <v>0</v>
      </c>
      <c r="J275" s="4">
        <v>0</v>
      </c>
      <c r="K275" s="4">
        <v>0</v>
      </c>
      <c r="L275" s="1" t="str">
        <f>VLOOKUP(B275,SKU匹配表!A:D,4,0)</f>
        <v>壁挂炉</v>
      </c>
      <c r="M275" s="5" t="str">
        <f>VLOOKUP(B275,SKU匹配表!A:C,3,0)</f>
        <v>24C39</v>
      </c>
    </row>
    <row r="276" ht="19" customHeight="1" spans="1:13">
      <c r="A276" s="6">
        <v>45249</v>
      </c>
      <c r="B276" s="4">
        <v>100013985394</v>
      </c>
      <c r="C276" s="4" t="s">
        <v>358</v>
      </c>
      <c r="D276" s="4">
        <v>2</v>
      </c>
      <c r="E276" s="4">
        <v>5154</v>
      </c>
      <c r="F276" s="4">
        <v>4738</v>
      </c>
      <c r="G276" s="4">
        <v>416</v>
      </c>
      <c r="H276" s="4">
        <v>243</v>
      </c>
      <c r="I276" s="4">
        <v>0</v>
      </c>
      <c r="J276" s="4">
        <v>0</v>
      </c>
      <c r="K276" s="4">
        <v>69.5</v>
      </c>
      <c r="L276" s="1" t="str">
        <f>VLOOKUP(B276,SKU匹配表!A:D,4,0)</f>
        <v>燃气热水器</v>
      </c>
      <c r="M276" s="5" t="str">
        <f>VLOOKUP(B276,SKU匹配表!A:C,3,0)</f>
        <v>11QD31</v>
      </c>
    </row>
    <row r="277" ht="19" customHeight="1" spans="1:13">
      <c r="A277" s="6">
        <v>45249</v>
      </c>
      <c r="B277" s="4">
        <v>100024530025</v>
      </c>
      <c r="C277" s="4" t="s">
        <v>365</v>
      </c>
      <c r="D277" s="4">
        <v>2</v>
      </c>
      <c r="E277" s="4">
        <v>3154.03</v>
      </c>
      <c r="F277" s="4">
        <v>5800</v>
      </c>
      <c r="G277" s="4">
        <v>-2645.97</v>
      </c>
      <c r="H277" s="4">
        <v>313</v>
      </c>
      <c r="I277" s="4">
        <v>0</v>
      </c>
      <c r="J277" s="4">
        <v>50.97</v>
      </c>
      <c r="K277" s="4">
        <v>0</v>
      </c>
      <c r="L277" s="1" t="str">
        <f>VLOOKUP(B277,SKU匹配表!A:D,4,0)</f>
        <v>烟灶</v>
      </c>
      <c r="M277" s="5" t="str">
        <f>VLOOKUP(B277,SKU匹配表!A:C,3,0)</f>
        <v>NM10T</v>
      </c>
    </row>
    <row r="278" ht="19" customHeight="1" spans="1:13">
      <c r="A278" s="6">
        <v>45249</v>
      </c>
      <c r="B278" s="4">
        <v>100002444086</v>
      </c>
      <c r="C278" s="4" t="s">
        <v>363</v>
      </c>
      <c r="D278" s="4">
        <v>2</v>
      </c>
      <c r="E278" s="4">
        <v>197</v>
      </c>
      <c r="F278" s="4">
        <v>190</v>
      </c>
      <c r="G278" s="4">
        <v>7</v>
      </c>
      <c r="H278" s="4">
        <v>0</v>
      </c>
      <c r="I278" s="4">
        <v>0</v>
      </c>
      <c r="J278" s="4">
        <v>0</v>
      </c>
      <c r="K278" s="4">
        <v>0</v>
      </c>
      <c r="L278" s="1" t="str">
        <f>VLOOKUP(B278,SKU匹配表!A:D,4,0)</f>
        <v>定金</v>
      </c>
      <c r="M278" s="5" t="str">
        <f>VLOOKUP(B278,SKU匹配表!A:C,3,0)</f>
        <v>定金</v>
      </c>
    </row>
    <row r="279" ht="19" customHeight="1" spans="1:13">
      <c r="A279" s="6">
        <v>45249</v>
      </c>
      <c r="B279" s="4">
        <v>100012868940</v>
      </c>
      <c r="C279" s="4" t="s">
        <v>376</v>
      </c>
      <c r="D279" s="4">
        <v>2</v>
      </c>
      <c r="E279" s="4">
        <v>7515</v>
      </c>
      <c r="F279" s="4">
        <v>7771.1876</v>
      </c>
      <c r="G279" s="4">
        <v>-256.1876</v>
      </c>
      <c r="H279" s="4">
        <v>685</v>
      </c>
      <c r="I279" s="4">
        <v>0</v>
      </c>
      <c r="J279" s="4">
        <v>0</v>
      </c>
      <c r="K279" s="4">
        <v>0</v>
      </c>
      <c r="L279" s="1" t="str">
        <f>VLOOKUP(B279,SKU匹配表!A:D,4,0)</f>
        <v>燃气热水器</v>
      </c>
      <c r="M279" s="5" t="str">
        <f>VLOOKUP(B279,SKU匹配表!A:C,3,0)</f>
        <v>16QD06W+SG</v>
      </c>
    </row>
    <row r="280" ht="19" customHeight="1" spans="1:13">
      <c r="A280" s="6">
        <v>45249</v>
      </c>
      <c r="B280" s="4">
        <v>100007726501</v>
      </c>
      <c r="C280" s="4" t="s">
        <v>371</v>
      </c>
      <c r="D280" s="4">
        <v>2</v>
      </c>
      <c r="E280" s="4">
        <v>5193</v>
      </c>
      <c r="F280" s="4">
        <v>4568</v>
      </c>
      <c r="G280" s="4">
        <v>625</v>
      </c>
      <c r="H280" s="4">
        <v>0</v>
      </c>
      <c r="I280" s="4">
        <v>0</v>
      </c>
      <c r="J280" s="4">
        <v>0</v>
      </c>
      <c r="K280" s="4">
        <v>60</v>
      </c>
      <c r="L280" s="1" t="str">
        <f>VLOOKUP(B280,SKU匹配表!A:D,4,0)</f>
        <v>燃气热水器</v>
      </c>
      <c r="M280" s="5" t="str">
        <f>VLOOKUP(B280,SKU匹配表!A:C,3,0)</f>
        <v>10QD31</v>
      </c>
    </row>
    <row r="281" ht="19" customHeight="1" spans="1:13">
      <c r="A281" s="6">
        <v>45249</v>
      </c>
      <c r="B281" s="4">
        <v>100061989131</v>
      </c>
      <c r="C281" s="4" t="s">
        <v>375</v>
      </c>
      <c r="D281" s="4">
        <v>1</v>
      </c>
      <c r="E281" s="4">
        <v>2808</v>
      </c>
      <c r="F281" s="4">
        <v>2754.05</v>
      </c>
      <c r="G281" s="4">
        <v>53.95</v>
      </c>
      <c r="H281" s="4">
        <v>0</v>
      </c>
      <c r="I281" s="4">
        <v>0</v>
      </c>
      <c r="J281" s="4">
        <v>0</v>
      </c>
      <c r="K281" s="4">
        <v>0</v>
      </c>
      <c r="L281" s="1" t="e">
        <f>VLOOKUP(B281,SKU匹配表!A:D,4,0)</f>
        <v>#N/A</v>
      </c>
      <c r="M281" s="5" t="e">
        <f>VLOOKUP(B281,SKU匹配表!A:C,3,0)</f>
        <v>#N/A</v>
      </c>
    </row>
    <row r="282" ht="19" customHeight="1" spans="1:13">
      <c r="A282" s="6">
        <v>45249</v>
      </c>
      <c r="B282" s="4">
        <v>100039895624</v>
      </c>
      <c r="C282" s="4" t="s">
        <v>439</v>
      </c>
      <c r="D282" s="4">
        <v>1</v>
      </c>
      <c r="E282" s="4">
        <v>3300</v>
      </c>
      <c r="F282" s="4">
        <v>4559.05</v>
      </c>
      <c r="G282" s="4">
        <v>-1259.05</v>
      </c>
      <c r="H282" s="4">
        <v>399</v>
      </c>
      <c r="I282" s="4">
        <v>0</v>
      </c>
      <c r="J282" s="4">
        <v>0</v>
      </c>
      <c r="K282" s="4">
        <v>0</v>
      </c>
      <c r="L282" s="1" t="str">
        <f>VLOOKUP(B282,SKU匹配表!A:D,4,0)</f>
        <v>烟灶</v>
      </c>
      <c r="M282" s="5" t="str">
        <f>VLOOKUP(B282,SKU匹配表!A:C,3,0)</f>
        <v>NM09J+2E03LS</v>
      </c>
    </row>
    <row r="283" ht="19" customHeight="1" spans="1:13">
      <c r="A283" s="6">
        <v>45249</v>
      </c>
      <c r="B283" s="4">
        <v>100048630889</v>
      </c>
      <c r="C283" s="4" t="s">
        <v>373</v>
      </c>
      <c r="D283" s="4">
        <v>1</v>
      </c>
      <c r="E283" s="4">
        <v>4498.95</v>
      </c>
      <c r="F283" s="4">
        <v>4939.05</v>
      </c>
      <c r="G283" s="4">
        <v>-440.1</v>
      </c>
      <c r="H283" s="4">
        <v>300</v>
      </c>
      <c r="I283" s="4">
        <v>0</v>
      </c>
      <c r="J283" s="4">
        <v>0</v>
      </c>
      <c r="K283" s="4">
        <v>0</v>
      </c>
      <c r="L283" s="1" t="str">
        <f>VLOOKUP(B283,SKU匹配表!A:D,4,0)</f>
        <v>烟灶</v>
      </c>
      <c r="M283" s="5" t="str">
        <f>VLOOKUP(B283,SKU匹配表!A:C,3,0)</f>
        <v>NM11T+2E03LS</v>
      </c>
    </row>
    <row r="284" ht="19" customHeight="1" spans="1:13">
      <c r="A284" s="6">
        <v>45249</v>
      </c>
      <c r="B284" s="4">
        <v>100048899107</v>
      </c>
      <c r="C284" s="4" t="s">
        <v>349</v>
      </c>
      <c r="D284" s="4">
        <v>1</v>
      </c>
      <c r="E284" s="4">
        <v>949</v>
      </c>
      <c r="F284" s="4">
        <v>1519</v>
      </c>
      <c r="G284" s="4">
        <v>-570</v>
      </c>
      <c r="H284" s="4">
        <v>0</v>
      </c>
      <c r="I284" s="4">
        <v>0</v>
      </c>
      <c r="J284" s="4">
        <v>0</v>
      </c>
      <c r="K284" s="4">
        <v>0</v>
      </c>
      <c r="L284" s="1" t="str">
        <f>VLOOKUP(B284,SKU匹配表!A:D,4,0)</f>
        <v>烟灶</v>
      </c>
      <c r="M284" s="5" t="str">
        <f>VLOOKUP(B284,SKU匹配表!A:C,3,0)</f>
        <v>2E08MT</v>
      </c>
    </row>
    <row r="285" ht="19" customHeight="1" spans="1:13">
      <c r="A285" s="6">
        <v>45249</v>
      </c>
      <c r="B285" s="4">
        <v>100033816230</v>
      </c>
      <c r="C285" s="4" t="s">
        <v>366</v>
      </c>
      <c r="D285" s="4">
        <v>1</v>
      </c>
      <c r="E285" s="4">
        <v>7376.33</v>
      </c>
      <c r="F285" s="4">
        <v>7504.05</v>
      </c>
      <c r="G285" s="4">
        <v>-127.72</v>
      </c>
      <c r="H285" s="4">
        <v>-498</v>
      </c>
      <c r="I285" s="4">
        <v>0</v>
      </c>
      <c r="J285" s="4">
        <v>0</v>
      </c>
      <c r="K285" s="4">
        <v>0</v>
      </c>
      <c r="L285" s="1" t="str">
        <f>VLOOKUP(B285,SKU匹配表!A:D,4,0)</f>
        <v>壁挂炉</v>
      </c>
      <c r="M285" s="5" t="str">
        <f>VLOOKUP(B285,SKU匹配表!A:C,3,0)</f>
        <v>24C30</v>
      </c>
    </row>
    <row r="286" ht="19" customHeight="1" spans="1:13">
      <c r="A286" s="6">
        <v>45249</v>
      </c>
      <c r="B286" s="4">
        <v>100019121379</v>
      </c>
      <c r="C286" s="4" t="s">
        <v>407</v>
      </c>
      <c r="D286" s="4">
        <v>1</v>
      </c>
      <c r="E286" s="4">
        <v>7599</v>
      </c>
      <c r="F286" s="4">
        <v>7314</v>
      </c>
      <c r="G286" s="4">
        <v>285</v>
      </c>
      <c r="H286" s="4">
        <v>580</v>
      </c>
      <c r="I286" s="4">
        <v>0</v>
      </c>
      <c r="J286" s="4">
        <v>0</v>
      </c>
      <c r="K286" s="4">
        <v>0</v>
      </c>
      <c r="L286" s="1" t="str">
        <f>VLOOKUP(B286,SKU匹配表!A:D,4,0)</f>
        <v>壁挂炉</v>
      </c>
      <c r="M286" s="5" t="str">
        <f>VLOOKUP(B286,SKU匹配表!A:C,3,0)</f>
        <v>18C30</v>
      </c>
    </row>
    <row r="287" ht="19" customHeight="1" spans="1:13">
      <c r="A287" s="6">
        <v>45249</v>
      </c>
      <c r="B287" s="4">
        <v>100007648993</v>
      </c>
      <c r="C287" s="4" t="s">
        <v>348</v>
      </c>
      <c r="D287" s="4">
        <v>1</v>
      </c>
      <c r="E287" s="4">
        <v>3501</v>
      </c>
      <c r="F287" s="4">
        <v>3409</v>
      </c>
      <c r="G287" s="4">
        <v>92</v>
      </c>
      <c r="H287" s="4">
        <v>0</v>
      </c>
      <c r="I287" s="4">
        <v>0</v>
      </c>
      <c r="J287" s="4">
        <v>0</v>
      </c>
      <c r="K287" s="4">
        <v>0</v>
      </c>
      <c r="L287" s="1" t="str">
        <f>VLOOKUP(B287,SKU匹配表!A:D,4,0)</f>
        <v>燃气热水器</v>
      </c>
      <c r="M287" s="5" t="str">
        <f>VLOOKUP(B287,SKU匹配表!A:C,3,0)</f>
        <v>13QD06W</v>
      </c>
    </row>
    <row r="288" ht="19" customHeight="1" spans="1:13">
      <c r="A288" s="6">
        <v>45249</v>
      </c>
      <c r="B288" s="4">
        <v>100052638194</v>
      </c>
      <c r="C288" s="4" t="s">
        <v>340</v>
      </c>
      <c r="D288" s="4">
        <v>1</v>
      </c>
      <c r="E288" s="4">
        <v>2358.32</v>
      </c>
      <c r="F288" s="4">
        <v>2469.05</v>
      </c>
      <c r="G288" s="4">
        <v>-110.73</v>
      </c>
      <c r="H288" s="4">
        <v>140</v>
      </c>
      <c r="I288" s="4">
        <v>0</v>
      </c>
      <c r="J288" s="4">
        <v>0</v>
      </c>
      <c r="K288" s="4">
        <v>0</v>
      </c>
      <c r="L288" s="1" t="str">
        <f>VLOOKUP(B288,SKU匹配表!A:D,4,0)</f>
        <v>燃气热水器</v>
      </c>
      <c r="M288" s="5" t="str">
        <f>VLOOKUP(B288,SKU匹配表!A:C,3,0)</f>
        <v>13GD31</v>
      </c>
    </row>
    <row r="289" ht="19" customHeight="1" spans="1:13">
      <c r="A289" s="6">
        <v>45249</v>
      </c>
      <c r="B289" s="4">
        <v>100020691862</v>
      </c>
      <c r="C289" s="4" t="s">
        <v>359</v>
      </c>
      <c r="D289" s="4">
        <v>1</v>
      </c>
      <c r="E289" s="4">
        <v>2362</v>
      </c>
      <c r="F289" s="4">
        <v>2564</v>
      </c>
      <c r="G289" s="4">
        <v>-202</v>
      </c>
      <c r="H289" s="4">
        <v>437</v>
      </c>
      <c r="I289" s="4">
        <v>0</v>
      </c>
      <c r="J289" s="4">
        <v>0</v>
      </c>
      <c r="K289" s="4">
        <v>0</v>
      </c>
      <c r="L289" s="1" t="str">
        <f>VLOOKUP(B289,SKU匹配表!A:D,4,0)</f>
        <v>烟灶</v>
      </c>
      <c r="M289" s="5" t="str">
        <f>VLOOKUP(B289,SKU匹配表!A:C,3,0)</f>
        <v>2E03LS</v>
      </c>
    </row>
    <row r="290" ht="19" customHeight="1" spans="1:13">
      <c r="A290" s="6">
        <v>45249</v>
      </c>
      <c r="B290" s="4">
        <v>100011418921</v>
      </c>
      <c r="C290" s="4" t="s">
        <v>440</v>
      </c>
      <c r="D290" s="4">
        <v>1</v>
      </c>
      <c r="E290" s="4">
        <v>9399</v>
      </c>
      <c r="F290" s="4">
        <v>8999</v>
      </c>
      <c r="G290" s="4">
        <v>400</v>
      </c>
      <c r="H290" s="4">
        <v>0</v>
      </c>
      <c r="I290" s="4">
        <v>0</v>
      </c>
      <c r="J290" s="4">
        <v>0</v>
      </c>
      <c r="K290" s="4">
        <v>0</v>
      </c>
      <c r="L290" s="1" t="str">
        <f>VLOOKUP(B290,SKU匹配表!A:D,4,0)</f>
        <v>洗碗机</v>
      </c>
      <c r="M290" s="5" t="str">
        <f>VLOOKUP(B290,SKU匹配表!A:C,3,0)</f>
        <v>JUW11G+2E03LS+M2</v>
      </c>
    </row>
    <row r="291" ht="19" customHeight="1" spans="1:13">
      <c r="A291" s="6">
        <v>45249</v>
      </c>
      <c r="B291" s="4">
        <v>100014934216</v>
      </c>
      <c r="C291" s="4" t="s">
        <v>387</v>
      </c>
      <c r="D291" s="4">
        <v>1</v>
      </c>
      <c r="E291" s="4">
        <v>6016</v>
      </c>
      <c r="F291" s="4">
        <v>5926.2821</v>
      </c>
      <c r="G291" s="4">
        <v>89.7179</v>
      </c>
      <c r="H291" s="4">
        <v>334</v>
      </c>
      <c r="I291" s="4">
        <v>0</v>
      </c>
      <c r="J291" s="4">
        <v>0</v>
      </c>
      <c r="K291" s="4">
        <v>31.85</v>
      </c>
      <c r="L291" s="1" t="str">
        <f>VLOOKUP(B291,SKU匹配表!A:D,4,0)</f>
        <v>燃气热水器</v>
      </c>
      <c r="M291" s="5" t="str">
        <f>VLOOKUP(B291,SKU匹配表!A:C,3,0)</f>
        <v>R16E32FBF</v>
      </c>
    </row>
    <row r="292" ht="19" customHeight="1" spans="1:13">
      <c r="A292" s="6">
        <v>45249</v>
      </c>
      <c r="B292" s="4">
        <v>100013886406</v>
      </c>
      <c r="C292" s="4" t="s">
        <v>441</v>
      </c>
      <c r="D292" s="4">
        <v>1</v>
      </c>
      <c r="E292" s="4">
        <v>2889</v>
      </c>
      <c r="F292" s="4">
        <v>2879</v>
      </c>
      <c r="G292" s="4">
        <v>10</v>
      </c>
      <c r="H292" s="4">
        <v>0</v>
      </c>
      <c r="I292" s="4">
        <v>0</v>
      </c>
      <c r="J292" s="4">
        <v>0</v>
      </c>
      <c r="K292" s="4">
        <v>0</v>
      </c>
      <c r="L292" s="1" t="str">
        <f>VLOOKUP(B292,SKU匹配表!A:D,4,0)</f>
        <v>燃气热水器</v>
      </c>
      <c r="M292" s="5" t="str">
        <f>VLOOKUP(B292,SKU匹配表!A:C,3,0)</f>
        <v>16QD01</v>
      </c>
    </row>
    <row r="293" ht="19" customHeight="1" spans="1:13">
      <c r="A293" s="6">
        <v>45249</v>
      </c>
      <c r="B293" s="4">
        <v>100052638196</v>
      </c>
      <c r="C293" s="4" t="s">
        <v>344</v>
      </c>
      <c r="D293" s="4">
        <v>1</v>
      </c>
      <c r="E293" s="4">
        <v>2891</v>
      </c>
      <c r="F293" s="4">
        <v>2754.05</v>
      </c>
      <c r="G293" s="4">
        <v>136.95</v>
      </c>
      <c r="H293" s="4">
        <v>5</v>
      </c>
      <c r="I293" s="4">
        <v>0</v>
      </c>
      <c r="J293" s="4">
        <v>0</v>
      </c>
      <c r="K293" s="4">
        <v>0</v>
      </c>
      <c r="L293" s="1" t="str">
        <f>VLOOKUP(B293,SKU匹配表!A:D,4,0)</f>
        <v>燃气热水器</v>
      </c>
      <c r="M293" s="5" t="str">
        <f>VLOOKUP(B293,SKU匹配表!A:C,3,0)</f>
        <v>13GD32</v>
      </c>
    </row>
    <row r="294" ht="19" customHeight="1" spans="1:13">
      <c r="A294" s="6">
        <v>45249</v>
      </c>
      <c r="B294" s="4">
        <v>100008442137</v>
      </c>
      <c r="C294" s="4" t="s">
        <v>400</v>
      </c>
      <c r="D294" s="4">
        <v>0</v>
      </c>
      <c r="E294" s="4">
        <v>109</v>
      </c>
      <c r="F294" s="4">
        <v>0</v>
      </c>
      <c r="G294" s="4">
        <v>109</v>
      </c>
      <c r="H294" s="4">
        <v>10</v>
      </c>
      <c r="I294" s="4">
        <v>0</v>
      </c>
      <c r="J294" s="4">
        <v>0</v>
      </c>
      <c r="K294" s="4">
        <v>0</v>
      </c>
      <c r="L294" s="1" t="str">
        <f>VLOOKUP(B294,SKU匹配表!A:D,4,0)</f>
        <v>净水器</v>
      </c>
      <c r="M294" s="5" t="str">
        <f>VLOOKUP(B294,SKU匹配表!A:C,3,0)</f>
        <v>RWTS-PF-1</v>
      </c>
    </row>
    <row r="295" ht="19" customHeight="1" spans="1:13">
      <c r="A295" s="6">
        <v>45249</v>
      </c>
      <c r="B295" s="4">
        <v>100023723341</v>
      </c>
      <c r="C295" s="4" t="s">
        <v>356</v>
      </c>
      <c r="D295" s="4">
        <v>-1</v>
      </c>
      <c r="E295" s="4">
        <v>-1899</v>
      </c>
      <c r="F295" s="4">
        <v>-2944</v>
      </c>
      <c r="G295" s="4">
        <v>1045</v>
      </c>
      <c r="H295" s="4">
        <v>0</v>
      </c>
      <c r="I295" s="4">
        <v>0</v>
      </c>
      <c r="J295" s="4">
        <v>0</v>
      </c>
      <c r="K295" s="4">
        <v>0</v>
      </c>
      <c r="L295" s="1" t="str">
        <f>VLOOKUP(B295,SKU匹配表!A:D,4,0)</f>
        <v>电热</v>
      </c>
      <c r="M295" s="5" t="str">
        <f>VLOOKUP(B295,SKU匹配表!A:C,3,0)</f>
        <v>DSG60-DE07PN</v>
      </c>
    </row>
    <row r="296" ht="19" customHeight="1" spans="1:13">
      <c r="A296" s="6">
        <v>45249</v>
      </c>
      <c r="B296" s="4">
        <v>100014171252</v>
      </c>
      <c r="C296" s="4" t="s">
        <v>381</v>
      </c>
      <c r="D296" s="4">
        <v>-1</v>
      </c>
      <c r="E296" s="4">
        <v>-3498</v>
      </c>
      <c r="F296" s="4">
        <v>-4179</v>
      </c>
      <c r="G296" s="4">
        <v>681</v>
      </c>
      <c r="H296" s="4">
        <v>0</v>
      </c>
      <c r="I296" s="4">
        <v>0</v>
      </c>
      <c r="J296" s="4">
        <v>0</v>
      </c>
      <c r="K296" s="4">
        <v>0</v>
      </c>
      <c r="L296" s="1" t="str">
        <f>VLOOKUP(B296,SKU匹配表!A:D,4,0)</f>
        <v>燃气热水器</v>
      </c>
      <c r="M296" s="5" t="str">
        <f>VLOOKUP(B296,SKU匹配表!A:C,3,0)</f>
        <v>13QD31+SG</v>
      </c>
    </row>
    <row r="297" ht="19" customHeight="1" spans="1:13">
      <c r="A297" s="6">
        <v>45249</v>
      </c>
      <c r="B297" s="4">
        <v>100019647559</v>
      </c>
      <c r="C297" s="4" t="s">
        <v>421</v>
      </c>
      <c r="D297" s="4">
        <v>-1</v>
      </c>
      <c r="E297" s="4">
        <v>-8698</v>
      </c>
      <c r="F297" s="4">
        <v>-8644.05</v>
      </c>
      <c r="G297" s="4">
        <v>-53.95</v>
      </c>
      <c r="H297" s="4">
        <v>-600</v>
      </c>
      <c r="I297" s="4">
        <v>0</v>
      </c>
      <c r="J297" s="4">
        <v>0</v>
      </c>
      <c r="K297" s="4">
        <v>0</v>
      </c>
      <c r="L297" s="1" t="str">
        <f>VLOOKUP(B297,SKU匹配表!A:D,4,0)</f>
        <v>壁挂炉</v>
      </c>
      <c r="M297" s="5" t="str">
        <f>VLOOKUP(B297,SKU匹配表!A:C,3,0)</f>
        <v>24C30+SG</v>
      </c>
    </row>
    <row r="298" ht="19" customHeight="1" spans="1:13">
      <c r="A298" s="6">
        <v>45249</v>
      </c>
      <c r="B298" s="4">
        <v>100061470014</v>
      </c>
      <c r="C298" s="4" t="s">
        <v>354</v>
      </c>
      <c r="D298" s="4">
        <v>-1</v>
      </c>
      <c r="E298" s="4">
        <v>-3080</v>
      </c>
      <c r="F298" s="4">
        <v>-3201.6</v>
      </c>
      <c r="G298" s="4">
        <v>121.6</v>
      </c>
      <c r="H298" s="4">
        <v>0</v>
      </c>
      <c r="I298" s="4">
        <v>0</v>
      </c>
      <c r="J298" s="4">
        <v>0</v>
      </c>
      <c r="K298" s="4">
        <v>0</v>
      </c>
      <c r="L298" s="1" t="str">
        <f>VLOOKUP(B298,SKU匹配表!A:D,4,0)</f>
        <v>燃气热水器</v>
      </c>
      <c r="M298" s="5" t="str">
        <f>VLOOKUP(B298,SKU匹配表!A:C,3,0)</f>
        <v>13QC06</v>
      </c>
    </row>
    <row r="299" ht="19" customHeight="1" spans="1:13">
      <c r="A299" s="6">
        <v>45249</v>
      </c>
      <c r="B299" s="4">
        <v>100011330579</v>
      </c>
      <c r="C299" s="4" t="s">
        <v>442</v>
      </c>
      <c r="D299" s="4">
        <v>-1</v>
      </c>
      <c r="E299" s="4">
        <v>-2099</v>
      </c>
      <c r="F299" s="4">
        <v>-2849</v>
      </c>
      <c r="G299" s="4">
        <v>750</v>
      </c>
      <c r="H299" s="4">
        <v>0</v>
      </c>
      <c r="I299" s="4">
        <v>0</v>
      </c>
      <c r="J299" s="4">
        <v>0</v>
      </c>
      <c r="K299" s="4">
        <v>0</v>
      </c>
      <c r="L299" s="1" t="str">
        <f>VLOOKUP(B299,SKU匹配表!A:D,4,0)</f>
        <v>净水器</v>
      </c>
      <c r="M299" s="5" t="str">
        <f>VLOOKUP(B299,SKU匹配表!A:C,3,0)</f>
        <v>RWTS-P150-3</v>
      </c>
    </row>
    <row r="300" ht="19" customHeight="1" spans="1:13">
      <c r="A300" s="6">
        <v>45249</v>
      </c>
      <c r="B300" s="4">
        <v>100011741768</v>
      </c>
      <c r="C300" s="4" t="s">
        <v>443</v>
      </c>
      <c r="D300" s="4">
        <v>-1</v>
      </c>
      <c r="E300" s="4">
        <v>-12419</v>
      </c>
      <c r="F300" s="4">
        <v>-12729</v>
      </c>
      <c r="G300" s="4">
        <v>310</v>
      </c>
      <c r="H300" s="4">
        <v>0</v>
      </c>
      <c r="I300" s="4">
        <v>0</v>
      </c>
      <c r="J300" s="4">
        <v>0</v>
      </c>
      <c r="K300" s="4">
        <v>0</v>
      </c>
      <c r="L300" s="1" t="str">
        <f>VLOOKUP(B300,SKU匹配表!A:D,4,0)</f>
        <v>壁挂炉</v>
      </c>
      <c r="M300" s="5" t="str">
        <f>VLOOKUP(B300,SKU匹配表!A:C,3,0)</f>
        <v>24G55</v>
      </c>
    </row>
    <row r="301" ht="19" customHeight="1" spans="1:13">
      <c r="A301" s="6">
        <v>45249</v>
      </c>
      <c r="B301" s="4">
        <v>100019838995</v>
      </c>
      <c r="C301" s="4" t="s">
        <v>444</v>
      </c>
      <c r="D301" s="4">
        <v>-1</v>
      </c>
      <c r="E301" s="4">
        <v>-3610</v>
      </c>
      <c r="F301" s="4">
        <v>-3799</v>
      </c>
      <c r="G301" s="4">
        <v>189</v>
      </c>
      <c r="H301" s="4">
        <v>0</v>
      </c>
      <c r="I301" s="4">
        <v>0</v>
      </c>
      <c r="J301" s="4">
        <v>0</v>
      </c>
      <c r="K301" s="4">
        <v>0</v>
      </c>
      <c r="L301" s="1" t="str">
        <f>VLOOKUP(B301,SKU匹配表!A:D,4,0)</f>
        <v>烟灶</v>
      </c>
      <c r="M301" s="5" t="str">
        <f>VLOOKUP(B301,SKU匹配表!A:C,3,0)</f>
        <v>2E05LS</v>
      </c>
    </row>
    <row r="302" ht="19" customHeight="1" spans="1:13">
      <c r="A302" s="6">
        <v>45249</v>
      </c>
      <c r="B302" s="4">
        <v>100013429772</v>
      </c>
      <c r="C302" s="4" t="s">
        <v>428</v>
      </c>
      <c r="D302" s="4">
        <v>-2</v>
      </c>
      <c r="E302" s="4">
        <v>-1470</v>
      </c>
      <c r="F302" s="4">
        <v>-1424</v>
      </c>
      <c r="G302" s="4">
        <v>-46</v>
      </c>
      <c r="H302" s="4">
        <v>0</v>
      </c>
      <c r="I302" s="4">
        <v>0</v>
      </c>
      <c r="J302" s="4">
        <v>0</v>
      </c>
      <c r="K302" s="4">
        <v>0</v>
      </c>
      <c r="L302" s="1" t="str">
        <f>VLOOKUP(B302,SKU匹配表!A:D,4,0)</f>
        <v>净水器</v>
      </c>
      <c r="M302" s="5" t="str">
        <f>VLOOKUP(B302,SKU匹配表!A:C,3,0)</f>
        <v>RWTS-R063-A</v>
      </c>
    </row>
    <row r="303" ht="19" customHeight="1" spans="1:13">
      <c r="A303" s="6">
        <v>45250</v>
      </c>
      <c r="B303" s="4">
        <v>100048028229</v>
      </c>
      <c r="C303" s="4" t="s">
        <v>340</v>
      </c>
      <c r="D303" s="4">
        <v>88</v>
      </c>
      <c r="E303" s="4">
        <v>235348.88</v>
      </c>
      <c r="F303" s="4">
        <v>217276.4</v>
      </c>
      <c r="G303" s="4">
        <v>18072.48</v>
      </c>
      <c r="H303" s="4">
        <v>10155</v>
      </c>
      <c r="I303" s="4">
        <v>0</v>
      </c>
      <c r="J303" s="4">
        <v>0</v>
      </c>
      <c r="K303" s="4">
        <v>41.43</v>
      </c>
      <c r="L303" s="1" t="str">
        <f>VLOOKUP(B303,SKU匹配表!A:D,4,0)</f>
        <v>燃气热水器</v>
      </c>
      <c r="M303" s="5" t="str">
        <f>VLOOKUP(B303,SKU匹配表!A:C,3,0)</f>
        <v>13GD31</v>
      </c>
    </row>
    <row r="304" ht="19" customHeight="1" spans="1:13">
      <c r="A304" s="6">
        <v>45250</v>
      </c>
      <c r="B304" s="4">
        <v>100039707007</v>
      </c>
      <c r="C304" s="4" t="s">
        <v>339</v>
      </c>
      <c r="D304" s="4">
        <v>46</v>
      </c>
      <c r="E304" s="4">
        <v>135750.37</v>
      </c>
      <c r="F304" s="4">
        <v>126686.3</v>
      </c>
      <c r="G304" s="4">
        <v>9064.07</v>
      </c>
      <c r="H304" s="4">
        <v>5969.5</v>
      </c>
      <c r="I304" s="4">
        <v>0</v>
      </c>
      <c r="J304" s="4">
        <v>0</v>
      </c>
      <c r="K304" s="4">
        <v>38.93</v>
      </c>
      <c r="L304" s="1" t="str">
        <f>VLOOKUP(B304,SKU匹配表!A:D,4,0)</f>
        <v>燃气热水器</v>
      </c>
      <c r="M304" s="5" t="str">
        <f>VLOOKUP(B304,SKU匹配表!A:C,3,0)</f>
        <v>16GD31</v>
      </c>
    </row>
    <row r="305" ht="19" customHeight="1" spans="1:13">
      <c r="A305" s="6">
        <v>45250</v>
      </c>
      <c r="B305" s="4">
        <v>100009176306</v>
      </c>
      <c r="C305" s="4" t="s">
        <v>343</v>
      </c>
      <c r="D305" s="4">
        <v>27</v>
      </c>
      <c r="E305" s="4">
        <v>109450.31</v>
      </c>
      <c r="F305" s="4">
        <v>104895.0942</v>
      </c>
      <c r="G305" s="4">
        <v>4555.2158</v>
      </c>
      <c r="H305" s="4">
        <v>7194</v>
      </c>
      <c r="I305" s="4">
        <v>0</v>
      </c>
      <c r="J305" s="4">
        <v>0</v>
      </c>
      <c r="K305" s="4">
        <v>69.04</v>
      </c>
      <c r="L305" s="1" t="str">
        <f>VLOOKUP(B305,SKU匹配表!A:D,4,0)</f>
        <v>燃气热水器</v>
      </c>
      <c r="M305" s="5" t="str">
        <f>VLOOKUP(B305,SKU匹配表!A:C,3,0)</f>
        <v>16QD06W</v>
      </c>
    </row>
    <row r="306" ht="19" customHeight="1" spans="1:13">
      <c r="A306" s="6">
        <v>45250</v>
      </c>
      <c r="B306" s="4">
        <v>100012048672</v>
      </c>
      <c r="C306" s="4" t="s">
        <v>342</v>
      </c>
      <c r="D306" s="4">
        <v>22</v>
      </c>
      <c r="E306" s="4">
        <v>64568.05</v>
      </c>
      <c r="F306" s="4">
        <v>63558</v>
      </c>
      <c r="G306" s="4">
        <v>1010.05</v>
      </c>
      <c r="H306" s="4">
        <v>2809</v>
      </c>
      <c r="I306" s="4">
        <v>0</v>
      </c>
      <c r="J306" s="4">
        <v>0</v>
      </c>
      <c r="K306" s="4">
        <v>25.5</v>
      </c>
      <c r="L306" s="1" t="str">
        <f>VLOOKUP(B306,SKU匹配表!A:D,4,0)</f>
        <v>燃气热水器</v>
      </c>
      <c r="M306" s="5" t="str">
        <f>VLOOKUP(B306,SKU匹配表!A:C,3,0)</f>
        <v>16QC05</v>
      </c>
    </row>
    <row r="307" ht="19" customHeight="1" spans="1:13">
      <c r="A307" s="6">
        <v>45250</v>
      </c>
      <c r="B307" s="4">
        <v>100002444086</v>
      </c>
      <c r="C307" s="4" t="s">
        <v>363</v>
      </c>
      <c r="D307" s="4">
        <v>22</v>
      </c>
      <c r="E307" s="4">
        <v>2178</v>
      </c>
      <c r="F307" s="4">
        <v>2090</v>
      </c>
      <c r="G307" s="4">
        <v>88</v>
      </c>
      <c r="H307" s="4">
        <v>0</v>
      </c>
      <c r="I307" s="4">
        <v>0</v>
      </c>
      <c r="J307" s="4">
        <v>0</v>
      </c>
      <c r="K307" s="4">
        <v>0</v>
      </c>
      <c r="L307" s="1" t="str">
        <f>VLOOKUP(B307,SKU匹配表!A:D,4,0)</f>
        <v>定金</v>
      </c>
      <c r="M307" s="5" t="str">
        <f>VLOOKUP(B307,SKU匹配表!A:C,3,0)</f>
        <v>定金</v>
      </c>
    </row>
    <row r="308" ht="19" customHeight="1" spans="1:13">
      <c r="A308" s="6">
        <v>45250</v>
      </c>
      <c r="B308" s="4">
        <v>100012048688</v>
      </c>
      <c r="C308" s="4" t="s">
        <v>345</v>
      </c>
      <c r="D308" s="4">
        <v>19</v>
      </c>
      <c r="E308" s="4">
        <v>48405.1</v>
      </c>
      <c r="F308" s="4">
        <v>46816</v>
      </c>
      <c r="G308" s="4">
        <v>1589.1</v>
      </c>
      <c r="H308" s="4">
        <v>2349.9</v>
      </c>
      <c r="I308" s="4">
        <v>0</v>
      </c>
      <c r="J308" s="4">
        <v>0</v>
      </c>
      <c r="K308" s="4">
        <v>74.16</v>
      </c>
      <c r="L308" s="1" t="str">
        <f>VLOOKUP(B308,SKU匹配表!A:D,4,0)</f>
        <v>燃气热水器</v>
      </c>
      <c r="M308" s="5" t="str">
        <f>VLOOKUP(B308,SKU匹配表!A:C,3,0)</f>
        <v>13QC05</v>
      </c>
    </row>
    <row r="309" ht="19" customHeight="1" spans="1:13">
      <c r="A309" s="6">
        <v>45250</v>
      </c>
      <c r="B309" s="4">
        <v>100039706989</v>
      </c>
      <c r="C309" s="4" t="s">
        <v>341</v>
      </c>
      <c r="D309" s="4">
        <v>18</v>
      </c>
      <c r="E309" s="4">
        <v>55298.62</v>
      </c>
      <c r="F309" s="4">
        <v>52992.9</v>
      </c>
      <c r="G309" s="4">
        <v>2305.72</v>
      </c>
      <c r="H309" s="4">
        <v>7663.3</v>
      </c>
      <c r="I309" s="4">
        <v>0</v>
      </c>
      <c r="J309" s="4">
        <v>0</v>
      </c>
      <c r="K309" s="4">
        <v>82.17</v>
      </c>
      <c r="L309" s="1" t="str">
        <f>VLOOKUP(B309,SKU匹配表!A:D,4,0)</f>
        <v>燃气热水器</v>
      </c>
      <c r="M309" s="5" t="str">
        <f>VLOOKUP(B309,SKU匹配表!A:C,3,0)</f>
        <v>16GD32</v>
      </c>
    </row>
    <row r="310" ht="19" customHeight="1" spans="1:13">
      <c r="A310" s="6">
        <v>45250</v>
      </c>
      <c r="B310" s="4">
        <v>100009176278</v>
      </c>
      <c r="C310" s="4" t="s">
        <v>348</v>
      </c>
      <c r="D310" s="4">
        <v>17</v>
      </c>
      <c r="E310" s="4">
        <v>50991.69</v>
      </c>
      <c r="F310" s="4">
        <v>53006.0008</v>
      </c>
      <c r="G310" s="4">
        <v>-2014.3108</v>
      </c>
      <c r="H310" s="4">
        <v>5393</v>
      </c>
      <c r="I310" s="4">
        <v>0</v>
      </c>
      <c r="J310" s="4">
        <v>0</v>
      </c>
      <c r="K310" s="4">
        <v>21.18</v>
      </c>
      <c r="L310" s="1" t="str">
        <f>VLOOKUP(B310,SKU匹配表!A:D,4,0)</f>
        <v>燃气热水器</v>
      </c>
      <c r="M310" s="5" t="str">
        <f>VLOOKUP(B310,SKU匹配表!A:C,3,0)</f>
        <v>13QD06W</v>
      </c>
    </row>
    <row r="311" ht="19" customHeight="1" spans="1:13">
      <c r="A311" s="6">
        <v>45250</v>
      </c>
      <c r="B311" s="4">
        <v>100048028257</v>
      </c>
      <c r="C311" s="4" t="s">
        <v>344</v>
      </c>
      <c r="D311" s="4">
        <v>17</v>
      </c>
      <c r="E311" s="4">
        <v>50237.3</v>
      </c>
      <c r="F311" s="4">
        <v>46818.85</v>
      </c>
      <c r="G311" s="4">
        <v>3418.45</v>
      </c>
      <c r="H311" s="4">
        <v>1740</v>
      </c>
      <c r="I311" s="4">
        <v>0</v>
      </c>
      <c r="J311" s="4">
        <v>0</v>
      </c>
      <c r="K311" s="4">
        <v>49.12</v>
      </c>
      <c r="L311" s="1" t="str">
        <f>VLOOKUP(B311,SKU匹配表!A:D,4,0)</f>
        <v>燃气热水器</v>
      </c>
      <c r="M311" s="5" t="str">
        <f>VLOOKUP(B311,SKU匹配表!A:C,3,0)</f>
        <v>13GD32</v>
      </c>
    </row>
    <row r="312" ht="19" customHeight="1" spans="1:13">
      <c r="A312" s="6">
        <v>45250</v>
      </c>
      <c r="B312" s="4">
        <v>100007725035</v>
      </c>
      <c r="C312" s="4" t="s">
        <v>346</v>
      </c>
      <c r="D312" s="4">
        <v>10</v>
      </c>
      <c r="E312" s="4">
        <v>32971</v>
      </c>
      <c r="F312" s="4">
        <v>30490.1538</v>
      </c>
      <c r="G312" s="4">
        <v>2480.8462</v>
      </c>
      <c r="H312" s="4">
        <v>1300</v>
      </c>
      <c r="I312" s="4">
        <v>0</v>
      </c>
      <c r="J312" s="4">
        <v>0</v>
      </c>
      <c r="K312" s="4">
        <v>130.95</v>
      </c>
      <c r="L312" s="1" t="str">
        <f>VLOOKUP(B312,SKU匹配表!A:D,4,0)</f>
        <v>燃气热水器</v>
      </c>
      <c r="M312" s="5" t="str">
        <f>VLOOKUP(B312,SKU匹配表!A:C,3,0)</f>
        <v>16QD31</v>
      </c>
    </row>
    <row r="313" ht="19" customHeight="1" spans="1:13">
      <c r="A313" s="6">
        <v>45250</v>
      </c>
      <c r="B313" s="4">
        <v>100056736113</v>
      </c>
      <c r="C313" s="4" t="s">
        <v>347</v>
      </c>
      <c r="D313" s="4">
        <v>9</v>
      </c>
      <c r="E313" s="4">
        <v>45721</v>
      </c>
      <c r="F313" s="4">
        <v>38545.2</v>
      </c>
      <c r="G313" s="4">
        <v>7175.8</v>
      </c>
      <c r="H313" s="4">
        <v>2640</v>
      </c>
      <c r="I313" s="4">
        <v>0</v>
      </c>
      <c r="J313" s="4">
        <v>0</v>
      </c>
      <c r="K313" s="4">
        <v>55.44</v>
      </c>
      <c r="L313" s="1" t="str">
        <f>VLOOKUP(B313,SKU匹配表!A:D,4,0)</f>
        <v>燃气热水器</v>
      </c>
      <c r="M313" s="5" t="str">
        <f>VLOOKUP(B313,SKU匹配表!A:C,3,0)</f>
        <v>16GD61R</v>
      </c>
    </row>
    <row r="314" ht="19" customHeight="1" spans="1:13">
      <c r="A314" s="6">
        <v>45250</v>
      </c>
      <c r="B314" s="4">
        <v>100052638198</v>
      </c>
      <c r="C314" s="4" t="s">
        <v>374</v>
      </c>
      <c r="D314" s="4">
        <v>8</v>
      </c>
      <c r="E314" s="4">
        <v>27080.99</v>
      </c>
      <c r="F314" s="4">
        <v>23552.4</v>
      </c>
      <c r="G314" s="4">
        <v>3528.59</v>
      </c>
      <c r="H314" s="4">
        <v>10</v>
      </c>
      <c r="I314" s="4">
        <v>0</v>
      </c>
      <c r="J314" s="4">
        <v>0</v>
      </c>
      <c r="K314" s="4">
        <v>0</v>
      </c>
      <c r="L314" s="1" t="str">
        <f>VLOOKUP(B314,SKU匹配表!A:D,4,0)</f>
        <v>燃气热水器</v>
      </c>
      <c r="M314" s="5" t="str">
        <f>VLOOKUP(B314,SKU匹配表!A:C,3,0)</f>
        <v>16GD32</v>
      </c>
    </row>
    <row r="315" ht="19" customHeight="1" spans="1:13">
      <c r="A315" s="6">
        <v>45250</v>
      </c>
      <c r="B315" s="4">
        <v>100012689724</v>
      </c>
      <c r="C315" s="4" t="s">
        <v>350</v>
      </c>
      <c r="D315" s="4">
        <v>6</v>
      </c>
      <c r="E315" s="4">
        <v>6994</v>
      </c>
      <c r="F315" s="4">
        <v>7139.9578</v>
      </c>
      <c r="G315" s="4">
        <v>-145.9578</v>
      </c>
      <c r="H315" s="4">
        <v>155</v>
      </c>
      <c r="I315" s="4">
        <v>0</v>
      </c>
      <c r="J315" s="4">
        <v>0</v>
      </c>
      <c r="K315" s="4">
        <v>75.33</v>
      </c>
      <c r="L315" s="1" t="str">
        <f>VLOOKUP(B315,SKU匹配表!A:D,4,0)</f>
        <v>燃气热水器</v>
      </c>
      <c r="M315" s="5" t="str">
        <f>VLOOKUP(B315,SKU匹配表!A:C,3,0)</f>
        <v>SG</v>
      </c>
    </row>
    <row r="316" ht="19" customHeight="1" spans="1:13">
      <c r="A316" s="6">
        <v>45250</v>
      </c>
      <c r="B316" s="4">
        <v>100061470016</v>
      </c>
      <c r="C316" s="4" t="s">
        <v>351</v>
      </c>
      <c r="D316" s="4">
        <v>6</v>
      </c>
      <c r="E316" s="4">
        <v>24659</v>
      </c>
      <c r="F316" s="4">
        <v>24177.6</v>
      </c>
      <c r="G316" s="4">
        <v>481.4</v>
      </c>
      <c r="H316" s="4">
        <v>1420</v>
      </c>
      <c r="I316" s="4">
        <v>0</v>
      </c>
      <c r="J316" s="4">
        <v>0</v>
      </c>
      <c r="K316" s="4">
        <v>0</v>
      </c>
      <c r="L316" s="1" t="str">
        <f>VLOOKUP(B316,SKU匹配表!A:D,4,0)</f>
        <v>燃气热水器</v>
      </c>
      <c r="M316" s="5" t="str">
        <f>VLOOKUP(B316,SKU匹配表!A:C,3,0)</f>
        <v>16QC06</v>
      </c>
    </row>
    <row r="317" ht="19" customHeight="1" spans="1:13">
      <c r="A317" s="6">
        <v>45250</v>
      </c>
      <c r="B317" s="4">
        <v>100044938343</v>
      </c>
      <c r="C317" s="4" t="s">
        <v>367</v>
      </c>
      <c r="D317" s="4">
        <v>5</v>
      </c>
      <c r="E317" s="4">
        <v>41492.11</v>
      </c>
      <c r="F317" s="4">
        <v>40745</v>
      </c>
      <c r="G317" s="4">
        <v>747.11</v>
      </c>
      <c r="H317" s="4">
        <v>2356</v>
      </c>
      <c r="I317" s="4">
        <v>0</v>
      </c>
      <c r="J317" s="4">
        <v>259.56</v>
      </c>
      <c r="K317" s="4">
        <v>0</v>
      </c>
      <c r="L317" s="1" t="str">
        <f>VLOOKUP(B317,SKU匹配表!A:D,4,0)</f>
        <v>壁挂炉</v>
      </c>
      <c r="M317" s="5" t="str">
        <f>VLOOKUP(B317,SKU匹配表!A:C,3,0)</f>
        <v>24C39</v>
      </c>
    </row>
    <row r="318" ht="19" customHeight="1" spans="1:13">
      <c r="A318" s="6">
        <v>45250</v>
      </c>
      <c r="B318" s="4">
        <v>100068280115</v>
      </c>
      <c r="C318" s="4" t="s">
        <v>396</v>
      </c>
      <c r="D318" s="4">
        <v>4</v>
      </c>
      <c r="E318" s="4">
        <v>7075</v>
      </c>
      <c r="F318" s="4">
        <v>7216.2</v>
      </c>
      <c r="G318" s="4">
        <v>-141.2</v>
      </c>
      <c r="H318" s="4">
        <v>140</v>
      </c>
      <c r="I318" s="4">
        <v>0</v>
      </c>
      <c r="J318" s="4">
        <v>0</v>
      </c>
      <c r="K318" s="4">
        <v>0</v>
      </c>
      <c r="L318" s="1" t="str">
        <f>VLOOKUP(B318,SKU匹配表!A:D,4,0)</f>
        <v>烟灶</v>
      </c>
      <c r="M318" s="5" t="str">
        <f>VLOOKUP(B318,SKU匹配表!A:C,3,0)</f>
        <v>2E07MTX</v>
      </c>
    </row>
    <row r="319" ht="19" customHeight="1" spans="1:13">
      <c r="A319" s="6">
        <v>45250</v>
      </c>
      <c r="B319" s="4">
        <v>100033816230</v>
      </c>
      <c r="C319" s="4" t="s">
        <v>366</v>
      </c>
      <c r="D319" s="4">
        <v>4</v>
      </c>
      <c r="E319" s="4">
        <v>32287</v>
      </c>
      <c r="F319" s="4">
        <v>30016.2</v>
      </c>
      <c r="G319" s="4">
        <v>2270.8</v>
      </c>
      <c r="H319" s="4">
        <v>1396</v>
      </c>
      <c r="I319" s="4">
        <v>0</v>
      </c>
      <c r="J319" s="4">
        <v>0</v>
      </c>
      <c r="K319" s="4">
        <v>0</v>
      </c>
      <c r="L319" s="1" t="str">
        <f>VLOOKUP(B319,SKU匹配表!A:D,4,0)</f>
        <v>壁挂炉</v>
      </c>
      <c r="M319" s="5" t="str">
        <f>VLOOKUP(B319,SKU匹配表!A:C,3,0)</f>
        <v>24C30</v>
      </c>
    </row>
    <row r="320" ht="19" customHeight="1" spans="1:13">
      <c r="A320" s="6">
        <v>45250</v>
      </c>
      <c r="B320" s="4">
        <v>100058904275</v>
      </c>
      <c r="C320" s="4" t="s">
        <v>339</v>
      </c>
      <c r="D320" s="4">
        <v>4</v>
      </c>
      <c r="E320" s="4">
        <v>12357.7</v>
      </c>
      <c r="F320" s="4">
        <v>11016.2</v>
      </c>
      <c r="G320" s="4">
        <v>1341.5</v>
      </c>
      <c r="H320" s="4">
        <v>135</v>
      </c>
      <c r="I320" s="4">
        <v>0</v>
      </c>
      <c r="J320" s="4">
        <v>0</v>
      </c>
      <c r="K320" s="4">
        <v>0</v>
      </c>
      <c r="L320" s="1" t="str">
        <f>VLOOKUP(B320,SKU匹配表!A:D,4,0)</f>
        <v>燃气热水器</v>
      </c>
      <c r="M320" s="5" t="str">
        <f>VLOOKUP(B320,SKU匹配表!A:C,3,0)</f>
        <v>16GD31</v>
      </c>
    </row>
    <row r="321" ht="19" customHeight="1" spans="1:13">
      <c r="A321" s="6">
        <v>45250</v>
      </c>
      <c r="B321" s="4">
        <v>100018607305</v>
      </c>
      <c r="C321" s="4" t="s">
        <v>355</v>
      </c>
      <c r="D321" s="4">
        <v>4</v>
      </c>
      <c r="E321" s="4">
        <v>3.01</v>
      </c>
      <c r="F321" s="4">
        <v>4</v>
      </c>
      <c r="G321" s="4">
        <v>-0.99</v>
      </c>
      <c r="H321" s="4">
        <v>0</v>
      </c>
      <c r="I321" s="4">
        <v>0</v>
      </c>
      <c r="J321" s="4">
        <v>0</v>
      </c>
      <c r="K321" s="4">
        <v>0</v>
      </c>
      <c r="L321" s="1" t="str">
        <f>VLOOKUP(B321,SKU匹配表!A:D,4,0)</f>
        <v>其他</v>
      </c>
      <c r="M321" s="5" t="str">
        <f>VLOOKUP(B321,SKU匹配表!A:C,3,0)</f>
        <v>其他</v>
      </c>
    </row>
    <row r="322" ht="19" customHeight="1" spans="1:13">
      <c r="A322" s="6">
        <v>45250</v>
      </c>
      <c r="B322" s="4">
        <v>100066733312</v>
      </c>
      <c r="C322" s="4" t="s">
        <v>362</v>
      </c>
      <c r="D322" s="4">
        <v>3</v>
      </c>
      <c r="E322" s="4">
        <v>4330.02</v>
      </c>
      <c r="F322" s="4">
        <v>5127.15</v>
      </c>
      <c r="G322" s="4">
        <v>-797.13</v>
      </c>
      <c r="H322" s="4">
        <v>165</v>
      </c>
      <c r="I322" s="4">
        <v>0</v>
      </c>
      <c r="J322" s="4">
        <v>0</v>
      </c>
      <c r="K322" s="4">
        <v>0</v>
      </c>
      <c r="L322" s="1" t="str">
        <f>VLOOKUP(B322,SKU匹配表!A:D,4,0)</f>
        <v>烟灶</v>
      </c>
      <c r="M322" s="5" t="str">
        <f>VLOOKUP(B322,SKU匹配表!A:C,3,0)</f>
        <v>2E08MTX</v>
      </c>
    </row>
    <row r="323" ht="19" customHeight="1" spans="1:13">
      <c r="A323" s="6">
        <v>45250</v>
      </c>
      <c r="B323" s="4">
        <v>100007648993</v>
      </c>
      <c r="C323" s="4" t="s">
        <v>348</v>
      </c>
      <c r="D323" s="4">
        <v>3</v>
      </c>
      <c r="E323" s="4">
        <v>9507</v>
      </c>
      <c r="F323" s="4">
        <v>10227</v>
      </c>
      <c r="G323" s="4">
        <v>-720</v>
      </c>
      <c r="H323" s="4">
        <v>595</v>
      </c>
      <c r="I323" s="4">
        <v>0</v>
      </c>
      <c r="J323" s="4">
        <v>0</v>
      </c>
      <c r="K323" s="4">
        <v>0</v>
      </c>
      <c r="L323" s="1" t="str">
        <f>VLOOKUP(B323,SKU匹配表!A:D,4,0)</f>
        <v>燃气热水器</v>
      </c>
      <c r="M323" s="5" t="str">
        <f>VLOOKUP(B323,SKU匹配表!A:C,3,0)</f>
        <v>13QD06W</v>
      </c>
    </row>
    <row r="324" ht="19" customHeight="1" spans="1:13">
      <c r="A324" s="6">
        <v>45250</v>
      </c>
      <c r="B324" s="4">
        <v>100007648991</v>
      </c>
      <c r="C324" s="4" t="s">
        <v>369</v>
      </c>
      <c r="D324" s="4">
        <v>2</v>
      </c>
      <c r="E324" s="4">
        <v>4173</v>
      </c>
      <c r="F324" s="4">
        <v>4536</v>
      </c>
      <c r="G324" s="4">
        <v>-363</v>
      </c>
      <c r="H324" s="4">
        <v>0</v>
      </c>
      <c r="I324" s="4">
        <v>0</v>
      </c>
      <c r="J324" s="4">
        <v>0</v>
      </c>
      <c r="K324" s="4">
        <v>0</v>
      </c>
      <c r="L324" s="1" t="str">
        <f>VLOOKUP(B324,SKU匹配表!A:D,4,0)</f>
        <v>燃气热水器</v>
      </c>
      <c r="M324" s="5" t="str">
        <f>VLOOKUP(B324,SKU匹配表!A:C,3,0)</f>
        <v>10QD01</v>
      </c>
    </row>
    <row r="325" ht="19" customHeight="1" spans="1:13">
      <c r="A325" s="6">
        <v>45250</v>
      </c>
      <c r="B325" s="4">
        <v>100007649009</v>
      </c>
      <c r="C325" s="4" t="s">
        <v>343</v>
      </c>
      <c r="D325" s="4">
        <v>2</v>
      </c>
      <c r="E325" s="4">
        <v>8015</v>
      </c>
      <c r="F325" s="4">
        <v>8540</v>
      </c>
      <c r="G325" s="4">
        <v>-525</v>
      </c>
      <c r="H325" s="4">
        <v>567</v>
      </c>
      <c r="I325" s="4">
        <v>0</v>
      </c>
      <c r="J325" s="4">
        <v>0</v>
      </c>
      <c r="K325" s="4">
        <v>0</v>
      </c>
      <c r="L325" s="1" t="str">
        <f>VLOOKUP(B325,SKU匹配表!A:D,4,0)</f>
        <v>燃气热水器</v>
      </c>
      <c r="M325" s="5" t="str">
        <f>VLOOKUP(B325,SKU匹配表!A:C,3,0)</f>
        <v>16QD06W</v>
      </c>
    </row>
    <row r="326" ht="19" customHeight="1" spans="1:13">
      <c r="A326" s="6">
        <v>45250</v>
      </c>
      <c r="B326" s="4">
        <v>100019838995</v>
      </c>
      <c r="C326" s="4" t="s">
        <v>444</v>
      </c>
      <c r="D326" s="4">
        <v>2</v>
      </c>
      <c r="E326" s="4">
        <v>6862.73</v>
      </c>
      <c r="F326" s="4">
        <v>7598</v>
      </c>
      <c r="G326" s="4">
        <v>-735.27</v>
      </c>
      <c r="H326" s="4">
        <v>1015</v>
      </c>
      <c r="I326" s="4">
        <v>0</v>
      </c>
      <c r="J326" s="4">
        <v>119.97</v>
      </c>
      <c r="K326" s="4">
        <v>0</v>
      </c>
      <c r="L326" s="1" t="str">
        <f>VLOOKUP(B326,SKU匹配表!A:D,4,0)</f>
        <v>烟灶</v>
      </c>
      <c r="M326" s="5" t="str">
        <f>VLOOKUP(B326,SKU匹配表!A:C,3,0)</f>
        <v>2E05LS</v>
      </c>
    </row>
    <row r="327" ht="19" customHeight="1" spans="1:13">
      <c r="A327" s="6">
        <v>45250</v>
      </c>
      <c r="B327" s="4">
        <v>100007725017</v>
      </c>
      <c r="C327" s="4" t="s">
        <v>353</v>
      </c>
      <c r="D327" s="4">
        <v>2</v>
      </c>
      <c r="E327" s="4">
        <v>5418</v>
      </c>
      <c r="F327" s="4">
        <v>5248.0027</v>
      </c>
      <c r="G327" s="4">
        <v>169.9973</v>
      </c>
      <c r="H327" s="4">
        <v>320</v>
      </c>
      <c r="I327" s="4">
        <v>0</v>
      </c>
      <c r="J327" s="4">
        <v>0</v>
      </c>
      <c r="K327" s="4">
        <v>165.92</v>
      </c>
      <c r="L327" s="1" t="str">
        <f>VLOOKUP(B327,SKU匹配表!A:D,4,0)</f>
        <v>燃气热水器</v>
      </c>
      <c r="M327" s="5" t="str">
        <f>VLOOKUP(B327,SKU匹配表!A:C,3,0)</f>
        <v>13QD31</v>
      </c>
    </row>
    <row r="328" ht="19" customHeight="1" spans="1:13">
      <c r="A328" s="6">
        <v>45250</v>
      </c>
      <c r="B328" s="4">
        <v>100061470014</v>
      </c>
      <c r="C328" s="4" t="s">
        <v>354</v>
      </c>
      <c r="D328" s="4">
        <v>2</v>
      </c>
      <c r="E328" s="4">
        <v>6764</v>
      </c>
      <c r="F328" s="4">
        <v>6403.2</v>
      </c>
      <c r="G328" s="4">
        <v>360.8</v>
      </c>
      <c r="H328" s="4">
        <v>696</v>
      </c>
      <c r="I328" s="4">
        <v>0</v>
      </c>
      <c r="J328" s="4">
        <v>0</v>
      </c>
      <c r="K328" s="4">
        <v>0</v>
      </c>
      <c r="L328" s="1" t="str">
        <f>VLOOKUP(B328,SKU匹配表!A:D,4,0)</f>
        <v>燃气热水器</v>
      </c>
      <c r="M328" s="5" t="str">
        <f>VLOOKUP(B328,SKU匹配表!A:C,3,0)</f>
        <v>13QC06</v>
      </c>
    </row>
    <row r="329" ht="19" customHeight="1" spans="1:13">
      <c r="A329" s="6">
        <v>45250</v>
      </c>
      <c r="B329" s="4">
        <v>100059353151</v>
      </c>
      <c r="C329" s="4" t="s">
        <v>347</v>
      </c>
      <c r="D329" s="4">
        <v>1</v>
      </c>
      <c r="E329" s="4">
        <v>5380</v>
      </c>
      <c r="F329" s="4">
        <v>4282.8</v>
      </c>
      <c r="G329" s="4">
        <v>1097.2</v>
      </c>
      <c r="H329" s="4">
        <v>0</v>
      </c>
      <c r="I329" s="4">
        <v>0</v>
      </c>
      <c r="J329" s="4">
        <v>0</v>
      </c>
      <c r="K329" s="4">
        <v>0</v>
      </c>
      <c r="L329" s="1" t="str">
        <f>VLOOKUP(B329,SKU匹配表!A:D,4,0)</f>
        <v>燃气热水器</v>
      </c>
      <c r="M329" s="5" t="str">
        <f>VLOOKUP(B329,SKU匹配表!A:C,3,0)</f>
        <v>16GD61R</v>
      </c>
    </row>
    <row r="330" ht="19" customHeight="1" spans="1:13">
      <c r="A330" s="6">
        <v>45250</v>
      </c>
      <c r="B330" s="4">
        <v>100020691862</v>
      </c>
      <c r="C330" s="4" t="s">
        <v>359</v>
      </c>
      <c r="D330" s="4">
        <v>1</v>
      </c>
      <c r="E330" s="4">
        <v>2799</v>
      </c>
      <c r="F330" s="4">
        <v>2564</v>
      </c>
      <c r="G330" s="4">
        <v>235</v>
      </c>
      <c r="H330" s="4">
        <v>100</v>
      </c>
      <c r="I330" s="4">
        <v>0</v>
      </c>
      <c r="J330" s="4">
        <v>0</v>
      </c>
      <c r="K330" s="4">
        <v>0</v>
      </c>
      <c r="L330" s="1" t="str">
        <f>VLOOKUP(B330,SKU匹配表!A:D,4,0)</f>
        <v>烟灶</v>
      </c>
      <c r="M330" s="5" t="str">
        <f>VLOOKUP(B330,SKU匹配表!A:C,3,0)</f>
        <v>2E03LS</v>
      </c>
    </row>
    <row r="331" ht="19" customHeight="1" spans="1:13">
      <c r="A331" s="6">
        <v>45250</v>
      </c>
      <c r="B331" s="4">
        <v>100044938307</v>
      </c>
      <c r="C331" s="4" t="s">
        <v>372</v>
      </c>
      <c r="D331" s="4">
        <v>1</v>
      </c>
      <c r="E331" s="4">
        <v>9206</v>
      </c>
      <c r="F331" s="4">
        <v>9249</v>
      </c>
      <c r="G331" s="4">
        <v>-43</v>
      </c>
      <c r="H331" s="4">
        <v>495</v>
      </c>
      <c r="I331" s="4">
        <v>0</v>
      </c>
      <c r="J331" s="4">
        <v>0</v>
      </c>
      <c r="K331" s="4">
        <v>0</v>
      </c>
      <c r="L331" s="1" t="str">
        <f>VLOOKUP(B331,SKU匹配表!A:D,4,0)</f>
        <v>壁挂炉</v>
      </c>
      <c r="M331" s="5" t="str">
        <f>VLOOKUP(B331,SKU匹配表!A:C,3,0)</f>
        <v>28C39</v>
      </c>
    </row>
    <row r="332" ht="19" customHeight="1" spans="1:13">
      <c r="A332" s="6">
        <v>45250</v>
      </c>
      <c r="B332" s="4">
        <v>100013886406</v>
      </c>
      <c r="C332" s="4" t="s">
        <v>441</v>
      </c>
      <c r="D332" s="4">
        <v>1</v>
      </c>
      <c r="E332" s="4">
        <v>2874</v>
      </c>
      <c r="F332" s="4">
        <v>2879</v>
      </c>
      <c r="G332" s="4">
        <v>-5</v>
      </c>
      <c r="H332" s="4">
        <v>15</v>
      </c>
      <c r="I332" s="4">
        <v>0</v>
      </c>
      <c r="J332" s="4">
        <v>0</v>
      </c>
      <c r="K332" s="4">
        <v>0</v>
      </c>
      <c r="L332" s="1" t="str">
        <f>VLOOKUP(B332,SKU匹配表!A:D,4,0)</f>
        <v>燃气热水器</v>
      </c>
      <c r="M332" s="5" t="str">
        <f>VLOOKUP(B332,SKU匹配表!A:C,3,0)</f>
        <v>16QD01</v>
      </c>
    </row>
    <row r="333" ht="19" customHeight="1" spans="1:13">
      <c r="A333" s="6">
        <v>45250</v>
      </c>
      <c r="B333" s="4">
        <v>100036802383</v>
      </c>
      <c r="C333" s="4" t="s">
        <v>418</v>
      </c>
      <c r="D333" s="4">
        <v>1</v>
      </c>
      <c r="E333" s="4">
        <v>8346.93</v>
      </c>
      <c r="F333" s="4">
        <v>7011</v>
      </c>
      <c r="G333" s="4">
        <v>1335.93</v>
      </c>
      <c r="H333" s="4">
        <v>1660</v>
      </c>
      <c r="I333" s="4">
        <v>0</v>
      </c>
      <c r="J333" s="4">
        <v>0</v>
      </c>
      <c r="K333" s="4">
        <v>0</v>
      </c>
      <c r="L333" s="1" t="str">
        <f>VLOOKUP(B333,SKU匹配表!A:D,4,0)</f>
        <v>燃气热水器</v>
      </c>
      <c r="M333" s="5" t="str">
        <f>VLOOKUP(B333,SKU匹配表!A:C,3,0)</f>
        <v>R24E32FRF</v>
      </c>
    </row>
    <row r="334" ht="19" customHeight="1" spans="1:13">
      <c r="A334" s="6">
        <v>45250</v>
      </c>
      <c r="B334" s="4">
        <v>100069368166</v>
      </c>
      <c r="C334" s="4" t="s">
        <v>399</v>
      </c>
      <c r="D334" s="4">
        <v>1</v>
      </c>
      <c r="E334" s="4">
        <v>2148</v>
      </c>
      <c r="F334" s="4">
        <v>4084</v>
      </c>
      <c r="G334" s="4">
        <v>-1936</v>
      </c>
      <c r="H334" s="4">
        <v>0</v>
      </c>
      <c r="I334" s="4">
        <v>0</v>
      </c>
      <c r="J334" s="4">
        <v>0</v>
      </c>
      <c r="K334" s="4">
        <v>0</v>
      </c>
      <c r="L334" s="1" t="str">
        <f>VLOOKUP(B334,SKU匹配表!A:D,4,0)</f>
        <v>烟灶</v>
      </c>
      <c r="M334" s="5" t="str">
        <f>VLOOKUP(B334,SKU匹配表!A:C,3,0)</f>
        <v>NMW21J+2E08MT</v>
      </c>
    </row>
    <row r="335" ht="19" customHeight="1" spans="1:13">
      <c r="A335" s="6">
        <v>45250</v>
      </c>
      <c r="B335" s="4">
        <v>100023173845</v>
      </c>
      <c r="C335" s="4" t="s">
        <v>445</v>
      </c>
      <c r="D335" s="4">
        <v>1</v>
      </c>
      <c r="E335" s="4">
        <v>2431.03</v>
      </c>
      <c r="F335" s="4">
        <v>2694</v>
      </c>
      <c r="G335" s="4">
        <v>-262.97</v>
      </c>
      <c r="H335" s="4">
        <v>284</v>
      </c>
      <c r="I335" s="4">
        <v>0</v>
      </c>
      <c r="J335" s="4">
        <v>83.97</v>
      </c>
      <c r="K335" s="4">
        <v>0</v>
      </c>
      <c r="L335" s="1" t="str">
        <f>VLOOKUP(B335,SKU匹配表!A:D,4,0)</f>
        <v>烟灶</v>
      </c>
      <c r="M335" s="5" t="str">
        <f>VLOOKUP(B335,SKU匹配表!A:C,3,0)</f>
        <v>NM09J</v>
      </c>
    </row>
    <row r="336" ht="19" customHeight="1" spans="1:13">
      <c r="A336" s="6">
        <v>45250</v>
      </c>
      <c r="B336" s="4">
        <v>100052638196</v>
      </c>
      <c r="C336" s="4" t="s">
        <v>344</v>
      </c>
      <c r="D336" s="4">
        <v>1</v>
      </c>
      <c r="E336" s="4">
        <v>2899</v>
      </c>
      <c r="F336" s="4">
        <v>2754.05</v>
      </c>
      <c r="G336" s="4">
        <v>144.95</v>
      </c>
      <c r="H336" s="4">
        <v>0</v>
      </c>
      <c r="I336" s="4">
        <v>0</v>
      </c>
      <c r="J336" s="4">
        <v>0</v>
      </c>
      <c r="K336" s="4">
        <v>0</v>
      </c>
      <c r="L336" s="1" t="str">
        <f>VLOOKUP(B336,SKU匹配表!A:D,4,0)</f>
        <v>燃气热水器</v>
      </c>
      <c r="M336" s="5" t="str">
        <f>VLOOKUP(B336,SKU匹配表!A:C,3,0)</f>
        <v>13GD32</v>
      </c>
    </row>
    <row r="337" ht="19" customHeight="1" spans="1:13">
      <c r="A337" s="6">
        <v>45250</v>
      </c>
      <c r="B337" s="4">
        <v>100057296400</v>
      </c>
      <c r="C337" s="4" t="s">
        <v>393</v>
      </c>
      <c r="D337" s="4">
        <v>1</v>
      </c>
      <c r="E337" s="4">
        <v>3004</v>
      </c>
      <c r="F337" s="4">
        <v>2754.05</v>
      </c>
      <c r="G337" s="4">
        <v>249.95</v>
      </c>
      <c r="H337" s="4">
        <v>0</v>
      </c>
      <c r="I337" s="4">
        <v>0</v>
      </c>
      <c r="J337" s="4">
        <v>0</v>
      </c>
      <c r="K337" s="4">
        <v>0</v>
      </c>
      <c r="L337" s="1" t="e">
        <f>VLOOKUP(B337,SKU匹配表!A:D,4,0)</f>
        <v>#N/A</v>
      </c>
      <c r="M337" s="5" t="e">
        <f>VLOOKUP(B337,SKU匹配表!A:C,3,0)</f>
        <v>#N/A</v>
      </c>
    </row>
    <row r="338" ht="19" customHeight="1" spans="1:13">
      <c r="A338" s="6">
        <v>45250</v>
      </c>
      <c r="B338" s="4">
        <v>100048899107</v>
      </c>
      <c r="C338" s="4" t="s">
        <v>349</v>
      </c>
      <c r="D338" s="4">
        <v>1</v>
      </c>
      <c r="E338" s="4">
        <v>1156</v>
      </c>
      <c r="F338" s="4">
        <v>1519</v>
      </c>
      <c r="G338" s="4">
        <v>-363</v>
      </c>
      <c r="H338" s="4">
        <v>0</v>
      </c>
      <c r="I338" s="4">
        <v>0</v>
      </c>
      <c r="J338" s="4">
        <v>0</v>
      </c>
      <c r="K338" s="4">
        <v>0</v>
      </c>
      <c r="L338" s="1" t="str">
        <f>VLOOKUP(B338,SKU匹配表!A:D,4,0)</f>
        <v>烟灶</v>
      </c>
      <c r="M338" s="5" t="str">
        <f>VLOOKUP(B338,SKU匹配表!A:C,3,0)</f>
        <v>2E08MT</v>
      </c>
    </row>
    <row r="339" ht="19" customHeight="1" spans="1:13">
      <c r="A339" s="6">
        <v>45250</v>
      </c>
      <c r="B339" s="4">
        <v>100007726501</v>
      </c>
      <c r="C339" s="4" t="s">
        <v>371</v>
      </c>
      <c r="D339" s="4">
        <v>1</v>
      </c>
      <c r="E339" s="4">
        <v>2594</v>
      </c>
      <c r="F339" s="4">
        <v>2284.0075</v>
      </c>
      <c r="G339" s="4">
        <v>309.9925</v>
      </c>
      <c r="H339" s="4">
        <v>0</v>
      </c>
      <c r="I339" s="4">
        <v>0</v>
      </c>
      <c r="J339" s="4">
        <v>0</v>
      </c>
      <c r="K339" s="4">
        <v>119</v>
      </c>
      <c r="L339" s="1" t="str">
        <f>VLOOKUP(B339,SKU匹配表!A:D,4,0)</f>
        <v>燃气热水器</v>
      </c>
      <c r="M339" s="5" t="str">
        <f>VLOOKUP(B339,SKU匹配表!A:C,3,0)</f>
        <v>10QD31</v>
      </c>
    </row>
    <row r="340" ht="19" customHeight="1" spans="1:13">
      <c r="A340" s="6">
        <v>45250</v>
      </c>
      <c r="B340" s="4">
        <v>100003152535</v>
      </c>
      <c r="C340" s="4" t="s">
        <v>357</v>
      </c>
      <c r="D340" s="4">
        <v>1</v>
      </c>
      <c r="E340" s="4">
        <v>8379</v>
      </c>
      <c r="F340" s="4">
        <v>7809.08</v>
      </c>
      <c r="G340" s="4">
        <v>569.92</v>
      </c>
      <c r="H340" s="4">
        <v>420</v>
      </c>
      <c r="I340" s="4">
        <v>0</v>
      </c>
      <c r="J340" s="4">
        <v>0</v>
      </c>
      <c r="K340" s="4">
        <v>0</v>
      </c>
      <c r="L340" s="1" t="str">
        <f>VLOOKUP(B340,SKU匹配表!A:D,4,0)</f>
        <v>壁挂炉</v>
      </c>
      <c r="M340" s="5" t="str">
        <f>VLOOKUP(B340,SKU匹配表!A:C,3,0)</f>
        <v>24C33</v>
      </c>
    </row>
    <row r="341" ht="19" customHeight="1" spans="1:13">
      <c r="A341" s="6">
        <v>45250</v>
      </c>
      <c r="B341" s="4">
        <v>100003152533</v>
      </c>
      <c r="C341" s="4" t="s">
        <v>446</v>
      </c>
      <c r="D341" s="4">
        <v>1</v>
      </c>
      <c r="E341" s="4">
        <v>9899</v>
      </c>
      <c r="F341" s="4">
        <v>9199.08</v>
      </c>
      <c r="G341" s="4">
        <v>699.92</v>
      </c>
      <c r="H341" s="4">
        <v>600</v>
      </c>
      <c r="I341" s="4">
        <v>0</v>
      </c>
      <c r="J341" s="4">
        <v>0</v>
      </c>
      <c r="K341" s="4">
        <v>0</v>
      </c>
      <c r="L341" s="1" t="str">
        <f>VLOOKUP(B341,SKU匹配表!A:D,4,0)</f>
        <v>壁挂炉</v>
      </c>
      <c r="M341" s="5" t="str">
        <f>VLOOKUP(B341,SKU匹配表!A:C,3,0)</f>
        <v>28C33</v>
      </c>
    </row>
    <row r="342" ht="19" customHeight="1" spans="1:13">
      <c r="A342" s="6">
        <v>45250</v>
      </c>
      <c r="B342" s="4">
        <v>100012446046</v>
      </c>
      <c r="C342" s="4" t="s">
        <v>342</v>
      </c>
      <c r="D342" s="4">
        <v>1</v>
      </c>
      <c r="E342" s="4">
        <v>2999</v>
      </c>
      <c r="F342" s="4">
        <v>3124</v>
      </c>
      <c r="G342" s="4">
        <v>-125</v>
      </c>
      <c r="H342" s="4">
        <v>0</v>
      </c>
      <c r="I342" s="4">
        <v>0</v>
      </c>
      <c r="J342" s="4">
        <v>0</v>
      </c>
      <c r="K342" s="4">
        <v>0</v>
      </c>
      <c r="L342" s="1" t="str">
        <f>VLOOKUP(B342,SKU匹配表!A:D,4,0)</f>
        <v>燃气热水器</v>
      </c>
      <c r="M342" s="5" t="str">
        <f>VLOOKUP(B342,SKU匹配表!A:C,3,0)</f>
        <v>16QC05</v>
      </c>
    </row>
    <row r="343" ht="19" customHeight="1" spans="1:13">
      <c r="A343" s="6">
        <v>45250</v>
      </c>
      <c r="B343" s="4">
        <v>100013151072</v>
      </c>
      <c r="C343" s="4" t="s">
        <v>447</v>
      </c>
      <c r="D343" s="4">
        <v>1</v>
      </c>
      <c r="E343" s="4">
        <v>2897</v>
      </c>
      <c r="F343" s="4">
        <v>3118.0004</v>
      </c>
      <c r="G343" s="4">
        <v>-221.0004</v>
      </c>
      <c r="H343" s="4">
        <v>212</v>
      </c>
      <c r="I343" s="4">
        <v>0</v>
      </c>
      <c r="J343" s="4">
        <v>0</v>
      </c>
      <c r="K343" s="4">
        <v>0</v>
      </c>
      <c r="L343" s="1" t="str">
        <f>VLOOKUP(B343,SKU匹配表!A:D,4,0)</f>
        <v>燃气热水器</v>
      </c>
      <c r="M343" s="5" t="str">
        <f>VLOOKUP(B343,SKU匹配表!A:C,3,0)</f>
        <v>13QD06W+SG</v>
      </c>
    </row>
    <row r="344" ht="19" customHeight="1" spans="1:13">
      <c r="A344" s="6">
        <v>45250</v>
      </c>
      <c r="B344" s="4">
        <v>100023723363</v>
      </c>
      <c r="C344" s="4" t="s">
        <v>360</v>
      </c>
      <c r="D344" s="4">
        <v>1</v>
      </c>
      <c r="E344" s="4">
        <v>1799</v>
      </c>
      <c r="F344" s="4">
        <v>2184.05</v>
      </c>
      <c r="G344" s="4">
        <v>-385.05</v>
      </c>
      <c r="H344" s="4">
        <v>0</v>
      </c>
      <c r="I344" s="4">
        <v>0</v>
      </c>
      <c r="J344" s="4">
        <v>0</v>
      </c>
      <c r="K344" s="4">
        <v>0</v>
      </c>
      <c r="L344" s="1" t="str">
        <f>VLOOKUP(B344,SKU匹配表!A:D,4,0)</f>
        <v>电热</v>
      </c>
      <c r="M344" s="5" t="str">
        <f>VLOOKUP(B344,SKU匹配表!A:C,3,0)</f>
        <v>DSG60-DE06PN</v>
      </c>
    </row>
    <row r="345" ht="19" customHeight="1" spans="1:13">
      <c r="A345" s="6">
        <v>45250</v>
      </c>
      <c r="B345" s="4">
        <v>100043251880</v>
      </c>
      <c r="C345" s="4" t="s">
        <v>448</v>
      </c>
      <c r="D345" s="4">
        <v>1</v>
      </c>
      <c r="E345" s="4">
        <v>7279</v>
      </c>
      <c r="F345" s="4">
        <v>8074.05</v>
      </c>
      <c r="G345" s="4">
        <v>-795.05</v>
      </c>
      <c r="H345" s="4">
        <v>520</v>
      </c>
      <c r="I345" s="4">
        <v>0</v>
      </c>
      <c r="J345" s="4">
        <v>0</v>
      </c>
      <c r="K345" s="4">
        <v>0</v>
      </c>
      <c r="L345" s="1" t="str">
        <f>VLOOKUP(B345,SKU匹配表!A:D,4,0)</f>
        <v>烟灶</v>
      </c>
      <c r="M345" s="5" t="str">
        <f>VLOOKUP(B345,SKU匹配表!A:C,3,0)</f>
        <v>M2GB+NM11T+JZT-2E08MT</v>
      </c>
    </row>
    <row r="346" ht="19" customHeight="1" spans="1:13">
      <c r="A346" s="6">
        <v>45250</v>
      </c>
      <c r="B346" s="4">
        <v>100014671660</v>
      </c>
      <c r="C346" s="4" t="s">
        <v>382</v>
      </c>
      <c r="D346" s="4">
        <v>1</v>
      </c>
      <c r="E346" s="4">
        <v>1999</v>
      </c>
      <c r="F346" s="4">
        <v>1519</v>
      </c>
      <c r="G346" s="4">
        <v>480</v>
      </c>
      <c r="H346" s="4">
        <v>0</v>
      </c>
      <c r="I346" s="4">
        <v>0</v>
      </c>
      <c r="J346" s="4">
        <v>0</v>
      </c>
      <c r="K346" s="4">
        <v>0</v>
      </c>
      <c r="L346" s="1" t="str">
        <f>VLOOKUP(B346,SKU匹配表!A:D,4,0)</f>
        <v>电热</v>
      </c>
      <c r="M346" s="5" t="str">
        <f>VLOOKUP(B346,SKU匹配表!A:C,3,0)</f>
        <v>DSG50-E02P</v>
      </c>
    </row>
    <row r="347" ht="19" customHeight="1" spans="1:13">
      <c r="A347" s="6">
        <v>45250</v>
      </c>
      <c r="B347" s="4">
        <v>100038009912</v>
      </c>
      <c r="C347" s="4" t="s">
        <v>349</v>
      </c>
      <c r="D347" s="4">
        <v>0</v>
      </c>
      <c r="E347" s="4">
        <v>100</v>
      </c>
      <c r="F347" s="4">
        <v>0.6206</v>
      </c>
      <c r="G347" s="4">
        <v>99.3794</v>
      </c>
      <c r="H347" s="4">
        <v>-100</v>
      </c>
      <c r="I347" s="4">
        <v>0</v>
      </c>
      <c r="J347" s="4">
        <v>0</v>
      </c>
      <c r="K347" s="4">
        <v>9999.99</v>
      </c>
      <c r="L347" s="1" t="str">
        <f>VLOOKUP(B347,SKU匹配表!A:D,4,0)</f>
        <v>烟灶</v>
      </c>
      <c r="M347" s="5" t="str">
        <f>VLOOKUP(B347,SKU匹配表!A:C,3,0)</f>
        <v>2E08MT</v>
      </c>
    </row>
    <row r="348" ht="19" customHeight="1" spans="1:13">
      <c r="A348" s="6">
        <v>45250</v>
      </c>
      <c r="B348" s="4">
        <v>100024530025</v>
      </c>
      <c r="C348" s="4" t="s">
        <v>365</v>
      </c>
      <c r="D348" s="4">
        <v>0</v>
      </c>
      <c r="E348" s="4">
        <v>320</v>
      </c>
      <c r="F348" s="4">
        <v>0</v>
      </c>
      <c r="G348" s="4">
        <v>320</v>
      </c>
      <c r="H348" s="4">
        <v>0</v>
      </c>
      <c r="I348" s="4">
        <v>0</v>
      </c>
      <c r="J348" s="4">
        <v>0</v>
      </c>
      <c r="K348" s="4">
        <v>0</v>
      </c>
      <c r="L348" s="1" t="str">
        <f>VLOOKUP(B348,SKU匹配表!A:D,4,0)</f>
        <v>烟灶</v>
      </c>
      <c r="M348" s="5" t="str">
        <f>VLOOKUP(B348,SKU匹配表!A:C,3,0)</f>
        <v>NM10T</v>
      </c>
    </row>
    <row r="349" ht="19" customHeight="1" spans="1:13">
      <c r="A349" s="6">
        <v>45250</v>
      </c>
      <c r="B349" s="4">
        <v>100008442137</v>
      </c>
      <c r="C349" s="4" t="s">
        <v>400</v>
      </c>
      <c r="D349" s="4">
        <v>-1</v>
      </c>
      <c r="E349" s="4">
        <v>-280</v>
      </c>
      <c r="F349" s="4">
        <v>-379</v>
      </c>
      <c r="G349" s="4">
        <v>99</v>
      </c>
      <c r="H349" s="4">
        <v>-20</v>
      </c>
      <c r="I349" s="4">
        <v>0</v>
      </c>
      <c r="J349" s="4">
        <v>0</v>
      </c>
      <c r="K349" s="4">
        <v>0</v>
      </c>
      <c r="L349" s="1" t="str">
        <f>VLOOKUP(B349,SKU匹配表!A:D,4,0)</f>
        <v>净水器</v>
      </c>
      <c r="M349" s="5" t="str">
        <f>VLOOKUP(B349,SKU匹配表!A:C,3,0)</f>
        <v>RWTS-PF-1</v>
      </c>
    </row>
    <row r="350" ht="19" customHeight="1" spans="1:13">
      <c r="A350" s="6">
        <v>45250</v>
      </c>
      <c r="B350" s="4">
        <v>100056046455</v>
      </c>
      <c r="C350" s="4" t="s">
        <v>404</v>
      </c>
      <c r="D350" s="4">
        <v>-1</v>
      </c>
      <c r="E350" s="4">
        <v>-495</v>
      </c>
      <c r="F350" s="4">
        <v>-521.55</v>
      </c>
      <c r="G350" s="4">
        <v>26.55</v>
      </c>
      <c r="H350" s="4">
        <v>0</v>
      </c>
      <c r="I350" s="4">
        <v>0</v>
      </c>
      <c r="J350" s="4">
        <v>0</v>
      </c>
      <c r="K350" s="4">
        <v>0</v>
      </c>
      <c r="L350" s="1" t="str">
        <f>VLOOKUP(B350,SKU匹配表!A:D,4,0)</f>
        <v>净水器</v>
      </c>
      <c r="M350" s="5" t="str">
        <f>VLOOKUP(B350,SKU匹配表!A:C,3,0)</f>
        <v>RWTS-PF-11</v>
      </c>
    </row>
    <row r="351" ht="19" customHeight="1" spans="1:13">
      <c r="A351" s="6">
        <v>45250</v>
      </c>
      <c r="B351" s="4">
        <v>100044608292</v>
      </c>
      <c r="C351" s="4" t="s">
        <v>423</v>
      </c>
      <c r="D351" s="4">
        <v>-1</v>
      </c>
      <c r="E351" s="4">
        <v>-3699</v>
      </c>
      <c r="F351" s="4">
        <v>-3514.05</v>
      </c>
      <c r="G351" s="4">
        <v>-184.95</v>
      </c>
      <c r="H351" s="4">
        <v>0</v>
      </c>
      <c r="I351" s="4">
        <v>0</v>
      </c>
      <c r="J351" s="4">
        <v>0</v>
      </c>
      <c r="K351" s="4">
        <v>0</v>
      </c>
      <c r="L351" s="1" t="str">
        <f>VLOOKUP(B351,SKU匹配表!A:D,4,0)</f>
        <v>烟灶</v>
      </c>
      <c r="M351" s="5" t="str">
        <f>VLOOKUP(B351,SKU匹配表!A:C,3,0)</f>
        <v>2E30L</v>
      </c>
    </row>
    <row r="352" ht="19" customHeight="1" spans="1:13">
      <c r="A352" s="6">
        <v>45250</v>
      </c>
      <c r="B352" s="4">
        <v>100039988578</v>
      </c>
      <c r="C352" s="4" t="s">
        <v>449</v>
      </c>
      <c r="D352" s="4">
        <v>-1</v>
      </c>
      <c r="E352" s="4">
        <v>-0.6514</v>
      </c>
      <c r="F352" s="4">
        <v>-1</v>
      </c>
      <c r="G352" s="4">
        <v>0.3486</v>
      </c>
      <c r="H352" s="4">
        <v>-0.0007</v>
      </c>
      <c r="I352" s="4">
        <v>0</v>
      </c>
      <c r="J352" s="4">
        <v>0</v>
      </c>
      <c r="K352" s="4">
        <v>-13</v>
      </c>
      <c r="L352" s="1" t="str">
        <f>VLOOKUP(B352,SKU匹配表!A:D,4,0)</f>
        <v>燃气热水器</v>
      </c>
      <c r="M352" s="5" t="str">
        <f>VLOOKUP(B352,SKU匹配表!A:C,3,0)</f>
        <v>其他</v>
      </c>
    </row>
    <row r="353" ht="19" customHeight="1" spans="1:13">
      <c r="A353" s="6">
        <v>45250</v>
      </c>
      <c r="B353" s="4">
        <v>100035717140</v>
      </c>
      <c r="C353" s="4" t="s">
        <v>450</v>
      </c>
      <c r="D353" s="4">
        <v>-1</v>
      </c>
      <c r="E353" s="4">
        <v>-2685.54</v>
      </c>
      <c r="F353" s="4">
        <v>-3134</v>
      </c>
      <c r="G353" s="4">
        <v>448.46</v>
      </c>
      <c r="H353" s="4">
        <v>0</v>
      </c>
      <c r="I353" s="4">
        <v>0</v>
      </c>
      <c r="J353" s="4">
        <v>0</v>
      </c>
      <c r="K353" s="4">
        <v>0</v>
      </c>
      <c r="L353" s="1" t="str">
        <f>VLOOKUP(B353,SKU匹配表!A:D,4,0)</f>
        <v>洗碗机</v>
      </c>
      <c r="M353" s="5" t="str">
        <f>VLOOKUP(B353,SKU匹配表!A:C,3,0)</f>
        <v>WTD5-M4GW</v>
      </c>
    </row>
    <row r="354" ht="19" customHeight="1" spans="1:13">
      <c r="A354" s="6">
        <v>45250</v>
      </c>
      <c r="B354" s="4">
        <v>100064771629</v>
      </c>
      <c r="C354" s="4" t="s">
        <v>395</v>
      </c>
      <c r="D354" s="4">
        <v>-1</v>
      </c>
      <c r="E354" s="4">
        <v>-4860.9</v>
      </c>
      <c r="F354" s="4">
        <v>-5133.6</v>
      </c>
      <c r="G354" s="4">
        <v>272.7</v>
      </c>
      <c r="H354" s="4">
        <v>0</v>
      </c>
      <c r="I354" s="4">
        <v>0</v>
      </c>
      <c r="J354" s="4">
        <v>0</v>
      </c>
      <c r="K354" s="4">
        <v>0</v>
      </c>
      <c r="L354" s="1" t="str">
        <f>VLOOKUP(B354,SKU匹配表!A:D,4,0)</f>
        <v>燃气热水器</v>
      </c>
      <c r="M354" s="5" t="str">
        <f>VLOOKUP(B354,SKU匹配表!A:C,3,0)</f>
        <v>16QC06+SG</v>
      </c>
    </row>
    <row r="355" ht="19" customHeight="1" spans="1:13">
      <c r="A355" s="6">
        <v>45251</v>
      </c>
      <c r="B355" s="4">
        <v>100039706989</v>
      </c>
      <c r="C355" s="4" t="s">
        <v>341</v>
      </c>
      <c r="D355" s="4">
        <v>102</v>
      </c>
      <c r="E355" s="4">
        <v>312701.74</v>
      </c>
      <c r="F355" s="4">
        <v>300293.1</v>
      </c>
      <c r="G355" s="4">
        <v>12408.64</v>
      </c>
      <c r="H355" s="4">
        <v>28730.85</v>
      </c>
      <c r="I355" s="4">
        <v>0</v>
      </c>
      <c r="J355" s="4">
        <v>0</v>
      </c>
      <c r="K355" s="4">
        <v>14.16</v>
      </c>
      <c r="L355" s="1" t="str">
        <f>VLOOKUP(B355,SKU匹配表!A:D,4,0)</f>
        <v>燃气热水器</v>
      </c>
      <c r="M355" s="5" t="str">
        <f>VLOOKUP(B355,SKU匹配表!A:C,3,0)</f>
        <v>16GD32</v>
      </c>
    </row>
    <row r="356" ht="19" customHeight="1" spans="1:13">
      <c r="A356" s="6">
        <v>45251</v>
      </c>
      <c r="B356" s="4">
        <v>100039707007</v>
      </c>
      <c r="C356" s="4" t="s">
        <v>339</v>
      </c>
      <c r="D356" s="4">
        <v>94</v>
      </c>
      <c r="E356" s="4">
        <v>275454.55</v>
      </c>
      <c r="F356" s="4">
        <v>258880.7</v>
      </c>
      <c r="G356" s="4">
        <v>16573.85</v>
      </c>
      <c r="H356" s="4">
        <v>10890.1</v>
      </c>
      <c r="I356" s="4">
        <v>0</v>
      </c>
      <c r="J356" s="4">
        <v>0</v>
      </c>
      <c r="K356" s="4">
        <v>18.16</v>
      </c>
      <c r="L356" s="1" t="str">
        <f>VLOOKUP(B356,SKU匹配表!A:D,4,0)</f>
        <v>燃气热水器</v>
      </c>
      <c r="M356" s="5" t="str">
        <f>VLOOKUP(B356,SKU匹配表!A:C,3,0)</f>
        <v>16GD31</v>
      </c>
    </row>
    <row r="357" ht="19" customHeight="1" spans="1:13">
      <c r="A357" s="6">
        <v>45251</v>
      </c>
      <c r="B357" s="4">
        <v>100048028229</v>
      </c>
      <c r="C357" s="4" t="s">
        <v>340</v>
      </c>
      <c r="D357" s="4">
        <v>91</v>
      </c>
      <c r="E357" s="4">
        <v>236153.02</v>
      </c>
      <c r="F357" s="4">
        <v>224683.55</v>
      </c>
      <c r="G357" s="4">
        <v>11469.47</v>
      </c>
      <c r="H357" s="4">
        <v>10778.95</v>
      </c>
      <c r="I357" s="4">
        <v>0</v>
      </c>
      <c r="J357" s="4">
        <v>0</v>
      </c>
      <c r="K357" s="4">
        <v>39.74</v>
      </c>
      <c r="L357" s="1" t="str">
        <f>VLOOKUP(B357,SKU匹配表!A:D,4,0)</f>
        <v>燃气热水器</v>
      </c>
      <c r="M357" s="5" t="str">
        <f>VLOOKUP(B357,SKU匹配表!A:C,3,0)</f>
        <v>13GD31</v>
      </c>
    </row>
    <row r="358" ht="19" customHeight="1" spans="1:13">
      <c r="A358" s="6">
        <v>45251</v>
      </c>
      <c r="B358" s="4">
        <v>100009176306</v>
      </c>
      <c r="C358" s="4" t="s">
        <v>343</v>
      </c>
      <c r="D358" s="4">
        <v>80</v>
      </c>
      <c r="E358" s="4">
        <v>313627.04</v>
      </c>
      <c r="F358" s="4">
        <v>310802.4243</v>
      </c>
      <c r="G358" s="4">
        <v>2824.6157</v>
      </c>
      <c r="H358" s="4">
        <v>23383.75</v>
      </c>
      <c r="I358" s="4">
        <v>0</v>
      </c>
      <c r="J358" s="4">
        <v>0</v>
      </c>
      <c r="K358" s="4">
        <v>23.39</v>
      </c>
      <c r="L358" s="1" t="str">
        <f>VLOOKUP(B358,SKU匹配表!A:D,4,0)</f>
        <v>燃气热水器</v>
      </c>
      <c r="M358" s="5" t="str">
        <f>VLOOKUP(B358,SKU匹配表!A:C,3,0)</f>
        <v>16QD06W</v>
      </c>
    </row>
    <row r="359" ht="19" customHeight="1" spans="1:13">
      <c r="A359" s="6">
        <v>45251</v>
      </c>
      <c r="B359" s="4">
        <v>100012048672</v>
      </c>
      <c r="C359" s="4" t="s">
        <v>342</v>
      </c>
      <c r="D359" s="4">
        <v>58</v>
      </c>
      <c r="E359" s="4">
        <v>168077.88</v>
      </c>
      <c r="F359" s="4">
        <v>167562</v>
      </c>
      <c r="G359" s="4">
        <v>515.88</v>
      </c>
      <c r="H359" s="4">
        <v>7001.4</v>
      </c>
      <c r="I359" s="4">
        <v>0</v>
      </c>
      <c r="J359" s="4">
        <v>0</v>
      </c>
      <c r="K359" s="4">
        <v>8.83</v>
      </c>
      <c r="L359" s="1" t="str">
        <f>VLOOKUP(B359,SKU匹配表!A:D,4,0)</f>
        <v>燃气热水器</v>
      </c>
      <c r="M359" s="5" t="str">
        <f>VLOOKUP(B359,SKU匹配表!A:C,3,0)</f>
        <v>16QC05</v>
      </c>
    </row>
    <row r="360" ht="19" customHeight="1" spans="1:13">
      <c r="A360" s="6">
        <v>45251</v>
      </c>
      <c r="B360" s="4">
        <v>100009176278</v>
      </c>
      <c r="C360" s="4" t="s">
        <v>348</v>
      </c>
      <c r="D360" s="4">
        <v>19</v>
      </c>
      <c r="E360" s="4">
        <v>58779.1</v>
      </c>
      <c r="F360" s="4">
        <v>59242.0019</v>
      </c>
      <c r="G360" s="4">
        <v>-462.9019</v>
      </c>
      <c r="H360" s="4">
        <v>5536.9</v>
      </c>
      <c r="I360" s="4">
        <v>0</v>
      </c>
      <c r="J360" s="4">
        <v>0</v>
      </c>
      <c r="K360" s="4">
        <v>19.11</v>
      </c>
      <c r="L360" s="1" t="str">
        <f>VLOOKUP(B360,SKU匹配表!A:D,4,0)</f>
        <v>燃气热水器</v>
      </c>
      <c r="M360" s="5" t="str">
        <f>VLOOKUP(B360,SKU匹配表!A:C,3,0)</f>
        <v>13QD06W</v>
      </c>
    </row>
    <row r="361" ht="19" customHeight="1" spans="1:13">
      <c r="A361" s="6">
        <v>45251</v>
      </c>
      <c r="B361" s="4">
        <v>100048028257</v>
      </c>
      <c r="C361" s="4" t="s">
        <v>344</v>
      </c>
      <c r="D361" s="4">
        <v>14</v>
      </c>
      <c r="E361" s="4">
        <v>40541.98</v>
      </c>
      <c r="F361" s="4">
        <v>38556.7</v>
      </c>
      <c r="G361" s="4">
        <v>1985.28</v>
      </c>
      <c r="H361" s="4">
        <v>1360</v>
      </c>
      <c r="I361" s="4">
        <v>0</v>
      </c>
      <c r="J361" s="4">
        <v>0</v>
      </c>
      <c r="K361" s="4">
        <v>58.57</v>
      </c>
      <c r="L361" s="1" t="str">
        <f>VLOOKUP(B361,SKU匹配表!A:D,4,0)</f>
        <v>燃气热水器</v>
      </c>
      <c r="M361" s="5" t="str">
        <f>VLOOKUP(B361,SKU匹配表!A:C,3,0)</f>
        <v>13GD32</v>
      </c>
    </row>
    <row r="362" ht="19" customHeight="1" spans="1:13">
      <c r="A362" s="6">
        <v>45251</v>
      </c>
      <c r="B362" s="4">
        <v>100056736113</v>
      </c>
      <c r="C362" s="4" t="s">
        <v>347</v>
      </c>
      <c r="D362" s="4">
        <v>11</v>
      </c>
      <c r="E362" s="4">
        <v>55190</v>
      </c>
      <c r="F362" s="4">
        <v>47110.8</v>
      </c>
      <c r="G362" s="4">
        <v>8079.2</v>
      </c>
      <c r="H362" s="4">
        <v>1710</v>
      </c>
      <c r="I362" s="4">
        <v>0</v>
      </c>
      <c r="J362" s="4">
        <v>0</v>
      </c>
      <c r="K362" s="4">
        <v>45.55</v>
      </c>
      <c r="L362" s="1" t="str">
        <f>VLOOKUP(B362,SKU匹配表!A:D,4,0)</f>
        <v>燃气热水器</v>
      </c>
      <c r="M362" s="5" t="str">
        <f>VLOOKUP(B362,SKU匹配表!A:C,3,0)</f>
        <v>16GD61R</v>
      </c>
    </row>
    <row r="363" ht="19" customHeight="1" spans="1:13">
      <c r="A363" s="6">
        <v>45251</v>
      </c>
      <c r="B363" s="4">
        <v>100007725035</v>
      </c>
      <c r="C363" s="4" t="s">
        <v>346</v>
      </c>
      <c r="D363" s="4">
        <v>10</v>
      </c>
      <c r="E363" s="4">
        <v>31391.05</v>
      </c>
      <c r="F363" s="4">
        <v>30492.1391</v>
      </c>
      <c r="G363" s="4">
        <v>898.9109</v>
      </c>
      <c r="H363" s="4">
        <v>2391.95</v>
      </c>
      <c r="I363" s="4">
        <v>0</v>
      </c>
      <c r="J363" s="4">
        <v>0</v>
      </c>
      <c r="K363" s="4">
        <v>129.74</v>
      </c>
      <c r="L363" s="1" t="str">
        <f>VLOOKUP(B363,SKU匹配表!A:D,4,0)</f>
        <v>燃气热水器</v>
      </c>
      <c r="M363" s="5" t="str">
        <f>VLOOKUP(B363,SKU匹配表!A:C,3,0)</f>
        <v>16QD31</v>
      </c>
    </row>
    <row r="364" ht="19" customHeight="1" spans="1:13">
      <c r="A364" s="6">
        <v>45251</v>
      </c>
      <c r="B364" s="4">
        <v>100061470016</v>
      </c>
      <c r="C364" s="4" t="s">
        <v>351</v>
      </c>
      <c r="D364" s="4">
        <v>8</v>
      </c>
      <c r="E364" s="4">
        <v>34180</v>
      </c>
      <c r="F364" s="4">
        <v>32236.8</v>
      </c>
      <c r="G364" s="4">
        <v>1943.2</v>
      </c>
      <c r="H364" s="4">
        <v>1800</v>
      </c>
      <c r="I364" s="4">
        <v>0</v>
      </c>
      <c r="J364" s="4">
        <v>0</v>
      </c>
      <c r="K364" s="4">
        <v>0</v>
      </c>
      <c r="L364" s="1" t="str">
        <f>VLOOKUP(B364,SKU匹配表!A:D,4,0)</f>
        <v>燃气热水器</v>
      </c>
      <c r="M364" s="5" t="str">
        <f>VLOOKUP(B364,SKU匹配表!A:C,3,0)</f>
        <v>16QC06</v>
      </c>
    </row>
    <row r="365" ht="19" customHeight="1" spans="1:13">
      <c r="A365" s="6">
        <v>45251</v>
      </c>
      <c r="B365" s="4">
        <v>100017657382</v>
      </c>
      <c r="C365" s="4" t="s">
        <v>451</v>
      </c>
      <c r="D365" s="4">
        <v>7</v>
      </c>
      <c r="E365" s="4">
        <v>6973</v>
      </c>
      <c r="F365" s="4">
        <v>6573</v>
      </c>
      <c r="G365" s="4">
        <v>400</v>
      </c>
      <c r="H365" s="4">
        <v>720</v>
      </c>
      <c r="I365" s="4">
        <v>0</v>
      </c>
      <c r="J365" s="4">
        <v>0</v>
      </c>
      <c r="K365" s="4">
        <v>0</v>
      </c>
      <c r="L365" s="1" t="str">
        <f>VLOOKUP(B365,SKU匹配表!A:D,4,0)</f>
        <v>电热</v>
      </c>
      <c r="M365" s="5" t="str">
        <f>VLOOKUP(B365,SKU匹配表!A:C,3,0)</f>
        <v>DSG60-E04PD</v>
      </c>
    </row>
    <row r="366" ht="19" customHeight="1" spans="1:13">
      <c r="A366" s="6">
        <v>45251</v>
      </c>
      <c r="B366" s="4">
        <v>100007649009</v>
      </c>
      <c r="C366" s="4" t="s">
        <v>343</v>
      </c>
      <c r="D366" s="4">
        <v>6</v>
      </c>
      <c r="E366" s="4">
        <v>25380</v>
      </c>
      <c r="F366" s="4">
        <v>25620</v>
      </c>
      <c r="G366" s="4">
        <v>-240</v>
      </c>
      <c r="H366" s="4">
        <v>586</v>
      </c>
      <c r="I366" s="4">
        <v>0</v>
      </c>
      <c r="J366" s="4">
        <v>0</v>
      </c>
      <c r="K366" s="4">
        <v>0</v>
      </c>
      <c r="L366" s="1" t="str">
        <f>VLOOKUP(B366,SKU匹配表!A:D,4,0)</f>
        <v>燃气热水器</v>
      </c>
      <c r="M366" s="5" t="str">
        <f>VLOOKUP(B366,SKU匹配表!A:C,3,0)</f>
        <v>16QD06W</v>
      </c>
    </row>
    <row r="367" ht="19" customHeight="1" spans="1:13">
      <c r="A367" s="6">
        <v>45251</v>
      </c>
      <c r="B367" s="4">
        <v>100066733312</v>
      </c>
      <c r="C367" s="4" t="s">
        <v>362</v>
      </c>
      <c r="D367" s="4">
        <v>5</v>
      </c>
      <c r="E367" s="4">
        <v>7075</v>
      </c>
      <c r="F367" s="4">
        <v>8545.25</v>
      </c>
      <c r="G367" s="4">
        <v>-1470.25</v>
      </c>
      <c r="H367" s="4">
        <v>320</v>
      </c>
      <c r="I367" s="4">
        <v>0</v>
      </c>
      <c r="J367" s="4">
        <v>0</v>
      </c>
      <c r="K367" s="4">
        <v>0</v>
      </c>
      <c r="L367" s="1" t="str">
        <f>VLOOKUP(B367,SKU匹配表!A:D,4,0)</f>
        <v>烟灶</v>
      </c>
      <c r="M367" s="5" t="str">
        <f>VLOOKUP(B367,SKU匹配表!A:C,3,0)</f>
        <v>2E08MTX</v>
      </c>
    </row>
    <row r="368" ht="19" customHeight="1" spans="1:13">
      <c r="A368" s="6">
        <v>45251</v>
      </c>
      <c r="B368" s="4">
        <v>100023723339</v>
      </c>
      <c r="C368" s="4" t="s">
        <v>386</v>
      </c>
      <c r="D368" s="4">
        <v>4</v>
      </c>
      <c r="E368" s="4">
        <v>30540</v>
      </c>
      <c r="F368" s="4">
        <v>25432</v>
      </c>
      <c r="G368" s="4">
        <v>5108</v>
      </c>
      <c r="H368" s="4">
        <v>1780</v>
      </c>
      <c r="I368" s="4">
        <v>0</v>
      </c>
      <c r="J368" s="4">
        <v>0</v>
      </c>
      <c r="K368" s="4">
        <v>0</v>
      </c>
      <c r="L368" s="1" t="str">
        <f>VLOOKUP(B368,SKU匹配表!A:D,4,0)</f>
        <v>燃气热水器</v>
      </c>
      <c r="M368" s="5" t="str">
        <f>VLOOKUP(B368,SKU匹配表!A:C,3,0)</f>
        <v>R20E32FRF</v>
      </c>
    </row>
    <row r="369" ht="19" customHeight="1" spans="1:13">
      <c r="A369" s="6">
        <v>45251</v>
      </c>
      <c r="B369" s="4">
        <v>100058904275</v>
      </c>
      <c r="C369" s="4" t="s">
        <v>339</v>
      </c>
      <c r="D369" s="4">
        <v>4</v>
      </c>
      <c r="E369" s="4">
        <v>12796</v>
      </c>
      <c r="F369" s="4">
        <v>11016.2</v>
      </c>
      <c r="G369" s="4">
        <v>1779.8</v>
      </c>
      <c r="H369" s="4">
        <v>0</v>
      </c>
      <c r="I369" s="4">
        <v>0</v>
      </c>
      <c r="J369" s="4">
        <v>0</v>
      </c>
      <c r="K369" s="4">
        <v>0</v>
      </c>
      <c r="L369" s="1" t="str">
        <f>VLOOKUP(B369,SKU匹配表!A:D,4,0)</f>
        <v>燃气热水器</v>
      </c>
      <c r="M369" s="5" t="str">
        <f>VLOOKUP(B369,SKU匹配表!A:C,3,0)</f>
        <v>16GD31</v>
      </c>
    </row>
    <row r="370" ht="19" customHeight="1" spans="1:13">
      <c r="A370" s="6">
        <v>45251</v>
      </c>
      <c r="B370" s="4">
        <v>100033816230</v>
      </c>
      <c r="C370" s="4" t="s">
        <v>366</v>
      </c>
      <c r="D370" s="4">
        <v>3</v>
      </c>
      <c r="E370" s="4">
        <v>23018</v>
      </c>
      <c r="F370" s="4">
        <v>22512.15</v>
      </c>
      <c r="G370" s="4">
        <v>505.85</v>
      </c>
      <c r="H370" s="4">
        <v>1595</v>
      </c>
      <c r="I370" s="4">
        <v>0</v>
      </c>
      <c r="J370" s="4">
        <v>0</v>
      </c>
      <c r="K370" s="4">
        <v>0</v>
      </c>
      <c r="L370" s="1" t="str">
        <f>VLOOKUP(B370,SKU匹配表!A:D,4,0)</f>
        <v>壁挂炉</v>
      </c>
      <c r="M370" s="5" t="str">
        <f>VLOOKUP(B370,SKU匹配表!A:C,3,0)</f>
        <v>24C30</v>
      </c>
    </row>
    <row r="371" ht="19" customHeight="1" spans="1:13">
      <c r="A371" s="6">
        <v>45251</v>
      </c>
      <c r="B371" s="4">
        <v>100061470014</v>
      </c>
      <c r="C371" s="4" t="s">
        <v>354</v>
      </c>
      <c r="D371" s="4">
        <v>3</v>
      </c>
      <c r="E371" s="4">
        <v>10353</v>
      </c>
      <c r="F371" s="4">
        <v>9604.8</v>
      </c>
      <c r="G371" s="4">
        <v>748.2</v>
      </c>
      <c r="H371" s="4">
        <v>600</v>
      </c>
      <c r="I371" s="4">
        <v>0</v>
      </c>
      <c r="J371" s="4">
        <v>0</v>
      </c>
      <c r="K371" s="4">
        <v>0</v>
      </c>
      <c r="L371" s="1" t="str">
        <f>VLOOKUP(B371,SKU匹配表!A:D,4,0)</f>
        <v>燃气热水器</v>
      </c>
      <c r="M371" s="5" t="str">
        <f>VLOOKUP(B371,SKU匹配表!A:C,3,0)</f>
        <v>13QC06</v>
      </c>
    </row>
    <row r="372" ht="19" customHeight="1" spans="1:13">
      <c r="A372" s="6">
        <v>45251</v>
      </c>
      <c r="B372" s="4">
        <v>100018607305</v>
      </c>
      <c r="C372" s="4" t="s">
        <v>355</v>
      </c>
      <c r="D372" s="4">
        <v>3</v>
      </c>
      <c r="E372" s="4">
        <v>3</v>
      </c>
      <c r="F372" s="4">
        <v>3</v>
      </c>
      <c r="G372" s="4">
        <v>0</v>
      </c>
      <c r="H372" s="4">
        <v>0</v>
      </c>
      <c r="I372" s="4">
        <v>0</v>
      </c>
      <c r="J372" s="4">
        <v>0</v>
      </c>
      <c r="K372" s="4">
        <v>0</v>
      </c>
      <c r="L372" s="1" t="str">
        <f>VLOOKUP(B372,SKU匹配表!A:D,4,0)</f>
        <v>其他</v>
      </c>
      <c r="M372" s="5" t="str">
        <f>VLOOKUP(B372,SKU匹配表!A:C,3,0)</f>
        <v>其他</v>
      </c>
    </row>
    <row r="373" ht="19" customHeight="1" spans="1:13">
      <c r="A373" s="6">
        <v>45251</v>
      </c>
      <c r="B373" s="4">
        <v>100043001361</v>
      </c>
      <c r="C373" s="4" t="s">
        <v>390</v>
      </c>
      <c r="D373" s="4">
        <v>3</v>
      </c>
      <c r="E373" s="4">
        <v>2.01</v>
      </c>
      <c r="F373" s="4">
        <v>2.7</v>
      </c>
      <c r="G373" s="4">
        <v>-0.69</v>
      </c>
      <c r="H373" s="4">
        <v>0</v>
      </c>
      <c r="I373" s="4">
        <v>0</v>
      </c>
      <c r="J373" s="4">
        <v>0</v>
      </c>
      <c r="K373" s="4">
        <v>0</v>
      </c>
      <c r="L373" s="1" t="str">
        <f>VLOOKUP(B373,SKU匹配表!A:D,4,0)</f>
        <v>其他</v>
      </c>
      <c r="M373" s="5" t="str">
        <f>VLOOKUP(B373,SKU匹配表!A:C,3,0)</f>
        <v>其他</v>
      </c>
    </row>
    <row r="374" ht="19" customHeight="1" spans="1:13">
      <c r="A374" s="6">
        <v>45251</v>
      </c>
      <c r="B374" s="4">
        <v>100012689724</v>
      </c>
      <c r="C374" s="4" t="s">
        <v>350</v>
      </c>
      <c r="D374" s="4">
        <v>3</v>
      </c>
      <c r="E374" s="4">
        <v>3833.1757</v>
      </c>
      <c r="F374" s="4">
        <v>3569.9871</v>
      </c>
      <c r="G374" s="4">
        <v>263.1886</v>
      </c>
      <c r="H374" s="4">
        <v>0</v>
      </c>
      <c r="I374" s="4">
        <v>0</v>
      </c>
      <c r="J374" s="4">
        <v>0</v>
      </c>
      <c r="K374" s="4">
        <v>151</v>
      </c>
      <c r="L374" s="1" t="str">
        <f>VLOOKUP(B374,SKU匹配表!A:D,4,0)</f>
        <v>燃气热水器</v>
      </c>
      <c r="M374" s="5" t="str">
        <f>VLOOKUP(B374,SKU匹配表!A:C,3,0)</f>
        <v>SG</v>
      </c>
    </row>
    <row r="375" ht="19" customHeight="1" spans="1:13">
      <c r="A375" s="6">
        <v>45251</v>
      </c>
      <c r="B375" s="4">
        <v>100038009912</v>
      </c>
      <c r="C375" s="4" t="s">
        <v>349</v>
      </c>
      <c r="D375" s="4">
        <v>3</v>
      </c>
      <c r="E375" s="4">
        <v>2932</v>
      </c>
      <c r="F375" s="4">
        <v>4557.0699</v>
      </c>
      <c r="G375" s="4">
        <v>-1625.0699</v>
      </c>
      <c r="H375" s="4">
        <v>15</v>
      </c>
      <c r="I375" s="4">
        <v>0</v>
      </c>
      <c r="J375" s="4">
        <v>0</v>
      </c>
      <c r="K375" s="4">
        <v>58.92</v>
      </c>
      <c r="L375" s="1" t="str">
        <f>VLOOKUP(B375,SKU匹配表!A:D,4,0)</f>
        <v>烟灶</v>
      </c>
      <c r="M375" s="5" t="str">
        <f>VLOOKUP(B375,SKU匹配表!A:C,3,0)</f>
        <v>2E08MT</v>
      </c>
    </row>
    <row r="376" ht="19" customHeight="1" spans="1:13">
      <c r="A376" s="6">
        <v>45251</v>
      </c>
      <c r="B376" s="4">
        <v>100012446046</v>
      </c>
      <c r="C376" s="4" t="s">
        <v>342</v>
      </c>
      <c r="D376" s="4">
        <v>3</v>
      </c>
      <c r="E376" s="4">
        <v>8997</v>
      </c>
      <c r="F376" s="4">
        <v>9372</v>
      </c>
      <c r="G376" s="4">
        <v>-375</v>
      </c>
      <c r="H376" s="4">
        <v>0</v>
      </c>
      <c r="I376" s="4">
        <v>0</v>
      </c>
      <c r="J376" s="4">
        <v>0</v>
      </c>
      <c r="K376" s="4">
        <v>0</v>
      </c>
      <c r="L376" s="1" t="str">
        <f>VLOOKUP(B376,SKU匹配表!A:D,4,0)</f>
        <v>燃气热水器</v>
      </c>
      <c r="M376" s="5" t="str">
        <f>VLOOKUP(B376,SKU匹配表!A:C,3,0)</f>
        <v>16QC05</v>
      </c>
    </row>
    <row r="377" ht="19" customHeight="1" spans="1:13">
      <c r="A377" s="6">
        <v>45251</v>
      </c>
      <c r="B377" s="4">
        <v>100044938343</v>
      </c>
      <c r="C377" s="4" t="s">
        <v>367</v>
      </c>
      <c r="D377" s="4">
        <v>2</v>
      </c>
      <c r="E377" s="4">
        <v>15672</v>
      </c>
      <c r="F377" s="4">
        <v>16298</v>
      </c>
      <c r="G377" s="4">
        <v>-626</v>
      </c>
      <c r="H377" s="4">
        <v>395</v>
      </c>
      <c r="I377" s="4">
        <v>0</v>
      </c>
      <c r="J377" s="4">
        <v>0</v>
      </c>
      <c r="K377" s="4">
        <v>0</v>
      </c>
      <c r="L377" s="1" t="str">
        <f>VLOOKUP(B377,SKU匹配表!A:D,4,0)</f>
        <v>壁挂炉</v>
      </c>
      <c r="M377" s="5" t="str">
        <f>VLOOKUP(B377,SKU匹配表!A:C,3,0)</f>
        <v>24C39</v>
      </c>
    </row>
    <row r="378" ht="19" customHeight="1" spans="1:13">
      <c r="A378" s="6">
        <v>45251</v>
      </c>
      <c r="B378" s="4">
        <v>100023723363</v>
      </c>
      <c r="C378" s="4" t="s">
        <v>360</v>
      </c>
      <c r="D378" s="4">
        <v>2</v>
      </c>
      <c r="E378" s="4">
        <v>3598</v>
      </c>
      <c r="F378" s="4">
        <v>4368.1</v>
      </c>
      <c r="G378" s="4">
        <v>-770.1</v>
      </c>
      <c r="H378" s="4">
        <v>0</v>
      </c>
      <c r="I378" s="4">
        <v>0</v>
      </c>
      <c r="J378" s="4">
        <v>0</v>
      </c>
      <c r="K378" s="4">
        <v>0</v>
      </c>
      <c r="L378" s="1" t="str">
        <f>VLOOKUP(B378,SKU匹配表!A:D,4,0)</f>
        <v>电热</v>
      </c>
      <c r="M378" s="5" t="str">
        <f>VLOOKUP(B378,SKU匹配表!A:C,3,0)</f>
        <v>DSG60-DE06PN</v>
      </c>
    </row>
    <row r="379" ht="19" customHeight="1" spans="1:13">
      <c r="A379" s="6">
        <v>45251</v>
      </c>
      <c r="B379" s="4">
        <v>100007725017</v>
      </c>
      <c r="C379" s="4" t="s">
        <v>353</v>
      </c>
      <c r="D379" s="4">
        <v>2</v>
      </c>
      <c r="E379" s="4">
        <v>5398</v>
      </c>
      <c r="F379" s="4">
        <v>5249.7246</v>
      </c>
      <c r="G379" s="4">
        <v>148.2754</v>
      </c>
      <c r="H379" s="4">
        <v>200</v>
      </c>
      <c r="I379" s="4">
        <v>0</v>
      </c>
      <c r="J379" s="4">
        <v>0</v>
      </c>
      <c r="K379" s="4">
        <v>164.86</v>
      </c>
      <c r="L379" s="1" t="str">
        <f>VLOOKUP(B379,SKU匹配表!A:D,4,0)</f>
        <v>燃气热水器</v>
      </c>
      <c r="M379" s="5" t="str">
        <f>VLOOKUP(B379,SKU匹配表!A:C,3,0)</f>
        <v>13QD31</v>
      </c>
    </row>
    <row r="380" ht="19" customHeight="1" spans="1:13">
      <c r="A380" s="6">
        <v>45251</v>
      </c>
      <c r="B380" s="4">
        <v>100039895616</v>
      </c>
      <c r="C380" s="4" t="s">
        <v>410</v>
      </c>
      <c r="D380" s="4">
        <v>2</v>
      </c>
      <c r="E380" s="4">
        <v>12778</v>
      </c>
      <c r="F380" s="4">
        <v>12348</v>
      </c>
      <c r="G380" s="4">
        <v>430</v>
      </c>
      <c r="H380" s="4">
        <v>520</v>
      </c>
      <c r="I380" s="4">
        <v>0</v>
      </c>
      <c r="J380" s="4">
        <v>0</v>
      </c>
      <c r="K380" s="4">
        <v>0</v>
      </c>
      <c r="L380" s="1" t="str">
        <f>VLOOKUP(B380,SKU匹配表!A:D,4,0)</f>
        <v>烟灶</v>
      </c>
      <c r="M380" s="5" t="str">
        <f>VLOOKUP(B380,SKU匹配表!A:C,3,0)</f>
        <v>NM09J+2E07MT+16QC05</v>
      </c>
    </row>
    <row r="381" ht="19" customHeight="1" spans="1:13">
      <c r="A381" s="6">
        <v>45251</v>
      </c>
      <c r="B381" s="4">
        <v>100007648991</v>
      </c>
      <c r="C381" s="4" t="s">
        <v>369</v>
      </c>
      <c r="D381" s="4">
        <v>2</v>
      </c>
      <c r="E381" s="4">
        <v>4203</v>
      </c>
      <c r="F381" s="4">
        <v>4536</v>
      </c>
      <c r="G381" s="4">
        <v>-333</v>
      </c>
      <c r="H381" s="4">
        <v>0</v>
      </c>
      <c r="I381" s="4">
        <v>0</v>
      </c>
      <c r="J381" s="4">
        <v>0</v>
      </c>
      <c r="K381" s="4">
        <v>0</v>
      </c>
      <c r="L381" s="1" t="str">
        <f>VLOOKUP(B381,SKU匹配表!A:D,4,0)</f>
        <v>燃气热水器</v>
      </c>
      <c r="M381" s="5" t="str">
        <f>VLOOKUP(B381,SKU匹配表!A:C,3,0)</f>
        <v>10QD01</v>
      </c>
    </row>
    <row r="382" ht="19" customHeight="1" spans="1:13">
      <c r="A382" s="6">
        <v>45251</v>
      </c>
      <c r="B382" s="4">
        <v>100007648993</v>
      </c>
      <c r="C382" s="4" t="s">
        <v>348</v>
      </c>
      <c r="D382" s="4">
        <v>1</v>
      </c>
      <c r="E382" s="4">
        <v>3501</v>
      </c>
      <c r="F382" s="4">
        <v>3409</v>
      </c>
      <c r="G382" s="4">
        <v>92</v>
      </c>
      <c r="H382" s="4">
        <v>0</v>
      </c>
      <c r="I382" s="4">
        <v>0</v>
      </c>
      <c r="J382" s="4">
        <v>0</v>
      </c>
      <c r="K382" s="4">
        <v>0</v>
      </c>
      <c r="L382" s="1" t="str">
        <f>VLOOKUP(B382,SKU匹配表!A:D,4,0)</f>
        <v>燃气热水器</v>
      </c>
      <c r="M382" s="5" t="str">
        <f>VLOOKUP(B382,SKU匹配表!A:C,3,0)</f>
        <v>13QD06W</v>
      </c>
    </row>
    <row r="383" ht="19" customHeight="1" spans="1:13">
      <c r="A383" s="6">
        <v>45251</v>
      </c>
      <c r="B383" s="4">
        <v>100019647559</v>
      </c>
      <c r="C383" s="4" t="s">
        <v>421</v>
      </c>
      <c r="D383" s="4">
        <v>1</v>
      </c>
      <c r="E383" s="4">
        <v>9298</v>
      </c>
      <c r="F383" s="4">
        <v>8644.05</v>
      </c>
      <c r="G383" s="4">
        <v>653.95</v>
      </c>
      <c r="H383" s="4">
        <v>0</v>
      </c>
      <c r="I383" s="4">
        <v>0</v>
      </c>
      <c r="J383" s="4">
        <v>0</v>
      </c>
      <c r="K383" s="4">
        <v>0</v>
      </c>
      <c r="L383" s="1" t="str">
        <f>VLOOKUP(B383,SKU匹配表!A:D,4,0)</f>
        <v>壁挂炉</v>
      </c>
      <c r="M383" s="5" t="str">
        <f>VLOOKUP(B383,SKU匹配表!A:C,3,0)</f>
        <v>24C30+SG</v>
      </c>
    </row>
    <row r="384" ht="19" customHeight="1" spans="1:13">
      <c r="A384" s="6">
        <v>45251</v>
      </c>
      <c r="B384" s="4">
        <v>100044617627</v>
      </c>
      <c r="C384" s="4" t="s">
        <v>452</v>
      </c>
      <c r="D384" s="4">
        <v>1</v>
      </c>
      <c r="E384" s="4">
        <v>8076</v>
      </c>
      <c r="F384" s="4">
        <v>8049</v>
      </c>
      <c r="G384" s="4">
        <v>27</v>
      </c>
      <c r="H384" s="4">
        <v>395</v>
      </c>
      <c r="I384" s="4">
        <v>0</v>
      </c>
      <c r="J384" s="4">
        <v>0</v>
      </c>
      <c r="K384" s="4">
        <v>0</v>
      </c>
      <c r="L384" s="1" t="str">
        <f>VLOOKUP(B384,SKU匹配表!A:D,4,0)</f>
        <v>壁挂炉</v>
      </c>
      <c r="M384" s="5" t="str">
        <f>VLOOKUP(B384,SKU匹配表!A:C,3,0)</f>
        <v>18C39</v>
      </c>
    </row>
    <row r="385" ht="19" customHeight="1" spans="1:13">
      <c r="A385" s="6">
        <v>45251</v>
      </c>
      <c r="B385" s="4">
        <v>100067343426</v>
      </c>
      <c r="C385" s="4" t="s">
        <v>453</v>
      </c>
      <c r="D385" s="4">
        <v>1</v>
      </c>
      <c r="E385" s="4">
        <v>6059</v>
      </c>
      <c r="F385" s="4">
        <v>6554.05</v>
      </c>
      <c r="G385" s="4">
        <v>-495.05</v>
      </c>
      <c r="H385" s="4">
        <v>40</v>
      </c>
      <c r="I385" s="4">
        <v>0</v>
      </c>
      <c r="J385" s="4">
        <v>0</v>
      </c>
      <c r="K385" s="4">
        <v>0</v>
      </c>
      <c r="L385" s="1" t="str">
        <f>VLOOKUP(B385,SKU匹配表!A:D,4,0)</f>
        <v>烟灶</v>
      </c>
      <c r="M385" s="5" t="str">
        <f>VLOOKUP(B385,SKU匹配表!A:C,3,0)</f>
        <v>2E08MTX+NM09J+13GD31</v>
      </c>
    </row>
    <row r="386" ht="19" customHeight="1" spans="1:13">
      <c r="A386" s="6">
        <v>45251</v>
      </c>
      <c r="B386" s="4">
        <v>100010131523</v>
      </c>
      <c r="C386" s="4" t="s">
        <v>454</v>
      </c>
      <c r="D386" s="4">
        <v>1</v>
      </c>
      <c r="E386" s="4">
        <v>1199</v>
      </c>
      <c r="F386" s="4">
        <v>1044</v>
      </c>
      <c r="G386" s="4">
        <v>155</v>
      </c>
      <c r="H386" s="4">
        <v>100</v>
      </c>
      <c r="I386" s="4">
        <v>0</v>
      </c>
      <c r="J386" s="4">
        <v>0</v>
      </c>
      <c r="K386" s="4">
        <v>0</v>
      </c>
      <c r="L386" s="1" t="str">
        <f>VLOOKUP(B386,SKU匹配表!A:D,4,0)</f>
        <v>电热</v>
      </c>
      <c r="M386" s="5" t="str">
        <f>VLOOKUP(B386,SKU匹配表!A:C,3,0)</f>
        <v>DSG80-E04PD</v>
      </c>
    </row>
    <row r="387" ht="19" customHeight="1" spans="1:13">
      <c r="A387" s="6">
        <v>45251</v>
      </c>
      <c r="B387" s="4">
        <v>100025340883</v>
      </c>
      <c r="C387" s="4" t="s">
        <v>455</v>
      </c>
      <c r="D387" s="4">
        <v>1</v>
      </c>
      <c r="E387" s="4">
        <v>5999</v>
      </c>
      <c r="F387" s="4">
        <v>6355</v>
      </c>
      <c r="G387" s="4">
        <v>-356</v>
      </c>
      <c r="H387" s="4">
        <v>500</v>
      </c>
      <c r="I387" s="4">
        <v>0</v>
      </c>
      <c r="J387" s="4">
        <v>0</v>
      </c>
      <c r="K387" s="4">
        <v>0</v>
      </c>
      <c r="L387" s="1" t="str">
        <f>VLOOKUP(B387,SKU匹配表!A:D,4,0)</f>
        <v>烟灶</v>
      </c>
      <c r="M387" s="5" t="str">
        <f>VLOOKUP(B387,SKU匹配表!A:C,3,0)</f>
        <v>NM09J+2E08MT+16QC05</v>
      </c>
    </row>
    <row r="388" ht="19" customHeight="1" spans="1:13">
      <c r="A388" s="6">
        <v>45251</v>
      </c>
      <c r="B388" s="4">
        <v>100043251880</v>
      </c>
      <c r="C388" s="4" t="s">
        <v>448</v>
      </c>
      <c r="D388" s="4">
        <v>1</v>
      </c>
      <c r="E388" s="4">
        <v>7549</v>
      </c>
      <c r="F388" s="4">
        <v>8074.05</v>
      </c>
      <c r="G388" s="4">
        <v>-525.05</v>
      </c>
      <c r="H388" s="4">
        <v>250</v>
      </c>
      <c r="I388" s="4">
        <v>0</v>
      </c>
      <c r="J388" s="4">
        <v>0</v>
      </c>
      <c r="K388" s="4">
        <v>0</v>
      </c>
      <c r="L388" s="1" t="str">
        <f>VLOOKUP(B388,SKU匹配表!A:D,4,0)</f>
        <v>烟灶</v>
      </c>
      <c r="M388" s="5" t="str">
        <f>VLOOKUP(B388,SKU匹配表!A:C,3,0)</f>
        <v>M2GB+NM11T+JZT-2E08MT</v>
      </c>
    </row>
    <row r="389" ht="19" customHeight="1" spans="1:13">
      <c r="A389" s="6">
        <v>45251</v>
      </c>
      <c r="B389" s="4">
        <v>100023173845</v>
      </c>
      <c r="C389" s="4" t="s">
        <v>445</v>
      </c>
      <c r="D389" s="4">
        <v>1</v>
      </c>
      <c r="E389" s="4">
        <v>2599</v>
      </c>
      <c r="F389" s="4">
        <v>2694</v>
      </c>
      <c r="G389" s="4">
        <v>-95</v>
      </c>
      <c r="H389" s="4">
        <v>0</v>
      </c>
      <c r="I389" s="4">
        <v>0</v>
      </c>
      <c r="J389" s="4">
        <v>0</v>
      </c>
      <c r="K389" s="4">
        <v>0</v>
      </c>
      <c r="L389" s="1" t="str">
        <f>VLOOKUP(B389,SKU匹配表!A:D,4,0)</f>
        <v>烟灶</v>
      </c>
      <c r="M389" s="5" t="str">
        <f>VLOOKUP(B389,SKU匹配表!A:C,3,0)</f>
        <v>NM09J</v>
      </c>
    </row>
    <row r="390" ht="19" customHeight="1" spans="1:13">
      <c r="A390" s="6">
        <v>45251</v>
      </c>
      <c r="B390" s="4">
        <v>100009176298</v>
      </c>
      <c r="C390" s="4" t="s">
        <v>376</v>
      </c>
      <c r="D390" s="4">
        <v>1</v>
      </c>
      <c r="E390" s="4">
        <v>4789</v>
      </c>
      <c r="F390" s="4">
        <v>5604</v>
      </c>
      <c r="G390" s="4">
        <v>-815</v>
      </c>
      <c r="H390" s="4">
        <v>511</v>
      </c>
      <c r="I390" s="4">
        <v>0</v>
      </c>
      <c r="J390" s="4">
        <v>0</v>
      </c>
      <c r="K390" s="4">
        <v>0</v>
      </c>
      <c r="L390" s="1" t="str">
        <f>VLOOKUP(B390,SKU匹配表!A:D,4,0)</f>
        <v>燃气热水器</v>
      </c>
      <c r="M390" s="5" t="str">
        <f>VLOOKUP(B390,SKU匹配表!A:C,3,0)</f>
        <v>16QD06W+SG</v>
      </c>
    </row>
    <row r="391" ht="19" customHeight="1" spans="1:13">
      <c r="A391" s="6">
        <v>45251</v>
      </c>
      <c r="B391" s="4">
        <v>100013985394</v>
      </c>
      <c r="C391" s="4" t="s">
        <v>358</v>
      </c>
      <c r="D391" s="4">
        <v>1</v>
      </c>
      <c r="E391" s="4">
        <v>2578</v>
      </c>
      <c r="F391" s="4">
        <v>2369</v>
      </c>
      <c r="G391" s="4">
        <v>209</v>
      </c>
      <c r="H391" s="4">
        <v>100</v>
      </c>
      <c r="I391" s="4">
        <v>0</v>
      </c>
      <c r="J391" s="4">
        <v>0</v>
      </c>
      <c r="K391" s="4">
        <v>138</v>
      </c>
      <c r="L391" s="1" t="str">
        <f>VLOOKUP(B391,SKU匹配表!A:D,4,0)</f>
        <v>燃气热水器</v>
      </c>
      <c r="M391" s="5" t="str">
        <f>VLOOKUP(B391,SKU匹配表!A:C,3,0)</f>
        <v>11QD31</v>
      </c>
    </row>
    <row r="392" ht="19" customHeight="1" spans="1:13">
      <c r="A392" s="6">
        <v>45251</v>
      </c>
      <c r="B392" s="4">
        <v>100047226938</v>
      </c>
      <c r="C392" s="4" t="s">
        <v>456</v>
      </c>
      <c r="D392" s="4">
        <v>1</v>
      </c>
      <c r="E392" s="4">
        <v>6299</v>
      </c>
      <c r="F392" s="4">
        <v>6174.05</v>
      </c>
      <c r="G392" s="4">
        <v>124.95</v>
      </c>
      <c r="H392" s="4">
        <v>500</v>
      </c>
      <c r="I392" s="4">
        <v>0</v>
      </c>
      <c r="J392" s="4">
        <v>0</v>
      </c>
      <c r="K392" s="4">
        <v>0</v>
      </c>
      <c r="L392" s="1" t="str">
        <f>VLOOKUP(B392,SKU匹配表!A:D,4,0)</f>
        <v>烟灶</v>
      </c>
      <c r="M392" s="5" t="str">
        <f>VLOOKUP(B392,SKU匹配表!A:C,3,0)</f>
        <v>NM11T+2E07MT+16GD31</v>
      </c>
    </row>
    <row r="393" ht="19" customHeight="1" spans="1:13">
      <c r="A393" s="6">
        <v>45251</v>
      </c>
      <c r="B393" s="4">
        <v>100060792398</v>
      </c>
      <c r="C393" s="4" t="s">
        <v>424</v>
      </c>
      <c r="D393" s="4">
        <v>1</v>
      </c>
      <c r="E393" s="4">
        <v>6719</v>
      </c>
      <c r="F393" s="4">
        <v>6934</v>
      </c>
      <c r="G393" s="4">
        <v>-215</v>
      </c>
      <c r="H393" s="4">
        <v>580</v>
      </c>
      <c r="I393" s="4">
        <v>0</v>
      </c>
      <c r="J393" s="4">
        <v>0</v>
      </c>
      <c r="K393" s="4">
        <v>0</v>
      </c>
      <c r="L393" s="1" t="str">
        <f>VLOOKUP(B393,SKU匹配表!A:D,4,0)</f>
        <v>烟灶</v>
      </c>
      <c r="M393" s="5" t="str">
        <f>VLOOKUP(B393,SKU匹配表!A:C,3,0)</f>
        <v>NM11T+2E07MT+16GD32</v>
      </c>
    </row>
    <row r="394" ht="19" customHeight="1" spans="1:13">
      <c r="A394" s="6">
        <v>45251</v>
      </c>
      <c r="B394" s="4">
        <v>100028791380</v>
      </c>
      <c r="C394" s="4" t="s">
        <v>345</v>
      </c>
      <c r="D394" s="4">
        <v>1</v>
      </c>
      <c r="E394" s="4">
        <v>2599</v>
      </c>
      <c r="F394" s="4">
        <v>2464</v>
      </c>
      <c r="G394" s="4">
        <v>135</v>
      </c>
      <c r="H394" s="4">
        <v>0</v>
      </c>
      <c r="I394" s="4">
        <v>0</v>
      </c>
      <c r="J394" s="4">
        <v>0</v>
      </c>
      <c r="K394" s="4">
        <v>0</v>
      </c>
      <c r="L394" s="1" t="e">
        <f>VLOOKUP(B394,SKU匹配表!A:D,4,0)</f>
        <v>#N/A</v>
      </c>
      <c r="M394" s="5" t="e">
        <f>VLOOKUP(B394,SKU匹配表!A:C,3,0)</f>
        <v>#N/A</v>
      </c>
    </row>
    <row r="395" ht="19" customHeight="1" spans="1:13">
      <c r="A395" s="6">
        <v>45251</v>
      </c>
      <c r="B395" s="4">
        <v>100047226940</v>
      </c>
      <c r="C395" s="4" t="s">
        <v>457</v>
      </c>
      <c r="D395" s="4">
        <v>1</v>
      </c>
      <c r="E395" s="4">
        <v>7599</v>
      </c>
      <c r="F395" s="4">
        <v>7219.05</v>
      </c>
      <c r="G395" s="4">
        <v>379.95</v>
      </c>
      <c r="H395" s="4">
        <v>200</v>
      </c>
      <c r="I395" s="4">
        <v>0</v>
      </c>
      <c r="J395" s="4">
        <v>0</v>
      </c>
      <c r="K395" s="4">
        <v>0</v>
      </c>
      <c r="L395" s="1" t="str">
        <f>VLOOKUP(B395,SKU匹配表!A:D,4,0)</f>
        <v>烟灶</v>
      </c>
      <c r="M395" s="5" t="str">
        <f>VLOOKUP(B395,SKU匹配表!A:C,3,0)</f>
        <v>NM09J+2E03LS+13QD06W</v>
      </c>
    </row>
    <row r="396" ht="19" customHeight="1" spans="1:13">
      <c r="A396" s="6">
        <v>45251</v>
      </c>
      <c r="B396" s="4">
        <v>100068280113</v>
      </c>
      <c r="C396" s="4" t="s">
        <v>430</v>
      </c>
      <c r="D396" s="4">
        <v>1</v>
      </c>
      <c r="E396" s="4">
        <v>3719</v>
      </c>
      <c r="F396" s="4">
        <v>4464.05</v>
      </c>
      <c r="G396" s="4">
        <v>-745.05</v>
      </c>
      <c r="H396" s="4">
        <v>180</v>
      </c>
      <c r="I396" s="4">
        <v>0</v>
      </c>
      <c r="J396" s="4">
        <v>0</v>
      </c>
      <c r="K396" s="4">
        <v>0</v>
      </c>
      <c r="L396" s="1" t="str">
        <f>VLOOKUP(B396,SKU匹配表!A:D,4,0)</f>
        <v>烟灶</v>
      </c>
      <c r="M396" s="5" t="str">
        <f>VLOOKUP(B396,SKU匹配表!A:C,3,0)</f>
        <v>NM11T+2E07MTX</v>
      </c>
    </row>
    <row r="397" ht="19" customHeight="1" spans="1:13">
      <c r="A397" s="6">
        <v>45251</v>
      </c>
      <c r="B397" s="4">
        <v>100048630885</v>
      </c>
      <c r="C397" s="4" t="s">
        <v>458</v>
      </c>
      <c r="D397" s="4">
        <v>1</v>
      </c>
      <c r="E397" s="4">
        <v>3099</v>
      </c>
      <c r="F397" s="4">
        <v>3894.05</v>
      </c>
      <c r="G397" s="4">
        <v>-795.05</v>
      </c>
      <c r="H397" s="4">
        <v>200</v>
      </c>
      <c r="I397" s="4">
        <v>0</v>
      </c>
      <c r="J397" s="4">
        <v>0</v>
      </c>
      <c r="K397" s="4">
        <v>0</v>
      </c>
      <c r="L397" s="1" t="str">
        <f>VLOOKUP(B397,SKU匹配表!A:D,4,0)</f>
        <v>烟灶</v>
      </c>
      <c r="M397" s="5" t="str">
        <f>VLOOKUP(B397,SKU匹配表!A:C,3,0)</f>
        <v>NM11T+2E07MT</v>
      </c>
    </row>
    <row r="398" ht="19" customHeight="1" spans="1:13">
      <c r="A398" s="6">
        <v>45251</v>
      </c>
      <c r="B398" s="4">
        <v>100013152202</v>
      </c>
      <c r="C398" s="4" t="s">
        <v>342</v>
      </c>
      <c r="D398" s="4">
        <v>1</v>
      </c>
      <c r="E398" s="4">
        <v>2868</v>
      </c>
      <c r="F398" s="4">
        <v>2889</v>
      </c>
      <c r="G398" s="4">
        <v>-21</v>
      </c>
      <c r="H398" s="4">
        <v>130</v>
      </c>
      <c r="I398" s="4">
        <v>0</v>
      </c>
      <c r="J398" s="4">
        <v>0</v>
      </c>
      <c r="K398" s="4">
        <v>0</v>
      </c>
      <c r="L398" s="1" t="str">
        <f>VLOOKUP(B398,SKU匹配表!A:D,4,0)</f>
        <v>燃气热水器</v>
      </c>
      <c r="M398" s="5" t="str">
        <f>VLOOKUP(B398,SKU匹配表!A:C,3,0)</f>
        <v>16QC05</v>
      </c>
    </row>
    <row r="399" ht="19" customHeight="1" spans="1:13">
      <c r="A399" s="6">
        <v>45251</v>
      </c>
      <c r="B399" s="4">
        <v>100052638198</v>
      </c>
      <c r="C399" s="4" t="s">
        <v>374</v>
      </c>
      <c r="D399" s="4">
        <v>1</v>
      </c>
      <c r="E399" s="4">
        <v>3399</v>
      </c>
      <c r="F399" s="4">
        <v>2944.05</v>
      </c>
      <c r="G399" s="4">
        <v>454.95</v>
      </c>
      <c r="H399" s="4">
        <v>0</v>
      </c>
      <c r="I399" s="4">
        <v>0</v>
      </c>
      <c r="J399" s="4">
        <v>0</v>
      </c>
      <c r="K399" s="4">
        <v>0</v>
      </c>
      <c r="L399" s="1" t="str">
        <f>VLOOKUP(B399,SKU匹配表!A:D,4,0)</f>
        <v>燃气热水器</v>
      </c>
      <c r="M399" s="5" t="str">
        <f>VLOOKUP(B399,SKU匹配表!A:C,3,0)</f>
        <v>16GD32</v>
      </c>
    </row>
    <row r="400" ht="19" customHeight="1" spans="1:13">
      <c r="A400" s="6">
        <v>45251</v>
      </c>
      <c r="B400" s="4">
        <v>100018537954</v>
      </c>
      <c r="C400" s="4" t="s">
        <v>459</v>
      </c>
      <c r="D400" s="4">
        <v>1</v>
      </c>
      <c r="E400" s="4">
        <v>5299</v>
      </c>
      <c r="F400" s="4">
        <v>5900</v>
      </c>
      <c r="G400" s="4">
        <v>-601</v>
      </c>
      <c r="H400" s="4">
        <v>500</v>
      </c>
      <c r="I400" s="4">
        <v>0</v>
      </c>
      <c r="J400" s="4">
        <v>0</v>
      </c>
      <c r="K400" s="4">
        <v>0</v>
      </c>
      <c r="L400" s="1" t="str">
        <f>VLOOKUP(B400,SKU匹配表!A:D,4,0)</f>
        <v>洗碗机</v>
      </c>
      <c r="M400" s="5" t="str">
        <f>VLOOKUP(B400,SKU匹配表!A:C,3,0)</f>
        <v>WDD15-M3SB</v>
      </c>
    </row>
    <row r="401" ht="19" customHeight="1" spans="1:13">
      <c r="A401" s="6">
        <v>45251</v>
      </c>
      <c r="B401" s="4">
        <v>100012868940</v>
      </c>
      <c r="C401" s="4" t="s">
        <v>376</v>
      </c>
      <c r="D401" s="4">
        <v>1</v>
      </c>
      <c r="E401" s="4">
        <v>4090</v>
      </c>
      <c r="F401" s="4">
        <v>3885</v>
      </c>
      <c r="G401" s="4">
        <v>205</v>
      </c>
      <c r="H401" s="4">
        <v>0</v>
      </c>
      <c r="I401" s="4">
        <v>0</v>
      </c>
      <c r="J401" s="4">
        <v>0</v>
      </c>
      <c r="K401" s="4">
        <v>0</v>
      </c>
      <c r="L401" s="1" t="str">
        <f>VLOOKUP(B401,SKU匹配表!A:D,4,0)</f>
        <v>燃气热水器</v>
      </c>
      <c r="M401" s="5" t="str">
        <f>VLOOKUP(B401,SKU匹配表!A:C,3,0)</f>
        <v>16QD06W+SG</v>
      </c>
    </row>
    <row r="402" ht="19" customHeight="1" spans="1:13">
      <c r="A402" s="6">
        <v>45251</v>
      </c>
      <c r="B402" s="4">
        <v>100023723341</v>
      </c>
      <c r="C402" s="4" t="s">
        <v>356</v>
      </c>
      <c r="D402" s="4">
        <v>1</v>
      </c>
      <c r="E402" s="4">
        <v>1899</v>
      </c>
      <c r="F402" s="4">
        <v>2944</v>
      </c>
      <c r="G402" s="4">
        <v>-1045</v>
      </c>
      <c r="H402" s="4">
        <v>0</v>
      </c>
      <c r="I402" s="4">
        <v>0</v>
      </c>
      <c r="J402" s="4">
        <v>0</v>
      </c>
      <c r="K402" s="4">
        <v>0</v>
      </c>
      <c r="L402" s="1" t="str">
        <f>VLOOKUP(B402,SKU匹配表!A:D,4,0)</f>
        <v>电热</v>
      </c>
      <c r="M402" s="5" t="str">
        <f>VLOOKUP(B402,SKU匹配表!A:C,3,0)</f>
        <v>DSG60-DE07PN</v>
      </c>
    </row>
    <row r="403" ht="19" customHeight="1" spans="1:13">
      <c r="A403" s="6">
        <v>45251</v>
      </c>
      <c r="B403" s="4">
        <v>100068280133</v>
      </c>
      <c r="C403" s="4" t="s">
        <v>429</v>
      </c>
      <c r="D403" s="4">
        <v>1</v>
      </c>
      <c r="E403" s="4">
        <v>3599</v>
      </c>
      <c r="F403" s="4">
        <v>4084.05</v>
      </c>
      <c r="G403" s="4">
        <v>-485.05</v>
      </c>
      <c r="H403" s="4">
        <v>0</v>
      </c>
      <c r="I403" s="4">
        <v>0</v>
      </c>
      <c r="J403" s="4">
        <v>0</v>
      </c>
      <c r="K403" s="4">
        <v>0</v>
      </c>
      <c r="L403" s="1" t="str">
        <f>VLOOKUP(B403,SKU匹配表!A:D,4,0)</f>
        <v>烟灶</v>
      </c>
      <c r="M403" s="5" t="str">
        <f>VLOOKUP(B403,SKU匹配表!A:C,3,0)</f>
        <v>NM09J+2E07MTX</v>
      </c>
    </row>
    <row r="404" ht="19" customHeight="1" spans="1:13">
      <c r="A404" s="6">
        <v>45251</v>
      </c>
      <c r="B404" s="4">
        <v>100024530025</v>
      </c>
      <c r="C404" s="4" t="s">
        <v>365</v>
      </c>
      <c r="D404" s="4">
        <v>1</v>
      </c>
      <c r="E404" s="4">
        <v>1699</v>
      </c>
      <c r="F404" s="4">
        <v>2900</v>
      </c>
      <c r="G404" s="4">
        <v>-1201</v>
      </c>
      <c r="H404" s="4">
        <v>0</v>
      </c>
      <c r="I404" s="4">
        <v>0</v>
      </c>
      <c r="J404" s="4">
        <v>0</v>
      </c>
      <c r="K404" s="4">
        <v>0</v>
      </c>
      <c r="L404" s="1" t="str">
        <f>VLOOKUP(B404,SKU匹配表!A:D,4,0)</f>
        <v>烟灶</v>
      </c>
      <c r="M404" s="5" t="str">
        <f>VLOOKUP(B404,SKU匹配表!A:C,3,0)</f>
        <v>NM10T</v>
      </c>
    </row>
    <row r="405" ht="19" customHeight="1" spans="1:13">
      <c r="A405" s="6">
        <v>45251</v>
      </c>
      <c r="B405" s="4">
        <v>100013152188</v>
      </c>
      <c r="C405" s="4" t="s">
        <v>343</v>
      </c>
      <c r="D405" s="4">
        <v>1</v>
      </c>
      <c r="E405" s="4">
        <v>3979</v>
      </c>
      <c r="F405" s="4">
        <v>3885</v>
      </c>
      <c r="G405" s="4">
        <v>94</v>
      </c>
      <c r="H405" s="4">
        <v>300</v>
      </c>
      <c r="I405" s="4">
        <v>0</v>
      </c>
      <c r="J405" s="4">
        <v>0</v>
      </c>
      <c r="K405" s="4">
        <v>0</v>
      </c>
      <c r="L405" s="1" t="str">
        <f>VLOOKUP(B405,SKU匹配表!A:D,4,0)</f>
        <v>燃气热水器</v>
      </c>
      <c r="M405" s="5" t="str">
        <f>VLOOKUP(B405,SKU匹配表!A:C,3,0)</f>
        <v>16QD06W</v>
      </c>
    </row>
    <row r="406" ht="19" customHeight="1" spans="1:13">
      <c r="A406" s="6">
        <v>45251</v>
      </c>
      <c r="B406" s="4">
        <v>100016574664</v>
      </c>
      <c r="C406" s="4" t="s">
        <v>346</v>
      </c>
      <c r="D406" s="4">
        <v>1</v>
      </c>
      <c r="E406" s="4">
        <v>3299</v>
      </c>
      <c r="F406" s="4">
        <v>3314</v>
      </c>
      <c r="G406" s="4">
        <v>-15</v>
      </c>
      <c r="H406" s="4">
        <v>0</v>
      </c>
      <c r="I406" s="4">
        <v>0</v>
      </c>
      <c r="J406" s="4">
        <v>0</v>
      </c>
      <c r="K406" s="4">
        <v>0</v>
      </c>
      <c r="L406" s="1" t="str">
        <f>VLOOKUP(B406,SKU匹配表!A:D,4,0)</f>
        <v>燃气热水器</v>
      </c>
      <c r="M406" s="5" t="str">
        <f>VLOOKUP(B406,SKU匹配表!A:C,3,0)</f>
        <v>16QD31</v>
      </c>
    </row>
    <row r="407" ht="19" customHeight="1" spans="1:13">
      <c r="A407" s="6">
        <v>45251</v>
      </c>
      <c r="B407" s="4">
        <v>100068280115</v>
      </c>
      <c r="C407" s="4" t="s">
        <v>396</v>
      </c>
      <c r="D407" s="4">
        <v>1</v>
      </c>
      <c r="E407" s="4">
        <v>2307.29</v>
      </c>
      <c r="F407" s="4">
        <v>1804.05</v>
      </c>
      <c r="G407" s="4">
        <v>503.24</v>
      </c>
      <c r="H407" s="4">
        <v>0</v>
      </c>
      <c r="I407" s="4">
        <v>0</v>
      </c>
      <c r="J407" s="4">
        <v>0</v>
      </c>
      <c r="K407" s="4">
        <v>0</v>
      </c>
      <c r="L407" s="1" t="str">
        <f>VLOOKUP(B407,SKU匹配表!A:D,4,0)</f>
        <v>烟灶</v>
      </c>
      <c r="M407" s="5" t="str">
        <f>VLOOKUP(B407,SKU匹配表!A:C,3,0)</f>
        <v>2E07MTX</v>
      </c>
    </row>
    <row r="408" ht="19" customHeight="1" spans="1:13">
      <c r="A408" s="6">
        <v>45251</v>
      </c>
      <c r="B408" s="4">
        <v>100057296400</v>
      </c>
      <c r="C408" s="4" t="s">
        <v>393</v>
      </c>
      <c r="D408" s="4">
        <v>0</v>
      </c>
      <c r="E408" s="4">
        <v>166.8243</v>
      </c>
      <c r="F408" s="4">
        <v>0</v>
      </c>
      <c r="G408" s="4">
        <v>166.8243</v>
      </c>
      <c r="H408" s="4">
        <v>0</v>
      </c>
      <c r="I408" s="4">
        <v>0</v>
      </c>
      <c r="J408" s="4">
        <v>0</v>
      </c>
      <c r="K408" s="4">
        <v>0</v>
      </c>
      <c r="L408" s="1" t="e">
        <f>VLOOKUP(B408,SKU匹配表!A:D,4,0)</f>
        <v>#N/A</v>
      </c>
      <c r="M408" s="5" t="e">
        <f>VLOOKUP(B408,SKU匹配表!A:C,3,0)</f>
        <v>#N/A</v>
      </c>
    </row>
    <row r="409" ht="19" customHeight="1" spans="1:13">
      <c r="A409" s="6">
        <v>45251</v>
      </c>
      <c r="B409" s="4">
        <v>100023723349</v>
      </c>
      <c r="C409" s="4" t="s">
        <v>387</v>
      </c>
      <c r="D409" s="4">
        <v>0</v>
      </c>
      <c r="E409" s="4">
        <v>-140</v>
      </c>
      <c r="F409" s="4">
        <v>0</v>
      </c>
      <c r="G409" s="4">
        <v>-140</v>
      </c>
      <c r="H409" s="4">
        <v>400</v>
      </c>
      <c r="I409" s="4">
        <v>0</v>
      </c>
      <c r="J409" s="4">
        <v>0</v>
      </c>
      <c r="K409" s="4">
        <v>0</v>
      </c>
      <c r="L409" s="1" t="str">
        <f>VLOOKUP(B409,SKU匹配表!A:D,4,0)</f>
        <v>燃气热水器</v>
      </c>
      <c r="M409" s="5" t="str">
        <f>VLOOKUP(B409,SKU匹配表!A:C,3,0)</f>
        <v>R16E32FBF</v>
      </c>
    </row>
    <row r="410" ht="19" customHeight="1" spans="1:13">
      <c r="A410" s="6">
        <v>45251</v>
      </c>
      <c r="B410" s="4">
        <v>100069368166</v>
      </c>
      <c r="C410" s="4" t="s">
        <v>399</v>
      </c>
      <c r="D410" s="4">
        <v>-1</v>
      </c>
      <c r="E410" s="4">
        <v>-2009</v>
      </c>
      <c r="F410" s="4">
        <v>-4084</v>
      </c>
      <c r="G410" s="4">
        <v>2075</v>
      </c>
      <c r="H410" s="4">
        <v>0</v>
      </c>
      <c r="I410" s="4">
        <v>0</v>
      </c>
      <c r="J410" s="4">
        <v>0</v>
      </c>
      <c r="K410" s="4">
        <v>0</v>
      </c>
      <c r="L410" s="1" t="str">
        <f>VLOOKUP(B410,SKU匹配表!A:D,4,0)</f>
        <v>烟灶</v>
      </c>
      <c r="M410" s="5" t="str">
        <f>VLOOKUP(B410,SKU匹配表!A:C,3,0)</f>
        <v>NMW21J+2E08MT</v>
      </c>
    </row>
    <row r="411" ht="19" customHeight="1" spans="1:13">
      <c r="A411" s="6">
        <v>45251</v>
      </c>
      <c r="B411" s="4">
        <v>100013429772</v>
      </c>
      <c r="C411" s="4" t="s">
        <v>428</v>
      </c>
      <c r="D411" s="4">
        <v>-1</v>
      </c>
      <c r="E411" s="4">
        <v>-739</v>
      </c>
      <c r="F411" s="4">
        <v>-712</v>
      </c>
      <c r="G411" s="4">
        <v>-27</v>
      </c>
      <c r="H411" s="4">
        <v>0</v>
      </c>
      <c r="I411" s="4">
        <v>0</v>
      </c>
      <c r="J411" s="4">
        <v>0</v>
      </c>
      <c r="K411" s="4">
        <v>0</v>
      </c>
      <c r="L411" s="1" t="str">
        <f>VLOOKUP(B411,SKU匹配表!A:D,4,0)</f>
        <v>净水器</v>
      </c>
      <c r="M411" s="5" t="str">
        <f>VLOOKUP(B411,SKU匹配表!A:C,3,0)</f>
        <v>RWTS-R063-A</v>
      </c>
    </row>
    <row r="412" ht="19" customHeight="1" spans="1:13">
      <c r="A412" s="6">
        <v>45251</v>
      </c>
      <c r="B412" s="4">
        <v>100007649003</v>
      </c>
      <c r="C412" s="4" t="s">
        <v>364</v>
      </c>
      <c r="D412" s="4">
        <v>-1</v>
      </c>
      <c r="E412" s="4">
        <v>-2274</v>
      </c>
      <c r="F412" s="4">
        <v>-2609</v>
      </c>
      <c r="G412" s="4">
        <v>335</v>
      </c>
      <c r="H412" s="4">
        <v>0</v>
      </c>
      <c r="I412" s="4">
        <v>0</v>
      </c>
      <c r="J412" s="4">
        <v>0</v>
      </c>
      <c r="K412" s="4">
        <v>0</v>
      </c>
      <c r="L412" s="1" t="str">
        <f>VLOOKUP(B412,SKU匹配表!A:D,4,0)</f>
        <v>燃气热水器</v>
      </c>
      <c r="M412" s="5" t="str">
        <f>VLOOKUP(B412,SKU匹配表!A:C,3,0)</f>
        <v>13QD01</v>
      </c>
    </row>
    <row r="413" ht="19" customHeight="1" spans="1:13">
      <c r="A413" s="6">
        <v>45251</v>
      </c>
      <c r="B413" s="4">
        <v>100008442137</v>
      </c>
      <c r="C413" s="4" t="s">
        <v>400</v>
      </c>
      <c r="D413" s="4">
        <v>-1</v>
      </c>
      <c r="E413" s="4">
        <v>-320</v>
      </c>
      <c r="F413" s="4">
        <v>-379</v>
      </c>
      <c r="G413" s="4">
        <v>59</v>
      </c>
      <c r="H413" s="4">
        <v>8</v>
      </c>
      <c r="I413" s="4">
        <v>0</v>
      </c>
      <c r="J413" s="4">
        <v>0</v>
      </c>
      <c r="K413" s="4">
        <v>0</v>
      </c>
      <c r="L413" s="1" t="str">
        <f>VLOOKUP(B413,SKU匹配表!A:D,4,0)</f>
        <v>净水器</v>
      </c>
      <c r="M413" s="5" t="str">
        <f>VLOOKUP(B413,SKU匹配表!A:C,3,0)</f>
        <v>RWTS-PF-1</v>
      </c>
    </row>
    <row r="414" ht="19" customHeight="1" spans="1:13">
      <c r="A414" s="6">
        <v>45251</v>
      </c>
      <c r="B414" s="4">
        <v>100007303429</v>
      </c>
      <c r="C414" s="4" t="s">
        <v>405</v>
      </c>
      <c r="D414" s="4">
        <v>-1</v>
      </c>
      <c r="E414" s="4">
        <v>-3697</v>
      </c>
      <c r="F414" s="4">
        <v>-4079</v>
      </c>
      <c r="G414" s="4">
        <v>382</v>
      </c>
      <c r="H414" s="4">
        <v>-300</v>
      </c>
      <c r="I414" s="4">
        <v>0</v>
      </c>
      <c r="J414" s="4">
        <v>0</v>
      </c>
      <c r="K414" s="4">
        <v>0</v>
      </c>
      <c r="L414" s="1" t="str">
        <f>VLOOKUP(B414,SKU匹配表!A:D,4,0)</f>
        <v>燃气热水器</v>
      </c>
      <c r="M414" s="5" t="str">
        <f>VLOOKUP(B414,SKU匹配表!A:C,3,0)</f>
        <v>16QC05+SG</v>
      </c>
    </row>
    <row r="415" ht="19" customHeight="1" spans="1:13">
      <c r="A415" s="6">
        <v>45251</v>
      </c>
      <c r="B415" s="4">
        <v>100023723347</v>
      </c>
      <c r="C415" s="4" t="s">
        <v>370</v>
      </c>
      <c r="D415" s="4">
        <v>-2</v>
      </c>
      <c r="E415" s="4">
        <v>-3088</v>
      </c>
      <c r="F415" s="4">
        <v>-5318.1</v>
      </c>
      <c r="G415" s="4">
        <v>2230.1</v>
      </c>
      <c r="H415" s="4">
        <v>0</v>
      </c>
      <c r="I415" s="4">
        <v>0</v>
      </c>
      <c r="J415" s="4">
        <v>0</v>
      </c>
      <c r="K415" s="4">
        <v>0</v>
      </c>
      <c r="L415" s="1" t="str">
        <f>VLOOKUP(B415,SKU匹配表!A:D,4,0)</f>
        <v>电热</v>
      </c>
      <c r="M415" s="5" t="str">
        <f>VLOOKUP(B415,SKU匹配表!A:C,3,0)</f>
        <v>DSG50-DE07PN</v>
      </c>
    </row>
    <row r="416" ht="19" customHeight="1" spans="1:13">
      <c r="A416" s="6">
        <v>45251</v>
      </c>
      <c r="B416" s="4">
        <v>100002444086</v>
      </c>
      <c r="C416" s="4" t="s">
        <v>363</v>
      </c>
      <c r="D416" s="4">
        <v>-19</v>
      </c>
      <c r="E416" s="4">
        <v>-1882</v>
      </c>
      <c r="F416" s="4">
        <v>-1805</v>
      </c>
      <c r="G416" s="4">
        <v>-77</v>
      </c>
      <c r="H416" s="4">
        <v>0</v>
      </c>
      <c r="I416" s="4">
        <v>0</v>
      </c>
      <c r="J416" s="4">
        <v>0</v>
      </c>
      <c r="K416" s="4">
        <v>0</v>
      </c>
      <c r="L416" s="1" t="str">
        <f>VLOOKUP(B416,SKU匹配表!A:D,4,0)</f>
        <v>定金</v>
      </c>
      <c r="M416" s="5" t="str">
        <f>VLOOKUP(B416,SKU匹配表!A:C,3,0)</f>
        <v>定金</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759"/>
  <sheetViews>
    <sheetView workbookViewId="0">
      <pane ySplit="1" topLeftCell="A2" activePane="bottomLeft" state="frozen"/>
      <selection/>
      <selection pane="bottomLeft" activeCell="A1" sqref="A1"/>
    </sheetView>
  </sheetViews>
  <sheetFormatPr defaultColWidth="14" defaultRowHeight="12.75" outlineLevelCol="4"/>
  <cols>
    <col min="1" max="1" width="25" customWidth="1"/>
    <col min="2" max="2" width="30" customWidth="1"/>
    <col min="3" max="3" width="33" customWidth="1"/>
    <col min="4" max="4" width="17" customWidth="1"/>
    <col min="5" max="5" width="12" customWidth="1"/>
    <col min="6" max="20" width="17" customWidth="1"/>
  </cols>
  <sheetData>
    <row r="1" ht="21" customHeight="1" spans="1:5">
      <c r="A1" s="1" t="s">
        <v>460</v>
      </c>
      <c r="B1" s="1" t="s">
        <v>461</v>
      </c>
      <c r="C1" s="1" t="s">
        <v>338</v>
      </c>
      <c r="D1" s="1" t="s">
        <v>462</v>
      </c>
      <c r="E1" s="1" t="s">
        <v>1</v>
      </c>
    </row>
    <row r="2" ht="21" customHeight="1" spans="1:5">
      <c r="A2" s="2">
        <v>100012048688</v>
      </c>
      <c r="B2" s="3" t="s">
        <v>463</v>
      </c>
      <c r="C2" s="4" t="s">
        <v>76</v>
      </c>
      <c r="D2" s="4" t="s">
        <v>32</v>
      </c>
      <c r="E2" s="4" t="s">
        <v>1</v>
      </c>
    </row>
    <row r="3" ht="21" customHeight="1" spans="1:5">
      <c r="A3" s="2">
        <v>100007725035</v>
      </c>
      <c r="B3" s="3" t="s">
        <v>464</v>
      </c>
      <c r="C3" s="4" t="s">
        <v>83</v>
      </c>
      <c r="D3" s="4" t="s">
        <v>32</v>
      </c>
      <c r="E3" s="4" t="s">
        <v>1</v>
      </c>
    </row>
    <row r="4" ht="21" customHeight="1" spans="1:5">
      <c r="A4" s="2">
        <v>100012048672</v>
      </c>
      <c r="B4" s="3" t="s">
        <v>465</v>
      </c>
      <c r="C4" s="4" t="s">
        <v>87</v>
      </c>
      <c r="D4" s="4" t="s">
        <v>32</v>
      </c>
      <c r="E4" s="4" t="s">
        <v>1</v>
      </c>
    </row>
    <row r="5" ht="21" customHeight="1" spans="1:5">
      <c r="A5" s="2">
        <v>100007725017</v>
      </c>
      <c r="B5" s="3" t="s">
        <v>466</v>
      </c>
      <c r="C5" s="4" t="s">
        <v>80</v>
      </c>
      <c r="D5" s="4" t="s">
        <v>32</v>
      </c>
      <c r="E5" s="4" t="s">
        <v>1</v>
      </c>
    </row>
    <row r="6" ht="21" customHeight="1" spans="1:5">
      <c r="A6" s="2">
        <v>4081449</v>
      </c>
      <c r="B6" s="3" t="s">
        <v>467</v>
      </c>
      <c r="C6" s="4" t="s">
        <v>468</v>
      </c>
      <c r="D6" s="4" t="s">
        <v>32</v>
      </c>
      <c r="E6" s="4" t="s">
        <v>1</v>
      </c>
    </row>
    <row r="7" ht="21" customHeight="1" spans="1:5">
      <c r="A7" s="2">
        <v>100009176306</v>
      </c>
      <c r="B7" s="3" t="s">
        <v>469</v>
      </c>
      <c r="C7" s="4" t="s">
        <v>84</v>
      </c>
      <c r="D7" s="4" t="s">
        <v>32</v>
      </c>
      <c r="E7" s="4" t="s">
        <v>1</v>
      </c>
    </row>
    <row r="8" ht="21" customHeight="1" spans="1:5">
      <c r="A8" s="2">
        <v>6513912</v>
      </c>
      <c r="B8" s="3" t="s">
        <v>470</v>
      </c>
      <c r="C8" s="4" t="s">
        <v>143</v>
      </c>
      <c r="D8" s="4" t="s">
        <v>32</v>
      </c>
      <c r="E8" s="4" t="s">
        <v>1</v>
      </c>
    </row>
    <row r="9" ht="21" customHeight="1" spans="1:5">
      <c r="A9" s="2">
        <v>4860098</v>
      </c>
      <c r="B9" s="3" t="s">
        <v>471</v>
      </c>
      <c r="C9" s="4" t="s">
        <v>472</v>
      </c>
      <c r="D9" s="4" t="s">
        <v>32</v>
      </c>
      <c r="E9" s="4" t="s">
        <v>1</v>
      </c>
    </row>
    <row r="10" ht="21" customHeight="1" spans="1:5">
      <c r="A10" s="2">
        <v>100009176278</v>
      </c>
      <c r="B10" s="3" t="s">
        <v>473</v>
      </c>
      <c r="C10" s="4" t="s">
        <v>81</v>
      </c>
      <c r="D10" s="4" t="s">
        <v>32</v>
      </c>
      <c r="E10" s="4" t="s">
        <v>1</v>
      </c>
    </row>
    <row r="11" ht="21" customHeight="1" spans="1:5">
      <c r="A11" s="2">
        <v>100007987051</v>
      </c>
      <c r="B11" s="3" t="s">
        <v>474</v>
      </c>
      <c r="C11" s="4" t="s">
        <v>475</v>
      </c>
      <c r="D11" s="4" t="s">
        <v>32</v>
      </c>
      <c r="E11" s="4" t="s">
        <v>1</v>
      </c>
    </row>
    <row r="12" ht="21" customHeight="1" spans="1:5">
      <c r="A12" s="2">
        <v>100055433530</v>
      </c>
      <c r="B12" s="3" t="s">
        <v>476</v>
      </c>
      <c r="C12" s="4" t="s">
        <v>477</v>
      </c>
      <c r="D12" s="4" t="s">
        <v>478</v>
      </c>
      <c r="E12" s="4" t="s">
        <v>1</v>
      </c>
    </row>
    <row r="13" ht="21" customHeight="1" spans="1:5">
      <c r="A13" s="2">
        <v>100023723347</v>
      </c>
      <c r="B13" s="3" t="s">
        <v>479</v>
      </c>
      <c r="C13" s="4" t="s">
        <v>480</v>
      </c>
      <c r="D13" s="4" t="s">
        <v>481</v>
      </c>
      <c r="E13" s="4" t="s">
        <v>1</v>
      </c>
    </row>
    <row r="14" ht="21" customHeight="1" spans="1:5">
      <c r="A14" s="2">
        <v>100070033613</v>
      </c>
      <c r="B14" s="3" t="s">
        <v>482</v>
      </c>
      <c r="C14" s="4" t="s">
        <v>483</v>
      </c>
      <c r="D14" s="4" t="s">
        <v>478</v>
      </c>
      <c r="E14" s="4" t="s">
        <v>1</v>
      </c>
    </row>
    <row r="15" ht="21" customHeight="1" spans="1:5">
      <c r="A15" s="2">
        <v>100075296615</v>
      </c>
      <c r="B15" s="3" t="s">
        <v>484</v>
      </c>
      <c r="C15" s="4" t="s">
        <v>485</v>
      </c>
      <c r="D15" s="4" t="s">
        <v>478</v>
      </c>
      <c r="E15" s="4" t="s">
        <v>1</v>
      </c>
    </row>
    <row r="16" ht="21" customHeight="1" spans="1:5">
      <c r="A16" s="2">
        <v>100077266594</v>
      </c>
      <c r="B16" s="3" t="s">
        <v>486</v>
      </c>
      <c r="C16" s="4" t="s">
        <v>487</v>
      </c>
      <c r="D16" s="4" t="s">
        <v>478</v>
      </c>
      <c r="E16" s="4" t="s">
        <v>1</v>
      </c>
    </row>
    <row r="17" ht="21" customHeight="1" spans="1:5">
      <c r="A17" s="2">
        <v>100127916680</v>
      </c>
      <c r="B17" s="3" t="s">
        <v>488</v>
      </c>
      <c r="C17" s="4" t="s">
        <v>489</v>
      </c>
      <c r="D17" s="4" t="s">
        <v>478</v>
      </c>
      <c r="E17" s="4" t="s">
        <v>1</v>
      </c>
    </row>
    <row r="18" ht="21" customHeight="1" spans="1:5">
      <c r="A18" s="2">
        <v>100128693822</v>
      </c>
      <c r="B18" s="3" t="s">
        <v>490</v>
      </c>
      <c r="C18" s="4" t="s">
        <v>491</v>
      </c>
      <c r="D18" s="4" t="s">
        <v>478</v>
      </c>
      <c r="E18" s="4" t="s">
        <v>1</v>
      </c>
    </row>
    <row r="19" ht="21" customHeight="1" spans="1:5">
      <c r="A19" s="2">
        <v>100067530833</v>
      </c>
      <c r="B19" s="3" t="s">
        <v>492</v>
      </c>
      <c r="C19" s="4" t="s">
        <v>493</v>
      </c>
      <c r="D19" s="4" t="s">
        <v>494</v>
      </c>
      <c r="E19" s="4" t="s">
        <v>1</v>
      </c>
    </row>
    <row r="20" ht="21" customHeight="1" spans="1:5">
      <c r="A20" s="2">
        <v>100109064877</v>
      </c>
      <c r="B20" s="3" t="s">
        <v>495</v>
      </c>
      <c r="C20" s="4" t="s">
        <v>496</v>
      </c>
      <c r="D20" s="4" t="s">
        <v>478</v>
      </c>
      <c r="E20" s="4" t="s">
        <v>1</v>
      </c>
    </row>
    <row r="21" ht="21" customHeight="1" spans="1:5">
      <c r="A21" s="2">
        <v>100109584021</v>
      </c>
      <c r="B21" s="3" t="s">
        <v>497</v>
      </c>
      <c r="C21" s="4" t="s">
        <v>498</v>
      </c>
      <c r="D21" s="4" t="s">
        <v>478</v>
      </c>
      <c r="E21" s="4" t="s">
        <v>1</v>
      </c>
    </row>
    <row r="22" ht="21" customHeight="1" spans="1:5">
      <c r="A22" s="2">
        <v>100081797289</v>
      </c>
      <c r="B22" s="3" t="s">
        <v>499</v>
      </c>
      <c r="C22" s="4" t="s">
        <v>500</v>
      </c>
      <c r="D22" s="4" t="s">
        <v>32</v>
      </c>
      <c r="E22" s="4" t="s">
        <v>1</v>
      </c>
    </row>
    <row r="23" ht="21" customHeight="1" spans="1:5">
      <c r="A23" s="2">
        <v>100076064170</v>
      </c>
      <c r="B23" s="3" t="s">
        <v>501</v>
      </c>
      <c r="C23" s="4" t="s">
        <v>502</v>
      </c>
      <c r="D23" s="4" t="s">
        <v>478</v>
      </c>
      <c r="E23" s="4" t="s">
        <v>1</v>
      </c>
    </row>
    <row r="24" ht="21" customHeight="1" spans="1:5">
      <c r="A24" s="2">
        <v>100118339654</v>
      </c>
      <c r="B24" s="3" t="s">
        <v>503</v>
      </c>
      <c r="C24" s="4" t="s">
        <v>143</v>
      </c>
      <c r="D24" s="4" t="s">
        <v>32</v>
      </c>
      <c r="E24" s="4" t="s">
        <v>1</v>
      </c>
    </row>
    <row r="25" ht="21" customHeight="1" spans="1:5">
      <c r="A25" s="2">
        <v>100102681975</v>
      </c>
      <c r="B25" s="3" t="s">
        <v>504</v>
      </c>
      <c r="C25" s="4" t="s">
        <v>472</v>
      </c>
      <c r="D25" s="4" t="s">
        <v>32</v>
      </c>
      <c r="E25" s="4" t="s">
        <v>1</v>
      </c>
    </row>
    <row r="26" ht="21" customHeight="1" spans="1:5">
      <c r="A26" s="2">
        <v>100087023332</v>
      </c>
      <c r="B26" s="3" t="s">
        <v>505</v>
      </c>
      <c r="C26" s="4" t="s">
        <v>506</v>
      </c>
      <c r="D26" s="4" t="s">
        <v>32</v>
      </c>
      <c r="E26" s="4" t="s">
        <v>1</v>
      </c>
    </row>
    <row r="27" ht="21" customHeight="1" spans="1:5">
      <c r="A27" s="2">
        <v>100077266638</v>
      </c>
      <c r="B27" s="3" t="s">
        <v>507</v>
      </c>
      <c r="C27" s="4" t="s">
        <v>508</v>
      </c>
      <c r="D27" s="4" t="s">
        <v>478</v>
      </c>
      <c r="E27" s="4" t="s">
        <v>1</v>
      </c>
    </row>
    <row r="28" ht="21" customHeight="1" spans="1:5">
      <c r="A28" s="2">
        <v>100128693786</v>
      </c>
      <c r="B28" s="3" t="s">
        <v>509</v>
      </c>
      <c r="C28" s="4" t="s">
        <v>510</v>
      </c>
      <c r="D28" s="4" t="s">
        <v>478</v>
      </c>
      <c r="E28" s="4" t="s">
        <v>1</v>
      </c>
    </row>
    <row r="29" ht="21" customHeight="1" spans="1:5">
      <c r="A29" s="2">
        <v>100102100531</v>
      </c>
      <c r="B29" s="3" t="s">
        <v>511</v>
      </c>
      <c r="C29" s="4" t="s">
        <v>512</v>
      </c>
      <c r="D29" s="4" t="s">
        <v>32</v>
      </c>
      <c r="E29" s="4" t="s">
        <v>1</v>
      </c>
    </row>
    <row r="30" ht="21" customHeight="1" spans="1:5">
      <c r="A30" s="2">
        <v>100064684734</v>
      </c>
      <c r="B30" s="3" t="s">
        <v>513</v>
      </c>
      <c r="C30" s="4" t="s">
        <v>514</v>
      </c>
      <c r="D30" s="4" t="s">
        <v>478</v>
      </c>
      <c r="E30" s="4" t="s">
        <v>1</v>
      </c>
    </row>
    <row r="31" ht="21" customHeight="1" spans="1:5">
      <c r="A31" s="2">
        <v>100074495195</v>
      </c>
      <c r="B31" s="3" t="s">
        <v>515</v>
      </c>
      <c r="C31" s="4" t="s">
        <v>516</v>
      </c>
      <c r="D31" s="4" t="s">
        <v>478</v>
      </c>
      <c r="E31" s="4" t="s">
        <v>1</v>
      </c>
    </row>
    <row r="32" ht="21" customHeight="1" spans="1:5">
      <c r="A32" s="2">
        <v>100077274381</v>
      </c>
      <c r="B32" s="3" t="s">
        <v>517</v>
      </c>
      <c r="C32" s="4" t="s">
        <v>518</v>
      </c>
      <c r="D32" s="4" t="s">
        <v>478</v>
      </c>
      <c r="E32" s="4" t="s">
        <v>1</v>
      </c>
    </row>
    <row r="33" ht="21" customHeight="1" spans="1:5">
      <c r="A33" s="2">
        <v>100076064182</v>
      </c>
      <c r="B33" s="3" t="s">
        <v>519</v>
      </c>
      <c r="C33" s="4" t="s">
        <v>520</v>
      </c>
      <c r="D33" s="4" t="s">
        <v>478</v>
      </c>
      <c r="E33" s="4" t="s">
        <v>1</v>
      </c>
    </row>
    <row r="34" ht="21" customHeight="1" spans="1:5">
      <c r="A34" s="2">
        <v>100065607464</v>
      </c>
      <c r="B34" s="3" t="s">
        <v>521</v>
      </c>
      <c r="C34" s="4" t="s">
        <v>522</v>
      </c>
      <c r="D34" s="4" t="s">
        <v>494</v>
      </c>
      <c r="E34" s="4" t="s">
        <v>1</v>
      </c>
    </row>
    <row r="35" ht="21" customHeight="1" spans="1:5">
      <c r="A35" s="2">
        <v>100118339620</v>
      </c>
      <c r="B35" s="3" t="s">
        <v>523</v>
      </c>
      <c r="C35" s="4" t="s">
        <v>524</v>
      </c>
      <c r="D35" s="4" t="s">
        <v>32</v>
      </c>
      <c r="E35" s="4" t="s">
        <v>1</v>
      </c>
    </row>
    <row r="36" ht="21" customHeight="1" spans="1:5">
      <c r="A36" s="2">
        <v>100055433550</v>
      </c>
      <c r="B36" s="3" t="s">
        <v>392</v>
      </c>
      <c r="C36" s="4" t="s">
        <v>525</v>
      </c>
      <c r="D36" s="4" t="s">
        <v>478</v>
      </c>
      <c r="E36" s="4" t="s">
        <v>1</v>
      </c>
    </row>
    <row r="37" ht="21" customHeight="1" spans="1:5">
      <c r="A37" s="2">
        <v>100064320743</v>
      </c>
      <c r="B37" s="3" t="s">
        <v>526</v>
      </c>
      <c r="C37" s="4" t="s">
        <v>527</v>
      </c>
      <c r="D37" s="4" t="s">
        <v>478</v>
      </c>
      <c r="E37" s="4" t="s">
        <v>1</v>
      </c>
    </row>
    <row r="38" ht="21" customHeight="1" spans="1:5">
      <c r="A38" s="2">
        <v>100073225007</v>
      </c>
      <c r="B38" s="3" t="s">
        <v>528</v>
      </c>
      <c r="C38" s="4" t="s">
        <v>529</v>
      </c>
      <c r="D38" s="4" t="s">
        <v>481</v>
      </c>
      <c r="E38" s="4" t="s">
        <v>1</v>
      </c>
    </row>
    <row r="39" ht="21" customHeight="1" spans="1:5">
      <c r="A39" s="2">
        <v>100074155652</v>
      </c>
      <c r="B39" s="3" t="s">
        <v>530</v>
      </c>
      <c r="C39" s="4" t="s">
        <v>480</v>
      </c>
      <c r="D39" s="4" t="s">
        <v>481</v>
      </c>
      <c r="E39" s="4" t="s">
        <v>1</v>
      </c>
    </row>
    <row r="40" ht="21" customHeight="1" spans="1:5">
      <c r="A40" s="2">
        <v>100053562099</v>
      </c>
      <c r="B40" s="3" t="s">
        <v>531</v>
      </c>
      <c r="C40" s="4" t="s">
        <v>532</v>
      </c>
      <c r="D40" s="4" t="s">
        <v>478</v>
      </c>
      <c r="E40" s="4" t="s">
        <v>1</v>
      </c>
    </row>
    <row r="41" ht="21" customHeight="1" spans="1:5">
      <c r="A41" s="2">
        <v>100073225005</v>
      </c>
      <c r="B41" s="3" t="s">
        <v>533</v>
      </c>
      <c r="C41" s="4" t="s">
        <v>534</v>
      </c>
      <c r="D41" s="4" t="s">
        <v>481</v>
      </c>
      <c r="E41" s="4" t="s">
        <v>1</v>
      </c>
    </row>
    <row r="42" ht="21" customHeight="1" spans="1:5">
      <c r="A42" s="2">
        <v>100074155656</v>
      </c>
      <c r="B42" s="3" t="s">
        <v>535</v>
      </c>
      <c r="C42" s="4" t="s">
        <v>536</v>
      </c>
      <c r="D42" s="4" t="s">
        <v>481</v>
      </c>
      <c r="E42" s="4" t="s">
        <v>1</v>
      </c>
    </row>
    <row r="43" ht="21" customHeight="1" spans="1:5">
      <c r="A43" s="2">
        <v>100044608296</v>
      </c>
      <c r="B43" s="3" t="s">
        <v>537</v>
      </c>
      <c r="C43" s="4" t="s">
        <v>532</v>
      </c>
      <c r="D43" s="4" t="s">
        <v>478</v>
      </c>
      <c r="E43" s="4" t="s">
        <v>1</v>
      </c>
    </row>
    <row r="44" ht="21" customHeight="1" spans="1:5">
      <c r="A44" s="2">
        <v>100106000000</v>
      </c>
      <c r="B44" s="3" t="s">
        <v>504</v>
      </c>
      <c r="C44" s="4" t="s">
        <v>472</v>
      </c>
      <c r="D44" s="4" t="s">
        <v>32</v>
      </c>
      <c r="E44" s="4" t="s">
        <v>1</v>
      </c>
    </row>
    <row r="45" ht="21" customHeight="1" spans="1:5">
      <c r="A45" s="2">
        <v>100073225003</v>
      </c>
      <c r="B45" s="4" t="s">
        <v>347</v>
      </c>
      <c r="C45" s="4" t="s">
        <v>105</v>
      </c>
      <c r="D45" s="4" t="s">
        <v>32</v>
      </c>
      <c r="E45" s="4" t="s">
        <v>1</v>
      </c>
    </row>
    <row r="46" ht="21" customHeight="1" spans="1:5">
      <c r="A46" s="2">
        <v>100069368182</v>
      </c>
      <c r="B46" s="3" t="s">
        <v>538</v>
      </c>
      <c r="C46" s="4" t="s">
        <v>539</v>
      </c>
      <c r="D46" s="4" t="s">
        <v>478</v>
      </c>
      <c r="E46" s="4" t="s">
        <v>1</v>
      </c>
    </row>
    <row r="47" ht="21" customHeight="1" spans="1:5">
      <c r="A47" s="2">
        <v>100091421661</v>
      </c>
      <c r="B47" s="3" t="s">
        <v>540</v>
      </c>
      <c r="C47" s="4" t="s">
        <v>541</v>
      </c>
      <c r="D47" s="4" t="s">
        <v>32</v>
      </c>
      <c r="E47" s="4" t="s">
        <v>1</v>
      </c>
    </row>
    <row r="48" ht="21" customHeight="1" spans="1:5">
      <c r="A48" s="2">
        <v>100101713428</v>
      </c>
      <c r="B48" s="3" t="s">
        <v>542</v>
      </c>
      <c r="C48" s="4" t="s">
        <v>543</v>
      </c>
      <c r="D48" s="4" t="s">
        <v>32</v>
      </c>
      <c r="E48" s="4" t="s">
        <v>1</v>
      </c>
    </row>
    <row r="49" ht="21" customHeight="1" spans="1:5">
      <c r="A49" s="2">
        <v>100101713446</v>
      </c>
      <c r="B49" s="4" t="s">
        <v>544</v>
      </c>
      <c r="C49" s="4" t="s">
        <v>545</v>
      </c>
      <c r="D49" s="4" t="s">
        <v>32</v>
      </c>
      <c r="E49" s="4" t="s">
        <v>1</v>
      </c>
    </row>
    <row r="50" ht="21" customHeight="1" spans="1:5">
      <c r="A50" s="2">
        <v>100091421689</v>
      </c>
      <c r="B50" s="3" t="s">
        <v>546</v>
      </c>
      <c r="C50" s="4" t="s">
        <v>547</v>
      </c>
      <c r="D50" s="4" t="s">
        <v>32</v>
      </c>
      <c r="E50" s="4" t="s">
        <v>1</v>
      </c>
    </row>
    <row r="51" ht="21" customHeight="1" spans="1:5">
      <c r="A51" s="2">
        <v>100105320702</v>
      </c>
      <c r="B51" s="3" t="s">
        <v>548</v>
      </c>
      <c r="C51" s="4" t="s">
        <v>549</v>
      </c>
      <c r="D51" s="4" t="s">
        <v>32</v>
      </c>
      <c r="E51" s="4" t="s">
        <v>1</v>
      </c>
    </row>
    <row r="52" ht="21" customHeight="1" spans="1:5">
      <c r="A52" s="2">
        <v>100091421661</v>
      </c>
      <c r="B52" s="3" t="s">
        <v>540</v>
      </c>
      <c r="C52" s="4" t="s">
        <v>541</v>
      </c>
      <c r="D52" s="4" t="s">
        <v>32</v>
      </c>
      <c r="E52" s="4" t="s">
        <v>1</v>
      </c>
    </row>
    <row r="53" ht="21" customHeight="1" spans="1:5">
      <c r="A53" s="2">
        <v>100105746956</v>
      </c>
      <c r="B53" s="3" t="s">
        <v>550</v>
      </c>
      <c r="C53" s="4" t="s">
        <v>480</v>
      </c>
      <c r="D53" s="4" t="s">
        <v>481</v>
      </c>
      <c r="E53" s="4" t="s">
        <v>1</v>
      </c>
    </row>
    <row r="54" ht="21" customHeight="1" spans="1:5">
      <c r="A54" s="2">
        <v>100105746966</v>
      </c>
      <c r="B54" s="3" t="s">
        <v>356</v>
      </c>
      <c r="C54" s="4" t="s">
        <v>536</v>
      </c>
      <c r="D54" s="4" t="s">
        <v>481</v>
      </c>
      <c r="E54" s="4" t="s">
        <v>1</v>
      </c>
    </row>
    <row r="55" ht="21" customHeight="1" spans="1:5">
      <c r="A55" s="2">
        <v>100101713428</v>
      </c>
      <c r="B55" s="3" t="s">
        <v>542</v>
      </c>
      <c r="C55" s="4" t="s">
        <v>543</v>
      </c>
      <c r="D55" s="4" t="s">
        <v>32</v>
      </c>
      <c r="E55" s="4" t="s">
        <v>1</v>
      </c>
    </row>
    <row r="56" ht="21" customHeight="1" spans="1:5">
      <c r="A56" s="2">
        <v>100101713446</v>
      </c>
      <c r="B56" s="3" t="s">
        <v>544</v>
      </c>
      <c r="C56" s="4" t="s">
        <v>545</v>
      </c>
      <c r="D56" s="4" t="s">
        <v>32</v>
      </c>
      <c r="E56" s="4" t="s">
        <v>1</v>
      </c>
    </row>
    <row r="57" ht="21" customHeight="1" spans="1:5">
      <c r="A57" s="2">
        <v>100091421689</v>
      </c>
      <c r="B57" s="3" t="s">
        <v>546</v>
      </c>
      <c r="C57" s="4" t="s">
        <v>547</v>
      </c>
      <c r="D57" s="4" t="s">
        <v>32</v>
      </c>
      <c r="E57" s="4" t="s">
        <v>1</v>
      </c>
    </row>
    <row r="58" ht="21" customHeight="1" spans="1:5">
      <c r="A58" s="2">
        <v>100065607400</v>
      </c>
      <c r="B58" s="3" t="s">
        <v>551</v>
      </c>
      <c r="C58" s="4" t="s">
        <v>552</v>
      </c>
      <c r="D58" s="4" t="s">
        <v>494</v>
      </c>
      <c r="E58" s="4" t="s">
        <v>1</v>
      </c>
    </row>
    <row r="59" ht="21" customHeight="1" spans="1:5">
      <c r="A59" s="2">
        <v>100118339708</v>
      </c>
      <c r="B59" s="3" t="s">
        <v>553</v>
      </c>
      <c r="C59" s="4" t="s">
        <v>554</v>
      </c>
      <c r="D59" s="4" t="s">
        <v>32</v>
      </c>
      <c r="E59" s="4" t="s">
        <v>1</v>
      </c>
    </row>
    <row r="60" ht="21" customHeight="1" spans="1:5">
      <c r="A60" s="2">
        <v>100118339632</v>
      </c>
      <c r="B60" s="3" t="s">
        <v>540</v>
      </c>
      <c r="C60" s="4" t="s">
        <v>541</v>
      </c>
      <c r="D60" s="4" t="s">
        <v>32</v>
      </c>
      <c r="E60" s="4" t="s">
        <v>1</v>
      </c>
    </row>
    <row r="61" ht="21" customHeight="1" spans="1:5">
      <c r="A61" s="2">
        <v>100118339658</v>
      </c>
      <c r="B61" s="3" t="s">
        <v>555</v>
      </c>
      <c r="C61" s="4" t="s">
        <v>543</v>
      </c>
      <c r="D61" s="4" t="s">
        <v>32</v>
      </c>
      <c r="E61" s="4" t="s">
        <v>1</v>
      </c>
    </row>
    <row r="62" ht="21" customHeight="1" spans="1:5">
      <c r="A62" s="2">
        <v>100102681983</v>
      </c>
      <c r="B62" s="3" t="s">
        <v>556</v>
      </c>
      <c r="C62" s="4" t="s">
        <v>547</v>
      </c>
      <c r="D62" s="4" t="s">
        <v>32</v>
      </c>
      <c r="E62" s="4" t="s">
        <v>1</v>
      </c>
    </row>
    <row r="63" ht="21" customHeight="1" spans="1:5">
      <c r="A63" s="2">
        <v>100102681985</v>
      </c>
      <c r="B63" s="3" t="s">
        <v>557</v>
      </c>
      <c r="C63" s="4" t="s">
        <v>545</v>
      </c>
      <c r="D63" s="4" t="s">
        <v>32</v>
      </c>
      <c r="E63" s="4" t="s">
        <v>1</v>
      </c>
    </row>
    <row r="64" ht="21" customHeight="1" spans="1:5">
      <c r="A64" s="2">
        <v>100094268327</v>
      </c>
      <c r="B64" s="3" t="s">
        <v>558</v>
      </c>
      <c r="C64" s="4" t="s">
        <v>559</v>
      </c>
      <c r="D64" s="4" t="s">
        <v>32</v>
      </c>
      <c r="E64" s="4" t="s">
        <v>1</v>
      </c>
    </row>
    <row r="65" ht="21" customHeight="1" spans="1:5">
      <c r="A65" s="2">
        <v>100064684714</v>
      </c>
      <c r="B65" s="3" t="s">
        <v>560</v>
      </c>
      <c r="C65" s="4" t="s">
        <v>561</v>
      </c>
      <c r="D65" s="4" t="s">
        <v>478</v>
      </c>
      <c r="E65" s="4" t="s">
        <v>1</v>
      </c>
    </row>
    <row r="66" ht="21" customHeight="1" spans="1:5">
      <c r="A66" s="2">
        <v>100046508912</v>
      </c>
      <c r="B66" s="3" t="s">
        <v>562</v>
      </c>
      <c r="C66" s="4" t="s">
        <v>563</v>
      </c>
      <c r="D66" s="4" t="s">
        <v>478</v>
      </c>
      <c r="E66" s="4" t="s">
        <v>1</v>
      </c>
    </row>
    <row r="67" ht="21" customHeight="1" spans="1:5">
      <c r="A67" s="2">
        <v>100094268331</v>
      </c>
      <c r="B67" s="3" t="s">
        <v>564</v>
      </c>
      <c r="C67" s="4" t="s">
        <v>565</v>
      </c>
      <c r="D67" s="4" t="s">
        <v>32</v>
      </c>
      <c r="E67" s="4" t="s">
        <v>1</v>
      </c>
    </row>
    <row r="68" ht="21" customHeight="1" spans="1:5">
      <c r="A68" s="2">
        <v>100105746962</v>
      </c>
      <c r="B68" s="3" t="s">
        <v>566</v>
      </c>
      <c r="C68" s="4" t="s">
        <v>567</v>
      </c>
      <c r="D68" s="4" t="s">
        <v>32</v>
      </c>
      <c r="E68" s="4" t="s">
        <v>1</v>
      </c>
    </row>
    <row r="69" ht="21" customHeight="1" spans="1:5">
      <c r="A69" s="2">
        <v>100094268329</v>
      </c>
      <c r="B69" s="3" t="s">
        <v>568</v>
      </c>
      <c r="C69" s="4" t="s">
        <v>569</v>
      </c>
      <c r="D69" s="4" t="s">
        <v>32</v>
      </c>
      <c r="E69" s="4" t="s">
        <v>1</v>
      </c>
    </row>
    <row r="70" ht="21" customHeight="1" spans="1:5">
      <c r="A70" s="2">
        <v>100060578577</v>
      </c>
      <c r="B70" s="3" t="s">
        <v>570</v>
      </c>
      <c r="C70" s="4" t="s">
        <v>571</v>
      </c>
      <c r="D70" s="4" t="s">
        <v>32</v>
      </c>
      <c r="E70" s="4" t="s">
        <v>1</v>
      </c>
    </row>
    <row r="71" ht="21" customHeight="1" spans="1:5">
      <c r="A71" s="2">
        <v>100050845236</v>
      </c>
      <c r="B71" s="3" t="s">
        <v>572</v>
      </c>
      <c r="C71" s="4" t="s">
        <v>573</v>
      </c>
      <c r="D71" s="4" t="s">
        <v>478</v>
      </c>
      <c r="E71" s="4" t="s">
        <v>1</v>
      </c>
    </row>
    <row r="72" ht="21" customHeight="1" spans="1:5">
      <c r="A72" s="2">
        <v>100047226938</v>
      </c>
      <c r="B72" s="3" t="s">
        <v>574</v>
      </c>
      <c r="C72" s="4" t="s">
        <v>575</v>
      </c>
      <c r="D72" s="4" t="s">
        <v>478</v>
      </c>
      <c r="E72" s="4" t="s">
        <v>1</v>
      </c>
    </row>
    <row r="73" ht="21" customHeight="1" spans="1:5">
      <c r="A73" s="2">
        <v>100109903708</v>
      </c>
      <c r="B73" s="3" t="s">
        <v>553</v>
      </c>
      <c r="C73" s="4" t="s">
        <v>554</v>
      </c>
      <c r="D73" s="4" t="s">
        <v>32</v>
      </c>
      <c r="E73" s="4" t="s">
        <v>1</v>
      </c>
    </row>
    <row r="74" ht="21" customHeight="1" spans="1:5">
      <c r="A74" s="2">
        <v>100097100281</v>
      </c>
      <c r="B74" s="3" t="s">
        <v>523</v>
      </c>
      <c r="C74" s="4" t="s">
        <v>524</v>
      </c>
      <c r="D74" s="4" t="s">
        <v>32</v>
      </c>
      <c r="E74" s="4" t="s">
        <v>1</v>
      </c>
    </row>
    <row r="75" ht="21" customHeight="1" spans="1:5">
      <c r="A75" s="2">
        <v>100044914686</v>
      </c>
      <c r="B75" s="3" t="s">
        <v>576</v>
      </c>
      <c r="C75" s="4" t="s">
        <v>577</v>
      </c>
      <c r="D75" s="4" t="s">
        <v>252</v>
      </c>
      <c r="E75" s="4" t="s">
        <v>1</v>
      </c>
    </row>
    <row r="76" ht="21" customHeight="1" spans="1:5">
      <c r="A76" s="2">
        <v>100058904275</v>
      </c>
      <c r="B76" s="3" t="s">
        <v>339</v>
      </c>
      <c r="C76" s="4" t="s">
        <v>78</v>
      </c>
      <c r="D76" s="4" t="s">
        <v>32</v>
      </c>
      <c r="E76" s="4" t="s">
        <v>1</v>
      </c>
    </row>
    <row r="77" ht="21" customHeight="1" spans="1:5">
      <c r="A77" s="2">
        <v>100059353151</v>
      </c>
      <c r="B77" s="3" t="s">
        <v>347</v>
      </c>
      <c r="C77" s="4" t="s">
        <v>105</v>
      </c>
      <c r="D77" s="4" t="s">
        <v>32</v>
      </c>
      <c r="E77" s="4" t="s">
        <v>1</v>
      </c>
    </row>
    <row r="78" ht="21" customHeight="1" spans="1:5">
      <c r="A78" s="2">
        <v>100055433572</v>
      </c>
      <c r="B78" s="3" t="s">
        <v>578</v>
      </c>
      <c r="C78" s="4" t="s">
        <v>579</v>
      </c>
      <c r="D78" s="4" t="s">
        <v>478</v>
      </c>
      <c r="E78" s="4" t="s">
        <v>1</v>
      </c>
    </row>
    <row r="79" ht="21" customHeight="1" spans="1:5">
      <c r="A79" s="2">
        <v>100105746940</v>
      </c>
      <c r="B79" s="3" t="s">
        <v>503</v>
      </c>
      <c r="C79" s="4" t="s">
        <v>143</v>
      </c>
      <c r="D79" s="4" t="s">
        <v>32</v>
      </c>
      <c r="E79" s="4" t="s">
        <v>1</v>
      </c>
    </row>
    <row r="80" ht="21" customHeight="1" spans="1:5">
      <c r="A80" s="2">
        <v>100093983975</v>
      </c>
      <c r="B80" s="3" t="s">
        <v>580</v>
      </c>
      <c r="C80" s="4" t="s">
        <v>581</v>
      </c>
      <c r="D80" s="4" t="s">
        <v>32</v>
      </c>
      <c r="E80" s="4" t="s">
        <v>1</v>
      </c>
    </row>
    <row r="81" ht="21" customHeight="1" spans="1:5">
      <c r="A81" s="2">
        <v>100046265284</v>
      </c>
      <c r="B81" s="3" t="s">
        <v>582</v>
      </c>
      <c r="C81" s="4" t="s">
        <v>583</v>
      </c>
      <c r="D81" s="4" t="s">
        <v>252</v>
      </c>
      <c r="E81" s="4" t="s">
        <v>1</v>
      </c>
    </row>
    <row r="82" ht="21" customHeight="1" spans="1:5">
      <c r="A82" s="2">
        <v>100094268343</v>
      </c>
      <c r="B82" s="3" t="s">
        <v>584</v>
      </c>
      <c r="C82" s="4" t="s">
        <v>585</v>
      </c>
      <c r="D82" s="4" t="s">
        <v>32</v>
      </c>
      <c r="E82" s="4" t="s">
        <v>1</v>
      </c>
    </row>
    <row r="83" ht="21" customHeight="1" spans="1:5">
      <c r="A83" s="2">
        <v>100050845220</v>
      </c>
      <c r="B83" s="3" t="s">
        <v>586</v>
      </c>
      <c r="C83" s="4" t="s">
        <v>587</v>
      </c>
      <c r="D83" s="4" t="s">
        <v>478</v>
      </c>
      <c r="E83" s="4" t="s">
        <v>1</v>
      </c>
    </row>
    <row r="84" ht="21" customHeight="1" spans="1:5">
      <c r="A84" s="2">
        <v>100055328063</v>
      </c>
      <c r="B84" s="3" t="s">
        <v>588</v>
      </c>
      <c r="C84" s="4" t="s">
        <v>589</v>
      </c>
      <c r="D84" s="4" t="s">
        <v>478</v>
      </c>
      <c r="E84" s="4" t="s">
        <v>1</v>
      </c>
    </row>
    <row r="85" ht="21" customHeight="1" spans="1:5">
      <c r="A85" s="2">
        <v>100055302805</v>
      </c>
      <c r="B85" s="3" t="s">
        <v>590</v>
      </c>
      <c r="C85" s="4" t="s">
        <v>591</v>
      </c>
      <c r="D85" s="4" t="s">
        <v>478</v>
      </c>
      <c r="E85" s="4" t="s">
        <v>1</v>
      </c>
    </row>
    <row r="86" ht="21" customHeight="1" spans="1:5">
      <c r="A86" s="2">
        <v>100049790528</v>
      </c>
      <c r="B86" s="3" t="s">
        <v>592</v>
      </c>
      <c r="C86" s="4" t="s">
        <v>593</v>
      </c>
      <c r="D86" s="4" t="s">
        <v>478</v>
      </c>
      <c r="E86" s="4" t="s">
        <v>1</v>
      </c>
    </row>
    <row r="87" ht="21" customHeight="1" spans="1:5">
      <c r="A87" s="2">
        <v>100050845246</v>
      </c>
      <c r="B87" s="3" t="s">
        <v>594</v>
      </c>
      <c r="C87" s="4" t="s">
        <v>595</v>
      </c>
      <c r="D87" s="4" t="s">
        <v>478</v>
      </c>
      <c r="E87" s="4" t="s">
        <v>1</v>
      </c>
    </row>
    <row r="88" ht="21" customHeight="1" spans="1:5">
      <c r="A88" s="2">
        <v>100046265250</v>
      </c>
      <c r="B88" s="3" t="s">
        <v>596</v>
      </c>
      <c r="C88" s="4" t="s">
        <v>285</v>
      </c>
      <c r="D88" s="4" t="s">
        <v>252</v>
      </c>
      <c r="E88" s="4" t="s">
        <v>1</v>
      </c>
    </row>
    <row r="89" ht="21" customHeight="1" spans="1:5">
      <c r="A89" s="2">
        <v>100049790532</v>
      </c>
      <c r="B89" s="3" t="s">
        <v>597</v>
      </c>
      <c r="C89" s="4" t="s">
        <v>598</v>
      </c>
      <c r="D89" s="4" t="s">
        <v>478</v>
      </c>
      <c r="E89" s="4" t="s">
        <v>1</v>
      </c>
    </row>
    <row r="90" ht="21" customHeight="1" spans="1:5">
      <c r="A90" s="2">
        <v>100044608298</v>
      </c>
      <c r="B90" s="3" t="s">
        <v>599</v>
      </c>
      <c r="C90" s="4" t="s">
        <v>532</v>
      </c>
      <c r="D90" s="4" t="s">
        <v>478</v>
      </c>
      <c r="E90" s="4" t="s">
        <v>1</v>
      </c>
    </row>
    <row r="91" ht="21" customHeight="1" spans="1:5">
      <c r="A91" s="2">
        <v>100056073701</v>
      </c>
      <c r="B91" s="3" t="s">
        <v>600</v>
      </c>
      <c r="C91" s="4" t="s">
        <v>601</v>
      </c>
      <c r="D91" s="4" t="s">
        <v>478</v>
      </c>
      <c r="E91" s="4" t="s">
        <v>1</v>
      </c>
    </row>
    <row r="92" ht="21" customHeight="1" spans="1:5">
      <c r="A92" s="2">
        <v>100044608270</v>
      </c>
      <c r="B92" s="3" t="s">
        <v>602</v>
      </c>
      <c r="C92" s="4" t="s">
        <v>603</v>
      </c>
      <c r="D92" s="4" t="s">
        <v>478</v>
      </c>
      <c r="E92" s="4" t="s">
        <v>1</v>
      </c>
    </row>
    <row r="93" ht="21" customHeight="1" spans="1:5">
      <c r="A93" s="2">
        <v>100058904277</v>
      </c>
      <c r="B93" s="3" t="s">
        <v>604</v>
      </c>
      <c r="C93" s="4" t="s">
        <v>605</v>
      </c>
      <c r="D93" s="4" t="s">
        <v>478</v>
      </c>
      <c r="E93" s="4" t="s">
        <v>1</v>
      </c>
    </row>
    <row r="94" ht="21" customHeight="1" spans="1:5">
      <c r="A94" s="2">
        <v>100046265268</v>
      </c>
      <c r="B94" s="3" t="s">
        <v>606</v>
      </c>
      <c r="C94" s="4" t="s">
        <v>284</v>
      </c>
      <c r="D94" s="4" t="s">
        <v>252</v>
      </c>
      <c r="E94" s="4" t="s">
        <v>1</v>
      </c>
    </row>
    <row r="95" ht="21" customHeight="1" spans="1:5">
      <c r="A95" s="2">
        <v>100043407743</v>
      </c>
      <c r="B95" s="3" t="s">
        <v>607</v>
      </c>
      <c r="C95" s="4" t="s">
        <v>608</v>
      </c>
      <c r="D95" s="4" t="s">
        <v>609</v>
      </c>
      <c r="E95" s="4" t="s">
        <v>1</v>
      </c>
    </row>
    <row r="96" ht="21" customHeight="1" spans="1:5">
      <c r="A96" s="2">
        <v>100053764621</v>
      </c>
      <c r="B96" s="3" t="s">
        <v>610</v>
      </c>
      <c r="C96" s="4" t="s">
        <v>611</v>
      </c>
      <c r="D96" s="4" t="s">
        <v>252</v>
      </c>
      <c r="E96" s="4" t="s">
        <v>1</v>
      </c>
    </row>
    <row r="97" ht="21" customHeight="1" spans="1:5">
      <c r="A97" s="2">
        <v>100053562105</v>
      </c>
      <c r="B97" s="3" t="s">
        <v>612</v>
      </c>
      <c r="C97" s="4" t="s">
        <v>603</v>
      </c>
      <c r="D97" s="4" t="s">
        <v>478</v>
      </c>
      <c r="E97" s="4" t="s">
        <v>1</v>
      </c>
    </row>
    <row r="98" ht="21" customHeight="1" spans="1:5">
      <c r="A98" s="2">
        <v>100052638196</v>
      </c>
      <c r="B98" s="3" t="s">
        <v>344</v>
      </c>
      <c r="C98" s="4" t="s">
        <v>79</v>
      </c>
      <c r="D98" s="4" t="s">
        <v>32</v>
      </c>
      <c r="E98" s="4" t="s">
        <v>1</v>
      </c>
    </row>
    <row r="99" ht="21" customHeight="1" spans="1:5">
      <c r="A99" s="2">
        <v>100058904261</v>
      </c>
      <c r="B99" s="3" t="s">
        <v>613</v>
      </c>
      <c r="C99" s="4" t="s">
        <v>614</v>
      </c>
      <c r="D99" s="4" t="s">
        <v>32</v>
      </c>
      <c r="E99" s="4" t="s">
        <v>1</v>
      </c>
    </row>
    <row r="100" ht="21" customHeight="1" spans="1:5">
      <c r="A100" s="2">
        <v>100052638198</v>
      </c>
      <c r="B100" s="3" t="s">
        <v>374</v>
      </c>
      <c r="C100" s="4" t="s">
        <v>93</v>
      </c>
      <c r="D100" s="4" t="s">
        <v>32</v>
      </c>
      <c r="E100" s="4" t="s">
        <v>1</v>
      </c>
    </row>
    <row r="101" ht="21" customHeight="1" spans="1:5">
      <c r="A101" s="2">
        <v>100052638194</v>
      </c>
      <c r="B101" s="4" t="s">
        <v>340</v>
      </c>
      <c r="C101" s="4" t="s">
        <v>86</v>
      </c>
      <c r="D101" s="4" t="s">
        <v>32</v>
      </c>
      <c r="E101" s="4" t="s">
        <v>1</v>
      </c>
    </row>
    <row r="102" ht="21" customHeight="1" spans="1:5">
      <c r="A102" s="2">
        <v>100046998925</v>
      </c>
      <c r="B102" s="4" t="s">
        <v>615</v>
      </c>
      <c r="C102" s="4" t="s">
        <v>585</v>
      </c>
      <c r="D102" s="4" t="s">
        <v>585</v>
      </c>
      <c r="E102" s="4" t="s">
        <v>1</v>
      </c>
    </row>
    <row r="103" ht="21" customHeight="1" spans="1:5">
      <c r="A103" s="2">
        <v>100047226940</v>
      </c>
      <c r="B103" s="4" t="s">
        <v>616</v>
      </c>
      <c r="C103" s="4" t="s">
        <v>617</v>
      </c>
      <c r="D103" s="4" t="s">
        <v>478</v>
      </c>
      <c r="E103" s="4" t="s">
        <v>1</v>
      </c>
    </row>
    <row r="104" ht="21" customHeight="1" spans="1:5">
      <c r="A104" s="2">
        <v>100051555410</v>
      </c>
      <c r="B104" s="4" t="s">
        <v>618</v>
      </c>
      <c r="C104" s="4" t="s">
        <v>565</v>
      </c>
      <c r="D104" s="4" t="s">
        <v>32</v>
      </c>
      <c r="E104" s="4" t="s">
        <v>1</v>
      </c>
    </row>
    <row r="105" ht="21" customHeight="1" spans="1:5">
      <c r="A105" s="2">
        <v>100047226944</v>
      </c>
      <c r="B105" s="4" t="s">
        <v>619</v>
      </c>
      <c r="C105" s="4" t="s">
        <v>620</v>
      </c>
      <c r="D105" s="4" t="s">
        <v>478</v>
      </c>
      <c r="E105" s="4" t="s">
        <v>1</v>
      </c>
    </row>
    <row r="106" ht="21" customHeight="1" spans="1:5">
      <c r="A106" s="2">
        <v>100051555388</v>
      </c>
      <c r="B106" s="4" t="s">
        <v>621</v>
      </c>
      <c r="C106" s="4" t="s">
        <v>567</v>
      </c>
      <c r="D106" s="4" t="s">
        <v>32</v>
      </c>
      <c r="E106" s="4" t="s">
        <v>1</v>
      </c>
    </row>
    <row r="107" ht="21" customHeight="1" spans="1:5">
      <c r="A107" s="2">
        <v>100043251990</v>
      </c>
      <c r="B107" s="4" t="s">
        <v>622</v>
      </c>
      <c r="C107" s="4" t="s">
        <v>623</v>
      </c>
      <c r="D107" s="4" t="s">
        <v>252</v>
      </c>
      <c r="E107" s="4" t="s">
        <v>1</v>
      </c>
    </row>
    <row r="108" ht="21" customHeight="1" spans="1:5">
      <c r="A108" s="2">
        <v>100023723349</v>
      </c>
      <c r="B108" s="4" t="s">
        <v>624</v>
      </c>
      <c r="C108" s="4" t="s">
        <v>625</v>
      </c>
      <c r="D108" s="4" t="s">
        <v>32</v>
      </c>
      <c r="E108" s="4" t="s">
        <v>1</v>
      </c>
    </row>
    <row r="109" ht="21" customHeight="1" spans="1:5">
      <c r="A109" s="2">
        <v>6727375</v>
      </c>
      <c r="B109" s="4" t="s">
        <v>626</v>
      </c>
      <c r="C109" s="4" t="s">
        <v>569</v>
      </c>
      <c r="D109" s="4" t="s">
        <v>32</v>
      </c>
      <c r="E109" s="4" t="s">
        <v>1</v>
      </c>
    </row>
    <row r="110" ht="21" customHeight="1" spans="1:5">
      <c r="A110" s="2">
        <v>100016281262</v>
      </c>
      <c r="B110" s="4" t="s">
        <v>627</v>
      </c>
      <c r="C110" s="4" t="s">
        <v>628</v>
      </c>
      <c r="D110" s="4" t="s">
        <v>32</v>
      </c>
      <c r="E110" s="4" t="s">
        <v>1</v>
      </c>
    </row>
    <row r="111" ht="21" customHeight="1" spans="1:5">
      <c r="A111" s="2">
        <v>100005118734</v>
      </c>
      <c r="B111" s="4" t="s">
        <v>629</v>
      </c>
      <c r="C111" s="4" t="s">
        <v>630</v>
      </c>
      <c r="D111" s="4" t="s">
        <v>252</v>
      </c>
      <c r="E111" s="4" t="s">
        <v>1</v>
      </c>
    </row>
    <row r="112" ht="21" customHeight="1" spans="1:5">
      <c r="A112" s="2">
        <v>100000792541</v>
      </c>
      <c r="B112" s="4" t="s">
        <v>631</v>
      </c>
      <c r="C112" s="4" t="s">
        <v>632</v>
      </c>
      <c r="D112" s="4" t="s">
        <v>478</v>
      </c>
      <c r="E112" s="4" t="s">
        <v>1</v>
      </c>
    </row>
    <row r="113" ht="21" customHeight="1" spans="1:5">
      <c r="A113" s="2">
        <v>100054663013</v>
      </c>
      <c r="B113" s="4" t="s">
        <v>633</v>
      </c>
      <c r="C113" s="4" t="s">
        <v>634</v>
      </c>
      <c r="D113" s="4" t="s">
        <v>252</v>
      </c>
      <c r="E113" s="4" t="s">
        <v>1</v>
      </c>
    </row>
    <row r="114" ht="21" customHeight="1" spans="1:5">
      <c r="A114" s="2">
        <v>100013985394</v>
      </c>
      <c r="B114" s="4" t="s">
        <v>635</v>
      </c>
      <c r="C114" s="4" t="s">
        <v>636</v>
      </c>
      <c r="D114" s="4" t="s">
        <v>32</v>
      </c>
      <c r="E114" s="4" t="s">
        <v>1</v>
      </c>
    </row>
    <row r="115" ht="21" customHeight="1" spans="1:5">
      <c r="A115" s="2">
        <v>100014394764</v>
      </c>
      <c r="B115" s="4" t="s">
        <v>637</v>
      </c>
      <c r="C115" s="4" t="s">
        <v>638</v>
      </c>
      <c r="D115" s="4" t="s">
        <v>32</v>
      </c>
      <c r="E115" s="4" t="s">
        <v>1</v>
      </c>
    </row>
    <row r="116" ht="21" customHeight="1" spans="1:5">
      <c r="A116" s="2">
        <v>100002870110</v>
      </c>
      <c r="B116" s="4" t="s">
        <v>639</v>
      </c>
      <c r="C116" s="4" t="s">
        <v>640</v>
      </c>
      <c r="D116" s="4" t="s">
        <v>478</v>
      </c>
      <c r="E116" s="4" t="s">
        <v>1</v>
      </c>
    </row>
    <row r="117" ht="21" customHeight="1" spans="1:5">
      <c r="A117" s="2">
        <v>100007986917</v>
      </c>
      <c r="B117" s="4" t="s">
        <v>641</v>
      </c>
      <c r="C117" s="4" t="s">
        <v>642</v>
      </c>
      <c r="D117" s="4" t="s">
        <v>32</v>
      </c>
      <c r="E117" s="4" t="s">
        <v>1</v>
      </c>
    </row>
    <row r="118" ht="21" customHeight="1" spans="1:5">
      <c r="A118" s="2">
        <v>100040210477</v>
      </c>
      <c r="B118" s="4" t="s">
        <v>643</v>
      </c>
      <c r="C118" s="4" t="s">
        <v>559</v>
      </c>
      <c r="D118" s="4" t="s">
        <v>32</v>
      </c>
      <c r="E118" s="4" t="s">
        <v>1</v>
      </c>
    </row>
    <row r="119" ht="21" customHeight="1" spans="1:5">
      <c r="A119" s="2">
        <v>100040210475</v>
      </c>
      <c r="B119" s="4" t="s">
        <v>644</v>
      </c>
      <c r="C119" s="4" t="s">
        <v>645</v>
      </c>
      <c r="D119" s="4" t="s">
        <v>32</v>
      </c>
      <c r="E119" s="4" t="s">
        <v>1</v>
      </c>
    </row>
    <row r="120" ht="21" customHeight="1" spans="1:5">
      <c r="A120" s="2">
        <v>100025553131</v>
      </c>
      <c r="B120" s="4" t="s">
        <v>646</v>
      </c>
      <c r="C120" s="4" t="s">
        <v>647</v>
      </c>
      <c r="D120" s="4" t="s">
        <v>32</v>
      </c>
      <c r="E120" s="4" t="s">
        <v>1</v>
      </c>
    </row>
    <row r="121" ht="21" customHeight="1" spans="1:5">
      <c r="A121" s="2">
        <v>100023852703</v>
      </c>
      <c r="B121" s="4" t="s">
        <v>648</v>
      </c>
      <c r="C121" s="4" t="s">
        <v>649</v>
      </c>
      <c r="D121" s="4" t="s">
        <v>32</v>
      </c>
      <c r="E121" s="4" t="s">
        <v>1</v>
      </c>
    </row>
    <row r="122" ht="21" customHeight="1" spans="1:5">
      <c r="A122" s="2">
        <v>100026033579</v>
      </c>
      <c r="B122" s="4" t="s">
        <v>650</v>
      </c>
      <c r="C122" s="4" t="s">
        <v>651</v>
      </c>
      <c r="D122" s="4" t="s">
        <v>32</v>
      </c>
      <c r="E122" s="4" t="s">
        <v>1</v>
      </c>
    </row>
    <row r="123" ht="21" customHeight="1" spans="1:5">
      <c r="A123" s="2">
        <v>100026033589</v>
      </c>
      <c r="B123" s="4" t="s">
        <v>652</v>
      </c>
      <c r="C123" s="4" t="s">
        <v>653</v>
      </c>
      <c r="D123" s="4" t="s">
        <v>32</v>
      </c>
      <c r="E123" s="4" t="s">
        <v>1</v>
      </c>
    </row>
    <row r="124" ht="21" customHeight="1" spans="1:5">
      <c r="A124" s="2">
        <v>100007987039</v>
      </c>
      <c r="B124" s="4" t="s">
        <v>654</v>
      </c>
      <c r="C124" s="4" t="s">
        <v>655</v>
      </c>
      <c r="D124" s="4" t="s">
        <v>32</v>
      </c>
      <c r="E124" s="4" t="s">
        <v>1</v>
      </c>
    </row>
    <row r="125" ht="21" customHeight="1" spans="1:5">
      <c r="A125" s="2">
        <v>100007726501</v>
      </c>
      <c r="B125" s="4" t="s">
        <v>656</v>
      </c>
      <c r="C125" s="4" t="s">
        <v>657</v>
      </c>
      <c r="D125" s="4" t="s">
        <v>32</v>
      </c>
      <c r="E125" s="4" t="s">
        <v>1</v>
      </c>
    </row>
    <row r="126" ht="21" customHeight="1" spans="1:5">
      <c r="A126" s="2">
        <v>100003152533</v>
      </c>
      <c r="B126" s="4" t="s">
        <v>658</v>
      </c>
      <c r="C126" s="4" t="s">
        <v>659</v>
      </c>
      <c r="D126" s="4" t="s">
        <v>252</v>
      </c>
      <c r="E126" s="4" t="s">
        <v>1</v>
      </c>
    </row>
    <row r="127" ht="21" customHeight="1" spans="1:5">
      <c r="A127" s="2">
        <v>100011741742</v>
      </c>
      <c r="B127" s="4" t="s">
        <v>660</v>
      </c>
      <c r="C127" s="4" t="s">
        <v>661</v>
      </c>
      <c r="D127" s="4" t="s">
        <v>478</v>
      </c>
      <c r="E127" s="4" t="s">
        <v>1</v>
      </c>
    </row>
    <row r="128" ht="21" customHeight="1" spans="1:5">
      <c r="A128" s="2">
        <v>100000937434</v>
      </c>
      <c r="B128" s="4" t="s">
        <v>662</v>
      </c>
      <c r="C128" s="4" t="s">
        <v>663</v>
      </c>
      <c r="D128" s="4" t="s">
        <v>478</v>
      </c>
      <c r="E128" s="4" t="s">
        <v>1</v>
      </c>
    </row>
    <row r="129" ht="21" customHeight="1" spans="1:5">
      <c r="A129" s="2">
        <v>100030585560</v>
      </c>
      <c r="B129" s="4" t="s">
        <v>664</v>
      </c>
      <c r="C129" s="4" t="s">
        <v>665</v>
      </c>
      <c r="D129" s="4" t="s">
        <v>478</v>
      </c>
      <c r="E129" s="4" t="s">
        <v>1</v>
      </c>
    </row>
    <row r="130" ht="21" customHeight="1" spans="1:5">
      <c r="A130" s="2">
        <v>100022495219</v>
      </c>
      <c r="B130" s="4" t="s">
        <v>666</v>
      </c>
      <c r="C130" s="4" t="s">
        <v>603</v>
      </c>
      <c r="D130" s="4" t="s">
        <v>478</v>
      </c>
      <c r="E130" s="4" t="s">
        <v>1</v>
      </c>
    </row>
    <row r="131" ht="21" customHeight="1" spans="1:5">
      <c r="A131" s="2">
        <v>100024530019</v>
      </c>
      <c r="B131" s="4" t="s">
        <v>667</v>
      </c>
      <c r="C131" s="4" t="s">
        <v>668</v>
      </c>
      <c r="D131" s="4" t="s">
        <v>478</v>
      </c>
      <c r="E131" s="4" t="s">
        <v>1</v>
      </c>
    </row>
    <row r="132" ht="21" customHeight="1" spans="1:5">
      <c r="A132" s="2">
        <v>100016352515</v>
      </c>
      <c r="B132" s="4" t="s">
        <v>669</v>
      </c>
      <c r="C132" s="4" t="s">
        <v>670</v>
      </c>
      <c r="D132" s="4" t="s">
        <v>478</v>
      </c>
      <c r="E132" s="4" t="s">
        <v>1</v>
      </c>
    </row>
    <row r="133" ht="21" customHeight="1" spans="1:5">
      <c r="A133" s="2">
        <v>100025340861</v>
      </c>
      <c r="B133" s="4" t="s">
        <v>671</v>
      </c>
      <c r="C133" s="4" t="s">
        <v>672</v>
      </c>
      <c r="D133" s="4" t="s">
        <v>478</v>
      </c>
      <c r="E133" s="4" t="s">
        <v>1</v>
      </c>
    </row>
    <row r="134" ht="21" customHeight="1" spans="1:5">
      <c r="A134" s="2">
        <v>100020691798</v>
      </c>
      <c r="B134" s="4" t="s">
        <v>673</v>
      </c>
      <c r="C134" s="4" t="s">
        <v>674</v>
      </c>
      <c r="D134" s="4" t="s">
        <v>478</v>
      </c>
      <c r="E134" s="4" t="s">
        <v>1</v>
      </c>
    </row>
    <row r="135" ht="21" customHeight="1" spans="1:5">
      <c r="A135" s="2">
        <v>100025340887</v>
      </c>
      <c r="B135" s="4" t="s">
        <v>675</v>
      </c>
      <c r="C135" s="4" t="s">
        <v>676</v>
      </c>
      <c r="D135" s="4" t="s">
        <v>478</v>
      </c>
      <c r="E135" s="4" t="s">
        <v>1</v>
      </c>
    </row>
    <row r="136" ht="21" customHeight="1" spans="1:5">
      <c r="A136" s="2">
        <v>100024530021</v>
      </c>
      <c r="B136" s="4" t="s">
        <v>677</v>
      </c>
      <c r="C136" s="4" t="s">
        <v>678</v>
      </c>
      <c r="D136" s="4" t="s">
        <v>478</v>
      </c>
      <c r="E136" s="4" t="s">
        <v>1</v>
      </c>
    </row>
    <row r="137" ht="21" customHeight="1" spans="1:5">
      <c r="A137" s="2">
        <v>100024530025</v>
      </c>
      <c r="B137" s="4" t="s">
        <v>679</v>
      </c>
      <c r="C137" s="4" t="s">
        <v>601</v>
      </c>
      <c r="D137" s="4" t="s">
        <v>478</v>
      </c>
      <c r="E137" s="4" t="s">
        <v>1</v>
      </c>
    </row>
    <row r="138" ht="21" customHeight="1" spans="1:5">
      <c r="A138" s="2">
        <v>100023173827</v>
      </c>
      <c r="B138" s="4" t="s">
        <v>680</v>
      </c>
      <c r="C138" s="4" t="s">
        <v>681</v>
      </c>
      <c r="D138" s="4" t="s">
        <v>478</v>
      </c>
      <c r="E138" s="4" t="s">
        <v>1</v>
      </c>
    </row>
    <row r="139" ht="21" customHeight="1" spans="1:5">
      <c r="A139" s="2">
        <v>100023173843</v>
      </c>
      <c r="B139" s="4" t="s">
        <v>682</v>
      </c>
      <c r="C139" s="4" t="s">
        <v>683</v>
      </c>
      <c r="D139" s="4" t="s">
        <v>478</v>
      </c>
      <c r="E139" s="4" t="s">
        <v>1</v>
      </c>
    </row>
    <row r="140" ht="21" customHeight="1" spans="1:5">
      <c r="A140" s="2">
        <v>100025340885</v>
      </c>
      <c r="B140" s="4" t="s">
        <v>684</v>
      </c>
      <c r="C140" s="4" t="s">
        <v>685</v>
      </c>
      <c r="D140" s="4" t="s">
        <v>478</v>
      </c>
      <c r="E140" s="4" t="s">
        <v>1</v>
      </c>
    </row>
    <row r="141" ht="21" customHeight="1" spans="1:5">
      <c r="A141" s="2">
        <v>100024530027</v>
      </c>
      <c r="B141" s="4" t="s">
        <v>686</v>
      </c>
      <c r="C141" s="4" t="s">
        <v>687</v>
      </c>
      <c r="D141" s="4" t="s">
        <v>478</v>
      </c>
      <c r="E141" s="4" t="s">
        <v>1</v>
      </c>
    </row>
    <row r="142" ht="21" customHeight="1" spans="1:5">
      <c r="A142" s="2">
        <v>100025340889</v>
      </c>
      <c r="B142" s="4" t="s">
        <v>688</v>
      </c>
      <c r="C142" s="4" t="s">
        <v>689</v>
      </c>
      <c r="D142" s="4" t="s">
        <v>478</v>
      </c>
      <c r="E142" s="4" t="s">
        <v>1</v>
      </c>
    </row>
    <row r="143" ht="21" customHeight="1" spans="1:5">
      <c r="A143" s="2">
        <v>100023689393</v>
      </c>
      <c r="B143" s="4" t="s">
        <v>690</v>
      </c>
      <c r="C143" s="4" t="s">
        <v>691</v>
      </c>
      <c r="D143" s="4" t="s">
        <v>478</v>
      </c>
      <c r="E143" s="4" t="s">
        <v>1</v>
      </c>
    </row>
    <row r="144" ht="21" customHeight="1" spans="1:5">
      <c r="A144" s="2">
        <v>100039895624</v>
      </c>
      <c r="B144" s="4" t="s">
        <v>692</v>
      </c>
      <c r="C144" s="4" t="s">
        <v>693</v>
      </c>
      <c r="D144" s="4" t="s">
        <v>478</v>
      </c>
      <c r="E144" s="4" t="s">
        <v>1</v>
      </c>
    </row>
    <row r="145" ht="21" customHeight="1" spans="1:5">
      <c r="A145" s="2">
        <v>100000938208</v>
      </c>
      <c r="B145" s="4" t="s">
        <v>694</v>
      </c>
      <c r="C145" s="4" t="s">
        <v>695</v>
      </c>
      <c r="D145" s="4" t="s">
        <v>478</v>
      </c>
      <c r="E145" s="4" t="s">
        <v>1</v>
      </c>
    </row>
    <row r="146" ht="21" customHeight="1" spans="1:5">
      <c r="A146" s="2">
        <v>100025340883</v>
      </c>
      <c r="B146" s="4" t="s">
        <v>696</v>
      </c>
      <c r="C146" s="4" t="s">
        <v>697</v>
      </c>
      <c r="D146" s="4" t="s">
        <v>478</v>
      </c>
      <c r="E146" s="4" t="s">
        <v>1</v>
      </c>
    </row>
    <row r="147" ht="21" customHeight="1" spans="1:5">
      <c r="A147" s="2">
        <v>100047523140</v>
      </c>
      <c r="B147" s="4" t="s">
        <v>698</v>
      </c>
      <c r="C147" s="4" t="s">
        <v>699</v>
      </c>
      <c r="D147" s="4" t="s">
        <v>478</v>
      </c>
      <c r="E147" s="4" t="s">
        <v>1</v>
      </c>
    </row>
    <row r="148" ht="21" customHeight="1" spans="1:5">
      <c r="A148" s="2">
        <v>100055302825</v>
      </c>
      <c r="B148" s="4" t="s">
        <v>700</v>
      </c>
      <c r="C148" s="4" t="s">
        <v>701</v>
      </c>
      <c r="D148" s="4" t="s">
        <v>478</v>
      </c>
      <c r="E148" s="4" t="s">
        <v>1</v>
      </c>
    </row>
    <row r="149" ht="21" customHeight="1" spans="1:5">
      <c r="A149" s="2">
        <v>100021765971</v>
      </c>
      <c r="B149" s="4" t="s">
        <v>702</v>
      </c>
      <c r="C149" s="4" t="s">
        <v>703</v>
      </c>
      <c r="D149" s="4" t="s">
        <v>478</v>
      </c>
      <c r="E149" s="4" t="s">
        <v>1</v>
      </c>
    </row>
    <row r="150" ht="21" customHeight="1" spans="1:5">
      <c r="A150" s="2">
        <v>100039895642</v>
      </c>
      <c r="B150" s="4" t="s">
        <v>704</v>
      </c>
      <c r="C150" s="4" t="s">
        <v>705</v>
      </c>
      <c r="D150" s="4" t="s">
        <v>478</v>
      </c>
      <c r="E150" s="4" t="s">
        <v>1</v>
      </c>
    </row>
    <row r="151" ht="21" customHeight="1" spans="1:5">
      <c r="A151" s="2">
        <v>100039895616</v>
      </c>
      <c r="B151" s="4" t="s">
        <v>706</v>
      </c>
      <c r="C151" s="4" t="s">
        <v>707</v>
      </c>
      <c r="D151" s="4" t="s">
        <v>478</v>
      </c>
      <c r="E151" s="4" t="s">
        <v>1</v>
      </c>
    </row>
    <row r="152" ht="21" customHeight="1" spans="1:5">
      <c r="A152" s="2">
        <v>100023173817</v>
      </c>
      <c r="B152" s="4" t="s">
        <v>708</v>
      </c>
      <c r="C152" s="4" t="s">
        <v>709</v>
      </c>
      <c r="D152" s="4" t="s">
        <v>478</v>
      </c>
      <c r="E152" s="4" t="s">
        <v>1</v>
      </c>
    </row>
    <row r="153" ht="21" customHeight="1" spans="1:5">
      <c r="A153" s="2">
        <v>100010633246</v>
      </c>
      <c r="B153" s="4" t="s">
        <v>433</v>
      </c>
      <c r="C153" s="4" t="s">
        <v>710</v>
      </c>
      <c r="D153" s="4" t="s">
        <v>478</v>
      </c>
      <c r="E153" s="4" t="s">
        <v>1</v>
      </c>
    </row>
    <row r="154" ht="21" customHeight="1" spans="1:5">
      <c r="A154" s="2">
        <v>100003354687</v>
      </c>
      <c r="B154" s="4" t="s">
        <v>711</v>
      </c>
      <c r="C154" s="4" t="s">
        <v>712</v>
      </c>
      <c r="D154" s="4" t="s">
        <v>478</v>
      </c>
      <c r="E154" s="4" t="s">
        <v>1</v>
      </c>
    </row>
    <row r="155" ht="21" customHeight="1" spans="1:5">
      <c r="A155" s="2">
        <v>100014191774</v>
      </c>
      <c r="B155" s="4" t="s">
        <v>713</v>
      </c>
      <c r="C155" s="4" t="s">
        <v>714</v>
      </c>
      <c r="D155" s="4" t="s">
        <v>478</v>
      </c>
      <c r="E155" s="4" t="s">
        <v>1</v>
      </c>
    </row>
    <row r="156" ht="21" customHeight="1" spans="1:5">
      <c r="A156" s="2">
        <v>100006146414</v>
      </c>
      <c r="B156" s="4" t="s">
        <v>715</v>
      </c>
      <c r="C156" s="4" t="s">
        <v>699</v>
      </c>
      <c r="D156" s="4" t="s">
        <v>478</v>
      </c>
      <c r="E156" s="4" t="s">
        <v>1</v>
      </c>
    </row>
    <row r="157" ht="21" customHeight="1" spans="1:5">
      <c r="A157" s="2">
        <v>2907427</v>
      </c>
      <c r="B157" s="4" t="s">
        <v>716</v>
      </c>
      <c r="C157" s="4" t="s">
        <v>717</v>
      </c>
      <c r="D157" s="4" t="s">
        <v>32</v>
      </c>
      <c r="E157" s="4" t="s">
        <v>1</v>
      </c>
    </row>
    <row r="158" ht="21" customHeight="1" spans="1:5">
      <c r="A158" s="2">
        <v>100006787461</v>
      </c>
      <c r="B158" s="4" t="s">
        <v>718</v>
      </c>
      <c r="C158" s="4" t="s">
        <v>719</v>
      </c>
      <c r="D158" s="4" t="s">
        <v>478</v>
      </c>
      <c r="E158" s="4" t="s">
        <v>1</v>
      </c>
    </row>
    <row r="159" ht="21" customHeight="1" spans="1:5">
      <c r="A159" s="2">
        <v>100014191060</v>
      </c>
      <c r="B159" s="4" t="s">
        <v>720</v>
      </c>
      <c r="C159" s="4" t="s">
        <v>721</v>
      </c>
      <c r="D159" s="4" t="s">
        <v>478</v>
      </c>
      <c r="E159" s="4" t="s">
        <v>1</v>
      </c>
    </row>
    <row r="160" ht="21" customHeight="1" spans="1:5">
      <c r="A160" s="2">
        <v>100039707007</v>
      </c>
      <c r="B160" s="4" t="s">
        <v>722</v>
      </c>
      <c r="C160" s="4" t="s">
        <v>78</v>
      </c>
      <c r="D160" s="4" t="s">
        <v>32</v>
      </c>
      <c r="E160" s="4" t="s">
        <v>1</v>
      </c>
    </row>
    <row r="161" ht="21" customHeight="1" spans="1:5">
      <c r="A161" s="2">
        <v>100039706989</v>
      </c>
      <c r="B161" s="4" t="s">
        <v>723</v>
      </c>
      <c r="C161" s="4" t="s">
        <v>93</v>
      </c>
      <c r="D161" s="4" t="s">
        <v>32</v>
      </c>
      <c r="E161" s="4" t="s">
        <v>1</v>
      </c>
    </row>
    <row r="162" ht="21" customHeight="1" spans="1:5">
      <c r="A162" s="2">
        <v>3986315</v>
      </c>
      <c r="B162" s="4" t="s">
        <v>724</v>
      </c>
      <c r="C162" s="4" t="s">
        <v>725</v>
      </c>
      <c r="D162" s="4" t="s">
        <v>32</v>
      </c>
      <c r="E162" s="4" t="s">
        <v>1</v>
      </c>
    </row>
    <row r="163" ht="21" customHeight="1" spans="1:5">
      <c r="A163" s="2">
        <v>100012445950</v>
      </c>
      <c r="B163" s="4" t="s">
        <v>724</v>
      </c>
      <c r="C163" s="4" t="s">
        <v>725</v>
      </c>
      <c r="D163" s="4" t="s">
        <v>32</v>
      </c>
      <c r="E163" s="4" t="s">
        <v>1</v>
      </c>
    </row>
    <row r="164" ht="21" customHeight="1" spans="1:5">
      <c r="A164" s="2">
        <v>100003152535</v>
      </c>
      <c r="B164" s="4" t="s">
        <v>726</v>
      </c>
      <c r="C164" s="4" t="s">
        <v>264</v>
      </c>
      <c r="D164" s="4" t="s">
        <v>252</v>
      </c>
      <c r="E164" s="4" t="s">
        <v>1</v>
      </c>
    </row>
    <row r="165" ht="21" customHeight="1" spans="1:5">
      <c r="A165" s="2">
        <v>100005522238</v>
      </c>
      <c r="B165" s="4" t="s">
        <v>727</v>
      </c>
      <c r="C165" s="4" t="s">
        <v>728</v>
      </c>
      <c r="D165" s="4" t="s">
        <v>478</v>
      </c>
      <c r="E165" s="4" t="s">
        <v>1</v>
      </c>
    </row>
    <row r="166" ht="21" customHeight="1" spans="1:5">
      <c r="A166" s="2">
        <v>100013081102</v>
      </c>
      <c r="B166" s="4" t="s">
        <v>729</v>
      </c>
      <c r="C166" s="4" t="s">
        <v>730</v>
      </c>
      <c r="D166" s="4" t="s">
        <v>478</v>
      </c>
      <c r="E166" s="4" t="s">
        <v>1</v>
      </c>
    </row>
    <row r="167" ht="21" customHeight="1" spans="1:5">
      <c r="A167" s="2">
        <v>100011553540</v>
      </c>
      <c r="B167" s="4" t="s">
        <v>731</v>
      </c>
      <c r="C167" s="4" t="s">
        <v>732</v>
      </c>
      <c r="D167" s="4" t="s">
        <v>32</v>
      </c>
      <c r="E167" s="4" t="s">
        <v>1</v>
      </c>
    </row>
    <row r="168" ht="21" customHeight="1" spans="1:5">
      <c r="A168" s="2">
        <v>100013081086</v>
      </c>
      <c r="B168" s="4" t="s">
        <v>733</v>
      </c>
      <c r="C168" s="4" t="s">
        <v>734</v>
      </c>
      <c r="D168" s="4" t="s">
        <v>478</v>
      </c>
      <c r="E168" s="4" t="s">
        <v>1</v>
      </c>
    </row>
    <row r="169" ht="21" customHeight="1" spans="1:5">
      <c r="A169" s="2">
        <v>100009176298</v>
      </c>
      <c r="B169" s="4" t="s">
        <v>735</v>
      </c>
      <c r="C169" s="4" t="s">
        <v>736</v>
      </c>
      <c r="D169" s="4" t="s">
        <v>32</v>
      </c>
      <c r="E169" s="4" t="s">
        <v>1</v>
      </c>
    </row>
    <row r="170" ht="21" customHeight="1" spans="1:5">
      <c r="A170" s="2">
        <v>100014171250</v>
      </c>
      <c r="B170" s="4" t="s">
        <v>737</v>
      </c>
      <c r="C170" s="4" t="s">
        <v>738</v>
      </c>
      <c r="D170" s="4" t="s">
        <v>32</v>
      </c>
      <c r="E170" s="4" t="s">
        <v>1</v>
      </c>
    </row>
    <row r="171" ht="21" customHeight="1" spans="1:5">
      <c r="A171" s="2">
        <v>100004572930</v>
      </c>
      <c r="B171" s="4" t="s">
        <v>739</v>
      </c>
      <c r="C171" s="4" t="s">
        <v>740</v>
      </c>
      <c r="D171" s="4" t="s">
        <v>478</v>
      </c>
      <c r="E171" s="4" t="s">
        <v>1</v>
      </c>
    </row>
    <row r="172" ht="21" customHeight="1" spans="1:5">
      <c r="A172" s="2">
        <v>100014171252</v>
      </c>
      <c r="B172" s="4" t="s">
        <v>741</v>
      </c>
      <c r="C172" s="4" t="s">
        <v>742</v>
      </c>
      <c r="D172" s="4" t="s">
        <v>32</v>
      </c>
      <c r="E172" s="4" t="s">
        <v>1</v>
      </c>
    </row>
    <row r="173" ht="21" customHeight="1" spans="1:5">
      <c r="A173" s="2">
        <v>100006296752</v>
      </c>
      <c r="B173" s="4" t="s">
        <v>743</v>
      </c>
      <c r="C173" s="4" t="s">
        <v>744</v>
      </c>
      <c r="D173" s="4" t="s">
        <v>478</v>
      </c>
      <c r="E173" s="4" t="s">
        <v>1</v>
      </c>
    </row>
    <row r="174" ht="21" customHeight="1" spans="1:5">
      <c r="A174" s="2">
        <v>100010633262</v>
      </c>
      <c r="B174" s="4" t="s">
        <v>745</v>
      </c>
      <c r="C174" s="4" t="s">
        <v>746</v>
      </c>
      <c r="D174" s="4" t="s">
        <v>478</v>
      </c>
      <c r="E174" s="4" t="s">
        <v>1</v>
      </c>
    </row>
    <row r="175" ht="21" customHeight="1" spans="1:5">
      <c r="A175" s="2">
        <v>4085659</v>
      </c>
      <c r="B175" s="4" t="s">
        <v>747</v>
      </c>
      <c r="C175" s="4" t="s">
        <v>748</v>
      </c>
      <c r="D175" s="4" t="s">
        <v>478</v>
      </c>
      <c r="E175" s="4" t="s">
        <v>1</v>
      </c>
    </row>
    <row r="176" ht="21" customHeight="1" spans="1:5">
      <c r="A176" s="2">
        <v>100000937742</v>
      </c>
      <c r="B176" s="4" t="s">
        <v>749</v>
      </c>
      <c r="C176" s="4" t="s">
        <v>750</v>
      </c>
      <c r="D176" s="4" t="s">
        <v>478</v>
      </c>
      <c r="E176" s="4" t="s">
        <v>1</v>
      </c>
    </row>
    <row r="177" ht="21" customHeight="1" spans="1:5">
      <c r="A177" s="2">
        <v>100012751738</v>
      </c>
      <c r="B177" s="4" t="s">
        <v>751</v>
      </c>
      <c r="C177" s="4" t="s">
        <v>752</v>
      </c>
      <c r="D177" s="4" t="s">
        <v>478</v>
      </c>
      <c r="E177" s="4" t="s">
        <v>1</v>
      </c>
    </row>
    <row r="178" ht="21" customHeight="1" spans="1:5">
      <c r="A178" s="2">
        <v>3707630</v>
      </c>
      <c r="B178" s="4" t="s">
        <v>753</v>
      </c>
      <c r="C178" s="4" t="s">
        <v>754</v>
      </c>
      <c r="D178" s="4" t="s">
        <v>478</v>
      </c>
      <c r="E178" s="4" t="s">
        <v>1</v>
      </c>
    </row>
    <row r="179" ht="21" customHeight="1" spans="1:5">
      <c r="A179" s="2">
        <v>100012437006</v>
      </c>
      <c r="B179" s="4" t="s">
        <v>755</v>
      </c>
      <c r="C179" s="4" t="s">
        <v>712</v>
      </c>
      <c r="D179" s="4" t="s">
        <v>478</v>
      </c>
      <c r="E179" s="4" t="s">
        <v>1</v>
      </c>
    </row>
    <row r="180" ht="21" customHeight="1" spans="1:5">
      <c r="A180" s="2">
        <v>100002444086</v>
      </c>
      <c r="B180" s="4" t="s">
        <v>363</v>
      </c>
      <c r="C180" s="4" t="s">
        <v>756</v>
      </c>
      <c r="D180" s="4" t="s">
        <v>756</v>
      </c>
      <c r="E180" s="4" t="s">
        <v>1</v>
      </c>
    </row>
    <row r="181" ht="21" customHeight="1" spans="1:5">
      <c r="A181" s="2">
        <v>100006646211</v>
      </c>
      <c r="B181" s="4" t="s">
        <v>757</v>
      </c>
      <c r="C181" s="4" t="s">
        <v>585</v>
      </c>
      <c r="D181" s="4" t="s">
        <v>585</v>
      </c>
      <c r="E181" s="4" t="s">
        <v>1</v>
      </c>
    </row>
    <row r="182" ht="21" customHeight="1" spans="1:5">
      <c r="A182" s="2">
        <v>100013112736</v>
      </c>
      <c r="B182" s="4" t="s">
        <v>758</v>
      </c>
      <c r="C182" s="4" t="s">
        <v>759</v>
      </c>
      <c r="D182" s="4" t="s">
        <v>32</v>
      </c>
      <c r="E182" s="4" t="s">
        <v>1</v>
      </c>
    </row>
    <row r="183" ht="21" customHeight="1" spans="1:5">
      <c r="A183" s="2">
        <v>100014142126</v>
      </c>
      <c r="B183" s="4" t="s">
        <v>760</v>
      </c>
      <c r="C183" s="4" t="s">
        <v>738</v>
      </c>
      <c r="D183" s="4" t="s">
        <v>32</v>
      </c>
      <c r="E183" s="4" t="s">
        <v>1</v>
      </c>
    </row>
    <row r="184" ht="21" customHeight="1" spans="1:5">
      <c r="A184" s="2">
        <v>100013152190</v>
      </c>
      <c r="B184" s="4" t="s">
        <v>463</v>
      </c>
      <c r="C184" s="4" t="s">
        <v>76</v>
      </c>
      <c r="D184" s="4" t="s">
        <v>32</v>
      </c>
      <c r="E184" s="4" t="s">
        <v>1</v>
      </c>
    </row>
    <row r="185" ht="21" customHeight="1" spans="1:5">
      <c r="A185" s="2">
        <v>100014664222</v>
      </c>
      <c r="B185" s="4" t="s">
        <v>464</v>
      </c>
      <c r="C185" s="4" t="s">
        <v>83</v>
      </c>
      <c r="D185" s="4" t="s">
        <v>32</v>
      </c>
      <c r="E185" s="4" t="s">
        <v>1</v>
      </c>
    </row>
    <row r="186" ht="21" customHeight="1" spans="1:5">
      <c r="A186" s="2">
        <v>100012868940</v>
      </c>
      <c r="B186" s="4" t="s">
        <v>761</v>
      </c>
      <c r="C186" s="4" t="s">
        <v>736</v>
      </c>
      <c r="D186" s="4" t="s">
        <v>32</v>
      </c>
      <c r="E186" s="4" t="s">
        <v>1</v>
      </c>
    </row>
    <row r="187" ht="21" customHeight="1" spans="1:5">
      <c r="A187" s="2">
        <v>100003621440</v>
      </c>
      <c r="B187" s="4" t="s">
        <v>762</v>
      </c>
      <c r="C187" s="4" t="s">
        <v>763</v>
      </c>
      <c r="D187" s="4" t="s">
        <v>478</v>
      </c>
      <c r="E187" s="4" t="s">
        <v>1</v>
      </c>
    </row>
    <row r="188" ht="21" customHeight="1" spans="1:5">
      <c r="A188" s="2">
        <v>100014142128</v>
      </c>
      <c r="B188" s="4" t="s">
        <v>764</v>
      </c>
      <c r="C188" s="4" t="s">
        <v>742</v>
      </c>
      <c r="D188" s="4" t="s">
        <v>32</v>
      </c>
      <c r="E188" s="4" t="s">
        <v>1</v>
      </c>
    </row>
    <row r="189" ht="21" customHeight="1" spans="1:5">
      <c r="A189" s="2">
        <v>100014664210</v>
      </c>
      <c r="B189" s="4" t="s">
        <v>466</v>
      </c>
      <c r="C189" s="4" t="s">
        <v>80</v>
      </c>
      <c r="D189" s="4" t="s">
        <v>32</v>
      </c>
      <c r="E189" s="4" t="s">
        <v>1</v>
      </c>
    </row>
    <row r="190" ht="21" customHeight="1" spans="1:5">
      <c r="A190" s="2">
        <v>100012689724</v>
      </c>
      <c r="B190" s="4" t="s">
        <v>350</v>
      </c>
      <c r="C190" s="4" t="s">
        <v>765</v>
      </c>
      <c r="D190" s="4" t="s">
        <v>32</v>
      </c>
      <c r="E190" s="4" t="s">
        <v>1</v>
      </c>
    </row>
    <row r="191" ht="21" customHeight="1" spans="1:5">
      <c r="A191" s="2">
        <v>100007443333</v>
      </c>
      <c r="B191" s="4" t="s">
        <v>766</v>
      </c>
      <c r="C191" s="4" t="s">
        <v>767</v>
      </c>
      <c r="D191" s="4" t="s">
        <v>32</v>
      </c>
      <c r="E191" s="4" t="s">
        <v>1</v>
      </c>
    </row>
    <row r="192" ht="21" customHeight="1" spans="1:5">
      <c r="A192" s="2">
        <v>100014190010</v>
      </c>
      <c r="B192" s="4" t="s">
        <v>768</v>
      </c>
      <c r="C192" s="4" t="s">
        <v>769</v>
      </c>
      <c r="D192" s="4" t="s">
        <v>478</v>
      </c>
      <c r="E192" s="4" t="s">
        <v>1</v>
      </c>
    </row>
    <row r="193" ht="21" customHeight="1" spans="1:5">
      <c r="A193" s="2">
        <v>100007591263</v>
      </c>
      <c r="B193" s="4" t="s">
        <v>770</v>
      </c>
      <c r="C193" s="4" t="s">
        <v>771</v>
      </c>
      <c r="D193" s="4" t="s">
        <v>252</v>
      </c>
      <c r="E193" s="4" t="s">
        <v>1</v>
      </c>
    </row>
    <row r="194" ht="21" customHeight="1" spans="1:5">
      <c r="A194" s="2">
        <v>100013609240</v>
      </c>
      <c r="B194" s="4" t="s">
        <v>772</v>
      </c>
      <c r="C194" s="4" t="s">
        <v>773</v>
      </c>
      <c r="D194" s="4" t="s">
        <v>252</v>
      </c>
      <c r="E194" s="4" t="s">
        <v>1</v>
      </c>
    </row>
    <row r="195" ht="21" customHeight="1" spans="1:5">
      <c r="A195" s="2">
        <v>100019479201</v>
      </c>
      <c r="B195" s="4" t="s">
        <v>774</v>
      </c>
      <c r="C195" s="4" t="s">
        <v>775</v>
      </c>
      <c r="D195" s="4" t="s">
        <v>478</v>
      </c>
      <c r="E195" s="4" t="s">
        <v>1</v>
      </c>
    </row>
    <row r="196" ht="21" customHeight="1" spans="1:5">
      <c r="A196" s="2">
        <v>100012675208</v>
      </c>
      <c r="B196" s="4" t="s">
        <v>776</v>
      </c>
      <c r="C196" s="4" t="s">
        <v>777</v>
      </c>
      <c r="D196" s="4" t="s">
        <v>478</v>
      </c>
      <c r="E196" s="4" t="s">
        <v>1</v>
      </c>
    </row>
    <row r="197" ht="21" customHeight="1" spans="1:5">
      <c r="A197" s="2">
        <v>100013236826</v>
      </c>
      <c r="B197" s="4" t="s">
        <v>778</v>
      </c>
      <c r="C197" s="4" t="s">
        <v>779</v>
      </c>
      <c r="D197" s="4" t="s">
        <v>478</v>
      </c>
      <c r="E197" s="4" t="s">
        <v>1</v>
      </c>
    </row>
    <row r="198" ht="21" customHeight="1" spans="1:5">
      <c r="A198" s="2">
        <v>100003152537</v>
      </c>
      <c r="B198" s="4" t="s">
        <v>780</v>
      </c>
      <c r="C198" s="4" t="s">
        <v>781</v>
      </c>
      <c r="D198" s="4" t="s">
        <v>252</v>
      </c>
      <c r="E198" s="4" t="s">
        <v>1</v>
      </c>
    </row>
    <row r="199" ht="21" customHeight="1" spans="1:5">
      <c r="A199" s="2">
        <v>100013151072</v>
      </c>
      <c r="B199" s="4" t="s">
        <v>782</v>
      </c>
      <c r="C199" s="4" t="s">
        <v>783</v>
      </c>
      <c r="D199" s="4" t="s">
        <v>32</v>
      </c>
      <c r="E199" s="4" t="s">
        <v>1</v>
      </c>
    </row>
    <row r="200" ht="21" customHeight="1" spans="1:5">
      <c r="A200" s="2">
        <v>100006471581</v>
      </c>
      <c r="B200" s="4" t="s">
        <v>784</v>
      </c>
      <c r="C200" s="4" t="s">
        <v>785</v>
      </c>
      <c r="D200" s="4" t="s">
        <v>478</v>
      </c>
      <c r="E200" s="4" t="s">
        <v>1</v>
      </c>
    </row>
    <row r="201" ht="21" customHeight="1" spans="1:5">
      <c r="A201" s="2">
        <v>100011553572</v>
      </c>
      <c r="B201" s="4" t="s">
        <v>786</v>
      </c>
      <c r="C201" s="4" t="s">
        <v>787</v>
      </c>
      <c r="D201" s="4" t="s">
        <v>32</v>
      </c>
      <c r="E201" s="4" t="s">
        <v>1</v>
      </c>
    </row>
    <row r="202" ht="21" customHeight="1" spans="1:5">
      <c r="A202" s="2">
        <v>100014191072</v>
      </c>
      <c r="B202" s="4" t="s">
        <v>788</v>
      </c>
      <c r="C202" s="4" t="s">
        <v>789</v>
      </c>
      <c r="D202" s="4" t="s">
        <v>478</v>
      </c>
      <c r="E202" s="4" t="s">
        <v>1</v>
      </c>
    </row>
    <row r="203" ht="21" customHeight="1" spans="1:5">
      <c r="A203" s="2">
        <v>100013578446</v>
      </c>
      <c r="B203" s="4" t="s">
        <v>790</v>
      </c>
      <c r="C203" s="4" t="s">
        <v>791</v>
      </c>
      <c r="D203" s="4" t="s">
        <v>32</v>
      </c>
      <c r="E203" s="4" t="s">
        <v>1</v>
      </c>
    </row>
    <row r="204" ht="21" customHeight="1" spans="1:5">
      <c r="A204" s="2">
        <v>100007220999</v>
      </c>
      <c r="B204" s="4" t="s">
        <v>792</v>
      </c>
      <c r="C204" s="4" t="s">
        <v>793</v>
      </c>
      <c r="D204" s="4" t="s">
        <v>478</v>
      </c>
      <c r="E204" s="4" t="s">
        <v>1</v>
      </c>
    </row>
    <row r="205" ht="21" customHeight="1" spans="1:5">
      <c r="A205" s="2">
        <v>100013233362</v>
      </c>
      <c r="B205" s="4" t="s">
        <v>794</v>
      </c>
      <c r="C205" s="4" t="s">
        <v>795</v>
      </c>
      <c r="D205" s="4" t="s">
        <v>478</v>
      </c>
      <c r="E205" s="4" t="s">
        <v>1</v>
      </c>
    </row>
    <row r="206" ht="21" customHeight="1" spans="1:5">
      <c r="A206" s="2">
        <v>100007591349</v>
      </c>
      <c r="B206" s="4" t="s">
        <v>796</v>
      </c>
      <c r="C206" s="4" t="s">
        <v>797</v>
      </c>
      <c r="D206" s="4" t="s">
        <v>252</v>
      </c>
      <c r="E206" s="4" t="s">
        <v>1</v>
      </c>
    </row>
    <row r="207" ht="21" customHeight="1" spans="1:5">
      <c r="A207" s="2">
        <v>100001744209</v>
      </c>
      <c r="B207" s="4" t="s">
        <v>798</v>
      </c>
      <c r="C207" s="4" t="s">
        <v>799</v>
      </c>
      <c r="D207" s="4" t="s">
        <v>252</v>
      </c>
      <c r="E207" s="4" t="s">
        <v>1</v>
      </c>
    </row>
    <row r="208" ht="21" customHeight="1" spans="1:5">
      <c r="A208" s="2">
        <v>4669496</v>
      </c>
      <c r="B208" s="4" t="s">
        <v>800</v>
      </c>
      <c r="C208" s="4" t="s">
        <v>801</v>
      </c>
      <c r="D208" s="4" t="s">
        <v>32</v>
      </c>
      <c r="E208" s="4" t="s">
        <v>1</v>
      </c>
    </row>
    <row r="209" ht="21" customHeight="1" spans="1:5">
      <c r="A209" s="2">
        <v>100007303429</v>
      </c>
      <c r="B209" s="4" t="s">
        <v>802</v>
      </c>
      <c r="C209" s="4" t="s">
        <v>759</v>
      </c>
      <c r="D209" s="4" t="s">
        <v>32</v>
      </c>
      <c r="E209" s="4" t="s">
        <v>1</v>
      </c>
    </row>
    <row r="210" ht="21" customHeight="1" spans="1:5">
      <c r="A210" s="2">
        <v>100006471583</v>
      </c>
      <c r="B210" s="4" t="s">
        <v>803</v>
      </c>
      <c r="C210" s="4" t="s">
        <v>804</v>
      </c>
      <c r="D210" s="4" t="s">
        <v>252</v>
      </c>
      <c r="E210" s="4" t="s">
        <v>1</v>
      </c>
    </row>
    <row r="211" ht="21" customHeight="1" spans="1:5">
      <c r="A211" s="2">
        <v>100007220979</v>
      </c>
      <c r="B211" s="4" t="s">
        <v>805</v>
      </c>
      <c r="C211" s="4" t="s">
        <v>806</v>
      </c>
      <c r="D211" s="4" t="s">
        <v>478</v>
      </c>
      <c r="E211" s="4" t="s">
        <v>1</v>
      </c>
    </row>
    <row r="212" ht="21" customHeight="1" spans="1:5">
      <c r="A212" s="2">
        <v>100008176686</v>
      </c>
      <c r="B212" s="4" t="s">
        <v>807</v>
      </c>
      <c r="C212" s="4" t="s">
        <v>808</v>
      </c>
      <c r="D212" s="4" t="s">
        <v>478</v>
      </c>
      <c r="E212" s="4" t="s">
        <v>1</v>
      </c>
    </row>
    <row r="213" ht="21" customHeight="1" spans="1:5">
      <c r="A213" s="2">
        <v>1021922</v>
      </c>
      <c r="B213" s="4" t="s">
        <v>809</v>
      </c>
      <c r="C213" s="4" t="s">
        <v>810</v>
      </c>
      <c r="D213" s="4" t="s">
        <v>32</v>
      </c>
      <c r="E213" s="4" t="s">
        <v>1</v>
      </c>
    </row>
    <row r="214" ht="21" customHeight="1" spans="1:5">
      <c r="A214" s="2">
        <v>100011741774</v>
      </c>
      <c r="B214" s="4" t="s">
        <v>811</v>
      </c>
      <c r="C214" s="4" t="s">
        <v>812</v>
      </c>
      <c r="D214" s="4" t="s">
        <v>252</v>
      </c>
      <c r="E214" s="4" t="s">
        <v>1</v>
      </c>
    </row>
    <row r="215" ht="21" customHeight="1" spans="1:5">
      <c r="A215" s="2">
        <v>100006472189</v>
      </c>
      <c r="B215" s="4" t="s">
        <v>813</v>
      </c>
      <c r="C215" s="4" t="s">
        <v>814</v>
      </c>
      <c r="D215" s="4" t="s">
        <v>478</v>
      </c>
      <c r="E215" s="4" t="s">
        <v>1</v>
      </c>
    </row>
    <row r="216" ht="21" customHeight="1" spans="1:5">
      <c r="A216" s="2">
        <v>100007852401</v>
      </c>
      <c r="B216" s="4" t="s">
        <v>815</v>
      </c>
      <c r="C216" s="4" t="s">
        <v>816</v>
      </c>
      <c r="D216" s="4" t="s">
        <v>478</v>
      </c>
      <c r="E216" s="4" t="s">
        <v>1</v>
      </c>
    </row>
    <row r="217" ht="21" customHeight="1" spans="1:5">
      <c r="A217" s="2">
        <v>100008832802</v>
      </c>
      <c r="B217" s="4" t="s">
        <v>817</v>
      </c>
      <c r="C217" s="4" t="s">
        <v>818</v>
      </c>
      <c r="D217" s="4" t="s">
        <v>478</v>
      </c>
      <c r="E217" s="4" t="s">
        <v>1</v>
      </c>
    </row>
    <row r="218" ht="21" customHeight="1" spans="1:5">
      <c r="A218" s="2">
        <v>100011741776</v>
      </c>
      <c r="B218" s="4" t="s">
        <v>819</v>
      </c>
      <c r="C218" s="4" t="s">
        <v>820</v>
      </c>
      <c r="D218" s="4" t="s">
        <v>252</v>
      </c>
      <c r="E218" s="4" t="s">
        <v>1</v>
      </c>
    </row>
    <row r="219" ht="21" customHeight="1" spans="1:5">
      <c r="A219" s="2">
        <v>100013440044</v>
      </c>
      <c r="B219" s="4" t="s">
        <v>780</v>
      </c>
      <c r="C219" s="4" t="s">
        <v>781</v>
      </c>
      <c r="D219" s="4" t="s">
        <v>252</v>
      </c>
      <c r="E219" s="4" t="s">
        <v>1</v>
      </c>
    </row>
    <row r="220" ht="21" customHeight="1" spans="1:5">
      <c r="A220" s="2">
        <v>100002870108</v>
      </c>
      <c r="B220" s="4" t="s">
        <v>821</v>
      </c>
      <c r="C220" s="4" t="s">
        <v>822</v>
      </c>
      <c r="D220" s="4" t="s">
        <v>478</v>
      </c>
      <c r="E220" s="4" t="s">
        <v>1</v>
      </c>
    </row>
    <row r="221" ht="21" customHeight="1" spans="1:5">
      <c r="A221" s="2">
        <v>100008176676</v>
      </c>
      <c r="B221" s="4" t="s">
        <v>823</v>
      </c>
      <c r="C221" s="4" t="s">
        <v>824</v>
      </c>
      <c r="D221" s="4" t="s">
        <v>478</v>
      </c>
      <c r="E221" s="4" t="s">
        <v>1</v>
      </c>
    </row>
    <row r="222" ht="21" customHeight="1" spans="1:5">
      <c r="A222" s="2">
        <v>100002363424</v>
      </c>
      <c r="B222" s="4" t="s">
        <v>825</v>
      </c>
      <c r="C222" s="4" t="s">
        <v>826</v>
      </c>
      <c r="D222" s="4" t="s">
        <v>252</v>
      </c>
      <c r="E222" s="4" t="s">
        <v>1</v>
      </c>
    </row>
    <row r="223" ht="21" customHeight="1" spans="1:5">
      <c r="A223" s="2">
        <v>100044617627</v>
      </c>
      <c r="B223" s="4" t="s">
        <v>827</v>
      </c>
      <c r="C223" s="4" t="s">
        <v>828</v>
      </c>
      <c r="D223" s="4" t="s">
        <v>252</v>
      </c>
      <c r="E223" s="4" t="s">
        <v>1</v>
      </c>
    </row>
    <row r="224" ht="21" customHeight="1" spans="1:5">
      <c r="A224" s="2">
        <v>100044938307</v>
      </c>
      <c r="B224" s="4" t="s">
        <v>829</v>
      </c>
      <c r="C224" s="4" t="s">
        <v>830</v>
      </c>
      <c r="D224" s="4" t="s">
        <v>252</v>
      </c>
      <c r="E224" s="4" t="s">
        <v>1</v>
      </c>
    </row>
    <row r="225" ht="21" customHeight="1" spans="1:5">
      <c r="A225" s="2">
        <v>100044938343</v>
      </c>
      <c r="B225" s="4" t="s">
        <v>831</v>
      </c>
      <c r="C225" s="4" t="s">
        <v>832</v>
      </c>
      <c r="D225" s="4" t="s">
        <v>252</v>
      </c>
      <c r="E225" s="4" t="s">
        <v>1</v>
      </c>
    </row>
    <row r="226" ht="21" customHeight="1" spans="1:5">
      <c r="A226" s="2">
        <v>100038241745</v>
      </c>
      <c r="B226" s="4" t="s">
        <v>833</v>
      </c>
      <c r="C226" s="4" t="s">
        <v>834</v>
      </c>
      <c r="D226" s="4" t="s">
        <v>252</v>
      </c>
      <c r="E226" s="4" t="s">
        <v>1</v>
      </c>
    </row>
    <row r="227" ht="21" customHeight="1" spans="1:5">
      <c r="A227" s="2">
        <v>100044938329</v>
      </c>
      <c r="B227" s="4" t="s">
        <v>835</v>
      </c>
      <c r="C227" s="4" t="s">
        <v>836</v>
      </c>
      <c r="D227" s="4" t="s">
        <v>252</v>
      </c>
      <c r="E227" s="4" t="s">
        <v>1</v>
      </c>
    </row>
    <row r="228" ht="21" customHeight="1" spans="1:5">
      <c r="A228" s="2">
        <v>100038645339</v>
      </c>
      <c r="B228" s="4" t="s">
        <v>837</v>
      </c>
      <c r="C228" s="4" t="s">
        <v>838</v>
      </c>
      <c r="D228" s="4" t="s">
        <v>252</v>
      </c>
      <c r="E228" s="4" t="s">
        <v>1</v>
      </c>
    </row>
    <row r="229" ht="21" customHeight="1" spans="1:5">
      <c r="A229" s="2">
        <v>100013440046</v>
      </c>
      <c r="B229" s="4" t="s">
        <v>726</v>
      </c>
      <c r="C229" s="4" t="s">
        <v>264</v>
      </c>
      <c r="D229" s="4" t="s">
        <v>252</v>
      </c>
      <c r="E229" s="4" t="s">
        <v>1</v>
      </c>
    </row>
    <row r="230" ht="21" customHeight="1" spans="1:5">
      <c r="A230" s="2">
        <v>100040790725</v>
      </c>
      <c r="B230" s="4" t="s">
        <v>839</v>
      </c>
      <c r="C230" s="4" t="s">
        <v>285</v>
      </c>
      <c r="D230" s="4" t="s">
        <v>252</v>
      </c>
      <c r="E230" s="4" t="s">
        <v>1</v>
      </c>
    </row>
    <row r="231" ht="21" customHeight="1" spans="1:5">
      <c r="A231" s="2">
        <v>100011741764</v>
      </c>
      <c r="B231" s="4" t="s">
        <v>840</v>
      </c>
      <c r="C231" s="4" t="s">
        <v>841</v>
      </c>
      <c r="D231" s="4" t="s">
        <v>252</v>
      </c>
      <c r="E231" s="4" t="s">
        <v>1</v>
      </c>
    </row>
    <row r="232" ht="21" customHeight="1" spans="1:5">
      <c r="A232" s="2">
        <v>100013609186</v>
      </c>
      <c r="B232" s="4" t="s">
        <v>842</v>
      </c>
      <c r="C232" s="4" t="s">
        <v>843</v>
      </c>
      <c r="D232" s="4" t="s">
        <v>252</v>
      </c>
      <c r="E232" s="4" t="s">
        <v>1</v>
      </c>
    </row>
    <row r="233" ht="21" customHeight="1" spans="1:5">
      <c r="A233" s="2">
        <v>100004208893</v>
      </c>
      <c r="B233" s="4" t="s">
        <v>844</v>
      </c>
      <c r="C233" s="4" t="s">
        <v>845</v>
      </c>
      <c r="D233" s="4" t="s">
        <v>478</v>
      </c>
      <c r="E233" s="4" t="s">
        <v>1</v>
      </c>
    </row>
    <row r="234" ht="21" customHeight="1" spans="1:5">
      <c r="A234" s="2">
        <v>100014191938</v>
      </c>
      <c r="B234" s="4" t="s">
        <v>846</v>
      </c>
      <c r="C234" s="4" t="s">
        <v>847</v>
      </c>
      <c r="D234" s="4" t="s">
        <v>478</v>
      </c>
      <c r="E234" s="4" t="s">
        <v>1</v>
      </c>
    </row>
    <row r="235" ht="21" customHeight="1" spans="1:5">
      <c r="A235" s="2">
        <v>100008832804</v>
      </c>
      <c r="B235" s="4" t="s">
        <v>848</v>
      </c>
      <c r="C235" s="4" t="s">
        <v>849</v>
      </c>
      <c r="D235" s="4" t="s">
        <v>478</v>
      </c>
      <c r="E235" s="4" t="s">
        <v>1</v>
      </c>
    </row>
    <row r="236" ht="21" customHeight="1" spans="1:5">
      <c r="A236" s="2">
        <v>100014191034</v>
      </c>
      <c r="B236" s="4" t="s">
        <v>850</v>
      </c>
      <c r="C236" s="4" t="s">
        <v>851</v>
      </c>
      <c r="D236" s="4" t="s">
        <v>478</v>
      </c>
      <c r="E236" s="4" t="s">
        <v>1</v>
      </c>
    </row>
    <row r="237" ht="21" customHeight="1" spans="1:5">
      <c r="A237" s="2">
        <v>100014191622</v>
      </c>
      <c r="B237" s="4" t="s">
        <v>852</v>
      </c>
      <c r="C237" s="4" t="s">
        <v>853</v>
      </c>
      <c r="D237" s="4" t="s">
        <v>478</v>
      </c>
      <c r="E237" s="4" t="s">
        <v>1</v>
      </c>
    </row>
    <row r="238" ht="21" customHeight="1" spans="1:5">
      <c r="A238" s="2">
        <v>100006978191</v>
      </c>
      <c r="B238" s="4" t="s">
        <v>854</v>
      </c>
      <c r="C238" s="4" t="s">
        <v>855</v>
      </c>
      <c r="D238" s="4" t="s">
        <v>478</v>
      </c>
      <c r="E238" s="4" t="s">
        <v>1</v>
      </c>
    </row>
    <row r="239" ht="21" customHeight="1" spans="1:5">
      <c r="A239" s="2">
        <v>3128500</v>
      </c>
      <c r="B239" s="4" t="s">
        <v>856</v>
      </c>
      <c r="C239" s="4" t="s">
        <v>857</v>
      </c>
      <c r="D239" s="4" t="s">
        <v>32</v>
      </c>
      <c r="E239" s="4" t="s">
        <v>1</v>
      </c>
    </row>
    <row r="240" ht="21" customHeight="1" spans="1:5">
      <c r="A240" s="2">
        <v>100006016816</v>
      </c>
      <c r="B240" s="4" t="s">
        <v>858</v>
      </c>
      <c r="C240" s="4" t="s">
        <v>859</v>
      </c>
      <c r="D240" s="4" t="s">
        <v>478</v>
      </c>
      <c r="E240" s="4" t="s">
        <v>1</v>
      </c>
    </row>
    <row r="241" ht="21" customHeight="1" spans="1:5">
      <c r="A241" s="2">
        <v>3128458</v>
      </c>
      <c r="B241" s="4" t="s">
        <v>860</v>
      </c>
      <c r="C241" s="4" t="s">
        <v>861</v>
      </c>
      <c r="D241" s="4" t="s">
        <v>32</v>
      </c>
      <c r="E241" s="4" t="s">
        <v>1</v>
      </c>
    </row>
    <row r="242" ht="21" customHeight="1" spans="1:5">
      <c r="A242" s="2">
        <v>100004209189</v>
      </c>
      <c r="B242" s="4" t="s">
        <v>862</v>
      </c>
      <c r="C242" s="4" t="s">
        <v>863</v>
      </c>
      <c r="D242" s="4" t="s">
        <v>478</v>
      </c>
      <c r="E242" s="4" t="s">
        <v>1</v>
      </c>
    </row>
    <row r="243" ht="21" customHeight="1" spans="1:5">
      <c r="A243" s="2">
        <v>100006016822</v>
      </c>
      <c r="B243" s="4" t="s">
        <v>864</v>
      </c>
      <c r="C243" s="4" t="s">
        <v>865</v>
      </c>
      <c r="D243" s="4" t="s">
        <v>478</v>
      </c>
      <c r="E243" s="4" t="s">
        <v>1</v>
      </c>
    </row>
    <row r="244" ht="21" customHeight="1" spans="1:5">
      <c r="A244" s="2">
        <v>100013081090</v>
      </c>
      <c r="B244" s="4" t="s">
        <v>866</v>
      </c>
      <c r="C244" s="4" t="s">
        <v>867</v>
      </c>
      <c r="D244" s="4" t="s">
        <v>478</v>
      </c>
      <c r="E244" s="4" t="s">
        <v>1</v>
      </c>
    </row>
    <row r="245" ht="21" customHeight="1" spans="1:5">
      <c r="A245" s="2">
        <v>100012446032</v>
      </c>
      <c r="B245" s="4" t="s">
        <v>868</v>
      </c>
      <c r="C245" s="4" t="s">
        <v>76</v>
      </c>
      <c r="D245" s="4" t="s">
        <v>32</v>
      </c>
      <c r="E245" s="4" t="s">
        <v>1</v>
      </c>
    </row>
    <row r="246" ht="21" customHeight="1" spans="1:5">
      <c r="A246" s="2">
        <v>100007463703</v>
      </c>
      <c r="B246" s="4" t="s">
        <v>869</v>
      </c>
      <c r="C246" s="4" t="s">
        <v>870</v>
      </c>
      <c r="D246" s="4" t="s">
        <v>252</v>
      </c>
      <c r="E246" s="4" t="s">
        <v>1</v>
      </c>
    </row>
    <row r="247" ht="21" customHeight="1" spans="1:5">
      <c r="A247" s="2">
        <v>100008832780</v>
      </c>
      <c r="B247" s="4" t="s">
        <v>871</v>
      </c>
      <c r="C247" s="4" t="s">
        <v>872</v>
      </c>
      <c r="D247" s="4" t="s">
        <v>478</v>
      </c>
      <c r="E247" s="4" t="s">
        <v>1</v>
      </c>
    </row>
    <row r="248" ht="21" customHeight="1" spans="1:5">
      <c r="A248" s="2">
        <v>1199808</v>
      </c>
      <c r="B248" s="4" t="s">
        <v>873</v>
      </c>
      <c r="C248" s="4" t="s">
        <v>874</v>
      </c>
      <c r="D248" s="4" t="s">
        <v>32</v>
      </c>
      <c r="E248" s="4" t="s">
        <v>1</v>
      </c>
    </row>
    <row r="249" ht="21" customHeight="1" spans="1:5">
      <c r="A249" s="2">
        <v>100006978189</v>
      </c>
      <c r="B249" s="4" t="s">
        <v>875</v>
      </c>
      <c r="C249" s="4" t="s">
        <v>876</v>
      </c>
      <c r="D249" s="4" t="s">
        <v>478</v>
      </c>
      <c r="E249" s="4" t="s">
        <v>1</v>
      </c>
    </row>
    <row r="250" ht="21" customHeight="1" spans="1:5">
      <c r="A250" s="2">
        <v>100011741748</v>
      </c>
      <c r="B250" s="4" t="s">
        <v>877</v>
      </c>
      <c r="C250" s="4" t="s">
        <v>878</v>
      </c>
      <c r="D250" s="4" t="s">
        <v>252</v>
      </c>
      <c r="E250" s="4" t="s">
        <v>1</v>
      </c>
    </row>
    <row r="251" ht="21" customHeight="1" spans="1:5">
      <c r="A251" s="2">
        <v>100003621464</v>
      </c>
      <c r="B251" s="4" t="s">
        <v>879</v>
      </c>
      <c r="C251" s="4" t="s">
        <v>880</v>
      </c>
      <c r="D251" s="4" t="s">
        <v>478</v>
      </c>
      <c r="E251" s="4" t="s">
        <v>1</v>
      </c>
    </row>
    <row r="252" ht="21" customHeight="1" spans="1:5">
      <c r="A252" s="2">
        <v>2728953</v>
      </c>
      <c r="B252" s="4" t="s">
        <v>364</v>
      </c>
      <c r="C252" s="4" t="s">
        <v>881</v>
      </c>
      <c r="D252" s="4" t="s">
        <v>32</v>
      </c>
      <c r="E252" s="4" t="s">
        <v>1</v>
      </c>
    </row>
    <row r="253" ht="21" customHeight="1" spans="1:5">
      <c r="A253" s="2">
        <v>100004032766</v>
      </c>
      <c r="B253" s="4" t="s">
        <v>882</v>
      </c>
      <c r="C253" s="4" t="s">
        <v>883</v>
      </c>
      <c r="D253" s="4" t="s">
        <v>478</v>
      </c>
      <c r="E253" s="4" t="s">
        <v>1</v>
      </c>
    </row>
    <row r="254" ht="21" customHeight="1" spans="1:5">
      <c r="A254" s="2">
        <v>1021923</v>
      </c>
      <c r="B254" s="4" t="s">
        <v>884</v>
      </c>
      <c r="C254" s="4" t="s">
        <v>885</v>
      </c>
      <c r="D254" s="4" t="s">
        <v>32</v>
      </c>
      <c r="E254" s="4" t="s">
        <v>1</v>
      </c>
    </row>
    <row r="255" ht="21" customHeight="1" spans="1:5">
      <c r="A255" s="2">
        <v>100010608934</v>
      </c>
      <c r="B255" s="4" t="s">
        <v>747</v>
      </c>
      <c r="C255" s="4" t="s">
        <v>748</v>
      </c>
      <c r="D255" s="4" t="s">
        <v>478</v>
      </c>
      <c r="E255" s="4" t="s">
        <v>1</v>
      </c>
    </row>
    <row r="256" ht="21" customHeight="1" spans="1:5">
      <c r="A256" s="2">
        <v>100011741740</v>
      </c>
      <c r="B256" s="4" t="s">
        <v>886</v>
      </c>
      <c r="C256" s="4" t="s">
        <v>870</v>
      </c>
      <c r="D256" s="4" t="s">
        <v>252</v>
      </c>
      <c r="E256" s="4" t="s">
        <v>1</v>
      </c>
    </row>
    <row r="257" ht="21" customHeight="1" spans="1:5">
      <c r="A257" s="2">
        <v>100016352531</v>
      </c>
      <c r="B257" s="4" t="s">
        <v>887</v>
      </c>
      <c r="C257" s="4" t="s">
        <v>888</v>
      </c>
      <c r="D257" s="4" t="s">
        <v>478</v>
      </c>
      <c r="E257" s="4" t="s">
        <v>1</v>
      </c>
    </row>
    <row r="258" ht="21" customHeight="1" spans="1:5">
      <c r="A258" s="2">
        <v>100004288729</v>
      </c>
      <c r="B258" s="4" t="s">
        <v>889</v>
      </c>
      <c r="C258" s="4" t="s">
        <v>824</v>
      </c>
      <c r="D258" s="4" t="s">
        <v>478</v>
      </c>
      <c r="E258" s="4" t="s">
        <v>1</v>
      </c>
    </row>
    <row r="259" ht="21" customHeight="1" spans="1:5">
      <c r="A259" s="2">
        <v>100002363400</v>
      </c>
      <c r="B259" s="4" t="s">
        <v>890</v>
      </c>
      <c r="C259" s="4" t="s">
        <v>891</v>
      </c>
      <c r="D259" s="4" t="s">
        <v>252</v>
      </c>
      <c r="E259" s="4" t="s">
        <v>1</v>
      </c>
    </row>
    <row r="260" ht="21" customHeight="1" spans="1:5">
      <c r="A260" s="2">
        <v>100013081088</v>
      </c>
      <c r="B260" s="4" t="s">
        <v>892</v>
      </c>
      <c r="C260" s="4" t="s">
        <v>893</v>
      </c>
      <c r="D260" s="4" t="s">
        <v>478</v>
      </c>
      <c r="E260" s="4" t="s">
        <v>1</v>
      </c>
    </row>
    <row r="261" ht="21" customHeight="1" spans="1:5">
      <c r="A261" s="2">
        <v>100012751740</v>
      </c>
      <c r="B261" s="4" t="s">
        <v>894</v>
      </c>
      <c r="C261" s="4" t="s">
        <v>777</v>
      </c>
      <c r="D261" s="4" t="s">
        <v>478</v>
      </c>
      <c r="E261" s="4" t="s">
        <v>1</v>
      </c>
    </row>
    <row r="262" ht="21" customHeight="1" spans="1:5">
      <c r="A262" s="2">
        <v>100023173845</v>
      </c>
      <c r="B262" s="4" t="s">
        <v>895</v>
      </c>
      <c r="C262" s="4" t="s">
        <v>896</v>
      </c>
      <c r="D262" s="4" t="s">
        <v>478</v>
      </c>
      <c r="E262" s="4" t="s">
        <v>1</v>
      </c>
    </row>
    <row r="263" ht="21" customHeight="1" spans="1:5">
      <c r="A263" s="2">
        <v>100019838995</v>
      </c>
      <c r="B263" s="4" t="s">
        <v>444</v>
      </c>
      <c r="C263" s="4" t="s">
        <v>897</v>
      </c>
      <c r="D263" s="4" t="s">
        <v>478</v>
      </c>
      <c r="E263" s="4" t="s">
        <v>1</v>
      </c>
    </row>
    <row r="264" ht="21" customHeight="1" spans="1:5">
      <c r="A264" s="2">
        <v>3707648</v>
      </c>
      <c r="B264" s="4" t="s">
        <v>898</v>
      </c>
      <c r="C264" s="4" t="s">
        <v>899</v>
      </c>
      <c r="D264" s="4" t="s">
        <v>478</v>
      </c>
      <c r="E264" s="4" t="s">
        <v>1</v>
      </c>
    </row>
    <row r="265" ht="21" customHeight="1" spans="1:5">
      <c r="A265" s="2">
        <v>100006016824</v>
      </c>
      <c r="B265" s="4" t="s">
        <v>900</v>
      </c>
      <c r="C265" s="4" t="s">
        <v>901</v>
      </c>
      <c r="D265" s="4" t="s">
        <v>478</v>
      </c>
      <c r="E265" s="4" t="s">
        <v>1</v>
      </c>
    </row>
    <row r="266" ht="21" customHeight="1" spans="1:5">
      <c r="A266" s="2">
        <v>100003601239</v>
      </c>
      <c r="B266" s="4" t="s">
        <v>902</v>
      </c>
      <c r="C266" s="4" t="s">
        <v>903</v>
      </c>
      <c r="D266" s="4" t="s">
        <v>478</v>
      </c>
      <c r="E266" s="4" t="s">
        <v>1</v>
      </c>
    </row>
    <row r="267" ht="21" customHeight="1" spans="1:5">
      <c r="A267" s="2">
        <v>100013886358</v>
      </c>
      <c r="B267" s="4" t="s">
        <v>904</v>
      </c>
      <c r="C267" s="4" t="s">
        <v>783</v>
      </c>
      <c r="D267" s="4" t="s">
        <v>32</v>
      </c>
      <c r="E267" s="4" t="s">
        <v>1</v>
      </c>
    </row>
    <row r="268" ht="21" customHeight="1" spans="1:5">
      <c r="A268" s="2">
        <v>100010608932</v>
      </c>
      <c r="B268" s="4" t="s">
        <v>905</v>
      </c>
      <c r="C268" s="4" t="s">
        <v>859</v>
      </c>
      <c r="D268" s="4" t="s">
        <v>478</v>
      </c>
      <c r="E268" s="4" t="s">
        <v>1</v>
      </c>
    </row>
    <row r="269" ht="21" customHeight="1" spans="1:5">
      <c r="A269" s="2">
        <v>100011741772</v>
      </c>
      <c r="B269" s="4" t="s">
        <v>906</v>
      </c>
      <c r="C269" s="4" t="s">
        <v>907</v>
      </c>
      <c r="D269" s="4" t="s">
        <v>252</v>
      </c>
      <c r="E269" s="4" t="s">
        <v>1</v>
      </c>
    </row>
    <row r="270" ht="21" customHeight="1" spans="1:5">
      <c r="A270" s="2">
        <v>100014934216</v>
      </c>
      <c r="B270" s="4" t="s">
        <v>624</v>
      </c>
      <c r="C270" s="4" t="s">
        <v>625</v>
      </c>
      <c r="D270" s="4" t="s">
        <v>32</v>
      </c>
      <c r="E270" s="4" t="s">
        <v>1</v>
      </c>
    </row>
    <row r="271" ht="21" customHeight="1" spans="1:5">
      <c r="A271" s="2">
        <v>100048028229</v>
      </c>
      <c r="B271" s="4" t="s">
        <v>908</v>
      </c>
      <c r="C271" s="4" t="s">
        <v>86</v>
      </c>
      <c r="D271" s="4" t="s">
        <v>32</v>
      </c>
      <c r="E271" s="4" t="s">
        <v>1</v>
      </c>
    </row>
    <row r="272" ht="21" customHeight="1" spans="1:5">
      <c r="A272" s="2">
        <v>100045288525</v>
      </c>
      <c r="B272" s="4" t="s">
        <v>909</v>
      </c>
      <c r="C272" s="4" t="s">
        <v>645</v>
      </c>
      <c r="D272" s="4" t="s">
        <v>32</v>
      </c>
      <c r="E272" s="4" t="s">
        <v>1</v>
      </c>
    </row>
    <row r="273" ht="21" customHeight="1" spans="1:5">
      <c r="A273" s="2">
        <v>100045288513</v>
      </c>
      <c r="B273" s="4" t="s">
        <v>910</v>
      </c>
      <c r="C273" s="4" t="s">
        <v>559</v>
      </c>
      <c r="D273" s="4" t="s">
        <v>32</v>
      </c>
      <c r="E273" s="4" t="s">
        <v>1</v>
      </c>
    </row>
    <row r="274" ht="21" customHeight="1" spans="1:5">
      <c r="A274" s="2">
        <v>100048028257</v>
      </c>
      <c r="B274" s="4" t="s">
        <v>911</v>
      </c>
      <c r="C274" s="4" t="s">
        <v>79</v>
      </c>
      <c r="D274" s="4" t="s">
        <v>32</v>
      </c>
      <c r="E274" s="4" t="s">
        <v>1</v>
      </c>
    </row>
    <row r="275" ht="21" customHeight="1" spans="1:5">
      <c r="A275" s="2">
        <v>100039706955</v>
      </c>
      <c r="B275" s="4" t="s">
        <v>912</v>
      </c>
      <c r="C275" s="4" t="s">
        <v>913</v>
      </c>
      <c r="D275" s="4" t="s">
        <v>32</v>
      </c>
      <c r="E275" s="4" t="s">
        <v>1</v>
      </c>
    </row>
    <row r="276" ht="21" customHeight="1" spans="1:5">
      <c r="A276" s="2">
        <v>100019525105</v>
      </c>
      <c r="B276" s="4" t="s">
        <v>914</v>
      </c>
      <c r="C276" s="4" t="s">
        <v>585</v>
      </c>
      <c r="D276" s="4" t="s">
        <v>585</v>
      </c>
      <c r="E276" s="4" t="s">
        <v>1</v>
      </c>
    </row>
    <row r="277" ht="21" customHeight="1" spans="1:5">
      <c r="A277" s="2">
        <v>100033048742</v>
      </c>
      <c r="B277" s="4" t="s">
        <v>914</v>
      </c>
      <c r="C277" s="4" t="s">
        <v>585</v>
      </c>
      <c r="D277" s="4" t="s">
        <v>585</v>
      </c>
      <c r="E277" s="4" t="s">
        <v>1</v>
      </c>
    </row>
    <row r="278" ht="21" customHeight="1" spans="1:5">
      <c r="A278" s="2">
        <v>100046001435</v>
      </c>
      <c r="B278" s="4" t="s">
        <v>835</v>
      </c>
      <c r="C278" s="4" t="s">
        <v>836</v>
      </c>
      <c r="D278" s="4" t="s">
        <v>252</v>
      </c>
      <c r="E278" s="4" t="s">
        <v>1</v>
      </c>
    </row>
    <row r="279" ht="21" customHeight="1" spans="1:5">
      <c r="A279" s="2">
        <v>100034143281</v>
      </c>
      <c r="B279" s="4" t="s">
        <v>915</v>
      </c>
      <c r="C279" s="4" t="s">
        <v>672</v>
      </c>
      <c r="D279" s="4" t="s">
        <v>478</v>
      </c>
      <c r="E279" s="4" t="s">
        <v>1</v>
      </c>
    </row>
    <row r="280" ht="21" customHeight="1" spans="1:5">
      <c r="A280" s="2">
        <v>100048569035</v>
      </c>
      <c r="B280" s="4" t="s">
        <v>916</v>
      </c>
      <c r="C280" s="4" t="s">
        <v>585</v>
      </c>
      <c r="D280" s="4" t="s">
        <v>585</v>
      </c>
      <c r="E280" s="4" t="s">
        <v>1</v>
      </c>
    </row>
    <row r="281" ht="21" customHeight="1" spans="1:5">
      <c r="A281" s="2">
        <v>100048631177</v>
      </c>
      <c r="B281" s="4" t="s">
        <v>917</v>
      </c>
      <c r="C281" s="4" t="s">
        <v>585</v>
      </c>
      <c r="D281" s="4" t="s">
        <v>585</v>
      </c>
      <c r="E281" s="4" t="s">
        <v>1</v>
      </c>
    </row>
    <row r="282" ht="21" customHeight="1" spans="1:5">
      <c r="A282" s="2">
        <v>100053860557</v>
      </c>
      <c r="B282" s="4" t="s">
        <v>918</v>
      </c>
      <c r="C282" s="4" t="s">
        <v>647</v>
      </c>
      <c r="D282" s="4" t="s">
        <v>32</v>
      </c>
      <c r="E282" s="4" t="s">
        <v>1</v>
      </c>
    </row>
    <row r="283" ht="21" customHeight="1" spans="1:5">
      <c r="A283" s="2">
        <v>100044914678</v>
      </c>
      <c r="B283" s="4" t="s">
        <v>919</v>
      </c>
      <c r="C283" s="4" t="s">
        <v>920</v>
      </c>
      <c r="D283" s="4" t="s">
        <v>609</v>
      </c>
      <c r="E283" s="4" t="s">
        <v>1</v>
      </c>
    </row>
    <row r="284" ht="21" customHeight="1" spans="1:5">
      <c r="A284" s="2">
        <v>100044914654</v>
      </c>
      <c r="B284" s="4" t="s">
        <v>921</v>
      </c>
      <c r="C284" s="4" t="s">
        <v>625</v>
      </c>
      <c r="D284" s="4" t="s">
        <v>32</v>
      </c>
      <c r="E284" s="4" t="s">
        <v>1</v>
      </c>
    </row>
    <row r="285" ht="21" customHeight="1" spans="1:5">
      <c r="A285" s="2">
        <v>100056736113</v>
      </c>
      <c r="B285" s="4" t="s">
        <v>922</v>
      </c>
      <c r="C285" s="4" t="s">
        <v>105</v>
      </c>
      <c r="D285" s="4" t="s">
        <v>32</v>
      </c>
      <c r="E285" s="4" t="s">
        <v>1</v>
      </c>
    </row>
    <row r="286" ht="21" customHeight="1" spans="1:5">
      <c r="A286" s="2">
        <v>100053764643</v>
      </c>
      <c r="B286" s="4" t="s">
        <v>923</v>
      </c>
      <c r="C286" s="4" t="s">
        <v>924</v>
      </c>
      <c r="D286" s="4" t="s">
        <v>32</v>
      </c>
      <c r="E286" s="4" t="s">
        <v>1</v>
      </c>
    </row>
    <row r="287" ht="21" customHeight="1" spans="1:5">
      <c r="A287" s="2">
        <v>100044914636</v>
      </c>
      <c r="B287" s="4" t="s">
        <v>925</v>
      </c>
      <c r="C287" s="4" t="s">
        <v>926</v>
      </c>
      <c r="D287" s="4" t="s">
        <v>252</v>
      </c>
      <c r="E287" s="4" t="s">
        <v>1</v>
      </c>
    </row>
    <row r="288" ht="21" customHeight="1" spans="1:5">
      <c r="A288" s="2">
        <v>100053764601</v>
      </c>
      <c r="B288" s="4" t="s">
        <v>927</v>
      </c>
      <c r="C288" s="4" t="s">
        <v>264</v>
      </c>
      <c r="D288" s="4" t="s">
        <v>252</v>
      </c>
      <c r="E288" s="4" t="s">
        <v>1</v>
      </c>
    </row>
    <row r="289" ht="21" customHeight="1" spans="1:5">
      <c r="A289" s="2">
        <v>100043251992</v>
      </c>
      <c r="B289" s="4" t="s">
        <v>928</v>
      </c>
      <c r="C289" s="4" t="s">
        <v>583</v>
      </c>
      <c r="D289" s="4" t="s">
        <v>252</v>
      </c>
      <c r="E289" s="4" t="s">
        <v>1</v>
      </c>
    </row>
    <row r="290" ht="21" customHeight="1" spans="1:5">
      <c r="A290" s="2">
        <v>100044914616</v>
      </c>
      <c r="B290" s="4" t="s">
        <v>929</v>
      </c>
      <c r="C290" s="4" t="s">
        <v>930</v>
      </c>
      <c r="D290" s="4" t="s">
        <v>32</v>
      </c>
      <c r="E290" s="4" t="s">
        <v>1</v>
      </c>
    </row>
    <row r="291" ht="21" customHeight="1" spans="1:5">
      <c r="A291" s="2">
        <v>100048345256</v>
      </c>
      <c r="B291" s="4" t="s">
        <v>403</v>
      </c>
      <c r="C291" s="4" t="s">
        <v>931</v>
      </c>
      <c r="D291" s="4" t="s">
        <v>494</v>
      </c>
      <c r="E291" s="4" t="s">
        <v>1</v>
      </c>
    </row>
    <row r="292" ht="21" customHeight="1" spans="1:5">
      <c r="A292" s="2">
        <v>100046508870</v>
      </c>
      <c r="B292" s="4" t="s">
        <v>932</v>
      </c>
      <c r="C292" s="4" t="s">
        <v>563</v>
      </c>
      <c r="D292" s="4" t="s">
        <v>478</v>
      </c>
      <c r="E292" s="4" t="s">
        <v>1</v>
      </c>
    </row>
    <row r="293" ht="21" customHeight="1" spans="1:5">
      <c r="A293" s="2">
        <v>100055302807</v>
      </c>
      <c r="B293" s="4" t="s">
        <v>933</v>
      </c>
      <c r="C293" s="4" t="s">
        <v>934</v>
      </c>
      <c r="D293" s="4" t="s">
        <v>478</v>
      </c>
      <c r="E293" s="4" t="s">
        <v>1</v>
      </c>
    </row>
    <row r="294" ht="21" customHeight="1" spans="1:5">
      <c r="A294" s="2">
        <v>100043251880</v>
      </c>
      <c r="B294" s="4" t="s">
        <v>448</v>
      </c>
      <c r="C294" s="4" t="s">
        <v>935</v>
      </c>
      <c r="D294" s="4" t="s">
        <v>478</v>
      </c>
      <c r="E294" s="4" t="s">
        <v>1</v>
      </c>
    </row>
    <row r="295" ht="21" customHeight="1" spans="1:5">
      <c r="A295" s="2">
        <v>100044914704</v>
      </c>
      <c r="B295" s="4" t="s">
        <v>936</v>
      </c>
      <c r="C295" s="4" t="s">
        <v>781</v>
      </c>
      <c r="D295" s="4" t="s">
        <v>252</v>
      </c>
      <c r="E295" s="4" t="s">
        <v>1</v>
      </c>
    </row>
    <row r="296" ht="21" customHeight="1" spans="1:5">
      <c r="A296" s="2">
        <v>100044914620</v>
      </c>
      <c r="B296" s="4" t="s">
        <v>937</v>
      </c>
      <c r="C296" s="4" t="s">
        <v>859</v>
      </c>
      <c r="D296" s="4" t="s">
        <v>478</v>
      </c>
      <c r="E296" s="4" t="s">
        <v>1</v>
      </c>
    </row>
    <row r="297" ht="21" customHeight="1" spans="1:5">
      <c r="A297" s="2">
        <v>100053764641</v>
      </c>
      <c r="B297" s="4" t="s">
        <v>938</v>
      </c>
      <c r="C297" s="4" t="s">
        <v>659</v>
      </c>
      <c r="D297" s="4" t="s">
        <v>252</v>
      </c>
      <c r="E297" s="4" t="s">
        <v>1</v>
      </c>
    </row>
    <row r="298" ht="21" customHeight="1" spans="1:5">
      <c r="A298" s="2">
        <v>100044914638</v>
      </c>
      <c r="B298" s="4" t="s">
        <v>939</v>
      </c>
      <c r="C298" s="4" t="s">
        <v>940</v>
      </c>
      <c r="D298" s="4" t="s">
        <v>252</v>
      </c>
      <c r="E298" s="4" t="s">
        <v>1</v>
      </c>
    </row>
    <row r="299" ht="21" customHeight="1" spans="1:5">
      <c r="A299" s="2">
        <v>100055302823</v>
      </c>
      <c r="B299" s="4" t="s">
        <v>941</v>
      </c>
      <c r="C299" s="4" t="s">
        <v>942</v>
      </c>
      <c r="D299" s="4" t="s">
        <v>478</v>
      </c>
      <c r="E299" s="4" t="s">
        <v>1</v>
      </c>
    </row>
    <row r="300" ht="21" customHeight="1" spans="1:5">
      <c r="A300" s="2">
        <v>100047264414</v>
      </c>
      <c r="B300" s="4" t="s">
        <v>943</v>
      </c>
      <c r="C300" s="4" t="s">
        <v>944</v>
      </c>
      <c r="D300" s="4" t="s">
        <v>478</v>
      </c>
      <c r="E300" s="4" t="s">
        <v>1</v>
      </c>
    </row>
    <row r="301" ht="21" customHeight="1" spans="1:5">
      <c r="A301" s="2">
        <v>100044914670</v>
      </c>
      <c r="B301" s="4" t="s">
        <v>945</v>
      </c>
      <c r="C301" s="4" t="s">
        <v>946</v>
      </c>
      <c r="D301" s="4" t="s">
        <v>494</v>
      </c>
      <c r="E301" s="4" t="s">
        <v>1</v>
      </c>
    </row>
    <row r="302" ht="21" customHeight="1" spans="1:5">
      <c r="A302" s="2">
        <v>100055302827</v>
      </c>
      <c r="B302" s="4" t="s">
        <v>947</v>
      </c>
      <c r="C302" s="4" t="s">
        <v>948</v>
      </c>
      <c r="D302" s="4" t="s">
        <v>478</v>
      </c>
      <c r="E302" s="4" t="s">
        <v>1</v>
      </c>
    </row>
    <row r="303" ht="21" customHeight="1" spans="1:5">
      <c r="A303" s="2">
        <v>100056046455</v>
      </c>
      <c r="B303" s="4" t="s">
        <v>404</v>
      </c>
      <c r="C303" s="4" t="s">
        <v>949</v>
      </c>
      <c r="D303" s="4" t="s">
        <v>494</v>
      </c>
      <c r="E303" s="4" t="s">
        <v>1</v>
      </c>
    </row>
    <row r="304" ht="21" customHeight="1" spans="1:5">
      <c r="A304" s="2">
        <v>100044608292</v>
      </c>
      <c r="B304" s="4" t="s">
        <v>950</v>
      </c>
      <c r="C304" s="4" t="s">
        <v>603</v>
      </c>
      <c r="D304" s="4" t="s">
        <v>478</v>
      </c>
      <c r="E304" s="4" t="s">
        <v>1</v>
      </c>
    </row>
    <row r="305" ht="21" customHeight="1" spans="1:5">
      <c r="A305" s="2">
        <v>100044914682</v>
      </c>
      <c r="B305" s="4" t="s">
        <v>951</v>
      </c>
      <c r="C305" s="4" t="s">
        <v>693</v>
      </c>
      <c r="D305" s="4" t="s">
        <v>478</v>
      </c>
      <c r="E305" s="4" t="s">
        <v>1</v>
      </c>
    </row>
    <row r="306" ht="21" customHeight="1" spans="1:5">
      <c r="A306" s="2">
        <v>100044914696</v>
      </c>
      <c r="B306" s="4" t="s">
        <v>952</v>
      </c>
      <c r="C306" s="4" t="s">
        <v>699</v>
      </c>
      <c r="D306" s="4" t="s">
        <v>478</v>
      </c>
      <c r="E306" s="4" t="s">
        <v>1</v>
      </c>
    </row>
    <row r="307" ht="21" customHeight="1" spans="1:5">
      <c r="A307" s="2">
        <v>100055279995</v>
      </c>
      <c r="B307" s="4" t="s">
        <v>566</v>
      </c>
      <c r="C307" s="4" t="s">
        <v>567</v>
      </c>
      <c r="D307" s="4" t="s">
        <v>32</v>
      </c>
      <c r="E307" s="4" t="s">
        <v>1</v>
      </c>
    </row>
    <row r="308" ht="21" customHeight="1" spans="1:5">
      <c r="A308" s="2">
        <v>100055279997</v>
      </c>
      <c r="B308" s="4" t="s">
        <v>564</v>
      </c>
      <c r="C308" s="4" t="s">
        <v>565</v>
      </c>
      <c r="D308" s="4" t="s">
        <v>32</v>
      </c>
      <c r="E308" s="4" t="s">
        <v>1</v>
      </c>
    </row>
    <row r="309" ht="21" customHeight="1" spans="1:5">
      <c r="A309" s="2">
        <v>100044914652</v>
      </c>
      <c r="B309" s="4" t="s">
        <v>953</v>
      </c>
      <c r="C309" s="4" t="s">
        <v>954</v>
      </c>
      <c r="D309" s="4" t="s">
        <v>481</v>
      </c>
      <c r="E309" s="4" t="s">
        <v>1</v>
      </c>
    </row>
    <row r="310" ht="21" customHeight="1" spans="1:5">
      <c r="A310" s="2">
        <v>100053764599</v>
      </c>
      <c r="B310" s="4" t="s">
        <v>955</v>
      </c>
      <c r="C310" s="4" t="s">
        <v>956</v>
      </c>
      <c r="D310" s="4" t="s">
        <v>252</v>
      </c>
      <c r="E310" s="4" t="s">
        <v>1</v>
      </c>
    </row>
    <row r="311" ht="21" customHeight="1" spans="1:5">
      <c r="A311" s="2">
        <v>100053764617</v>
      </c>
      <c r="B311" s="4" t="s">
        <v>957</v>
      </c>
      <c r="C311" s="4" t="s">
        <v>958</v>
      </c>
      <c r="D311" s="4" t="s">
        <v>481</v>
      </c>
      <c r="E311" s="4" t="s">
        <v>1</v>
      </c>
    </row>
    <row r="312" ht="21" customHeight="1" spans="1:5">
      <c r="A312" s="2">
        <v>100043705930</v>
      </c>
      <c r="B312" s="4" t="s">
        <v>959</v>
      </c>
      <c r="C312" s="4" t="s">
        <v>765</v>
      </c>
      <c r="D312" s="4" t="s">
        <v>32</v>
      </c>
      <c r="E312" s="4" t="s">
        <v>1</v>
      </c>
    </row>
    <row r="313" ht="21" customHeight="1" spans="1:5">
      <c r="A313" s="2">
        <v>100044914668</v>
      </c>
      <c r="B313" s="4" t="s">
        <v>960</v>
      </c>
      <c r="C313" s="4" t="s">
        <v>265</v>
      </c>
      <c r="D313" s="4" t="s">
        <v>252</v>
      </c>
      <c r="E313" s="4" t="s">
        <v>1</v>
      </c>
    </row>
    <row r="314" ht="21" customHeight="1" spans="1:5">
      <c r="A314" s="2">
        <v>100044914664</v>
      </c>
      <c r="B314" s="4" t="s">
        <v>961</v>
      </c>
      <c r="C314" s="4" t="s">
        <v>266</v>
      </c>
      <c r="D314" s="4" t="s">
        <v>252</v>
      </c>
      <c r="E314" s="4" t="s">
        <v>1</v>
      </c>
    </row>
    <row r="315" ht="21" customHeight="1" spans="1:5">
      <c r="A315" s="2">
        <v>100033849949</v>
      </c>
      <c r="B315" s="4" t="s">
        <v>962</v>
      </c>
      <c r="C315" s="4" t="s">
        <v>672</v>
      </c>
      <c r="D315" s="4" t="s">
        <v>478</v>
      </c>
      <c r="E315" s="4" t="s">
        <v>1</v>
      </c>
    </row>
    <row r="316" ht="21" customHeight="1" spans="1:5">
      <c r="A316" s="2">
        <v>100053764633</v>
      </c>
      <c r="B316" s="4" t="s">
        <v>963</v>
      </c>
      <c r="C316" s="4" t="s">
        <v>273</v>
      </c>
      <c r="D316" s="4" t="s">
        <v>252</v>
      </c>
      <c r="E316" s="4" t="s">
        <v>1</v>
      </c>
    </row>
    <row r="317" ht="21" customHeight="1" spans="1:5">
      <c r="A317" s="2">
        <v>100053764597</v>
      </c>
      <c r="B317" s="4" t="s">
        <v>964</v>
      </c>
      <c r="C317" s="4" t="s">
        <v>649</v>
      </c>
      <c r="D317" s="4" t="s">
        <v>32</v>
      </c>
      <c r="E317" s="4" t="s">
        <v>1</v>
      </c>
    </row>
    <row r="318" ht="21" customHeight="1" spans="1:5">
      <c r="A318" s="2">
        <v>100053764629</v>
      </c>
      <c r="B318" s="4" t="s">
        <v>965</v>
      </c>
      <c r="C318" s="4" t="s">
        <v>966</v>
      </c>
      <c r="D318" s="4" t="s">
        <v>609</v>
      </c>
      <c r="E318" s="4" t="s">
        <v>1</v>
      </c>
    </row>
    <row r="319" ht="21" customHeight="1" spans="1:5">
      <c r="A319" s="2">
        <v>100034603240</v>
      </c>
      <c r="B319" s="4" t="s">
        <v>967</v>
      </c>
      <c r="C319" s="4" t="s">
        <v>968</v>
      </c>
      <c r="D319" s="4" t="s">
        <v>252</v>
      </c>
      <c r="E319" s="4" t="s">
        <v>1</v>
      </c>
    </row>
    <row r="320" ht="21" customHeight="1" spans="1:5">
      <c r="A320" s="2">
        <v>100045057928</v>
      </c>
      <c r="B320" s="4" t="s">
        <v>969</v>
      </c>
      <c r="C320" s="4" t="s">
        <v>663</v>
      </c>
      <c r="D320" s="4" t="s">
        <v>478</v>
      </c>
      <c r="E320" s="4" t="s">
        <v>1</v>
      </c>
    </row>
    <row r="321" ht="21" customHeight="1" spans="1:5">
      <c r="A321" s="2">
        <v>100053764619</v>
      </c>
      <c r="B321" s="4" t="s">
        <v>970</v>
      </c>
      <c r="C321" s="4" t="s">
        <v>971</v>
      </c>
      <c r="D321" s="4" t="s">
        <v>481</v>
      </c>
      <c r="E321" s="4" t="s">
        <v>1</v>
      </c>
    </row>
    <row r="322" ht="21" customHeight="1" spans="1:5">
      <c r="A322" s="2">
        <v>100053764627</v>
      </c>
      <c r="B322" s="4" t="s">
        <v>972</v>
      </c>
      <c r="C322" s="4" t="s">
        <v>681</v>
      </c>
      <c r="D322" s="4" t="s">
        <v>478</v>
      </c>
      <c r="E322" s="4" t="s">
        <v>1</v>
      </c>
    </row>
    <row r="323" ht="21" customHeight="1" spans="1:5">
      <c r="A323" s="2">
        <v>100043304620</v>
      </c>
      <c r="B323" s="4" t="s">
        <v>973</v>
      </c>
      <c r="C323" s="4" t="s">
        <v>974</v>
      </c>
      <c r="D323" s="4" t="s">
        <v>32</v>
      </c>
      <c r="E323" s="4" t="s">
        <v>1</v>
      </c>
    </row>
    <row r="324" ht="21" customHeight="1" spans="1:5">
      <c r="A324" s="2">
        <v>100045203871</v>
      </c>
      <c r="B324" s="4" t="s">
        <v>975</v>
      </c>
      <c r="C324" s="4" t="s">
        <v>653</v>
      </c>
      <c r="D324" s="4" t="s">
        <v>32</v>
      </c>
      <c r="E324" s="4" t="s">
        <v>1</v>
      </c>
    </row>
    <row r="325" ht="21" customHeight="1" spans="1:5">
      <c r="A325" s="2">
        <v>100039706979</v>
      </c>
      <c r="B325" s="4" t="s">
        <v>976</v>
      </c>
      <c r="C325" s="4" t="s">
        <v>977</v>
      </c>
      <c r="D325" s="4" t="s">
        <v>32</v>
      </c>
      <c r="E325" s="4" t="s">
        <v>1</v>
      </c>
    </row>
    <row r="326" ht="21" customHeight="1" spans="1:5">
      <c r="A326" s="2">
        <v>100026763429</v>
      </c>
      <c r="B326" s="4" t="s">
        <v>978</v>
      </c>
      <c r="C326" s="4" t="s">
        <v>888</v>
      </c>
      <c r="D326" s="4" t="s">
        <v>478</v>
      </c>
      <c r="E326" s="4" t="s">
        <v>1</v>
      </c>
    </row>
    <row r="327" ht="21" customHeight="1" spans="1:5">
      <c r="A327" s="2">
        <v>100048015485</v>
      </c>
      <c r="B327" s="4" t="s">
        <v>979</v>
      </c>
      <c r="C327" s="4" t="s">
        <v>974</v>
      </c>
      <c r="D327" s="4" t="s">
        <v>32</v>
      </c>
      <c r="E327" s="4" t="s">
        <v>1</v>
      </c>
    </row>
    <row r="328" ht="21" customHeight="1" spans="1:5">
      <c r="A328" s="2">
        <v>100043251960</v>
      </c>
      <c r="B328" s="4" t="s">
        <v>980</v>
      </c>
      <c r="C328" s="4" t="s">
        <v>284</v>
      </c>
      <c r="D328" s="4" t="s">
        <v>252</v>
      </c>
      <c r="E328" s="4" t="s">
        <v>1</v>
      </c>
    </row>
    <row r="329" ht="21" customHeight="1" spans="1:5">
      <c r="A329" s="2">
        <v>100036422176</v>
      </c>
      <c r="B329" s="4" t="s">
        <v>981</v>
      </c>
      <c r="C329" s="4" t="s">
        <v>585</v>
      </c>
      <c r="D329" s="4" t="s">
        <v>585</v>
      </c>
      <c r="E329" s="4" t="s">
        <v>1</v>
      </c>
    </row>
    <row r="330" ht="21" customHeight="1" spans="1:5">
      <c r="A330" s="2">
        <v>100044914640</v>
      </c>
      <c r="B330" s="4" t="s">
        <v>982</v>
      </c>
      <c r="C330" s="4" t="s">
        <v>983</v>
      </c>
      <c r="D330" s="4" t="s">
        <v>478</v>
      </c>
      <c r="E330" s="4" t="s">
        <v>1</v>
      </c>
    </row>
    <row r="331" ht="21" customHeight="1" spans="1:5">
      <c r="A331" s="2">
        <v>100048899107</v>
      </c>
      <c r="B331" s="4" t="s">
        <v>349</v>
      </c>
      <c r="C331" s="4" t="s">
        <v>924</v>
      </c>
      <c r="D331" s="4" t="s">
        <v>478</v>
      </c>
      <c r="E331" s="4" t="s">
        <v>1</v>
      </c>
    </row>
    <row r="332" ht="21" customHeight="1" spans="1:5">
      <c r="A332" s="2">
        <v>100036478090</v>
      </c>
      <c r="B332" s="4" t="s">
        <v>984</v>
      </c>
      <c r="C332" s="4" t="s">
        <v>985</v>
      </c>
      <c r="D332" s="4" t="s">
        <v>609</v>
      </c>
      <c r="E332" s="4" t="s">
        <v>1</v>
      </c>
    </row>
    <row r="333" ht="21" customHeight="1" spans="1:5">
      <c r="A333" s="2">
        <v>100044608302</v>
      </c>
      <c r="B333" s="4" t="s">
        <v>986</v>
      </c>
      <c r="C333" s="4" t="s">
        <v>532</v>
      </c>
      <c r="D333" s="4" t="s">
        <v>478</v>
      </c>
      <c r="E333" s="4" t="s">
        <v>1</v>
      </c>
    </row>
    <row r="334" ht="21" customHeight="1" spans="1:5">
      <c r="A334" s="2">
        <v>100034351446</v>
      </c>
      <c r="B334" s="4" t="s">
        <v>987</v>
      </c>
      <c r="C334" s="4" t="s">
        <v>988</v>
      </c>
      <c r="D334" s="4" t="s">
        <v>494</v>
      </c>
      <c r="E334" s="4" t="s">
        <v>1</v>
      </c>
    </row>
    <row r="335" ht="21" customHeight="1" spans="1:5">
      <c r="A335" s="2">
        <v>100036478078</v>
      </c>
      <c r="B335" s="4" t="s">
        <v>409</v>
      </c>
      <c r="C335" s="4" t="s">
        <v>985</v>
      </c>
      <c r="D335" s="4" t="s">
        <v>609</v>
      </c>
      <c r="E335" s="4" t="s">
        <v>1</v>
      </c>
    </row>
    <row r="336" ht="21" customHeight="1" spans="1:5">
      <c r="A336" s="2">
        <v>100045203873</v>
      </c>
      <c r="B336" s="4" t="s">
        <v>989</v>
      </c>
      <c r="C336" s="4" t="s">
        <v>954</v>
      </c>
      <c r="D336" s="4" t="s">
        <v>481</v>
      </c>
      <c r="E336" s="4" t="s">
        <v>1</v>
      </c>
    </row>
    <row r="337" ht="21" customHeight="1" spans="1:5">
      <c r="A337" s="2">
        <v>100044914702</v>
      </c>
      <c r="B337" s="4" t="s">
        <v>990</v>
      </c>
      <c r="C337" s="4" t="s">
        <v>991</v>
      </c>
      <c r="D337" s="4" t="s">
        <v>609</v>
      </c>
      <c r="E337" s="4" t="s">
        <v>1</v>
      </c>
    </row>
    <row r="338" ht="21" customHeight="1" spans="1:5">
      <c r="A338" s="2">
        <v>100039988578</v>
      </c>
      <c r="B338" s="4" t="s">
        <v>449</v>
      </c>
      <c r="C338" s="4" t="s">
        <v>585</v>
      </c>
      <c r="D338" s="4" t="s">
        <v>32</v>
      </c>
      <c r="E338" s="4" t="s">
        <v>1</v>
      </c>
    </row>
    <row r="339" ht="21" customHeight="1" spans="1:5">
      <c r="A339" s="2">
        <v>100052694555</v>
      </c>
      <c r="B339" s="4" t="s">
        <v>992</v>
      </c>
      <c r="C339" s="4" t="s">
        <v>993</v>
      </c>
      <c r="D339" s="4" t="s">
        <v>32</v>
      </c>
      <c r="E339" s="4" t="s">
        <v>1</v>
      </c>
    </row>
    <row r="340" ht="21" customHeight="1" spans="1:5">
      <c r="A340" s="2">
        <v>100044914662</v>
      </c>
      <c r="B340" s="4" t="s">
        <v>994</v>
      </c>
      <c r="C340" s="4" t="s">
        <v>995</v>
      </c>
      <c r="D340" s="4" t="s">
        <v>252</v>
      </c>
      <c r="E340" s="4" t="s">
        <v>1</v>
      </c>
    </row>
    <row r="341" ht="21" customHeight="1" spans="1:5">
      <c r="A341" s="2">
        <v>100044914690</v>
      </c>
      <c r="B341" s="4" t="s">
        <v>996</v>
      </c>
      <c r="C341" s="4" t="s">
        <v>997</v>
      </c>
      <c r="D341" s="4" t="s">
        <v>252</v>
      </c>
      <c r="E341" s="4" t="s">
        <v>1</v>
      </c>
    </row>
    <row r="342" ht="21" customHeight="1" spans="1:5">
      <c r="A342" s="2">
        <v>100047226916</v>
      </c>
      <c r="B342" s="4" t="s">
        <v>998</v>
      </c>
      <c r="C342" s="4" t="s">
        <v>999</v>
      </c>
      <c r="D342" s="4" t="s">
        <v>478</v>
      </c>
      <c r="E342" s="4" t="s">
        <v>1</v>
      </c>
    </row>
    <row r="343" ht="21" customHeight="1" spans="1:5">
      <c r="A343" s="2">
        <v>100052367871</v>
      </c>
      <c r="B343" s="4" t="s">
        <v>1000</v>
      </c>
      <c r="C343" s="4" t="s">
        <v>663</v>
      </c>
      <c r="D343" s="4" t="s">
        <v>478</v>
      </c>
      <c r="E343" s="4" t="s">
        <v>1</v>
      </c>
    </row>
    <row r="344" ht="21" customHeight="1" spans="1:5">
      <c r="A344" s="2">
        <v>100028022727</v>
      </c>
      <c r="B344" s="4" t="s">
        <v>1001</v>
      </c>
      <c r="C344" s="4" t="s">
        <v>1002</v>
      </c>
      <c r="D344" s="4" t="s">
        <v>478</v>
      </c>
      <c r="E344" s="4" t="s">
        <v>1</v>
      </c>
    </row>
    <row r="345" ht="21" customHeight="1" spans="1:5">
      <c r="A345" s="2">
        <v>100044914698</v>
      </c>
      <c r="B345" s="4" t="s">
        <v>1003</v>
      </c>
      <c r="C345" s="4" t="s">
        <v>1004</v>
      </c>
      <c r="D345" s="4" t="s">
        <v>252</v>
      </c>
      <c r="E345" s="4" t="s">
        <v>1</v>
      </c>
    </row>
    <row r="346" ht="21" customHeight="1" spans="1:5">
      <c r="A346" s="2">
        <v>100047686369</v>
      </c>
      <c r="B346" s="4" t="s">
        <v>923</v>
      </c>
      <c r="C346" s="4" t="s">
        <v>924</v>
      </c>
      <c r="D346" s="4" t="s">
        <v>478</v>
      </c>
      <c r="E346" s="4" t="s">
        <v>1</v>
      </c>
    </row>
    <row r="347" ht="21" customHeight="1" spans="1:5">
      <c r="A347" s="2">
        <v>100046001469</v>
      </c>
      <c r="B347" s="4" t="s">
        <v>1005</v>
      </c>
      <c r="C347" s="4" t="s">
        <v>830</v>
      </c>
      <c r="D347" s="4" t="s">
        <v>252</v>
      </c>
      <c r="E347" s="4" t="s">
        <v>1</v>
      </c>
    </row>
    <row r="348" ht="21" customHeight="1" spans="1:5">
      <c r="A348" s="2">
        <v>100044914618</v>
      </c>
      <c r="B348" s="4" t="s">
        <v>1006</v>
      </c>
      <c r="C348" s="4" t="s">
        <v>896</v>
      </c>
      <c r="D348" s="4" t="s">
        <v>478</v>
      </c>
      <c r="E348" s="4" t="s">
        <v>1</v>
      </c>
    </row>
    <row r="349" ht="21" customHeight="1" spans="1:5">
      <c r="A349" s="2">
        <v>100034351444</v>
      </c>
      <c r="B349" s="4" t="s">
        <v>1007</v>
      </c>
      <c r="C349" s="4" t="s">
        <v>510</v>
      </c>
      <c r="D349" s="4" t="s">
        <v>478</v>
      </c>
      <c r="E349" s="4" t="s">
        <v>1</v>
      </c>
    </row>
    <row r="350" ht="21" customHeight="1" spans="1:5">
      <c r="A350" s="2">
        <v>100042815314</v>
      </c>
      <c r="B350" s="4" t="s">
        <v>1008</v>
      </c>
      <c r="C350" s="4" t="s">
        <v>728</v>
      </c>
      <c r="D350" s="4" t="s">
        <v>478</v>
      </c>
      <c r="E350" s="4" t="s">
        <v>1</v>
      </c>
    </row>
    <row r="351" ht="21" customHeight="1" spans="1:5">
      <c r="A351" s="2">
        <v>100034078849</v>
      </c>
      <c r="B351" s="4" t="s">
        <v>937</v>
      </c>
      <c r="C351" s="4" t="s">
        <v>859</v>
      </c>
      <c r="D351" s="4" t="s">
        <v>478</v>
      </c>
      <c r="E351" s="4" t="s">
        <v>1</v>
      </c>
    </row>
    <row r="352" ht="21" customHeight="1" spans="1:5">
      <c r="A352" s="2">
        <v>100047226946</v>
      </c>
      <c r="B352" s="4" t="s">
        <v>1009</v>
      </c>
      <c r="C352" s="4" t="s">
        <v>1010</v>
      </c>
      <c r="D352" s="4" t="s">
        <v>478</v>
      </c>
      <c r="E352" s="4" t="s">
        <v>1</v>
      </c>
    </row>
    <row r="353" ht="21" customHeight="1" spans="1:5">
      <c r="A353" s="2">
        <v>100033849971</v>
      </c>
      <c r="B353" s="4" t="s">
        <v>951</v>
      </c>
      <c r="C353" s="4" t="s">
        <v>693</v>
      </c>
      <c r="D353" s="4" t="s">
        <v>478</v>
      </c>
      <c r="E353" s="4" t="s">
        <v>1</v>
      </c>
    </row>
    <row r="354" ht="21" customHeight="1" spans="1:5">
      <c r="A354" s="2">
        <v>100036802387</v>
      </c>
      <c r="B354" s="4" t="s">
        <v>1011</v>
      </c>
      <c r="C354" s="4" t="s">
        <v>859</v>
      </c>
      <c r="D354" s="4" t="s">
        <v>478</v>
      </c>
      <c r="E354" s="4" t="s">
        <v>1</v>
      </c>
    </row>
    <row r="355" ht="21" customHeight="1" spans="1:5">
      <c r="A355" s="2">
        <v>100025553135</v>
      </c>
      <c r="B355" s="4" t="s">
        <v>1012</v>
      </c>
      <c r="C355" s="4" t="s">
        <v>534</v>
      </c>
      <c r="D355" s="4" t="s">
        <v>481</v>
      </c>
      <c r="E355" s="4" t="s">
        <v>1</v>
      </c>
    </row>
    <row r="356" ht="21" customHeight="1" spans="1:5">
      <c r="A356" s="2">
        <v>100045288527</v>
      </c>
      <c r="B356" s="4" t="s">
        <v>1013</v>
      </c>
      <c r="C356" s="4" t="s">
        <v>1014</v>
      </c>
      <c r="D356" s="4" t="s">
        <v>481</v>
      </c>
      <c r="E356" s="4" t="s">
        <v>1</v>
      </c>
    </row>
    <row r="357" ht="21" customHeight="1" spans="1:5">
      <c r="A357" s="2">
        <v>100045203865</v>
      </c>
      <c r="B357" s="4" t="s">
        <v>1015</v>
      </c>
      <c r="C357" s="4" t="s">
        <v>958</v>
      </c>
      <c r="D357" s="4" t="s">
        <v>481</v>
      </c>
      <c r="E357" s="4" t="s">
        <v>1</v>
      </c>
    </row>
    <row r="358" ht="21" customHeight="1" spans="1:5">
      <c r="A358" s="2">
        <v>100034351462</v>
      </c>
      <c r="B358" s="4" t="s">
        <v>982</v>
      </c>
      <c r="C358" s="4" t="s">
        <v>983</v>
      </c>
      <c r="D358" s="4" t="s">
        <v>478</v>
      </c>
      <c r="E358" s="4" t="s">
        <v>1</v>
      </c>
    </row>
    <row r="359" ht="21" customHeight="1" spans="1:5">
      <c r="A359" s="2">
        <v>100048569017</v>
      </c>
      <c r="B359" s="4" t="s">
        <v>1016</v>
      </c>
      <c r="C359" s="4" t="s">
        <v>585</v>
      </c>
      <c r="D359" s="4" t="s">
        <v>585</v>
      </c>
      <c r="E359" s="4" t="s">
        <v>1</v>
      </c>
    </row>
    <row r="360" ht="21" customHeight="1" spans="1:5">
      <c r="A360" s="2">
        <v>100034078847</v>
      </c>
      <c r="B360" s="4" t="s">
        <v>972</v>
      </c>
      <c r="C360" s="4" t="s">
        <v>681</v>
      </c>
      <c r="D360" s="4" t="s">
        <v>478</v>
      </c>
      <c r="E360" s="4" t="s">
        <v>1</v>
      </c>
    </row>
    <row r="361" ht="21" customHeight="1" spans="1:5">
      <c r="A361" s="2">
        <v>100018607305</v>
      </c>
      <c r="B361" s="4" t="s">
        <v>1017</v>
      </c>
      <c r="C361" s="4" t="s">
        <v>585</v>
      </c>
      <c r="D361" s="4" t="s">
        <v>585</v>
      </c>
      <c r="E361" s="4" t="s">
        <v>1</v>
      </c>
    </row>
    <row r="362" ht="21" customHeight="1" spans="1:5">
      <c r="A362" s="2">
        <v>100026693965</v>
      </c>
      <c r="B362" s="4" t="s">
        <v>1018</v>
      </c>
      <c r="C362" s="4" t="s">
        <v>712</v>
      </c>
      <c r="D362" s="4" t="s">
        <v>478</v>
      </c>
      <c r="E362" s="4" t="s">
        <v>1</v>
      </c>
    </row>
    <row r="363" ht="21" customHeight="1" spans="1:5">
      <c r="A363" s="2">
        <v>100046001437</v>
      </c>
      <c r="B363" s="4" t="s">
        <v>1019</v>
      </c>
      <c r="C363" s="4" t="s">
        <v>832</v>
      </c>
      <c r="D363" s="4" t="s">
        <v>252</v>
      </c>
      <c r="E363" s="4" t="s">
        <v>1</v>
      </c>
    </row>
    <row r="364" ht="21" customHeight="1" spans="1:5">
      <c r="A364" s="2">
        <v>100019647575</v>
      </c>
      <c r="B364" s="4" t="s">
        <v>1020</v>
      </c>
      <c r="C364" s="4" t="s">
        <v>1021</v>
      </c>
      <c r="D364" s="4" t="s">
        <v>252</v>
      </c>
      <c r="E364" s="4" t="s">
        <v>1</v>
      </c>
    </row>
    <row r="365" ht="21" customHeight="1" spans="1:5">
      <c r="A365" s="2">
        <v>100045203853</v>
      </c>
      <c r="B365" s="4" t="s">
        <v>1022</v>
      </c>
      <c r="C365" s="4" t="s">
        <v>647</v>
      </c>
      <c r="D365" s="4" t="s">
        <v>32</v>
      </c>
      <c r="E365" s="4" t="s">
        <v>1</v>
      </c>
    </row>
    <row r="366" ht="21" customHeight="1" spans="1:5">
      <c r="A366" s="2">
        <v>100025553129</v>
      </c>
      <c r="B366" s="4" t="s">
        <v>1023</v>
      </c>
      <c r="C366" s="4" t="s">
        <v>647</v>
      </c>
      <c r="D366" s="4" t="s">
        <v>32</v>
      </c>
      <c r="E366" s="4" t="s">
        <v>1</v>
      </c>
    </row>
    <row r="367" ht="21" customHeight="1" spans="1:5">
      <c r="A367" s="2">
        <v>100048630885</v>
      </c>
      <c r="B367" s="4" t="s">
        <v>458</v>
      </c>
      <c r="C367" s="4" t="s">
        <v>1024</v>
      </c>
      <c r="D367" s="4" t="s">
        <v>478</v>
      </c>
      <c r="E367" s="4" t="s">
        <v>1</v>
      </c>
    </row>
    <row r="368" ht="21" customHeight="1" spans="1:5">
      <c r="A368" s="2">
        <v>100048015475</v>
      </c>
      <c r="B368" s="4" t="s">
        <v>1025</v>
      </c>
      <c r="C368" s="4" t="s">
        <v>993</v>
      </c>
      <c r="D368" s="4" t="s">
        <v>32</v>
      </c>
      <c r="E368" s="4" t="s">
        <v>1</v>
      </c>
    </row>
    <row r="369" ht="21" customHeight="1" spans="1:5">
      <c r="A369" s="2">
        <v>100048630889</v>
      </c>
      <c r="B369" s="4" t="s">
        <v>373</v>
      </c>
      <c r="C369" s="4" t="s">
        <v>1026</v>
      </c>
      <c r="D369" s="4" t="s">
        <v>478</v>
      </c>
      <c r="E369" s="4" t="s">
        <v>1</v>
      </c>
    </row>
    <row r="370" ht="21" customHeight="1" spans="1:5">
      <c r="A370" s="2">
        <v>100023852707</v>
      </c>
      <c r="B370" s="4" t="s">
        <v>646</v>
      </c>
      <c r="C370" s="4" t="s">
        <v>647</v>
      </c>
      <c r="D370" s="4" t="s">
        <v>32</v>
      </c>
      <c r="E370" s="4" t="s">
        <v>1</v>
      </c>
    </row>
    <row r="371" ht="21" customHeight="1" spans="1:5">
      <c r="A371" s="2">
        <v>100048630893</v>
      </c>
      <c r="B371" s="4" t="s">
        <v>391</v>
      </c>
      <c r="C371" s="4" t="s">
        <v>1027</v>
      </c>
      <c r="D371" s="4" t="s">
        <v>478</v>
      </c>
      <c r="E371" s="4" t="s">
        <v>1</v>
      </c>
    </row>
    <row r="372" ht="21" customHeight="1" spans="1:5">
      <c r="A372" s="2">
        <v>100045203861</v>
      </c>
      <c r="B372" s="4" t="s">
        <v>1028</v>
      </c>
      <c r="C372" s="4" t="s">
        <v>649</v>
      </c>
      <c r="D372" s="4" t="s">
        <v>32</v>
      </c>
      <c r="E372" s="4" t="s">
        <v>1</v>
      </c>
    </row>
    <row r="373" ht="21" customHeight="1" spans="1:5">
      <c r="A373" s="2">
        <v>100045203851</v>
      </c>
      <c r="B373" s="4" t="s">
        <v>1029</v>
      </c>
      <c r="C373" s="4" t="s">
        <v>651</v>
      </c>
      <c r="D373" s="4" t="s">
        <v>32</v>
      </c>
      <c r="E373" s="4" t="s">
        <v>1</v>
      </c>
    </row>
    <row r="374" ht="21" customHeight="1" spans="1:5">
      <c r="A374" s="2">
        <v>100043001361</v>
      </c>
      <c r="B374" s="4" t="s">
        <v>390</v>
      </c>
      <c r="C374" s="4" t="s">
        <v>585</v>
      </c>
      <c r="D374" s="4" t="s">
        <v>585</v>
      </c>
      <c r="E374" s="4" t="s">
        <v>1</v>
      </c>
    </row>
    <row r="375" ht="21" customHeight="1" spans="1:5">
      <c r="A375" s="2">
        <v>100045203819</v>
      </c>
      <c r="B375" s="4" t="s">
        <v>1030</v>
      </c>
      <c r="C375" s="4" t="s">
        <v>971</v>
      </c>
      <c r="D375" s="4" t="s">
        <v>481</v>
      </c>
      <c r="E375" s="4" t="s">
        <v>1</v>
      </c>
    </row>
    <row r="376" ht="21" customHeight="1" spans="1:5">
      <c r="A376" s="2">
        <v>100048630871</v>
      </c>
      <c r="B376" s="4" t="s">
        <v>402</v>
      </c>
      <c r="C376" s="4" t="s">
        <v>1031</v>
      </c>
      <c r="D376" s="4" t="s">
        <v>478</v>
      </c>
      <c r="E376" s="4" t="s">
        <v>1</v>
      </c>
    </row>
    <row r="377" ht="21" customHeight="1" spans="1:5">
      <c r="A377" s="2">
        <v>100034603252</v>
      </c>
      <c r="B377" s="4" t="s">
        <v>1032</v>
      </c>
      <c r="C377" s="4" t="s">
        <v>1033</v>
      </c>
      <c r="D377" s="4" t="s">
        <v>252</v>
      </c>
      <c r="E377" s="4" t="s">
        <v>1</v>
      </c>
    </row>
    <row r="378" ht="21" customHeight="1" spans="1:5">
      <c r="A378" s="2">
        <v>100046998925</v>
      </c>
      <c r="B378" s="4" t="s">
        <v>615</v>
      </c>
      <c r="C378" s="4" t="s">
        <v>585</v>
      </c>
      <c r="D378" s="4" t="s">
        <v>585</v>
      </c>
      <c r="E378" s="4" t="s">
        <v>1</v>
      </c>
    </row>
    <row r="379" ht="21" customHeight="1" spans="1:5">
      <c r="A379" s="2">
        <v>100048569029</v>
      </c>
      <c r="B379" s="4" t="s">
        <v>1034</v>
      </c>
      <c r="C379" s="4" t="s">
        <v>585</v>
      </c>
      <c r="D379" s="4" t="s">
        <v>585</v>
      </c>
      <c r="E379" s="4" t="s">
        <v>1</v>
      </c>
    </row>
    <row r="380" ht="21" customHeight="1" spans="1:5">
      <c r="A380" s="2">
        <v>100046998927</v>
      </c>
      <c r="B380" s="4" t="s">
        <v>1035</v>
      </c>
      <c r="C380" s="4" t="s">
        <v>585</v>
      </c>
      <c r="D380" s="4" t="s">
        <v>585</v>
      </c>
      <c r="E380" s="4" t="s">
        <v>1</v>
      </c>
    </row>
    <row r="381" ht="21" customHeight="1" spans="1:5">
      <c r="A381" s="2">
        <v>100048631223</v>
      </c>
      <c r="B381" s="4" t="s">
        <v>1036</v>
      </c>
      <c r="C381" s="4" t="s">
        <v>585</v>
      </c>
      <c r="D381" s="4" t="s">
        <v>585</v>
      </c>
      <c r="E381" s="4" t="s">
        <v>1</v>
      </c>
    </row>
    <row r="382" ht="21" customHeight="1" spans="1:5">
      <c r="A382" s="2">
        <v>100013440010</v>
      </c>
      <c r="B382" s="4" t="s">
        <v>629</v>
      </c>
      <c r="C382" s="4" t="s">
        <v>630</v>
      </c>
      <c r="D382" s="4" t="s">
        <v>252</v>
      </c>
      <c r="E382" s="4" t="s">
        <v>1</v>
      </c>
    </row>
    <row r="383" ht="21" customHeight="1" spans="1:5">
      <c r="A383" s="2">
        <v>100004572946</v>
      </c>
      <c r="B383" s="4" t="s">
        <v>1037</v>
      </c>
      <c r="C383" s="4" t="s">
        <v>1038</v>
      </c>
      <c r="D383" s="4" t="s">
        <v>478</v>
      </c>
      <c r="E383" s="4" t="s">
        <v>1</v>
      </c>
    </row>
    <row r="384" ht="21" customHeight="1" spans="1:5">
      <c r="A384" s="2">
        <v>100012751784</v>
      </c>
      <c r="B384" s="4" t="s">
        <v>1039</v>
      </c>
      <c r="C384" s="4" t="s">
        <v>1040</v>
      </c>
      <c r="D384" s="4" t="s">
        <v>478</v>
      </c>
      <c r="E384" s="4" t="s">
        <v>1</v>
      </c>
    </row>
    <row r="385" ht="21" customHeight="1" spans="1:5">
      <c r="A385" s="2">
        <v>100007178203</v>
      </c>
      <c r="B385" s="4" t="s">
        <v>471</v>
      </c>
      <c r="C385" s="4" t="s">
        <v>472</v>
      </c>
      <c r="D385" s="4" t="s">
        <v>32</v>
      </c>
      <c r="E385" s="4" t="s">
        <v>1</v>
      </c>
    </row>
    <row r="386" ht="21" customHeight="1" spans="1:5">
      <c r="A386" s="2">
        <v>100007227658</v>
      </c>
      <c r="B386" s="4" t="s">
        <v>1041</v>
      </c>
      <c r="C386" s="4" t="s">
        <v>1042</v>
      </c>
      <c r="D386" s="4" t="s">
        <v>478</v>
      </c>
      <c r="E386" s="4" t="s">
        <v>1</v>
      </c>
    </row>
    <row r="387" ht="21" customHeight="1" spans="1:5">
      <c r="A387" s="2">
        <v>100004288727</v>
      </c>
      <c r="B387" s="4" t="s">
        <v>1043</v>
      </c>
      <c r="C387" s="4" t="s">
        <v>1002</v>
      </c>
      <c r="D387" s="4" t="s">
        <v>478</v>
      </c>
      <c r="E387" s="4" t="s">
        <v>1</v>
      </c>
    </row>
    <row r="388" ht="21" customHeight="1" spans="1:5">
      <c r="A388" s="2">
        <v>100003601241</v>
      </c>
      <c r="B388" s="4" t="s">
        <v>1044</v>
      </c>
      <c r="C388" s="4" t="s">
        <v>1045</v>
      </c>
      <c r="D388" s="4" t="s">
        <v>478</v>
      </c>
      <c r="E388" s="4" t="s">
        <v>1</v>
      </c>
    </row>
    <row r="389" ht="21" customHeight="1" spans="1:5">
      <c r="A389" s="2">
        <v>100005904301</v>
      </c>
      <c r="B389" s="4" t="s">
        <v>1046</v>
      </c>
      <c r="C389" s="4" t="s">
        <v>865</v>
      </c>
      <c r="D389" s="4" t="s">
        <v>478</v>
      </c>
      <c r="E389" s="4" t="s">
        <v>1</v>
      </c>
    </row>
    <row r="390" ht="21" customHeight="1" spans="1:5">
      <c r="A390" s="2">
        <v>2388423</v>
      </c>
      <c r="B390" s="4" t="s">
        <v>441</v>
      </c>
      <c r="C390" s="4" t="s">
        <v>1047</v>
      </c>
      <c r="D390" s="4" t="s">
        <v>32</v>
      </c>
      <c r="E390" s="4" t="s">
        <v>1</v>
      </c>
    </row>
    <row r="391" ht="21" customHeight="1" spans="1:5">
      <c r="A391" s="2">
        <v>100016497120</v>
      </c>
      <c r="B391" s="4" t="s">
        <v>1048</v>
      </c>
      <c r="C391" s="4" t="s">
        <v>1049</v>
      </c>
      <c r="D391" s="4" t="s">
        <v>478</v>
      </c>
      <c r="E391" s="4" t="s">
        <v>1</v>
      </c>
    </row>
    <row r="392" ht="21" customHeight="1" spans="1:5">
      <c r="A392" s="2">
        <v>100007227656</v>
      </c>
      <c r="B392" s="4" t="s">
        <v>1050</v>
      </c>
      <c r="C392" s="4" t="s">
        <v>775</v>
      </c>
      <c r="D392" s="4" t="s">
        <v>478</v>
      </c>
      <c r="E392" s="4" t="s">
        <v>1</v>
      </c>
    </row>
    <row r="393" ht="21" customHeight="1" spans="1:5">
      <c r="A393" s="2">
        <v>100009423493</v>
      </c>
      <c r="B393" s="4" t="s">
        <v>1051</v>
      </c>
      <c r="C393" s="4" t="s">
        <v>1052</v>
      </c>
      <c r="D393" s="4" t="s">
        <v>478</v>
      </c>
      <c r="E393" s="4" t="s">
        <v>1</v>
      </c>
    </row>
    <row r="394" ht="21" customHeight="1" spans="1:5">
      <c r="A394" s="2">
        <v>100013152188</v>
      </c>
      <c r="B394" s="4" t="s">
        <v>469</v>
      </c>
      <c r="C394" s="4" t="s">
        <v>84</v>
      </c>
      <c r="D394" s="4" t="s">
        <v>32</v>
      </c>
      <c r="E394" s="4" t="s">
        <v>1</v>
      </c>
    </row>
    <row r="395" ht="21" customHeight="1" spans="1:5">
      <c r="A395" s="2">
        <v>100013440048</v>
      </c>
      <c r="B395" s="4" t="s">
        <v>658</v>
      </c>
      <c r="C395" s="4" t="s">
        <v>659</v>
      </c>
      <c r="D395" s="4" t="s">
        <v>252</v>
      </c>
      <c r="E395" s="4" t="s">
        <v>1</v>
      </c>
    </row>
    <row r="396" ht="21" customHeight="1" spans="1:5">
      <c r="A396" s="2">
        <v>2434317</v>
      </c>
      <c r="B396" s="4" t="s">
        <v>1053</v>
      </c>
      <c r="C396" s="4" t="s">
        <v>1054</v>
      </c>
      <c r="D396" s="4" t="s">
        <v>32</v>
      </c>
      <c r="E396" s="4" t="s">
        <v>1</v>
      </c>
    </row>
    <row r="397" ht="21" customHeight="1" spans="1:5">
      <c r="A397" s="2">
        <v>4081451</v>
      </c>
      <c r="B397" s="4" t="s">
        <v>1055</v>
      </c>
      <c r="C397" s="4" t="s">
        <v>1056</v>
      </c>
      <c r="D397" s="4" t="s">
        <v>32</v>
      </c>
      <c r="E397" s="4" t="s">
        <v>1</v>
      </c>
    </row>
    <row r="398" ht="21" customHeight="1" spans="1:5">
      <c r="A398" s="2">
        <v>1021924</v>
      </c>
      <c r="B398" s="4" t="s">
        <v>1057</v>
      </c>
      <c r="C398" s="4" t="s">
        <v>1058</v>
      </c>
      <c r="D398" s="4" t="s">
        <v>32</v>
      </c>
      <c r="E398" s="4" t="s">
        <v>1</v>
      </c>
    </row>
    <row r="399" ht="21" customHeight="1" spans="1:5">
      <c r="A399" s="2">
        <v>100004208895</v>
      </c>
      <c r="B399" s="4" t="s">
        <v>1059</v>
      </c>
      <c r="C399" s="4" t="s">
        <v>670</v>
      </c>
      <c r="D399" s="4" t="s">
        <v>478</v>
      </c>
      <c r="E399" s="4" t="s">
        <v>1</v>
      </c>
    </row>
    <row r="400" ht="21" customHeight="1" spans="1:5">
      <c r="A400" s="2">
        <v>100006471333</v>
      </c>
      <c r="B400" s="4" t="s">
        <v>1060</v>
      </c>
      <c r="C400" s="4" t="s">
        <v>1061</v>
      </c>
      <c r="D400" s="4" t="s">
        <v>252</v>
      </c>
      <c r="E400" s="4" t="s">
        <v>1</v>
      </c>
    </row>
    <row r="401" ht="21" customHeight="1" spans="1:5">
      <c r="A401" s="2">
        <v>100011741770</v>
      </c>
      <c r="B401" s="4" t="s">
        <v>1062</v>
      </c>
      <c r="C401" s="4" t="s">
        <v>1063</v>
      </c>
      <c r="D401" s="4" t="s">
        <v>252</v>
      </c>
      <c r="E401" s="4" t="s">
        <v>1</v>
      </c>
    </row>
    <row r="402" ht="21" customHeight="1" spans="1:5">
      <c r="A402" s="2">
        <v>100019121379</v>
      </c>
      <c r="B402" s="4" t="s">
        <v>1064</v>
      </c>
      <c r="C402" s="4" t="s">
        <v>577</v>
      </c>
      <c r="D402" s="4" t="s">
        <v>252</v>
      </c>
      <c r="E402" s="4" t="s">
        <v>1</v>
      </c>
    </row>
    <row r="403" ht="21" customHeight="1" spans="1:5">
      <c r="A403" s="2">
        <v>100019647559</v>
      </c>
      <c r="B403" s="4" t="s">
        <v>1065</v>
      </c>
      <c r="C403" s="4" t="s">
        <v>1066</v>
      </c>
      <c r="D403" s="4" t="s">
        <v>252</v>
      </c>
      <c r="E403" s="4" t="s">
        <v>1</v>
      </c>
    </row>
    <row r="404" ht="21" customHeight="1" spans="1:5">
      <c r="A404" s="2">
        <v>100033816230</v>
      </c>
      <c r="B404" s="4" t="s">
        <v>1067</v>
      </c>
      <c r="C404" s="4" t="s">
        <v>266</v>
      </c>
      <c r="D404" s="4" t="s">
        <v>252</v>
      </c>
      <c r="E404" s="4" t="s">
        <v>1</v>
      </c>
    </row>
    <row r="405" ht="21" customHeight="1" spans="1:5">
      <c r="A405" s="2">
        <v>100033816268</v>
      </c>
      <c r="B405" s="4" t="s">
        <v>1068</v>
      </c>
      <c r="C405" s="4" t="s">
        <v>956</v>
      </c>
      <c r="D405" s="4" t="s">
        <v>252</v>
      </c>
      <c r="E405" s="4" t="s">
        <v>1</v>
      </c>
    </row>
    <row r="406" ht="21" customHeight="1" spans="1:5">
      <c r="A406" s="2">
        <v>100002363448</v>
      </c>
      <c r="B406" s="4" t="s">
        <v>1069</v>
      </c>
      <c r="C406" s="4" t="s">
        <v>1070</v>
      </c>
      <c r="D406" s="4" t="s">
        <v>252</v>
      </c>
      <c r="E406" s="4" t="s">
        <v>1</v>
      </c>
    </row>
    <row r="407" ht="21" customHeight="1" spans="1:5">
      <c r="A407" s="2">
        <v>100012446046</v>
      </c>
      <c r="B407" s="4" t="s">
        <v>1071</v>
      </c>
      <c r="C407" s="4" t="s">
        <v>87</v>
      </c>
      <c r="D407" s="4" t="s">
        <v>32</v>
      </c>
      <c r="E407" s="4" t="s">
        <v>1</v>
      </c>
    </row>
    <row r="408" ht="21" customHeight="1" spans="1:5">
      <c r="A408" s="2">
        <v>100007386274</v>
      </c>
      <c r="B408" s="4" t="s">
        <v>1072</v>
      </c>
      <c r="C408" s="4" t="s">
        <v>808</v>
      </c>
      <c r="D408" s="4" t="s">
        <v>478</v>
      </c>
      <c r="E408" s="4" t="s">
        <v>1</v>
      </c>
    </row>
    <row r="409" ht="21" customHeight="1" spans="1:5">
      <c r="A409" s="2">
        <v>1021925</v>
      </c>
      <c r="B409" s="4" t="s">
        <v>1073</v>
      </c>
      <c r="C409" s="4" t="s">
        <v>1074</v>
      </c>
      <c r="D409" s="4" t="s">
        <v>32</v>
      </c>
      <c r="E409" s="4" t="s">
        <v>1</v>
      </c>
    </row>
    <row r="410" ht="21" customHeight="1" spans="1:5">
      <c r="A410" s="2">
        <v>100012751806</v>
      </c>
      <c r="B410" s="4" t="s">
        <v>1075</v>
      </c>
      <c r="C410" s="4" t="s">
        <v>1076</v>
      </c>
      <c r="D410" s="4" t="s">
        <v>478</v>
      </c>
      <c r="E410" s="4" t="s">
        <v>1</v>
      </c>
    </row>
    <row r="411" ht="21" customHeight="1" spans="1:5">
      <c r="A411" s="2">
        <v>100061618029</v>
      </c>
      <c r="B411" s="4" t="s">
        <v>1077</v>
      </c>
      <c r="C411" s="4" t="s">
        <v>614</v>
      </c>
      <c r="D411" s="4" t="s">
        <v>32</v>
      </c>
      <c r="E411" s="4" t="s">
        <v>1</v>
      </c>
    </row>
    <row r="412" ht="21" customHeight="1" spans="1:5">
      <c r="A412" s="2">
        <v>100061469994</v>
      </c>
      <c r="B412" s="4" t="s">
        <v>1078</v>
      </c>
      <c r="C412" s="4" t="s">
        <v>1079</v>
      </c>
      <c r="D412" s="4" t="s">
        <v>32</v>
      </c>
      <c r="E412" s="4" t="s">
        <v>1</v>
      </c>
    </row>
    <row r="413" ht="21" customHeight="1" spans="1:5">
      <c r="A413" s="2">
        <v>100064771629</v>
      </c>
      <c r="B413" s="4" t="s">
        <v>1080</v>
      </c>
      <c r="C413" s="4" t="s">
        <v>1081</v>
      </c>
      <c r="D413" s="4" t="s">
        <v>32</v>
      </c>
      <c r="E413" s="4" t="s">
        <v>1</v>
      </c>
    </row>
    <row r="414" ht="21" customHeight="1" spans="1:5">
      <c r="A414" s="2">
        <v>100060792396</v>
      </c>
      <c r="B414" s="4" t="s">
        <v>1082</v>
      </c>
      <c r="C414" s="4" t="s">
        <v>1083</v>
      </c>
      <c r="D414" s="4" t="s">
        <v>478</v>
      </c>
      <c r="E414" s="4" t="s">
        <v>1</v>
      </c>
    </row>
    <row r="415" ht="21" customHeight="1" spans="1:5">
      <c r="A415" s="2">
        <v>100016554246</v>
      </c>
      <c r="B415" s="4" t="s">
        <v>1084</v>
      </c>
      <c r="C415" s="4" t="s">
        <v>1085</v>
      </c>
      <c r="D415" s="4" t="s">
        <v>478</v>
      </c>
      <c r="E415" s="4" t="s">
        <v>1</v>
      </c>
    </row>
    <row r="416" ht="21" customHeight="1" spans="1:5">
      <c r="A416" s="2">
        <v>100046508894</v>
      </c>
      <c r="B416" s="4" t="s">
        <v>1086</v>
      </c>
      <c r="C416" s="4" t="s">
        <v>563</v>
      </c>
      <c r="D416" s="4" t="s">
        <v>478</v>
      </c>
      <c r="E416" s="4" t="s">
        <v>1</v>
      </c>
    </row>
    <row r="417" ht="21" customHeight="1" spans="1:5">
      <c r="A417" s="2">
        <v>100060792398</v>
      </c>
      <c r="B417" s="4" t="s">
        <v>424</v>
      </c>
      <c r="C417" s="4" t="s">
        <v>1087</v>
      </c>
      <c r="D417" s="4" t="s">
        <v>478</v>
      </c>
      <c r="E417" s="4" t="s">
        <v>1</v>
      </c>
    </row>
    <row r="418" ht="21" customHeight="1" spans="1:5">
      <c r="A418" s="2">
        <v>100060792378</v>
      </c>
      <c r="B418" s="4" t="s">
        <v>1088</v>
      </c>
      <c r="C418" s="4" t="s">
        <v>1089</v>
      </c>
      <c r="D418" s="4" t="s">
        <v>478</v>
      </c>
      <c r="E418" s="4" t="s">
        <v>1</v>
      </c>
    </row>
    <row r="419" ht="21" customHeight="1" spans="1:5">
      <c r="A419" s="2">
        <v>100061470016</v>
      </c>
      <c r="B419" s="4" t="s">
        <v>1090</v>
      </c>
      <c r="C419" s="4" t="s">
        <v>169</v>
      </c>
      <c r="D419" s="4" t="s">
        <v>32</v>
      </c>
      <c r="E419" s="4" t="s">
        <v>1</v>
      </c>
    </row>
    <row r="420" ht="21" customHeight="1" spans="1:5">
      <c r="A420" s="2">
        <v>100061470014</v>
      </c>
      <c r="B420" s="4" t="s">
        <v>1091</v>
      </c>
      <c r="C420" s="4" t="s">
        <v>1092</v>
      </c>
      <c r="D420" s="4" t="s">
        <v>32</v>
      </c>
      <c r="E420" s="4" t="s">
        <v>1</v>
      </c>
    </row>
    <row r="421" ht="21" customHeight="1" spans="1:5">
      <c r="A421" s="2">
        <v>100044914684</v>
      </c>
      <c r="B421" s="4" t="s">
        <v>1093</v>
      </c>
      <c r="C421" s="4" t="s">
        <v>630</v>
      </c>
      <c r="D421" s="4" t="s">
        <v>252</v>
      </c>
      <c r="E421" s="4" t="s">
        <v>1</v>
      </c>
    </row>
    <row r="422" ht="21" customHeight="1" spans="1:5">
      <c r="A422" s="2">
        <v>100044914708</v>
      </c>
      <c r="B422" s="4" t="s">
        <v>987</v>
      </c>
      <c r="C422" s="4" t="s">
        <v>988</v>
      </c>
      <c r="D422" s="4" t="s">
        <v>494</v>
      </c>
      <c r="E422" s="4" t="s">
        <v>1</v>
      </c>
    </row>
    <row r="423" ht="21" customHeight="1" spans="1:5">
      <c r="A423" s="2">
        <v>100006819547</v>
      </c>
      <c r="B423" s="4" t="s">
        <v>747</v>
      </c>
      <c r="C423" s="4" t="s">
        <v>748</v>
      </c>
      <c r="D423" s="4" t="s">
        <v>478</v>
      </c>
      <c r="E423" s="4" t="s">
        <v>1</v>
      </c>
    </row>
    <row r="424" ht="21" customHeight="1" spans="1:5">
      <c r="A424" s="2">
        <v>100011741766</v>
      </c>
      <c r="B424" s="4" t="s">
        <v>1094</v>
      </c>
      <c r="C424" s="4" t="s">
        <v>1095</v>
      </c>
      <c r="D424" s="4" t="s">
        <v>252</v>
      </c>
      <c r="E424" s="4" t="s">
        <v>1</v>
      </c>
    </row>
    <row r="425" ht="21" customHeight="1" spans="1:5">
      <c r="A425" s="2">
        <v>100019121361</v>
      </c>
      <c r="B425" s="4" t="s">
        <v>1096</v>
      </c>
      <c r="C425" s="4" t="s">
        <v>611</v>
      </c>
      <c r="D425" s="4" t="s">
        <v>252</v>
      </c>
      <c r="E425" s="4" t="s">
        <v>1</v>
      </c>
    </row>
    <row r="426" ht="21" customHeight="1" spans="1:5">
      <c r="A426" s="2">
        <v>100058503614</v>
      </c>
      <c r="B426" s="4" t="s">
        <v>1097</v>
      </c>
      <c r="C426" s="4" t="s">
        <v>687</v>
      </c>
      <c r="D426" s="4" t="s">
        <v>478</v>
      </c>
      <c r="E426" s="4" t="s">
        <v>1</v>
      </c>
    </row>
    <row r="427" ht="21" customHeight="1" spans="1:5">
      <c r="A427" s="2">
        <v>100011741746</v>
      </c>
      <c r="B427" s="4" t="s">
        <v>1098</v>
      </c>
      <c r="C427" s="4" t="s">
        <v>1099</v>
      </c>
      <c r="D427" s="4" t="s">
        <v>252</v>
      </c>
      <c r="E427" s="4" t="s">
        <v>1</v>
      </c>
    </row>
    <row r="428" ht="21" customHeight="1" spans="1:5">
      <c r="A428" s="2">
        <v>100012445980</v>
      </c>
      <c r="B428" s="4" t="s">
        <v>800</v>
      </c>
      <c r="C428" s="4" t="s">
        <v>801</v>
      </c>
      <c r="D428" s="4" t="s">
        <v>32</v>
      </c>
      <c r="E428" s="4" t="s">
        <v>1</v>
      </c>
    </row>
    <row r="429" ht="21" customHeight="1" spans="1:5">
      <c r="A429" s="2">
        <v>100062526529</v>
      </c>
      <c r="B429" s="4" t="s">
        <v>1100</v>
      </c>
      <c r="C429" s="4" t="s">
        <v>1101</v>
      </c>
      <c r="D429" s="4" t="s">
        <v>32</v>
      </c>
      <c r="E429" s="4" t="s">
        <v>1</v>
      </c>
    </row>
    <row r="430" ht="21" customHeight="1" spans="1:5">
      <c r="A430" s="2">
        <v>100022495217</v>
      </c>
      <c r="B430" s="4" t="s">
        <v>384</v>
      </c>
      <c r="C430" s="4" t="s">
        <v>865</v>
      </c>
      <c r="D430" s="4" t="s">
        <v>478</v>
      </c>
      <c r="E430" s="4" t="s">
        <v>1</v>
      </c>
    </row>
    <row r="431" ht="21" customHeight="1" spans="1:5">
      <c r="A431" s="2">
        <v>100013886392</v>
      </c>
      <c r="B431" s="4" t="s">
        <v>470</v>
      </c>
      <c r="C431" s="4" t="s">
        <v>143</v>
      </c>
      <c r="D431" s="4" t="s">
        <v>32</v>
      </c>
      <c r="E431" s="4" t="s">
        <v>1</v>
      </c>
    </row>
    <row r="432" ht="21" customHeight="1" spans="1:5">
      <c r="A432" s="2">
        <v>100062526549</v>
      </c>
      <c r="B432" s="4" t="s">
        <v>1102</v>
      </c>
      <c r="C432" s="4" t="s">
        <v>1103</v>
      </c>
      <c r="D432" s="4" t="s">
        <v>32</v>
      </c>
      <c r="E432" s="4" t="s">
        <v>1</v>
      </c>
    </row>
    <row r="433" ht="21" customHeight="1" spans="1:5">
      <c r="A433" s="2">
        <v>100007386272</v>
      </c>
      <c r="B433" s="4" t="s">
        <v>1104</v>
      </c>
      <c r="C433" s="4" t="s">
        <v>1105</v>
      </c>
      <c r="D433" s="4" t="s">
        <v>478</v>
      </c>
      <c r="E433" s="4" t="s">
        <v>1</v>
      </c>
    </row>
    <row r="434" ht="21" customHeight="1" spans="1:5">
      <c r="A434" s="2">
        <v>100013609274</v>
      </c>
      <c r="B434" s="4" t="s">
        <v>1106</v>
      </c>
      <c r="C434" s="4" t="s">
        <v>1107</v>
      </c>
      <c r="D434" s="4" t="s">
        <v>252</v>
      </c>
      <c r="E434" s="4" t="s">
        <v>1</v>
      </c>
    </row>
    <row r="435" ht="21" customHeight="1" spans="1:5">
      <c r="A435" s="2">
        <v>4669492</v>
      </c>
      <c r="B435" s="4" t="s">
        <v>1108</v>
      </c>
      <c r="C435" s="4" t="s">
        <v>1109</v>
      </c>
      <c r="D435" s="4" t="s">
        <v>32</v>
      </c>
      <c r="E435" s="4" t="s">
        <v>1</v>
      </c>
    </row>
    <row r="436" ht="21" customHeight="1" spans="1:5">
      <c r="A436" s="2">
        <v>100007648997</v>
      </c>
      <c r="B436" s="4" t="s">
        <v>467</v>
      </c>
      <c r="C436" s="4" t="s">
        <v>468</v>
      </c>
      <c r="D436" s="4" t="s">
        <v>32</v>
      </c>
      <c r="E436" s="4" t="s">
        <v>1</v>
      </c>
    </row>
    <row r="437" ht="21" customHeight="1" spans="1:5">
      <c r="A437" s="2">
        <v>2434287</v>
      </c>
      <c r="B437" s="4" t="s">
        <v>1110</v>
      </c>
      <c r="C437" s="4" t="s">
        <v>1111</v>
      </c>
      <c r="D437" s="4" t="s">
        <v>32</v>
      </c>
      <c r="E437" s="4" t="s">
        <v>1</v>
      </c>
    </row>
    <row r="438" ht="21" customHeight="1" spans="1:5">
      <c r="A438" s="2">
        <v>100007178209</v>
      </c>
      <c r="B438" s="4" t="s">
        <v>467</v>
      </c>
      <c r="C438" s="4" t="s">
        <v>468</v>
      </c>
      <c r="D438" s="4" t="s">
        <v>32</v>
      </c>
      <c r="E438" s="4" t="s">
        <v>1</v>
      </c>
    </row>
    <row r="439" ht="21" customHeight="1" spans="1:5">
      <c r="A439" s="2">
        <v>100007648959</v>
      </c>
      <c r="B439" s="4" t="s">
        <v>626</v>
      </c>
      <c r="C439" s="4" t="s">
        <v>569</v>
      </c>
      <c r="D439" s="4" t="s">
        <v>32</v>
      </c>
      <c r="E439" s="4" t="s">
        <v>1</v>
      </c>
    </row>
    <row r="440" ht="21" customHeight="1" spans="1:5">
      <c r="A440" s="2">
        <v>100007695209</v>
      </c>
      <c r="B440" s="4" t="s">
        <v>1112</v>
      </c>
      <c r="C440" s="4" t="s">
        <v>585</v>
      </c>
      <c r="D440" s="4" t="s">
        <v>585</v>
      </c>
      <c r="E440" s="4" t="s">
        <v>1</v>
      </c>
    </row>
    <row r="441" ht="21" customHeight="1" spans="1:5">
      <c r="A441" s="2">
        <v>100007178207</v>
      </c>
      <c r="B441" s="4" t="s">
        <v>473</v>
      </c>
      <c r="C441" s="4" t="s">
        <v>81</v>
      </c>
      <c r="D441" s="4" t="s">
        <v>32</v>
      </c>
      <c r="E441" s="4" t="s">
        <v>1</v>
      </c>
    </row>
    <row r="442" ht="21" customHeight="1" spans="1:5">
      <c r="A442" s="2">
        <v>1067037</v>
      </c>
      <c r="B442" s="4" t="s">
        <v>1113</v>
      </c>
      <c r="C442" s="4" t="s">
        <v>1114</v>
      </c>
      <c r="D442" s="4" t="s">
        <v>32</v>
      </c>
      <c r="E442" s="4" t="s">
        <v>1</v>
      </c>
    </row>
    <row r="443" ht="21" customHeight="1" spans="1:5">
      <c r="A443" s="2">
        <v>100007648993</v>
      </c>
      <c r="B443" s="4" t="s">
        <v>473</v>
      </c>
      <c r="C443" s="4" t="s">
        <v>81</v>
      </c>
      <c r="D443" s="4" t="s">
        <v>32</v>
      </c>
      <c r="E443" s="4" t="s">
        <v>1</v>
      </c>
    </row>
    <row r="444" ht="21" customHeight="1" spans="1:5">
      <c r="A444" s="2">
        <v>5562473</v>
      </c>
      <c r="B444" s="4" t="s">
        <v>1115</v>
      </c>
      <c r="C444" s="4" t="s">
        <v>1116</v>
      </c>
      <c r="D444" s="4" t="s">
        <v>32</v>
      </c>
      <c r="E444" s="4" t="s">
        <v>1</v>
      </c>
    </row>
    <row r="445" ht="21" customHeight="1" spans="1:5">
      <c r="A445" s="2">
        <v>1020789</v>
      </c>
      <c r="B445" s="4" t="s">
        <v>1117</v>
      </c>
      <c r="C445" s="4" t="s">
        <v>1118</v>
      </c>
      <c r="D445" s="4" t="s">
        <v>32</v>
      </c>
      <c r="E445" s="4" t="s">
        <v>1</v>
      </c>
    </row>
    <row r="446" ht="21" customHeight="1" spans="1:5">
      <c r="A446" s="2">
        <v>3901739</v>
      </c>
      <c r="B446" s="4" t="s">
        <v>1119</v>
      </c>
      <c r="C446" s="4" t="s">
        <v>1120</v>
      </c>
      <c r="D446" s="4" t="s">
        <v>32</v>
      </c>
      <c r="E446" s="4" t="s">
        <v>1</v>
      </c>
    </row>
    <row r="447" ht="21" customHeight="1" spans="1:5">
      <c r="A447" s="2">
        <v>4145344</v>
      </c>
      <c r="B447" s="4" t="s">
        <v>1121</v>
      </c>
      <c r="C447" s="4" t="s">
        <v>475</v>
      </c>
      <c r="D447" s="4" t="s">
        <v>32</v>
      </c>
      <c r="E447" s="4" t="s">
        <v>1</v>
      </c>
    </row>
    <row r="448" ht="21" customHeight="1" spans="1:5">
      <c r="A448" s="2">
        <v>5729044</v>
      </c>
      <c r="B448" s="4" t="s">
        <v>1122</v>
      </c>
      <c r="C448" s="4" t="s">
        <v>1123</v>
      </c>
      <c r="D448" s="4" t="s">
        <v>32</v>
      </c>
      <c r="E448" s="4" t="s">
        <v>1</v>
      </c>
    </row>
    <row r="449" ht="21" customHeight="1" spans="1:5">
      <c r="A449" s="2">
        <v>100007649009</v>
      </c>
      <c r="B449" s="4" t="s">
        <v>469</v>
      </c>
      <c r="C449" s="4" t="s">
        <v>84</v>
      </c>
      <c r="D449" s="4" t="s">
        <v>32</v>
      </c>
      <c r="E449" s="4" t="s">
        <v>1</v>
      </c>
    </row>
    <row r="450" ht="21" customHeight="1" spans="1:5">
      <c r="A450" s="2">
        <v>100013886414</v>
      </c>
      <c r="B450" s="4" t="s">
        <v>1124</v>
      </c>
      <c r="C450" s="4" t="s">
        <v>472</v>
      </c>
      <c r="D450" s="4" t="s">
        <v>32</v>
      </c>
      <c r="E450" s="4" t="s">
        <v>1</v>
      </c>
    </row>
    <row r="451" ht="21" customHeight="1" spans="1:5">
      <c r="A451" s="2">
        <v>100016574638</v>
      </c>
      <c r="B451" s="4" t="s">
        <v>1125</v>
      </c>
      <c r="C451" s="4" t="s">
        <v>80</v>
      </c>
      <c r="D451" s="4" t="s">
        <v>32</v>
      </c>
      <c r="E451" s="4" t="s">
        <v>1</v>
      </c>
    </row>
    <row r="452" ht="21" customHeight="1" spans="1:5">
      <c r="A452" s="2">
        <v>1020796</v>
      </c>
      <c r="B452" s="4" t="s">
        <v>1126</v>
      </c>
      <c r="C452" s="4" t="s">
        <v>1127</v>
      </c>
      <c r="D452" s="4" t="s">
        <v>32</v>
      </c>
      <c r="E452" s="4" t="s">
        <v>1</v>
      </c>
    </row>
    <row r="453" ht="21" customHeight="1" spans="1:5">
      <c r="A453" s="2">
        <v>5729046</v>
      </c>
      <c r="B453" s="4" t="s">
        <v>1128</v>
      </c>
      <c r="C453" s="4" t="s">
        <v>1129</v>
      </c>
      <c r="D453" s="4" t="s">
        <v>32</v>
      </c>
      <c r="E453" s="4" t="s">
        <v>1</v>
      </c>
    </row>
    <row r="454" ht="21" customHeight="1" spans="1:5">
      <c r="A454" s="2">
        <v>100002444104</v>
      </c>
      <c r="B454" s="4" t="s">
        <v>1130</v>
      </c>
      <c r="C454" s="4" t="s">
        <v>826</v>
      </c>
      <c r="D454" s="4" t="s">
        <v>252</v>
      </c>
      <c r="E454" s="4" t="s">
        <v>1</v>
      </c>
    </row>
    <row r="455" ht="21" customHeight="1" spans="1:5">
      <c r="A455" s="2">
        <v>100016574664</v>
      </c>
      <c r="B455" s="4" t="s">
        <v>1131</v>
      </c>
      <c r="C455" s="4" t="s">
        <v>83</v>
      </c>
      <c r="D455" s="4" t="s">
        <v>32</v>
      </c>
      <c r="E455" s="4" t="s">
        <v>1</v>
      </c>
    </row>
    <row r="456" ht="21" customHeight="1" spans="1:5">
      <c r="A456" s="2">
        <v>100013886404</v>
      </c>
      <c r="B456" s="4" t="s">
        <v>884</v>
      </c>
      <c r="C456" s="4" t="s">
        <v>885</v>
      </c>
      <c r="D456" s="4" t="s">
        <v>32</v>
      </c>
      <c r="E456" s="4" t="s">
        <v>1</v>
      </c>
    </row>
    <row r="457" ht="21" customHeight="1" spans="1:5">
      <c r="A457" s="2">
        <v>100013152194</v>
      </c>
      <c r="B457" s="4" t="s">
        <v>626</v>
      </c>
      <c r="C457" s="4" t="s">
        <v>569</v>
      </c>
      <c r="D457" s="4" t="s">
        <v>32</v>
      </c>
      <c r="E457" s="4" t="s">
        <v>1</v>
      </c>
    </row>
    <row r="458" ht="21" customHeight="1" spans="1:5">
      <c r="A458" s="2">
        <v>100013152196</v>
      </c>
      <c r="B458" s="4" t="s">
        <v>470</v>
      </c>
      <c r="C458" s="4" t="s">
        <v>143</v>
      </c>
      <c r="D458" s="4" t="s">
        <v>32</v>
      </c>
      <c r="E458" s="4" t="s">
        <v>1</v>
      </c>
    </row>
    <row r="459" ht="21" customHeight="1" spans="1:5">
      <c r="A459" s="2">
        <v>100013152202</v>
      </c>
      <c r="B459" s="4" t="s">
        <v>465</v>
      </c>
      <c r="C459" s="4" t="s">
        <v>87</v>
      </c>
      <c r="D459" s="4" t="s">
        <v>32</v>
      </c>
      <c r="E459" s="4" t="s">
        <v>1</v>
      </c>
    </row>
    <row r="460" ht="21" customHeight="1" spans="1:5">
      <c r="A460" s="2">
        <v>3986313</v>
      </c>
      <c r="B460" s="4" t="s">
        <v>1132</v>
      </c>
      <c r="C460" s="4" t="s">
        <v>1133</v>
      </c>
      <c r="D460" s="4" t="s">
        <v>32</v>
      </c>
      <c r="E460" s="4" t="s">
        <v>1</v>
      </c>
    </row>
    <row r="461" ht="21" customHeight="1" spans="1:5">
      <c r="A461" s="2">
        <v>4499200</v>
      </c>
      <c r="B461" s="4" t="s">
        <v>1134</v>
      </c>
      <c r="C461" s="4" t="s">
        <v>1135</v>
      </c>
      <c r="D461" s="4" t="s">
        <v>32</v>
      </c>
      <c r="E461" s="4" t="s">
        <v>1</v>
      </c>
    </row>
    <row r="462" ht="21" customHeight="1" spans="1:5">
      <c r="A462" s="2">
        <v>100001798091</v>
      </c>
      <c r="B462" s="4" t="s">
        <v>1136</v>
      </c>
      <c r="C462" s="4" t="s">
        <v>820</v>
      </c>
      <c r="D462" s="4" t="s">
        <v>252</v>
      </c>
      <c r="E462" s="4" t="s">
        <v>1</v>
      </c>
    </row>
    <row r="463" ht="21" customHeight="1" spans="1:5">
      <c r="A463" s="2">
        <v>3278089</v>
      </c>
      <c r="B463" s="4" t="s">
        <v>1137</v>
      </c>
      <c r="C463" s="4" t="s">
        <v>1138</v>
      </c>
      <c r="D463" s="4" t="s">
        <v>478</v>
      </c>
      <c r="E463" s="4" t="s">
        <v>1</v>
      </c>
    </row>
    <row r="464" ht="21" customHeight="1" spans="1:5">
      <c r="A464" s="2">
        <v>100002444088</v>
      </c>
      <c r="B464" s="4" t="s">
        <v>1139</v>
      </c>
      <c r="C464" s="4" t="s">
        <v>1140</v>
      </c>
      <c r="D464" s="4" t="s">
        <v>252</v>
      </c>
      <c r="E464" s="4" t="s">
        <v>1</v>
      </c>
    </row>
    <row r="465" ht="21" customHeight="1" spans="1:5">
      <c r="A465" s="2">
        <v>100003140725</v>
      </c>
      <c r="B465" s="4" t="s">
        <v>1141</v>
      </c>
      <c r="C465" s="4" t="s">
        <v>820</v>
      </c>
      <c r="D465" s="4" t="s">
        <v>252</v>
      </c>
      <c r="E465" s="4" t="s">
        <v>1</v>
      </c>
    </row>
    <row r="466" ht="21" customHeight="1" spans="1:5">
      <c r="A466" s="2">
        <v>100006471573</v>
      </c>
      <c r="B466" s="4" t="s">
        <v>1142</v>
      </c>
      <c r="C466" s="4" t="s">
        <v>1143</v>
      </c>
      <c r="D466" s="4" t="s">
        <v>478</v>
      </c>
      <c r="E466" s="4" t="s">
        <v>1</v>
      </c>
    </row>
    <row r="467" ht="21" customHeight="1" spans="1:5">
      <c r="A467" s="2">
        <v>1020792</v>
      </c>
      <c r="B467" s="4" t="s">
        <v>1144</v>
      </c>
      <c r="C467" s="4" t="s">
        <v>1145</v>
      </c>
      <c r="D467" s="4" t="s">
        <v>32</v>
      </c>
      <c r="E467" s="4" t="s">
        <v>1</v>
      </c>
    </row>
    <row r="468" ht="21" customHeight="1" spans="1:5">
      <c r="A468" s="2">
        <v>2033600</v>
      </c>
      <c r="B468" s="4" t="s">
        <v>1146</v>
      </c>
      <c r="C468" s="4" t="s">
        <v>1147</v>
      </c>
      <c r="D468" s="4" t="s">
        <v>32</v>
      </c>
      <c r="E468" s="4" t="s">
        <v>1</v>
      </c>
    </row>
    <row r="469" ht="21" customHeight="1" spans="1:5">
      <c r="A469" s="2">
        <v>4669494</v>
      </c>
      <c r="B469" s="4" t="s">
        <v>1148</v>
      </c>
      <c r="C469" s="4" t="s">
        <v>1149</v>
      </c>
      <c r="D469" s="4" t="s">
        <v>32</v>
      </c>
      <c r="E469" s="4" t="s">
        <v>1</v>
      </c>
    </row>
    <row r="470" ht="21" customHeight="1" spans="1:5">
      <c r="A470" s="2">
        <v>100007344007</v>
      </c>
      <c r="B470" s="4" t="s">
        <v>1150</v>
      </c>
      <c r="C470" s="4" t="s">
        <v>1151</v>
      </c>
      <c r="D470" s="4" t="s">
        <v>494</v>
      </c>
      <c r="E470" s="4" t="s">
        <v>1</v>
      </c>
    </row>
    <row r="471" ht="21" customHeight="1" spans="1:5">
      <c r="A471" s="2">
        <v>100013429770</v>
      </c>
      <c r="B471" s="4" t="s">
        <v>1152</v>
      </c>
      <c r="C471" s="4" t="s">
        <v>1153</v>
      </c>
      <c r="D471" s="4" t="s">
        <v>494</v>
      </c>
      <c r="E471" s="4" t="s">
        <v>1</v>
      </c>
    </row>
    <row r="472" ht="21" customHeight="1" spans="1:5">
      <c r="A472" s="2">
        <v>100003618910</v>
      </c>
      <c r="B472" s="4" t="s">
        <v>1154</v>
      </c>
      <c r="C472" s="4" t="s">
        <v>1155</v>
      </c>
      <c r="D472" s="4" t="s">
        <v>478</v>
      </c>
      <c r="E472" s="4" t="s">
        <v>1</v>
      </c>
    </row>
    <row r="473" ht="21" customHeight="1" spans="1:5">
      <c r="A473" s="2">
        <v>100011741768</v>
      </c>
      <c r="B473" s="4" t="s">
        <v>1156</v>
      </c>
      <c r="C473" s="4" t="s">
        <v>1157</v>
      </c>
      <c r="D473" s="4" t="s">
        <v>252</v>
      </c>
      <c r="E473" s="4" t="s">
        <v>1</v>
      </c>
    </row>
    <row r="474" ht="21" customHeight="1" spans="1:5">
      <c r="A474" s="2">
        <v>100008832796</v>
      </c>
      <c r="B474" s="4" t="s">
        <v>1158</v>
      </c>
      <c r="C474" s="4" t="s">
        <v>143</v>
      </c>
      <c r="D474" s="4" t="s">
        <v>32</v>
      </c>
      <c r="E474" s="4" t="s">
        <v>1</v>
      </c>
    </row>
    <row r="475" ht="21" customHeight="1" spans="1:5">
      <c r="A475" s="2">
        <v>100009176510</v>
      </c>
      <c r="B475" s="4" t="s">
        <v>1159</v>
      </c>
      <c r="C475" s="4" t="s">
        <v>1160</v>
      </c>
      <c r="D475" s="4" t="s">
        <v>478</v>
      </c>
      <c r="E475" s="4" t="s">
        <v>1</v>
      </c>
    </row>
    <row r="476" ht="21" customHeight="1" spans="1:5">
      <c r="A476" s="2">
        <v>100009265178</v>
      </c>
      <c r="B476" s="4" t="s">
        <v>1158</v>
      </c>
      <c r="C476" s="4" t="s">
        <v>143</v>
      </c>
      <c r="D476" s="4" t="s">
        <v>32</v>
      </c>
      <c r="E476" s="4" t="s">
        <v>1</v>
      </c>
    </row>
    <row r="477" ht="21" customHeight="1" spans="1:5">
      <c r="A477" s="2">
        <v>100009176538</v>
      </c>
      <c r="B477" s="4" t="s">
        <v>1161</v>
      </c>
      <c r="C477" s="4" t="s">
        <v>1162</v>
      </c>
      <c r="D477" s="4" t="s">
        <v>478</v>
      </c>
      <c r="E477" s="4" t="s">
        <v>1</v>
      </c>
    </row>
    <row r="478" ht="21" customHeight="1" spans="1:5">
      <c r="A478" s="2">
        <v>100007343539</v>
      </c>
      <c r="B478" s="4" t="s">
        <v>420</v>
      </c>
      <c r="C478" s="4" t="s">
        <v>1163</v>
      </c>
      <c r="D478" s="4" t="s">
        <v>494</v>
      </c>
      <c r="E478" s="4" t="s">
        <v>1</v>
      </c>
    </row>
    <row r="479" ht="21" customHeight="1" spans="1:5">
      <c r="A479" s="2">
        <v>100008442137</v>
      </c>
      <c r="B479" s="4" t="s">
        <v>400</v>
      </c>
      <c r="C479" s="4" t="s">
        <v>1164</v>
      </c>
      <c r="D479" s="4" t="s">
        <v>494</v>
      </c>
      <c r="E479" s="4" t="s">
        <v>1</v>
      </c>
    </row>
    <row r="480" ht="21" customHeight="1" spans="1:5">
      <c r="A480" s="2">
        <v>100012751786</v>
      </c>
      <c r="B480" s="4" t="s">
        <v>1165</v>
      </c>
      <c r="C480" s="4" t="s">
        <v>1166</v>
      </c>
      <c r="D480" s="4" t="s">
        <v>478</v>
      </c>
      <c r="E480" s="4" t="s">
        <v>1</v>
      </c>
    </row>
    <row r="481" ht="21" customHeight="1" spans="1:5">
      <c r="A481" s="2">
        <v>100008171855</v>
      </c>
      <c r="B481" s="4" t="s">
        <v>1167</v>
      </c>
      <c r="C481" s="4" t="s">
        <v>1168</v>
      </c>
      <c r="D481" s="4" t="s">
        <v>481</v>
      </c>
      <c r="E481" s="4" t="s">
        <v>1</v>
      </c>
    </row>
    <row r="482" ht="21" customHeight="1" spans="1:5">
      <c r="A482" s="2">
        <v>100001744207</v>
      </c>
      <c r="B482" s="4" t="s">
        <v>1169</v>
      </c>
      <c r="C482" s="4" t="s">
        <v>1170</v>
      </c>
      <c r="D482" s="4" t="s">
        <v>252</v>
      </c>
      <c r="E482" s="4" t="s">
        <v>1</v>
      </c>
    </row>
    <row r="483" ht="21" customHeight="1" spans="1:5">
      <c r="A483" s="2">
        <v>100013651912</v>
      </c>
      <c r="B483" s="4" t="s">
        <v>1171</v>
      </c>
      <c r="C483" s="4" t="s">
        <v>756</v>
      </c>
      <c r="D483" s="4" t="s">
        <v>494</v>
      </c>
      <c r="E483" s="4" t="s">
        <v>1</v>
      </c>
    </row>
    <row r="484" ht="21" customHeight="1" spans="1:5">
      <c r="A484" s="2">
        <v>100010566516</v>
      </c>
      <c r="B484" s="4" t="s">
        <v>716</v>
      </c>
      <c r="C484" s="4" t="s">
        <v>717</v>
      </c>
      <c r="D484" s="4" t="s">
        <v>32</v>
      </c>
      <c r="E484" s="4" t="s">
        <v>1</v>
      </c>
    </row>
    <row r="485" ht="21" customHeight="1" spans="1:5">
      <c r="A485" s="2">
        <v>100010544098</v>
      </c>
      <c r="B485" s="4" t="s">
        <v>716</v>
      </c>
      <c r="C485" s="4" t="s">
        <v>717</v>
      </c>
      <c r="D485" s="4" t="s">
        <v>32</v>
      </c>
      <c r="E485" s="4" t="s">
        <v>1</v>
      </c>
    </row>
    <row r="486" ht="21" customHeight="1" spans="1:5">
      <c r="A486" s="2">
        <v>100005890465</v>
      </c>
      <c r="B486" s="4" t="s">
        <v>1172</v>
      </c>
      <c r="C486" s="4" t="s">
        <v>1173</v>
      </c>
      <c r="D486" s="4" t="s">
        <v>478</v>
      </c>
      <c r="E486" s="4" t="s">
        <v>1</v>
      </c>
    </row>
    <row r="487" ht="21" customHeight="1" spans="1:5">
      <c r="A487" s="2">
        <v>100013707740</v>
      </c>
      <c r="B487" s="4" t="s">
        <v>1174</v>
      </c>
      <c r="C487" s="4" t="s">
        <v>1175</v>
      </c>
      <c r="D487" s="4" t="s">
        <v>481</v>
      </c>
      <c r="E487" s="4" t="s">
        <v>1</v>
      </c>
    </row>
    <row r="488" ht="21" customHeight="1" spans="1:5">
      <c r="A488" s="2">
        <v>100014671660</v>
      </c>
      <c r="B488" s="4" t="s">
        <v>1176</v>
      </c>
      <c r="C488" s="4" t="s">
        <v>1177</v>
      </c>
      <c r="D488" s="4" t="s">
        <v>481</v>
      </c>
      <c r="E488" s="4" t="s">
        <v>1</v>
      </c>
    </row>
    <row r="489" ht="21" customHeight="1" spans="1:5">
      <c r="A489" s="2">
        <v>100013429748</v>
      </c>
      <c r="B489" s="4" t="s">
        <v>945</v>
      </c>
      <c r="C489" s="4" t="s">
        <v>946</v>
      </c>
      <c r="D489" s="4" t="s">
        <v>494</v>
      </c>
      <c r="E489" s="4" t="s">
        <v>1</v>
      </c>
    </row>
    <row r="490" ht="21" customHeight="1" spans="1:5">
      <c r="A490" s="2">
        <v>100013429768</v>
      </c>
      <c r="B490" s="4" t="s">
        <v>1178</v>
      </c>
      <c r="C490" s="4" t="s">
        <v>1153</v>
      </c>
      <c r="D490" s="4" t="s">
        <v>494</v>
      </c>
      <c r="E490" s="4" t="s">
        <v>1</v>
      </c>
    </row>
    <row r="491" ht="21" customHeight="1" spans="1:5">
      <c r="A491" s="2">
        <v>100013429720</v>
      </c>
      <c r="B491" s="4" t="s">
        <v>1179</v>
      </c>
      <c r="C491" s="4" t="s">
        <v>988</v>
      </c>
      <c r="D491" s="4" t="s">
        <v>494</v>
      </c>
      <c r="E491" s="4" t="s">
        <v>1</v>
      </c>
    </row>
    <row r="492" ht="21" customHeight="1" spans="1:5">
      <c r="A492" s="2">
        <v>100013453944</v>
      </c>
      <c r="B492" s="4" t="s">
        <v>1180</v>
      </c>
      <c r="C492" s="4" t="s">
        <v>1181</v>
      </c>
      <c r="D492" s="4" t="s">
        <v>478</v>
      </c>
      <c r="E492" s="4" t="s">
        <v>1</v>
      </c>
    </row>
    <row r="493" ht="21" customHeight="1" spans="1:5">
      <c r="A493" s="2">
        <v>100002401709</v>
      </c>
      <c r="B493" s="4" t="s">
        <v>1182</v>
      </c>
      <c r="C493" s="4" t="s">
        <v>1183</v>
      </c>
      <c r="D493" s="4" t="s">
        <v>478</v>
      </c>
      <c r="E493" s="4" t="s">
        <v>1</v>
      </c>
    </row>
    <row r="494" ht="21" customHeight="1" spans="1:5">
      <c r="A494" s="2">
        <v>100013429754</v>
      </c>
      <c r="B494" s="4" t="s">
        <v>1184</v>
      </c>
      <c r="C494" s="4" t="s">
        <v>1185</v>
      </c>
      <c r="D494" s="4" t="s">
        <v>494</v>
      </c>
      <c r="E494" s="4" t="s">
        <v>1</v>
      </c>
    </row>
    <row r="495" ht="21" customHeight="1" spans="1:5">
      <c r="A495" s="2">
        <v>100013429772</v>
      </c>
      <c r="B495" s="4" t="s">
        <v>428</v>
      </c>
      <c r="C495" s="4" t="s">
        <v>1186</v>
      </c>
      <c r="D495" s="4" t="s">
        <v>494</v>
      </c>
      <c r="E495" s="4" t="s">
        <v>1</v>
      </c>
    </row>
    <row r="496" ht="21" customHeight="1" spans="1:5">
      <c r="A496" s="2">
        <v>100013152204</v>
      </c>
      <c r="B496" s="4" t="s">
        <v>809</v>
      </c>
      <c r="C496" s="4" t="s">
        <v>810</v>
      </c>
      <c r="D496" s="4" t="s">
        <v>32</v>
      </c>
      <c r="E496" s="4" t="s">
        <v>1</v>
      </c>
    </row>
    <row r="497" ht="21" customHeight="1" spans="1:5">
      <c r="A497" s="2">
        <v>100007178201</v>
      </c>
      <c r="B497" s="4" t="s">
        <v>884</v>
      </c>
      <c r="C497" s="4" t="s">
        <v>885</v>
      </c>
      <c r="D497" s="4" t="s">
        <v>32</v>
      </c>
      <c r="E497" s="4" t="s">
        <v>1</v>
      </c>
    </row>
    <row r="498" ht="21" customHeight="1" spans="1:5">
      <c r="A498" s="2">
        <v>100005871931</v>
      </c>
      <c r="B498" s="4" t="s">
        <v>1187</v>
      </c>
      <c r="C498" s="4" t="s">
        <v>569</v>
      </c>
      <c r="D498" s="4" t="s">
        <v>32</v>
      </c>
      <c r="E498" s="4" t="s">
        <v>1</v>
      </c>
    </row>
    <row r="499" ht="21" customHeight="1" spans="1:5">
      <c r="A499" s="2">
        <v>100005871937</v>
      </c>
      <c r="B499" s="4" t="s">
        <v>1187</v>
      </c>
      <c r="C499" s="4" t="s">
        <v>569</v>
      </c>
      <c r="D499" s="4" t="s">
        <v>32</v>
      </c>
      <c r="E499" s="4" t="s">
        <v>1</v>
      </c>
    </row>
    <row r="500" ht="21" customHeight="1" spans="1:5">
      <c r="A500" s="2">
        <v>100010544106</v>
      </c>
      <c r="B500" s="4" t="s">
        <v>1187</v>
      </c>
      <c r="C500" s="4" t="s">
        <v>569</v>
      </c>
      <c r="D500" s="4" t="s">
        <v>32</v>
      </c>
      <c r="E500" s="4" t="s">
        <v>1</v>
      </c>
    </row>
    <row r="501" ht="21" customHeight="1" spans="1:5">
      <c r="A501" s="2">
        <v>100005871935</v>
      </c>
      <c r="B501" s="4" t="s">
        <v>1187</v>
      </c>
      <c r="C501" s="4" t="s">
        <v>569</v>
      </c>
      <c r="D501" s="4" t="s">
        <v>32</v>
      </c>
      <c r="E501" s="4" t="s">
        <v>1</v>
      </c>
    </row>
    <row r="502" ht="21" customHeight="1" spans="1:5">
      <c r="A502" s="2">
        <v>100003140721</v>
      </c>
      <c r="B502" s="4" t="s">
        <v>1188</v>
      </c>
      <c r="C502" s="4" t="s">
        <v>812</v>
      </c>
      <c r="D502" s="4" t="s">
        <v>252</v>
      </c>
      <c r="E502" s="4" t="s">
        <v>1</v>
      </c>
    </row>
    <row r="503" ht="21" customHeight="1" spans="1:5">
      <c r="A503" s="2">
        <v>100003618860</v>
      </c>
      <c r="B503" s="4" t="s">
        <v>1189</v>
      </c>
      <c r="C503" s="4" t="s">
        <v>1190</v>
      </c>
      <c r="D503" s="4" t="s">
        <v>32</v>
      </c>
      <c r="E503" s="4" t="s">
        <v>1</v>
      </c>
    </row>
    <row r="504" ht="21" customHeight="1" spans="1:5">
      <c r="A504" s="2">
        <v>100009176536</v>
      </c>
      <c r="B504" s="4" t="s">
        <v>1041</v>
      </c>
      <c r="C504" s="4" t="s">
        <v>1042</v>
      </c>
      <c r="D504" s="4" t="s">
        <v>478</v>
      </c>
      <c r="E504" s="4" t="s">
        <v>1</v>
      </c>
    </row>
    <row r="505" ht="21" customHeight="1" spans="1:5">
      <c r="A505" s="2">
        <v>100009176534</v>
      </c>
      <c r="B505" s="4" t="s">
        <v>844</v>
      </c>
      <c r="C505" s="4" t="s">
        <v>845</v>
      </c>
      <c r="D505" s="4" t="s">
        <v>478</v>
      </c>
      <c r="E505" s="4" t="s">
        <v>1</v>
      </c>
    </row>
    <row r="506" ht="21" customHeight="1" spans="1:5">
      <c r="A506" s="2">
        <v>100005094654</v>
      </c>
      <c r="B506" s="4" t="s">
        <v>1191</v>
      </c>
      <c r="C506" s="4" t="s">
        <v>1192</v>
      </c>
      <c r="D506" s="4" t="s">
        <v>252</v>
      </c>
      <c r="E506" s="4" t="s">
        <v>1</v>
      </c>
    </row>
    <row r="507" ht="21" customHeight="1" spans="1:5">
      <c r="A507" s="2">
        <v>100005094640</v>
      </c>
      <c r="B507" s="4" t="s">
        <v>1193</v>
      </c>
      <c r="C507" s="4" t="s">
        <v>820</v>
      </c>
      <c r="D507" s="4" t="s">
        <v>252</v>
      </c>
      <c r="E507" s="4" t="s">
        <v>1</v>
      </c>
    </row>
    <row r="508" ht="21" customHeight="1" spans="1:5">
      <c r="A508" s="2">
        <v>100016500896</v>
      </c>
      <c r="B508" s="4" t="s">
        <v>466</v>
      </c>
      <c r="C508" s="4" t="s">
        <v>80</v>
      </c>
      <c r="D508" s="4" t="s">
        <v>32</v>
      </c>
      <c r="E508" s="4" t="s">
        <v>1</v>
      </c>
    </row>
    <row r="509" ht="21" customHeight="1" spans="1:5">
      <c r="A509" s="2">
        <v>100016500904</v>
      </c>
      <c r="B509" s="4" t="s">
        <v>466</v>
      </c>
      <c r="C509" s="4" t="s">
        <v>80</v>
      </c>
      <c r="D509" s="4" t="s">
        <v>32</v>
      </c>
      <c r="E509" s="4" t="s">
        <v>1</v>
      </c>
    </row>
    <row r="510" ht="21" customHeight="1" spans="1:5">
      <c r="A510" s="2">
        <v>100016500926</v>
      </c>
      <c r="B510" s="4" t="s">
        <v>464</v>
      </c>
      <c r="C510" s="4" t="s">
        <v>80</v>
      </c>
      <c r="D510" s="4" t="s">
        <v>32</v>
      </c>
      <c r="E510" s="4" t="s">
        <v>1</v>
      </c>
    </row>
    <row r="511" ht="21" customHeight="1" spans="1:5">
      <c r="A511" s="2">
        <v>100002444122</v>
      </c>
      <c r="B511" s="4" t="s">
        <v>1194</v>
      </c>
      <c r="C511" s="4" t="s">
        <v>820</v>
      </c>
      <c r="D511" s="4" t="s">
        <v>252</v>
      </c>
      <c r="E511" s="4" t="s">
        <v>1</v>
      </c>
    </row>
    <row r="512" ht="21" customHeight="1" spans="1:5">
      <c r="A512" s="2">
        <v>100002444124</v>
      </c>
      <c r="B512" s="4" t="s">
        <v>1195</v>
      </c>
      <c r="C512" s="4" t="s">
        <v>820</v>
      </c>
      <c r="D512" s="4" t="s">
        <v>252</v>
      </c>
      <c r="E512" s="4" t="s">
        <v>1</v>
      </c>
    </row>
    <row r="513" ht="21" customHeight="1" spans="1:5">
      <c r="A513" s="2">
        <v>100002444090</v>
      </c>
      <c r="B513" s="4" t="s">
        <v>1196</v>
      </c>
      <c r="C513" s="4" t="s">
        <v>1140</v>
      </c>
      <c r="D513" s="4" t="s">
        <v>252</v>
      </c>
      <c r="E513" s="4" t="s">
        <v>1</v>
      </c>
    </row>
    <row r="514" ht="21" customHeight="1" spans="1:5">
      <c r="A514" s="2">
        <v>100038241769</v>
      </c>
      <c r="B514" s="4" t="s">
        <v>1197</v>
      </c>
      <c r="C514" s="4" t="s">
        <v>1198</v>
      </c>
      <c r="D514" s="4" t="s">
        <v>252</v>
      </c>
      <c r="E514" s="4" t="s">
        <v>1</v>
      </c>
    </row>
    <row r="515" ht="21" customHeight="1" spans="1:5">
      <c r="A515" s="2">
        <v>100002444106</v>
      </c>
      <c r="B515" s="4" t="s">
        <v>1199</v>
      </c>
      <c r="C515" s="4" t="s">
        <v>812</v>
      </c>
      <c r="D515" s="4" t="s">
        <v>252</v>
      </c>
      <c r="E515" s="4" t="s">
        <v>1</v>
      </c>
    </row>
    <row r="516" ht="21" customHeight="1" spans="1:5">
      <c r="A516" s="2">
        <v>100002444080</v>
      </c>
      <c r="B516" s="4" t="s">
        <v>1200</v>
      </c>
      <c r="C516" s="4" t="s">
        <v>812</v>
      </c>
      <c r="D516" s="4" t="s">
        <v>252</v>
      </c>
      <c r="E516" s="4" t="s">
        <v>1</v>
      </c>
    </row>
    <row r="517" ht="21" customHeight="1" spans="1:5">
      <c r="A517" s="2">
        <v>100005871929</v>
      </c>
      <c r="B517" s="4" t="s">
        <v>1201</v>
      </c>
      <c r="C517" s="4" t="s">
        <v>1047</v>
      </c>
      <c r="D517" s="4" t="s">
        <v>32</v>
      </c>
      <c r="E517" s="4" t="s">
        <v>1</v>
      </c>
    </row>
    <row r="518" ht="21" customHeight="1" spans="1:5">
      <c r="A518" s="2">
        <v>100013886378</v>
      </c>
      <c r="B518" s="4" t="s">
        <v>809</v>
      </c>
      <c r="C518" s="4" t="s">
        <v>810</v>
      </c>
      <c r="D518" s="4" t="s">
        <v>32</v>
      </c>
      <c r="E518" s="4" t="s">
        <v>1</v>
      </c>
    </row>
    <row r="519" ht="21" customHeight="1" spans="1:5">
      <c r="A519" s="2">
        <v>100013886402</v>
      </c>
      <c r="B519" s="4" t="s">
        <v>1202</v>
      </c>
      <c r="C519" s="4" t="s">
        <v>1056</v>
      </c>
      <c r="D519" s="4" t="s">
        <v>32</v>
      </c>
      <c r="E519" s="4" t="s">
        <v>1</v>
      </c>
    </row>
    <row r="520" ht="21" customHeight="1" spans="1:5">
      <c r="A520" s="2">
        <v>100005230115</v>
      </c>
      <c r="B520" s="4" t="s">
        <v>1203</v>
      </c>
      <c r="C520" s="4" t="s">
        <v>472</v>
      </c>
      <c r="D520" s="4" t="s">
        <v>32</v>
      </c>
      <c r="E520" s="4" t="s">
        <v>1</v>
      </c>
    </row>
    <row r="521" ht="21" customHeight="1" spans="1:5">
      <c r="A521" s="2">
        <v>100005185155</v>
      </c>
      <c r="B521" s="4" t="s">
        <v>844</v>
      </c>
      <c r="C521" s="4" t="s">
        <v>845</v>
      </c>
      <c r="D521" s="4" t="s">
        <v>478</v>
      </c>
      <c r="E521" s="4" t="s">
        <v>1</v>
      </c>
    </row>
    <row r="522" ht="21" customHeight="1" spans="1:5">
      <c r="A522" s="2">
        <v>100009176540</v>
      </c>
      <c r="B522" s="4" t="s">
        <v>1204</v>
      </c>
      <c r="C522" s="4" t="s">
        <v>1205</v>
      </c>
      <c r="D522" s="4" t="s">
        <v>478</v>
      </c>
      <c r="E522" s="4" t="s">
        <v>1</v>
      </c>
    </row>
    <row r="523" ht="21" customHeight="1" spans="1:5">
      <c r="A523" s="2">
        <v>100001798089</v>
      </c>
      <c r="B523" s="4" t="s">
        <v>1206</v>
      </c>
      <c r="C523" s="4" t="s">
        <v>812</v>
      </c>
      <c r="D523" s="4" t="s">
        <v>252</v>
      </c>
      <c r="E523" s="4" t="s">
        <v>1</v>
      </c>
    </row>
    <row r="524" ht="21" customHeight="1" spans="1:5">
      <c r="A524" s="2">
        <v>100001798107</v>
      </c>
      <c r="B524" s="4" t="s">
        <v>1207</v>
      </c>
      <c r="C524" s="4" t="s">
        <v>1192</v>
      </c>
      <c r="D524" s="4" t="s">
        <v>252</v>
      </c>
      <c r="E524" s="4" t="s">
        <v>1</v>
      </c>
    </row>
    <row r="525" ht="21" customHeight="1" spans="1:5">
      <c r="A525" s="2">
        <v>100001798061</v>
      </c>
      <c r="B525" s="4" t="s">
        <v>1208</v>
      </c>
      <c r="C525" s="4" t="s">
        <v>1192</v>
      </c>
      <c r="D525" s="4" t="s">
        <v>252</v>
      </c>
      <c r="E525" s="4" t="s">
        <v>1</v>
      </c>
    </row>
    <row r="526" ht="21" customHeight="1" spans="1:5">
      <c r="A526" s="2">
        <v>100001798087</v>
      </c>
      <c r="B526" s="4" t="s">
        <v>1209</v>
      </c>
      <c r="C526" s="4" t="s">
        <v>812</v>
      </c>
      <c r="D526" s="4" t="s">
        <v>252</v>
      </c>
      <c r="E526" s="4" t="s">
        <v>1</v>
      </c>
    </row>
    <row r="527" ht="21" customHeight="1" spans="1:5">
      <c r="A527" s="2">
        <v>100001798059</v>
      </c>
      <c r="B527" s="4" t="s">
        <v>1210</v>
      </c>
      <c r="C527" s="4" t="s">
        <v>1192</v>
      </c>
      <c r="D527" s="4" t="s">
        <v>252</v>
      </c>
      <c r="E527" s="4" t="s">
        <v>1</v>
      </c>
    </row>
    <row r="528" ht="21" customHeight="1" spans="1:5">
      <c r="A528" s="2">
        <v>100001798103</v>
      </c>
      <c r="B528" s="4" t="s">
        <v>1211</v>
      </c>
      <c r="C528" s="4" t="s">
        <v>1140</v>
      </c>
      <c r="D528" s="4" t="s">
        <v>252</v>
      </c>
      <c r="E528" s="4" t="s">
        <v>1</v>
      </c>
    </row>
    <row r="529" ht="21" customHeight="1" spans="1:5">
      <c r="A529" s="2">
        <v>3714555</v>
      </c>
      <c r="B529" s="4" t="s">
        <v>1212</v>
      </c>
      <c r="C529" s="4" t="s">
        <v>638</v>
      </c>
      <c r="D529" s="4" t="s">
        <v>32</v>
      </c>
      <c r="E529" s="4" t="s">
        <v>1</v>
      </c>
    </row>
    <row r="530" ht="21" customHeight="1" spans="1:5">
      <c r="A530" s="2">
        <v>100007529597</v>
      </c>
      <c r="B530" s="4" t="s">
        <v>1213</v>
      </c>
      <c r="C530" s="4" t="s">
        <v>1214</v>
      </c>
      <c r="D530" s="4" t="s">
        <v>481</v>
      </c>
      <c r="E530" s="4" t="s">
        <v>1</v>
      </c>
    </row>
    <row r="531" ht="21" customHeight="1" spans="1:5">
      <c r="A531" s="2">
        <v>100007529601</v>
      </c>
      <c r="B531" s="4" t="s">
        <v>1215</v>
      </c>
      <c r="C531" s="4" t="s">
        <v>1216</v>
      </c>
      <c r="D531" s="4" t="s">
        <v>481</v>
      </c>
      <c r="E531" s="4" t="s">
        <v>1</v>
      </c>
    </row>
    <row r="532" ht="21" customHeight="1" spans="1:5">
      <c r="A532" s="2">
        <v>100016660179</v>
      </c>
      <c r="B532" s="4" t="s">
        <v>1217</v>
      </c>
      <c r="C532" s="4" t="s">
        <v>1218</v>
      </c>
      <c r="D532" s="4" t="s">
        <v>494</v>
      </c>
      <c r="E532" s="4" t="s">
        <v>1</v>
      </c>
    </row>
    <row r="533" ht="21" customHeight="1" spans="1:5">
      <c r="A533" s="2">
        <v>100014661386</v>
      </c>
      <c r="B533" s="4" t="s">
        <v>1219</v>
      </c>
      <c r="C533" s="4" t="s">
        <v>1220</v>
      </c>
      <c r="D533" s="4" t="s">
        <v>494</v>
      </c>
      <c r="E533" s="4" t="s">
        <v>1</v>
      </c>
    </row>
    <row r="534" ht="21" customHeight="1" spans="1:5">
      <c r="A534" s="2">
        <v>100030426058</v>
      </c>
      <c r="B534" s="4" t="s">
        <v>1221</v>
      </c>
      <c r="C534" s="4" t="s">
        <v>1222</v>
      </c>
      <c r="D534" s="4" t="s">
        <v>494</v>
      </c>
      <c r="E534" s="4" t="s">
        <v>1</v>
      </c>
    </row>
    <row r="535" ht="21" customHeight="1" spans="1:5">
      <c r="A535" s="2">
        <v>100014687138</v>
      </c>
      <c r="B535" s="4" t="s">
        <v>1223</v>
      </c>
      <c r="C535" s="4" t="s">
        <v>1224</v>
      </c>
      <c r="D535" s="4" t="s">
        <v>494</v>
      </c>
      <c r="E535" s="4" t="s">
        <v>1</v>
      </c>
    </row>
    <row r="536" ht="21" customHeight="1" spans="1:5">
      <c r="A536" s="2">
        <v>100002363414</v>
      </c>
      <c r="B536" s="4" t="s">
        <v>1225</v>
      </c>
      <c r="C536" s="4" t="s">
        <v>812</v>
      </c>
      <c r="D536" s="4" t="s">
        <v>252</v>
      </c>
      <c r="E536" s="4" t="s">
        <v>1</v>
      </c>
    </row>
    <row r="537" ht="21" customHeight="1" spans="1:5">
      <c r="A537" s="2">
        <v>100004883244</v>
      </c>
      <c r="B537" s="4" t="s">
        <v>1226</v>
      </c>
      <c r="C537" s="4" t="s">
        <v>820</v>
      </c>
      <c r="D537" s="4" t="s">
        <v>252</v>
      </c>
      <c r="E537" s="4" t="s">
        <v>1</v>
      </c>
    </row>
    <row r="538" ht="21" customHeight="1" spans="1:5">
      <c r="A538" s="2">
        <v>100001744201</v>
      </c>
      <c r="B538" s="4" t="s">
        <v>1226</v>
      </c>
      <c r="C538" s="4" t="s">
        <v>820</v>
      </c>
      <c r="D538" s="4" t="s">
        <v>252</v>
      </c>
      <c r="E538" s="4" t="s">
        <v>1</v>
      </c>
    </row>
    <row r="539" ht="21" customHeight="1" spans="1:5">
      <c r="A539" s="2">
        <v>100008952149</v>
      </c>
      <c r="B539" s="4" t="s">
        <v>1227</v>
      </c>
      <c r="C539" s="4" t="s">
        <v>930</v>
      </c>
      <c r="D539" s="4" t="s">
        <v>32</v>
      </c>
      <c r="E539" s="4" t="s">
        <v>1</v>
      </c>
    </row>
    <row r="540" ht="21" customHeight="1" spans="1:5">
      <c r="A540" s="2">
        <v>100009384465</v>
      </c>
      <c r="B540" s="4" t="s">
        <v>1228</v>
      </c>
      <c r="C540" s="4" t="s">
        <v>1229</v>
      </c>
      <c r="D540" s="4" t="s">
        <v>478</v>
      </c>
      <c r="E540" s="4" t="s">
        <v>1</v>
      </c>
    </row>
    <row r="541" ht="21" customHeight="1" spans="1:5">
      <c r="A541" s="2">
        <v>100002444126</v>
      </c>
      <c r="B541" s="4" t="s">
        <v>1230</v>
      </c>
      <c r="C541" s="4" t="s">
        <v>878</v>
      </c>
      <c r="D541" s="4" t="s">
        <v>252</v>
      </c>
      <c r="E541" s="4" t="s">
        <v>1</v>
      </c>
    </row>
    <row r="542" ht="21" customHeight="1" spans="1:5">
      <c r="A542" s="2">
        <v>100008737488</v>
      </c>
      <c r="B542" s="4" t="s">
        <v>1231</v>
      </c>
      <c r="C542" s="4" t="s">
        <v>756</v>
      </c>
      <c r="D542" s="4" t="s">
        <v>756</v>
      </c>
      <c r="E542" s="4" t="s">
        <v>1</v>
      </c>
    </row>
    <row r="543" ht="21" customHeight="1" spans="1:5">
      <c r="A543" s="2">
        <v>100001744205</v>
      </c>
      <c r="B543" s="4" t="s">
        <v>1232</v>
      </c>
      <c r="C543" s="4" t="s">
        <v>1061</v>
      </c>
      <c r="D543" s="4" t="s">
        <v>252</v>
      </c>
      <c r="E543" s="4" t="s">
        <v>1</v>
      </c>
    </row>
    <row r="544" ht="21" customHeight="1" spans="1:5">
      <c r="A544" s="2">
        <v>100002363398</v>
      </c>
      <c r="B544" s="4" t="s">
        <v>1233</v>
      </c>
      <c r="C544" s="4" t="s">
        <v>756</v>
      </c>
      <c r="D544" s="4" t="s">
        <v>756</v>
      </c>
      <c r="E544" s="4" t="s">
        <v>1</v>
      </c>
    </row>
    <row r="545" ht="21" customHeight="1" spans="1:5">
      <c r="A545" s="2">
        <v>1020807</v>
      </c>
      <c r="B545" s="4" t="s">
        <v>1234</v>
      </c>
      <c r="C545" s="4" t="s">
        <v>1235</v>
      </c>
      <c r="D545" s="4" t="s">
        <v>32</v>
      </c>
      <c r="E545" s="4" t="s">
        <v>1</v>
      </c>
    </row>
    <row r="546" ht="21" customHeight="1" spans="1:5">
      <c r="A546" s="2">
        <v>1020798</v>
      </c>
      <c r="B546" s="4" t="s">
        <v>1236</v>
      </c>
      <c r="C546" s="4" t="s">
        <v>1237</v>
      </c>
      <c r="D546" s="4" t="s">
        <v>32</v>
      </c>
      <c r="E546" s="4" t="s">
        <v>1</v>
      </c>
    </row>
    <row r="547" ht="21" customHeight="1" spans="1:5">
      <c r="A547" s="2">
        <v>2152526</v>
      </c>
      <c r="B547" s="4" t="s">
        <v>1238</v>
      </c>
      <c r="C547" s="4" t="s">
        <v>1239</v>
      </c>
      <c r="D547" s="4" t="s">
        <v>32</v>
      </c>
      <c r="E547" s="4" t="s">
        <v>1</v>
      </c>
    </row>
    <row r="548" ht="21" customHeight="1" spans="1:5">
      <c r="A548" s="2">
        <v>100012436996</v>
      </c>
      <c r="B548" s="4" t="s">
        <v>1240</v>
      </c>
      <c r="C548" s="4" t="s">
        <v>699</v>
      </c>
      <c r="D548" s="4" t="s">
        <v>478</v>
      </c>
      <c r="E548" s="4" t="s">
        <v>1</v>
      </c>
    </row>
    <row r="549" ht="21" customHeight="1" spans="1:5">
      <c r="A549" s="2">
        <v>100009470449</v>
      </c>
      <c r="B549" s="4" t="s">
        <v>1241</v>
      </c>
      <c r="C549" s="4" t="s">
        <v>1242</v>
      </c>
      <c r="D549" s="4" t="s">
        <v>478</v>
      </c>
      <c r="E549" s="4" t="s">
        <v>1</v>
      </c>
    </row>
    <row r="550" ht="21" customHeight="1" spans="1:5">
      <c r="A550" s="2">
        <v>100009470447</v>
      </c>
      <c r="B550" s="4" t="s">
        <v>1243</v>
      </c>
      <c r="C550" s="4" t="s">
        <v>1244</v>
      </c>
      <c r="D550" s="4" t="s">
        <v>478</v>
      </c>
      <c r="E550" s="4" t="s">
        <v>1</v>
      </c>
    </row>
    <row r="551" ht="21" customHeight="1" spans="1:5">
      <c r="A551" s="2">
        <v>100007648991</v>
      </c>
      <c r="B551" s="4" t="s">
        <v>369</v>
      </c>
      <c r="C551" s="4" t="s">
        <v>1054</v>
      </c>
      <c r="D551" s="4" t="s">
        <v>32</v>
      </c>
      <c r="E551" s="4" t="s">
        <v>1</v>
      </c>
    </row>
    <row r="552" ht="21" customHeight="1" spans="1:5">
      <c r="A552" s="2">
        <v>100007648989</v>
      </c>
      <c r="B552" s="4" t="s">
        <v>1110</v>
      </c>
      <c r="C552" s="4" t="s">
        <v>1111</v>
      </c>
      <c r="D552" s="4" t="s">
        <v>32</v>
      </c>
      <c r="E552" s="4" t="s">
        <v>1</v>
      </c>
    </row>
    <row r="553" ht="21" customHeight="1" spans="1:5">
      <c r="A553" s="2">
        <v>2027000</v>
      </c>
      <c r="B553" s="4" t="s">
        <v>1245</v>
      </c>
      <c r="C553" s="4" t="s">
        <v>874</v>
      </c>
      <c r="D553" s="4" t="s">
        <v>32</v>
      </c>
      <c r="E553" s="4" t="s">
        <v>1</v>
      </c>
    </row>
    <row r="554" ht="21" customHeight="1" spans="1:5">
      <c r="A554" s="2">
        <v>1876274</v>
      </c>
      <c r="B554" s="4" t="s">
        <v>1246</v>
      </c>
      <c r="C554" s="4" t="s">
        <v>1145</v>
      </c>
      <c r="D554" s="4" t="s">
        <v>32</v>
      </c>
      <c r="E554" s="4" t="s">
        <v>1</v>
      </c>
    </row>
    <row r="555" ht="21" customHeight="1" spans="1:5">
      <c r="A555" s="2">
        <v>1020808</v>
      </c>
      <c r="B555" s="4" t="s">
        <v>1247</v>
      </c>
      <c r="C555" s="4" t="s">
        <v>1248</v>
      </c>
      <c r="D555" s="4" t="s">
        <v>32</v>
      </c>
      <c r="E555" s="4" t="s">
        <v>1</v>
      </c>
    </row>
    <row r="556" ht="21" customHeight="1" spans="1:5">
      <c r="A556" s="2">
        <v>1020797</v>
      </c>
      <c r="B556" s="4" t="s">
        <v>1249</v>
      </c>
      <c r="C556" s="4" t="s">
        <v>1250</v>
      </c>
      <c r="D556" s="4" t="s">
        <v>32</v>
      </c>
      <c r="E556" s="4" t="s">
        <v>1</v>
      </c>
    </row>
    <row r="557" ht="21" customHeight="1" spans="1:5">
      <c r="A557" s="2">
        <v>1876284</v>
      </c>
      <c r="B557" s="4" t="s">
        <v>1251</v>
      </c>
      <c r="C557" s="4" t="s">
        <v>810</v>
      </c>
      <c r="D557" s="4" t="s">
        <v>32</v>
      </c>
      <c r="E557" s="4" t="s">
        <v>1</v>
      </c>
    </row>
    <row r="558" ht="21" customHeight="1" spans="1:5">
      <c r="A558" s="2">
        <v>1876288</v>
      </c>
      <c r="B558" s="4" t="s">
        <v>1252</v>
      </c>
      <c r="C558" s="4" t="s">
        <v>885</v>
      </c>
      <c r="D558" s="4" t="s">
        <v>32</v>
      </c>
      <c r="E558" s="4" t="s">
        <v>1</v>
      </c>
    </row>
    <row r="559" ht="21" customHeight="1" spans="1:5">
      <c r="A559" s="2">
        <v>2152505</v>
      </c>
      <c r="B559" s="4" t="s">
        <v>1253</v>
      </c>
      <c r="C559" s="4" t="s">
        <v>1254</v>
      </c>
      <c r="D559" s="4" t="s">
        <v>32</v>
      </c>
      <c r="E559" s="4" t="s">
        <v>1</v>
      </c>
    </row>
    <row r="560" ht="21" customHeight="1" spans="1:5">
      <c r="A560" s="2">
        <v>100013886406</v>
      </c>
      <c r="B560" s="4" t="s">
        <v>441</v>
      </c>
      <c r="C560" s="4" t="s">
        <v>1047</v>
      </c>
      <c r="D560" s="4" t="s">
        <v>32</v>
      </c>
      <c r="E560" s="4" t="s">
        <v>1</v>
      </c>
    </row>
    <row r="561" ht="21" customHeight="1" spans="1:5">
      <c r="A561" s="2">
        <v>100007649003</v>
      </c>
      <c r="B561" s="4" t="s">
        <v>364</v>
      </c>
      <c r="C561" s="4" t="s">
        <v>881</v>
      </c>
      <c r="D561" s="4" t="s">
        <v>32</v>
      </c>
      <c r="E561" s="4" t="s">
        <v>1</v>
      </c>
    </row>
    <row r="562" ht="21" customHeight="1" spans="1:5">
      <c r="A562" s="2">
        <v>100005485582</v>
      </c>
      <c r="B562" s="4" t="s">
        <v>1255</v>
      </c>
      <c r="C562" s="4" t="s">
        <v>1256</v>
      </c>
      <c r="D562" s="4" t="s">
        <v>478</v>
      </c>
      <c r="E562" s="4" t="s">
        <v>1</v>
      </c>
    </row>
    <row r="563" ht="21" customHeight="1" spans="1:5">
      <c r="A563" s="2">
        <v>100006928588</v>
      </c>
      <c r="B563" s="4" t="s">
        <v>1257</v>
      </c>
      <c r="C563" s="4" t="s">
        <v>888</v>
      </c>
      <c r="D563" s="4" t="s">
        <v>478</v>
      </c>
      <c r="E563" s="4" t="s">
        <v>1</v>
      </c>
    </row>
    <row r="564" ht="21" customHeight="1" spans="1:5">
      <c r="A564" s="2">
        <v>100002870084</v>
      </c>
      <c r="B564" s="4" t="s">
        <v>1258</v>
      </c>
      <c r="C564" s="4" t="s">
        <v>1259</v>
      </c>
      <c r="D564" s="4" t="s">
        <v>478</v>
      </c>
      <c r="E564" s="4" t="s">
        <v>1</v>
      </c>
    </row>
    <row r="565" ht="21" customHeight="1" spans="1:5">
      <c r="A565" s="2">
        <v>100006146422</v>
      </c>
      <c r="B565" s="4" t="s">
        <v>1260</v>
      </c>
      <c r="C565" s="4" t="s">
        <v>901</v>
      </c>
      <c r="D565" s="4" t="s">
        <v>478</v>
      </c>
      <c r="E565" s="4" t="s">
        <v>1</v>
      </c>
    </row>
    <row r="566" ht="21" customHeight="1" spans="1:5">
      <c r="A566" s="2">
        <v>100006146400</v>
      </c>
      <c r="B566" s="4" t="s">
        <v>1261</v>
      </c>
      <c r="C566" s="4" t="s">
        <v>1045</v>
      </c>
      <c r="D566" s="4" t="s">
        <v>478</v>
      </c>
      <c r="E566" s="4" t="s">
        <v>1</v>
      </c>
    </row>
    <row r="567" ht="21" customHeight="1" spans="1:5">
      <c r="A567" s="2">
        <v>100003665865</v>
      </c>
      <c r="B567" s="4" t="s">
        <v>1262</v>
      </c>
      <c r="C567" s="4" t="s">
        <v>632</v>
      </c>
      <c r="D567" s="4" t="s">
        <v>478</v>
      </c>
      <c r="E567" s="4" t="s">
        <v>1</v>
      </c>
    </row>
    <row r="568" ht="21" customHeight="1" spans="1:5">
      <c r="A568" s="2">
        <v>100001147501</v>
      </c>
      <c r="B568" s="4" t="s">
        <v>1263</v>
      </c>
      <c r="C568" s="4" t="s">
        <v>845</v>
      </c>
      <c r="D568" s="4" t="s">
        <v>478</v>
      </c>
      <c r="E568" s="4" t="s">
        <v>1</v>
      </c>
    </row>
    <row r="569" ht="21" customHeight="1" spans="1:5">
      <c r="A569" s="2">
        <v>100006146416</v>
      </c>
      <c r="B569" s="4" t="s">
        <v>1264</v>
      </c>
      <c r="C569" s="4" t="s">
        <v>695</v>
      </c>
      <c r="D569" s="4" t="s">
        <v>478</v>
      </c>
      <c r="E569" s="4" t="s">
        <v>1</v>
      </c>
    </row>
    <row r="570" ht="21" customHeight="1" spans="1:5">
      <c r="A570" s="2">
        <v>100006928570</v>
      </c>
      <c r="B570" s="4" t="s">
        <v>1265</v>
      </c>
      <c r="C570" s="4" t="s">
        <v>1105</v>
      </c>
      <c r="D570" s="4" t="s">
        <v>478</v>
      </c>
      <c r="E570" s="4" t="s">
        <v>1</v>
      </c>
    </row>
    <row r="571" ht="21" customHeight="1" spans="1:5">
      <c r="A571" s="2">
        <v>100004060301</v>
      </c>
      <c r="B571" s="4" t="s">
        <v>1266</v>
      </c>
      <c r="C571" s="4" t="s">
        <v>1267</v>
      </c>
      <c r="D571" s="4" t="s">
        <v>478</v>
      </c>
      <c r="E571" s="4" t="s">
        <v>1</v>
      </c>
    </row>
    <row r="572" ht="21" customHeight="1" spans="1:5">
      <c r="A572" s="2">
        <v>100014671688</v>
      </c>
      <c r="B572" s="4" t="s">
        <v>1268</v>
      </c>
      <c r="C572" s="4" t="s">
        <v>1269</v>
      </c>
      <c r="D572" s="4" t="s">
        <v>481</v>
      </c>
      <c r="E572" s="4" t="s">
        <v>1</v>
      </c>
    </row>
    <row r="573" ht="21" customHeight="1" spans="1:5">
      <c r="A573" s="2">
        <v>5729048</v>
      </c>
      <c r="B573" s="4" t="s">
        <v>1270</v>
      </c>
      <c r="C573" s="4" t="s">
        <v>901</v>
      </c>
      <c r="D573" s="4" t="s">
        <v>478</v>
      </c>
      <c r="E573" s="4" t="s">
        <v>1</v>
      </c>
    </row>
    <row r="574" ht="21" customHeight="1" spans="1:5">
      <c r="A574" s="2">
        <v>5562475</v>
      </c>
      <c r="B574" s="4" t="s">
        <v>1271</v>
      </c>
      <c r="C574" s="4" t="s">
        <v>1272</v>
      </c>
      <c r="D574" s="4" t="s">
        <v>478</v>
      </c>
      <c r="E574" s="4" t="s">
        <v>1</v>
      </c>
    </row>
    <row r="575" ht="21" customHeight="1" spans="1:5">
      <c r="A575" s="2">
        <v>100013152192</v>
      </c>
      <c r="B575" s="4" t="s">
        <v>364</v>
      </c>
      <c r="C575" s="4" t="s">
        <v>881</v>
      </c>
      <c r="D575" s="4" t="s">
        <v>32</v>
      </c>
      <c r="E575" s="4" t="s">
        <v>1</v>
      </c>
    </row>
    <row r="576" ht="21" customHeight="1" spans="1:5">
      <c r="A576" s="2">
        <v>3029838</v>
      </c>
      <c r="B576" s="4" t="s">
        <v>1273</v>
      </c>
      <c r="C576" s="4" t="s">
        <v>1274</v>
      </c>
      <c r="D576" s="4" t="s">
        <v>478</v>
      </c>
      <c r="E576" s="4" t="s">
        <v>1</v>
      </c>
    </row>
    <row r="577" ht="21" customHeight="1" spans="1:5">
      <c r="A577" s="2">
        <v>1083979</v>
      </c>
      <c r="B577" s="4" t="s">
        <v>1275</v>
      </c>
      <c r="C577" s="4" t="s">
        <v>1248</v>
      </c>
      <c r="D577" s="4" t="s">
        <v>32</v>
      </c>
      <c r="E577" s="4" t="s">
        <v>1</v>
      </c>
    </row>
    <row r="578" ht="21" customHeight="1" spans="1:5">
      <c r="A578" s="2">
        <v>1083978</v>
      </c>
      <c r="B578" s="4" t="s">
        <v>1276</v>
      </c>
      <c r="C578" s="4" t="s">
        <v>1254</v>
      </c>
      <c r="D578" s="4" t="s">
        <v>32</v>
      </c>
      <c r="E578" s="4" t="s">
        <v>1</v>
      </c>
    </row>
    <row r="579" ht="21" customHeight="1" spans="1:5">
      <c r="A579" s="2">
        <v>1083970</v>
      </c>
      <c r="B579" s="4" t="s">
        <v>1277</v>
      </c>
      <c r="C579" s="4" t="s">
        <v>1239</v>
      </c>
      <c r="D579" s="4" t="s">
        <v>32</v>
      </c>
      <c r="E579" s="4" t="s">
        <v>1</v>
      </c>
    </row>
    <row r="580" ht="21" customHeight="1" spans="1:5">
      <c r="A580" s="2">
        <v>1083981</v>
      </c>
      <c r="B580" s="4" t="s">
        <v>1278</v>
      </c>
      <c r="C580" s="4" t="s">
        <v>1279</v>
      </c>
      <c r="D580" s="4" t="s">
        <v>32</v>
      </c>
      <c r="E580" s="4" t="s">
        <v>1</v>
      </c>
    </row>
    <row r="581" ht="21" customHeight="1" spans="1:5">
      <c r="A581" s="2">
        <v>3029836</v>
      </c>
      <c r="B581" s="4" t="s">
        <v>1280</v>
      </c>
      <c r="C581" s="4" t="s">
        <v>1281</v>
      </c>
      <c r="D581" s="4" t="s">
        <v>478</v>
      </c>
      <c r="E581" s="4" t="s">
        <v>1</v>
      </c>
    </row>
    <row r="582" ht="21" customHeight="1" spans="1:5">
      <c r="A582" s="2">
        <v>100037779488</v>
      </c>
      <c r="B582" s="4" t="s">
        <v>1282</v>
      </c>
      <c r="C582" s="4" t="s">
        <v>1283</v>
      </c>
      <c r="D582" s="4" t="s">
        <v>478</v>
      </c>
      <c r="E582" s="4" t="s">
        <v>1</v>
      </c>
    </row>
    <row r="583" ht="21" customHeight="1" spans="1:5">
      <c r="A583" s="2">
        <v>3029848</v>
      </c>
      <c r="B583" s="4" t="s">
        <v>1284</v>
      </c>
      <c r="C583" s="4" t="s">
        <v>1285</v>
      </c>
      <c r="D583" s="4" t="s">
        <v>478</v>
      </c>
      <c r="E583" s="4" t="s">
        <v>1</v>
      </c>
    </row>
    <row r="584" ht="21" customHeight="1" spans="1:5">
      <c r="A584" s="2">
        <v>3262359</v>
      </c>
      <c r="B584" s="4" t="s">
        <v>1286</v>
      </c>
      <c r="C584" s="4" t="s">
        <v>1287</v>
      </c>
      <c r="D584" s="4" t="s">
        <v>478</v>
      </c>
      <c r="E584" s="4" t="s">
        <v>1</v>
      </c>
    </row>
    <row r="585" ht="21" customHeight="1" spans="1:5">
      <c r="A585" s="2">
        <v>3707688</v>
      </c>
      <c r="B585" s="4" t="s">
        <v>1288</v>
      </c>
      <c r="C585" s="4" t="s">
        <v>1289</v>
      </c>
      <c r="D585" s="4" t="s">
        <v>478</v>
      </c>
      <c r="E585" s="4" t="s">
        <v>1</v>
      </c>
    </row>
    <row r="586" ht="21" customHeight="1" spans="1:5">
      <c r="A586" s="2">
        <v>3709248</v>
      </c>
      <c r="B586" s="4" t="s">
        <v>1290</v>
      </c>
      <c r="C586" s="4" t="s">
        <v>1291</v>
      </c>
      <c r="D586" s="4" t="s">
        <v>478</v>
      </c>
      <c r="E586" s="4" t="s">
        <v>1</v>
      </c>
    </row>
    <row r="587" ht="21" customHeight="1" spans="1:5">
      <c r="A587" s="2">
        <v>3278103</v>
      </c>
      <c r="B587" s="4" t="s">
        <v>1292</v>
      </c>
      <c r="C587" s="4" t="s">
        <v>1293</v>
      </c>
      <c r="D587" s="4" t="s">
        <v>478</v>
      </c>
      <c r="E587" s="4" t="s">
        <v>1</v>
      </c>
    </row>
    <row r="588" ht="21" customHeight="1" spans="1:5">
      <c r="A588" s="2">
        <v>3692178</v>
      </c>
      <c r="B588" s="4" t="s">
        <v>1294</v>
      </c>
      <c r="C588" s="4" t="s">
        <v>1295</v>
      </c>
      <c r="D588" s="4" t="s">
        <v>478</v>
      </c>
      <c r="E588" s="4" t="s">
        <v>1</v>
      </c>
    </row>
    <row r="589" ht="21" customHeight="1" spans="1:5">
      <c r="A589" s="2">
        <v>100004502430</v>
      </c>
      <c r="B589" s="4" t="s">
        <v>1296</v>
      </c>
      <c r="C589" s="4" t="s">
        <v>748</v>
      </c>
      <c r="D589" s="4" t="s">
        <v>478</v>
      </c>
      <c r="E589" s="4" t="s">
        <v>1</v>
      </c>
    </row>
    <row r="590" ht="21" customHeight="1" spans="1:5">
      <c r="A590" s="2">
        <v>100004363444</v>
      </c>
      <c r="B590" s="4" t="s">
        <v>1297</v>
      </c>
      <c r="C590" s="4" t="s">
        <v>468</v>
      </c>
      <c r="D590" s="4" t="s">
        <v>32</v>
      </c>
      <c r="E590" s="4" t="s">
        <v>1</v>
      </c>
    </row>
    <row r="591" ht="21" customHeight="1" spans="1:5">
      <c r="A591" s="2">
        <v>100004363432</v>
      </c>
      <c r="B591" s="4" t="s">
        <v>1298</v>
      </c>
      <c r="C591" s="4" t="s">
        <v>143</v>
      </c>
      <c r="D591" s="4" t="s">
        <v>32</v>
      </c>
      <c r="E591" s="4" t="s">
        <v>1</v>
      </c>
    </row>
    <row r="592" ht="21" customHeight="1" spans="1:5">
      <c r="A592" s="2">
        <v>100006016814</v>
      </c>
      <c r="B592" s="4" t="s">
        <v>1299</v>
      </c>
      <c r="C592" s="4" t="s">
        <v>695</v>
      </c>
      <c r="D592" s="4" t="s">
        <v>478</v>
      </c>
      <c r="E592" s="4" t="s">
        <v>1</v>
      </c>
    </row>
    <row r="593" ht="21" customHeight="1" spans="1:5">
      <c r="A593" s="2">
        <v>100005456056</v>
      </c>
      <c r="B593" s="4" t="s">
        <v>1300</v>
      </c>
      <c r="C593" s="4" t="s">
        <v>859</v>
      </c>
      <c r="D593" s="4" t="s">
        <v>478</v>
      </c>
      <c r="E593" s="4" t="s">
        <v>1</v>
      </c>
    </row>
    <row r="594" ht="21" customHeight="1" spans="1:5">
      <c r="A594" s="2">
        <v>100005456036</v>
      </c>
      <c r="B594" s="4" t="s">
        <v>1301</v>
      </c>
      <c r="C594" s="4" t="s">
        <v>1291</v>
      </c>
      <c r="D594" s="4" t="s">
        <v>478</v>
      </c>
      <c r="E594" s="4" t="s">
        <v>1</v>
      </c>
    </row>
    <row r="595" ht="21" customHeight="1" spans="1:5">
      <c r="A595" s="2">
        <v>100026111780</v>
      </c>
      <c r="B595" s="4" t="s">
        <v>1302</v>
      </c>
      <c r="C595" s="4" t="s">
        <v>865</v>
      </c>
      <c r="D595" s="4" t="s">
        <v>478</v>
      </c>
      <c r="E595" s="4" t="s">
        <v>1</v>
      </c>
    </row>
    <row r="596" ht="21" customHeight="1" spans="1:5">
      <c r="A596" s="2">
        <v>100005456032</v>
      </c>
      <c r="B596" s="4" t="s">
        <v>1302</v>
      </c>
      <c r="C596" s="4" t="s">
        <v>865</v>
      </c>
      <c r="D596" s="4" t="s">
        <v>478</v>
      </c>
      <c r="E596" s="4" t="s">
        <v>1</v>
      </c>
    </row>
    <row r="597" ht="21" customHeight="1" spans="1:5">
      <c r="A597" s="2">
        <v>100003321219</v>
      </c>
      <c r="B597" s="4" t="s">
        <v>1300</v>
      </c>
      <c r="C597" s="4" t="s">
        <v>859</v>
      </c>
      <c r="D597" s="4" t="s">
        <v>478</v>
      </c>
      <c r="E597" s="4" t="s">
        <v>1</v>
      </c>
    </row>
    <row r="598" ht="21" customHeight="1" spans="1:5">
      <c r="A598" s="2">
        <v>100002845241</v>
      </c>
      <c r="B598" s="4" t="s">
        <v>1303</v>
      </c>
      <c r="C598" s="4" t="s">
        <v>663</v>
      </c>
      <c r="D598" s="4" t="s">
        <v>478</v>
      </c>
      <c r="E598" s="4" t="s">
        <v>1</v>
      </c>
    </row>
    <row r="599" ht="21" customHeight="1" spans="1:5">
      <c r="A599" s="2">
        <v>100002775263</v>
      </c>
      <c r="B599" s="4" t="s">
        <v>1304</v>
      </c>
      <c r="C599" s="4" t="s">
        <v>468</v>
      </c>
      <c r="D599" s="4" t="s">
        <v>32</v>
      </c>
      <c r="E599" s="4" t="s">
        <v>1</v>
      </c>
    </row>
    <row r="600" ht="21" customHeight="1" spans="1:5">
      <c r="A600" s="2">
        <v>100002775259</v>
      </c>
      <c r="B600" s="4" t="s">
        <v>1158</v>
      </c>
      <c r="C600" s="4" t="s">
        <v>143</v>
      </c>
      <c r="D600" s="4" t="s">
        <v>32</v>
      </c>
      <c r="E600" s="4" t="s">
        <v>1</v>
      </c>
    </row>
    <row r="601" ht="21" customHeight="1" spans="1:5">
      <c r="A601" s="2">
        <v>100002775257</v>
      </c>
      <c r="B601" s="4" t="s">
        <v>1305</v>
      </c>
      <c r="C601" s="4" t="s">
        <v>1045</v>
      </c>
      <c r="D601" s="4" t="s">
        <v>478</v>
      </c>
      <c r="E601" s="4" t="s">
        <v>1</v>
      </c>
    </row>
    <row r="602" ht="21" customHeight="1" spans="1:5">
      <c r="A602" s="2">
        <v>100007178205</v>
      </c>
      <c r="B602" s="4" t="s">
        <v>441</v>
      </c>
      <c r="C602" s="4" t="s">
        <v>1047</v>
      </c>
      <c r="D602" s="4" t="s">
        <v>32</v>
      </c>
      <c r="E602" s="4" t="s">
        <v>1</v>
      </c>
    </row>
    <row r="603" ht="21" customHeight="1" spans="1:5">
      <c r="A603" s="2">
        <v>100017381988</v>
      </c>
      <c r="B603" s="4" t="s">
        <v>1306</v>
      </c>
      <c r="C603" s="4" t="s">
        <v>857</v>
      </c>
      <c r="D603" s="4" t="s">
        <v>32</v>
      </c>
      <c r="E603" s="4" t="s">
        <v>1</v>
      </c>
    </row>
    <row r="604" ht="21" customHeight="1" spans="1:5">
      <c r="A604" s="2">
        <v>100010131521</v>
      </c>
      <c r="B604" s="4" t="s">
        <v>877</v>
      </c>
      <c r="C604" s="4" t="s">
        <v>878</v>
      </c>
      <c r="D604" s="4" t="s">
        <v>252</v>
      </c>
      <c r="E604" s="4" t="s">
        <v>1</v>
      </c>
    </row>
    <row r="605" ht="21" customHeight="1" spans="1:5">
      <c r="A605" s="2">
        <v>100017751210</v>
      </c>
      <c r="B605" s="4" t="s">
        <v>1060</v>
      </c>
      <c r="C605" s="4" t="s">
        <v>1061</v>
      </c>
      <c r="D605" s="4" t="s">
        <v>252</v>
      </c>
      <c r="E605" s="4" t="s">
        <v>1</v>
      </c>
    </row>
    <row r="606" ht="21" customHeight="1" spans="1:5">
      <c r="A606" s="2">
        <v>100017751200</v>
      </c>
      <c r="B606" s="4" t="s">
        <v>906</v>
      </c>
      <c r="C606" s="4" t="s">
        <v>907</v>
      </c>
      <c r="D606" s="4" t="s">
        <v>252</v>
      </c>
      <c r="E606" s="4" t="s">
        <v>1</v>
      </c>
    </row>
    <row r="607" ht="21" customHeight="1" spans="1:5">
      <c r="A607" s="2">
        <v>100017751180</v>
      </c>
      <c r="B607" s="4" t="s">
        <v>819</v>
      </c>
      <c r="C607" s="4" t="s">
        <v>820</v>
      </c>
      <c r="D607" s="4" t="s">
        <v>252</v>
      </c>
      <c r="E607" s="4" t="s">
        <v>1</v>
      </c>
    </row>
    <row r="608" ht="21" customHeight="1" spans="1:5">
      <c r="A608" s="2">
        <v>100010131525</v>
      </c>
      <c r="B608" s="4" t="s">
        <v>811</v>
      </c>
      <c r="C608" s="4" t="s">
        <v>812</v>
      </c>
      <c r="D608" s="4" t="s">
        <v>252</v>
      </c>
      <c r="E608" s="4" t="s">
        <v>1</v>
      </c>
    </row>
    <row r="609" ht="21" customHeight="1" spans="1:5">
      <c r="A609" s="2">
        <v>100010131523</v>
      </c>
      <c r="B609" s="4" t="s">
        <v>1307</v>
      </c>
      <c r="C609" s="4" t="s">
        <v>958</v>
      </c>
      <c r="D609" s="4" t="s">
        <v>481</v>
      </c>
      <c r="E609" s="4" t="s">
        <v>1</v>
      </c>
    </row>
    <row r="610" ht="21" customHeight="1" spans="1:5">
      <c r="A610" s="2">
        <v>100025553133</v>
      </c>
      <c r="B610" s="4" t="s">
        <v>1308</v>
      </c>
      <c r="C610" s="4" t="s">
        <v>1309</v>
      </c>
      <c r="D610" s="4" t="s">
        <v>481</v>
      </c>
      <c r="E610" s="4" t="s">
        <v>1</v>
      </c>
    </row>
    <row r="611" ht="21" customHeight="1" spans="1:5">
      <c r="A611" s="2">
        <v>100023723341</v>
      </c>
      <c r="B611" s="4" t="s">
        <v>1310</v>
      </c>
      <c r="C611" s="4" t="s">
        <v>536</v>
      </c>
      <c r="D611" s="4" t="s">
        <v>481</v>
      </c>
      <c r="E611" s="4" t="s">
        <v>1</v>
      </c>
    </row>
    <row r="612" ht="21" customHeight="1" spans="1:5">
      <c r="A612" s="2">
        <v>100017657332</v>
      </c>
      <c r="B612" s="4" t="s">
        <v>1311</v>
      </c>
      <c r="C612" s="4" t="s">
        <v>954</v>
      </c>
      <c r="D612" s="4" t="s">
        <v>481</v>
      </c>
      <c r="E612" s="4" t="s">
        <v>1</v>
      </c>
    </row>
    <row r="613" ht="21" customHeight="1" spans="1:5">
      <c r="A613" s="2">
        <v>100017657382</v>
      </c>
      <c r="B613" s="4" t="s">
        <v>1312</v>
      </c>
      <c r="C613" s="4" t="s">
        <v>971</v>
      </c>
      <c r="D613" s="4" t="s">
        <v>481</v>
      </c>
      <c r="E613" s="4" t="s">
        <v>1</v>
      </c>
    </row>
    <row r="614" ht="21" customHeight="1" spans="1:5">
      <c r="A614" s="2">
        <v>100018537954</v>
      </c>
      <c r="B614" s="4" t="s">
        <v>1313</v>
      </c>
      <c r="C614" s="4" t="s">
        <v>991</v>
      </c>
      <c r="D614" s="4" t="s">
        <v>609</v>
      </c>
      <c r="E614" s="4" t="s">
        <v>1</v>
      </c>
    </row>
    <row r="615" ht="21" customHeight="1" spans="1:5">
      <c r="A615" s="2">
        <v>100035717120</v>
      </c>
      <c r="B615" s="4" t="s">
        <v>1314</v>
      </c>
      <c r="C615" s="4" t="s">
        <v>985</v>
      </c>
      <c r="D615" s="4" t="s">
        <v>609</v>
      </c>
      <c r="E615" s="4" t="s">
        <v>1</v>
      </c>
    </row>
    <row r="616" ht="21" customHeight="1" spans="1:5">
      <c r="A616" s="2">
        <v>100018537956</v>
      </c>
      <c r="B616" s="4" t="s">
        <v>1315</v>
      </c>
      <c r="C616" s="4" t="s">
        <v>966</v>
      </c>
      <c r="D616" s="4" t="s">
        <v>609</v>
      </c>
      <c r="E616" s="4" t="s">
        <v>1</v>
      </c>
    </row>
    <row r="617" ht="21" customHeight="1" spans="1:5">
      <c r="A617" s="2">
        <v>100018537972</v>
      </c>
      <c r="B617" s="4" t="s">
        <v>1316</v>
      </c>
      <c r="C617" s="4" t="s">
        <v>920</v>
      </c>
      <c r="D617" s="4" t="s">
        <v>609</v>
      </c>
      <c r="E617" s="4" t="s">
        <v>1</v>
      </c>
    </row>
    <row r="618" ht="21" customHeight="1" spans="1:5">
      <c r="A618" s="2">
        <v>100018559860</v>
      </c>
      <c r="B618" s="4" t="s">
        <v>1317</v>
      </c>
      <c r="C618" s="4" t="s">
        <v>1318</v>
      </c>
      <c r="D618" s="4" t="s">
        <v>252</v>
      </c>
      <c r="E618" s="4" t="s">
        <v>1</v>
      </c>
    </row>
    <row r="619" ht="21" customHeight="1" spans="1:5">
      <c r="A619" s="2">
        <v>100018559870</v>
      </c>
      <c r="B619" s="4" t="s">
        <v>1319</v>
      </c>
      <c r="C619" s="4" t="s">
        <v>1320</v>
      </c>
      <c r="D619" s="4" t="s">
        <v>252</v>
      </c>
      <c r="E619" s="4" t="s">
        <v>1</v>
      </c>
    </row>
    <row r="620" ht="21" customHeight="1" spans="1:5">
      <c r="A620" s="2">
        <v>100010514699</v>
      </c>
      <c r="B620" s="4" t="s">
        <v>1321</v>
      </c>
      <c r="C620" s="4" t="s">
        <v>1014</v>
      </c>
      <c r="D620" s="4" t="s">
        <v>481</v>
      </c>
      <c r="E620" s="4" t="s">
        <v>1</v>
      </c>
    </row>
    <row r="621" ht="21" customHeight="1" spans="1:5">
      <c r="A621" s="2">
        <v>100018901980</v>
      </c>
      <c r="B621" s="4" t="s">
        <v>1322</v>
      </c>
      <c r="C621" s="4" t="s">
        <v>1323</v>
      </c>
      <c r="D621" s="4" t="s">
        <v>481</v>
      </c>
      <c r="E621" s="4" t="s">
        <v>1</v>
      </c>
    </row>
    <row r="622" ht="21" customHeight="1" spans="1:5">
      <c r="A622" s="2">
        <v>100010336675</v>
      </c>
      <c r="B622" s="4" t="s">
        <v>1324</v>
      </c>
      <c r="C622" s="4" t="s">
        <v>585</v>
      </c>
      <c r="D622" s="4" t="s">
        <v>585</v>
      </c>
      <c r="E622" s="4" t="s">
        <v>1</v>
      </c>
    </row>
    <row r="623" ht="21" customHeight="1" spans="1:5">
      <c r="A623" s="2">
        <v>100010194005</v>
      </c>
      <c r="B623" s="4" t="s">
        <v>1325</v>
      </c>
      <c r="C623" s="4" t="s">
        <v>585</v>
      </c>
      <c r="D623" s="4" t="s">
        <v>585</v>
      </c>
      <c r="E623" s="4" t="s">
        <v>1</v>
      </c>
    </row>
    <row r="624" ht="21" customHeight="1" spans="1:5">
      <c r="A624" s="2">
        <v>100010260055</v>
      </c>
      <c r="B624" s="4" t="s">
        <v>1325</v>
      </c>
      <c r="C624" s="4" t="s">
        <v>585</v>
      </c>
      <c r="D624" s="4" t="s">
        <v>585</v>
      </c>
      <c r="E624" s="4" t="s">
        <v>1</v>
      </c>
    </row>
    <row r="625" ht="21" customHeight="1" spans="1:5">
      <c r="A625" s="2">
        <v>100101878392</v>
      </c>
      <c r="B625" s="4" t="s">
        <v>1326</v>
      </c>
      <c r="C625" s="4" t="s">
        <v>581</v>
      </c>
      <c r="D625" s="4" t="s">
        <v>32</v>
      </c>
      <c r="E625" s="4" t="s">
        <v>1</v>
      </c>
    </row>
    <row r="626" ht="21" customHeight="1" spans="1:5">
      <c r="A626" s="2">
        <v>100023723365</v>
      </c>
      <c r="B626" s="4" t="s">
        <v>1327</v>
      </c>
      <c r="C626" s="4" t="s">
        <v>534</v>
      </c>
      <c r="D626" s="4" t="s">
        <v>481</v>
      </c>
      <c r="E626" s="4" t="s">
        <v>1</v>
      </c>
    </row>
    <row r="627" ht="21" customHeight="1" spans="1:5">
      <c r="A627" s="2">
        <v>100091693113</v>
      </c>
      <c r="B627" s="4" t="s">
        <v>1328</v>
      </c>
      <c r="C627" s="4" t="s">
        <v>549</v>
      </c>
      <c r="D627" s="4" t="s">
        <v>32</v>
      </c>
      <c r="E627" s="4" t="s">
        <v>1</v>
      </c>
    </row>
    <row r="628" ht="21" customHeight="1" spans="1:5">
      <c r="A628" s="2">
        <v>100023723363</v>
      </c>
      <c r="B628" s="4" t="s">
        <v>1329</v>
      </c>
      <c r="C628" s="4" t="s">
        <v>529</v>
      </c>
      <c r="D628" s="4" t="s">
        <v>481</v>
      </c>
      <c r="E628" s="4" t="s">
        <v>1</v>
      </c>
    </row>
    <row r="629" ht="21" customHeight="1" spans="1:5">
      <c r="A629" s="2">
        <v>100017605714</v>
      </c>
      <c r="B629" s="4" t="s">
        <v>1312</v>
      </c>
      <c r="C629" s="4" t="s">
        <v>971</v>
      </c>
      <c r="D629" s="4" t="s">
        <v>481</v>
      </c>
      <c r="E629" s="4" t="s">
        <v>1</v>
      </c>
    </row>
    <row r="630" ht="21" customHeight="1" spans="1:5">
      <c r="A630" s="2">
        <v>100017605728</v>
      </c>
      <c r="B630" s="4" t="s">
        <v>1311</v>
      </c>
      <c r="C630" s="4" t="s">
        <v>954</v>
      </c>
      <c r="D630" s="4" t="s">
        <v>481</v>
      </c>
      <c r="E630" s="4" t="s">
        <v>1</v>
      </c>
    </row>
    <row r="631" ht="21" customHeight="1" spans="1:5">
      <c r="A631" s="2">
        <v>100017657316</v>
      </c>
      <c r="B631" s="4" t="s">
        <v>1307</v>
      </c>
      <c r="C631" s="4" t="s">
        <v>958</v>
      </c>
      <c r="D631" s="4" t="s">
        <v>481</v>
      </c>
      <c r="E631" s="4" t="s">
        <v>1</v>
      </c>
    </row>
    <row r="632" ht="21" customHeight="1" spans="1:5">
      <c r="A632" s="2">
        <v>100018128624</v>
      </c>
      <c r="B632" s="4" t="s">
        <v>463</v>
      </c>
      <c r="C632" s="4" t="s">
        <v>76</v>
      </c>
      <c r="D632" s="4" t="s">
        <v>32</v>
      </c>
      <c r="E632" s="4" t="s">
        <v>1</v>
      </c>
    </row>
    <row r="633" ht="21" customHeight="1" spans="1:5">
      <c r="A633" s="2">
        <v>100010082955</v>
      </c>
      <c r="B633" s="4" t="s">
        <v>1307</v>
      </c>
      <c r="C633" s="4" t="s">
        <v>958</v>
      </c>
      <c r="D633" s="4" t="s">
        <v>481</v>
      </c>
      <c r="E633" s="4" t="s">
        <v>1</v>
      </c>
    </row>
    <row r="634" ht="21" customHeight="1" spans="1:5">
      <c r="A634" s="2">
        <v>100019272166</v>
      </c>
      <c r="B634" s="4" t="s">
        <v>466</v>
      </c>
      <c r="C634" s="4" t="s">
        <v>80</v>
      </c>
      <c r="D634" s="4" t="s">
        <v>32</v>
      </c>
      <c r="E634" s="4" t="s">
        <v>1</v>
      </c>
    </row>
    <row r="635" ht="21" customHeight="1" spans="1:5">
      <c r="A635" s="2">
        <v>100019801530</v>
      </c>
      <c r="B635" s="4" t="s">
        <v>1330</v>
      </c>
      <c r="C635" s="4" t="s">
        <v>1331</v>
      </c>
      <c r="D635" s="4" t="s">
        <v>609</v>
      </c>
      <c r="E635" s="4" t="s">
        <v>1</v>
      </c>
    </row>
    <row r="636" ht="21" customHeight="1" spans="1:5">
      <c r="A636" s="2">
        <v>100010928965</v>
      </c>
      <c r="B636" s="4" t="s">
        <v>1332</v>
      </c>
      <c r="C636" s="4" t="s">
        <v>1318</v>
      </c>
      <c r="D636" s="4" t="s">
        <v>252</v>
      </c>
      <c r="E636" s="4" t="s">
        <v>1</v>
      </c>
    </row>
    <row r="637" ht="21" customHeight="1" spans="1:5">
      <c r="A637" s="2">
        <v>100020141186</v>
      </c>
      <c r="B637" s="4" t="s">
        <v>363</v>
      </c>
      <c r="C637" s="4" t="s">
        <v>1333</v>
      </c>
      <c r="D637" s="4" t="s">
        <v>252</v>
      </c>
      <c r="E637" s="4" t="s">
        <v>1</v>
      </c>
    </row>
    <row r="638" ht="21" customHeight="1" spans="1:5">
      <c r="A638" s="2">
        <v>100020141182</v>
      </c>
      <c r="B638" s="4" t="s">
        <v>1334</v>
      </c>
      <c r="C638" s="4" t="s">
        <v>1320</v>
      </c>
      <c r="D638" s="4" t="s">
        <v>252</v>
      </c>
      <c r="E638" s="4" t="s">
        <v>1</v>
      </c>
    </row>
    <row r="639" ht="21" customHeight="1" spans="1:5">
      <c r="A639" s="2">
        <v>100020202016</v>
      </c>
      <c r="B639" s="4" t="s">
        <v>1335</v>
      </c>
      <c r="C639" s="4" t="s">
        <v>1101</v>
      </c>
      <c r="D639" s="4" t="s">
        <v>32</v>
      </c>
      <c r="E639" s="4" t="s">
        <v>1</v>
      </c>
    </row>
    <row r="640" ht="21" customHeight="1" spans="1:5">
      <c r="A640" s="2">
        <v>100020202032</v>
      </c>
      <c r="B640" s="4" t="s">
        <v>1336</v>
      </c>
      <c r="C640" s="4" t="s">
        <v>1103</v>
      </c>
      <c r="D640" s="4" t="s">
        <v>32</v>
      </c>
      <c r="E640" s="4" t="s">
        <v>1</v>
      </c>
    </row>
    <row r="641" ht="21" customHeight="1" spans="1:5">
      <c r="A641" s="2">
        <v>100036802383</v>
      </c>
      <c r="B641" s="4" t="s">
        <v>1337</v>
      </c>
      <c r="C641" s="4" t="s">
        <v>1338</v>
      </c>
      <c r="D641" s="4" t="s">
        <v>32</v>
      </c>
      <c r="E641" s="4" t="s">
        <v>1</v>
      </c>
    </row>
    <row r="642" ht="21" customHeight="1" spans="1:5">
      <c r="A642" s="2">
        <v>100023723339</v>
      </c>
      <c r="B642" s="4" t="s">
        <v>627</v>
      </c>
      <c r="C642" s="4" t="s">
        <v>628</v>
      </c>
      <c r="D642" s="4" t="s">
        <v>32</v>
      </c>
      <c r="E642" s="4" t="s">
        <v>1</v>
      </c>
    </row>
    <row r="643" ht="21" customHeight="1" spans="1:5">
      <c r="A643" s="2">
        <v>100020209444</v>
      </c>
      <c r="B643" s="4" t="s">
        <v>1339</v>
      </c>
      <c r="C643" s="4" t="s">
        <v>1340</v>
      </c>
      <c r="D643" s="4" t="s">
        <v>32</v>
      </c>
      <c r="E643" s="4" t="s">
        <v>1</v>
      </c>
    </row>
    <row r="644" ht="21" customHeight="1" spans="1:5">
      <c r="A644" s="2">
        <v>100020209418</v>
      </c>
      <c r="B644" s="4" t="s">
        <v>1341</v>
      </c>
      <c r="C644" s="4" t="s">
        <v>1342</v>
      </c>
      <c r="D644" s="4" t="s">
        <v>32</v>
      </c>
      <c r="E644" s="4" t="s">
        <v>1</v>
      </c>
    </row>
    <row r="645" ht="21" customHeight="1" spans="1:5">
      <c r="A645" s="2">
        <v>100020586574</v>
      </c>
      <c r="B645" s="4" t="s">
        <v>1343</v>
      </c>
      <c r="C645" s="4" t="s">
        <v>1344</v>
      </c>
      <c r="D645" s="4" t="s">
        <v>494</v>
      </c>
      <c r="E645" s="4" t="s">
        <v>1</v>
      </c>
    </row>
    <row r="646" ht="21" customHeight="1" spans="1:5">
      <c r="A646" s="2">
        <v>100011112857</v>
      </c>
      <c r="B646" s="4" t="s">
        <v>1345</v>
      </c>
      <c r="C646" s="4" t="s">
        <v>1346</v>
      </c>
      <c r="D646" s="4" t="s">
        <v>478</v>
      </c>
      <c r="E646" s="4" t="s">
        <v>1</v>
      </c>
    </row>
    <row r="647" ht="21" customHeight="1" spans="1:5">
      <c r="A647" s="2">
        <v>100011112861</v>
      </c>
      <c r="B647" s="4" t="s">
        <v>1347</v>
      </c>
      <c r="C647" s="4" t="s">
        <v>1348</v>
      </c>
      <c r="D647" s="4" t="s">
        <v>478</v>
      </c>
      <c r="E647" s="4" t="s">
        <v>1</v>
      </c>
    </row>
    <row r="648" ht="21" customHeight="1" spans="1:5">
      <c r="A648" s="2">
        <v>100020691836</v>
      </c>
      <c r="B648" s="4" t="s">
        <v>1349</v>
      </c>
      <c r="C648" s="4" t="s">
        <v>1350</v>
      </c>
      <c r="D648" s="4" t="s">
        <v>478</v>
      </c>
      <c r="E648" s="4" t="s">
        <v>1</v>
      </c>
    </row>
    <row r="649" ht="21" customHeight="1" spans="1:5">
      <c r="A649" s="2">
        <v>100020691862</v>
      </c>
      <c r="B649" s="4" t="s">
        <v>1351</v>
      </c>
      <c r="C649" s="4" t="s">
        <v>983</v>
      </c>
      <c r="D649" s="4" t="s">
        <v>478</v>
      </c>
      <c r="E649" s="4" t="s">
        <v>1</v>
      </c>
    </row>
    <row r="650" ht="21" customHeight="1" spans="1:5">
      <c r="A650" s="2">
        <v>100020691806</v>
      </c>
      <c r="B650" s="4" t="s">
        <v>1352</v>
      </c>
      <c r="C650" s="4" t="s">
        <v>1353</v>
      </c>
      <c r="D650" s="4" t="s">
        <v>478</v>
      </c>
      <c r="E650" s="4" t="s">
        <v>1</v>
      </c>
    </row>
    <row r="651" ht="21" customHeight="1" spans="1:5">
      <c r="A651" s="2">
        <v>100020691808</v>
      </c>
      <c r="B651" s="4" t="s">
        <v>509</v>
      </c>
      <c r="C651" s="4" t="s">
        <v>510</v>
      </c>
      <c r="D651" s="4" t="s">
        <v>478</v>
      </c>
      <c r="E651" s="4" t="s">
        <v>1</v>
      </c>
    </row>
    <row r="652" ht="21" customHeight="1" spans="1:5">
      <c r="A652" s="2">
        <v>100020691816</v>
      </c>
      <c r="B652" s="4" t="s">
        <v>1354</v>
      </c>
      <c r="C652" s="4" t="s">
        <v>1355</v>
      </c>
      <c r="D652" s="4" t="s">
        <v>478</v>
      </c>
      <c r="E652" s="4" t="s">
        <v>1</v>
      </c>
    </row>
    <row r="653" ht="21" customHeight="1" spans="1:5">
      <c r="A653" s="2">
        <v>100020691820</v>
      </c>
      <c r="B653" s="4" t="s">
        <v>1356</v>
      </c>
      <c r="C653" s="4" t="s">
        <v>1357</v>
      </c>
      <c r="D653" s="4" t="s">
        <v>478</v>
      </c>
      <c r="E653" s="4" t="s">
        <v>1</v>
      </c>
    </row>
    <row r="654" ht="21" customHeight="1" spans="1:5">
      <c r="A654" s="2">
        <v>100020691822</v>
      </c>
      <c r="B654" s="4" t="s">
        <v>1358</v>
      </c>
      <c r="C654" s="4" t="s">
        <v>1359</v>
      </c>
      <c r="D654" s="4" t="s">
        <v>478</v>
      </c>
      <c r="E654" s="4" t="s">
        <v>1</v>
      </c>
    </row>
    <row r="655" ht="21" customHeight="1" spans="1:5">
      <c r="A655" s="2">
        <v>100020691830</v>
      </c>
      <c r="B655" s="4" t="s">
        <v>490</v>
      </c>
      <c r="C655" s="4" t="s">
        <v>491</v>
      </c>
      <c r="D655" s="4" t="s">
        <v>478</v>
      </c>
      <c r="E655" s="4" t="s">
        <v>1</v>
      </c>
    </row>
    <row r="656" ht="21" customHeight="1" spans="1:5">
      <c r="A656" s="2">
        <v>100020691832</v>
      </c>
      <c r="B656" s="4" t="s">
        <v>1360</v>
      </c>
      <c r="C656" s="4" t="s">
        <v>1361</v>
      </c>
      <c r="D656" s="4" t="s">
        <v>478</v>
      </c>
      <c r="E656" s="4" t="s">
        <v>1</v>
      </c>
    </row>
    <row r="657" ht="19" customHeight="1" spans="1:5">
      <c r="A657" s="2">
        <v>100020691834</v>
      </c>
      <c r="B657" s="4" t="s">
        <v>1362</v>
      </c>
      <c r="C657" s="4" t="s">
        <v>1363</v>
      </c>
      <c r="D657" s="4" t="s">
        <v>478</v>
      </c>
      <c r="E657" s="4" t="s">
        <v>1</v>
      </c>
    </row>
    <row r="658" ht="19" customHeight="1" spans="1:5">
      <c r="A658" s="2">
        <v>100020710374</v>
      </c>
      <c r="B658" s="4" t="s">
        <v>1364</v>
      </c>
      <c r="C658" s="4" t="s">
        <v>1365</v>
      </c>
      <c r="D658" s="4" t="s">
        <v>478</v>
      </c>
      <c r="E658" s="4" t="s">
        <v>1</v>
      </c>
    </row>
    <row r="659" ht="19" customHeight="1" spans="1:5">
      <c r="A659" s="2">
        <v>100020710396</v>
      </c>
      <c r="B659" s="4" t="s">
        <v>1366</v>
      </c>
      <c r="C659" s="4" t="s">
        <v>1367</v>
      </c>
      <c r="D659" s="4" t="s">
        <v>478</v>
      </c>
      <c r="E659" s="4" t="s">
        <v>1</v>
      </c>
    </row>
    <row r="660" ht="19" customHeight="1" spans="1:5">
      <c r="A660" s="2">
        <v>100011112863</v>
      </c>
      <c r="B660" s="4" t="s">
        <v>1368</v>
      </c>
      <c r="C660" s="4" t="s">
        <v>1369</v>
      </c>
      <c r="D660" s="4" t="s">
        <v>478</v>
      </c>
      <c r="E660" s="4" t="s">
        <v>1</v>
      </c>
    </row>
    <row r="661" ht="19" customHeight="1" spans="1:5">
      <c r="A661" s="2">
        <v>100011112875</v>
      </c>
      <c r="B661" s="4" t="s">
        <v>1370</v>
      </c>
      <c r="C661" s="4" t="s">
        <v>1371</v>
      </c>
      <c r="D661" s="4" t="s">
        <v>478</v>
      </c>
      <c r="E661" s="4" t="s">
        <v>1</v>
      </c>
    </row>
    <row r="662" ht="19" customHeight="1" spans="1:5">
      <c r="A662" s="2">
        <v>100011330579</v>
      </c>
      <c r="B662" s="4" t="s">
        <v>442</v>
      </c>
      <c r="C662" s="4" t="s">
        <v>1372</v>
      </c>
      <c r="D662" s="4" t="s">
        <v>494</v>
      </c>
      <c r="E662" s="4" t="s">
        <v>1</v>
      </c>
    </row>
    <row r="663" ht="19" customHeight="1" spans="1:5">
      <c r="A663" s="2">
        <v>100026033571</v>
      </c>
      <c r="B663" s="4" t="s">
        <v>1373</v>
      </c>
      <c r="C663" s="4" t="s">
        <v>1374</v>
      </c>
      <c r="D663" s="4" t="s">
        <v>609</v>
      </c>
      <c r="E663" s="4" t="s">
        <v>1</v>
      </c>
    </row>
    <row r="664" ht="19" customHeight="1" spans="1:5">
      <c r="A664" s="2">
        <v>100035717140</v>
      </c>
      <c r="B664" s="4" t="s">
        <v>1375</v>
      </c>
      <c r="C664" s="4" t="s">
        <v>1376</v>
      </c>
      <c r="D664" s="4" t="s">
        <v>609</v>
      </c>
      <c r="E664" s="4" t="s">
        <v>1</v>
      </c>
    </row>
    <row r="665" ht="19" customHeight="1" spans="1:5">
      <c r="A665" s="2">
        <v>100021344924</v>
      </c>
      <c r="B665" s="4" t="s">
        <v>1377</v>
      </c>
      <c r="C665" s="4" t="s">
        <v>1378</v>
      </c>
      <c r="D665" s="4" t="s">
        <v>478</v>
      </c>
      <c r="E665" s="4" t="s">
        <v>1</v>
      </c>
    </row>
    <row r="666" ht="19" customHeight="1" spans="1:5">
      <c r="A666" s="2">
        <v>100021344910</v>
      </c>
      <c r="B666" s="4" t="s">
        <v>1379</v>
      </c>
      <c r="C666" s="4" t="s">
        <v>1380</v>
      </c>
      <c r="D666" s="4" t="s">
        <v>609</v>
      </c>
      <c r="E666" s="4" t="s">
        <v>1</v>
      </c>
    </row>
    <row r="667" ht="19" customHeight="1" spans="1:5">
      <c r="A667" s="2">
        <v>100011410195</v>
      </c>
      <c r="B667" s="4" t="s">
        <v>1381</v>
      </c>
      <c r="C667" s="4" t="s">
        <v>940</v>
      </c>
      <c r="D667" s="4" t="s">
        <v>252</v>
      </c>
      <c r="E667" s="4" t="s">
        <v>1</v>
      </c>
    </row>
    <row r="668" ht="19" customHeight="1" spans="1:5">
      <c r="A668" s="2">
        <v>100011418921</v>
      </c>
      <c r="B668" s="4" t="s">
        <v>1382</v>
      </c>
      <c r="C668" s="4" t="s">
        <v>1383</v>
      </c>
      <c r="D668" s="4" t="s">
        <v>609</v>
      </c>
      <c r="E668" s="4" t="s">
        <v>1</v>
      </c>
    </row>
    <row r="669" ht="19" customHeight="1" spans="1:5">
      <c r="A669" s="2">
        <v>100021609208</v>
      </c>
      <c r="B669" s="4" t="s">
        <v>1384</v>
      </c>
      <c r="C669" s="4" t="s">
        <v>926</v>
      </c>
      <c r="D669" s="4" t="s">
        <v>252</v>
      </c>
      <c r="E669" s="4" t="s">
        <v>1</v>
      </c>
    </row>
    <row r="670" ht="19" customHeight="1" spans="1:5">
      <c r="A670" s="2">
        <v>100021609188</v>
      </c>
      <c r="B670" s="4" t="s">
        <v>1385</v>
      </c>
      <c r="C670" s="4" t="s">
        <v>940</v>
      </c>
      <c r="D670" s="4" t="s">
        <v>252</v>
      </c>
      <c r="E670" s="4" t="s">
        <v>1</v>
      </c>
    </row>
    <row r="671" ht="19" customHeight="1" spans="1:5">
      <c r="A671" s="2">
        <v>100021582732</v>
      </c>
      <c r="B671" s="4" t="s">
        <v>1386</v>
      </c>
      <c r="C671" s="4" t="s">
        <v>995</v>
      </c>
      <c r="D671" s="4" t="s">
        <v>252</v>
      </c>
      <c r="E671" s="4" t="s">
        <v>1</v>
      </c>
    </row>
    <row r="672" ht="19" customHeight="1" spans="1:5">
      <c r="A672" s="2">
        <v>100021582762</v>
      </c>
      <c r="B672" s="4" t="s">
        <v>1387</v>
      </c>
      <c r="C672" s="4" t="s">
        <v>926</v>
      </c>
      <c r="D672" s="4" t="s">
        <v>252</v>
      </c>
      <c r="E672" s="4" t="s">
        <v>1</v>
      </c>
    </row>
    <row r="673" ht="19" customHeight="1" spans="1:5">
      <c r="A673" s="2">
        <v>100021609168</v>
      </c>
      <c r="B673" s="4" t="s">
        <v>1388</v>
      </c>
      <c r="C673" s="4" t="s">
        <v>1389</v>
      </c>
      <c r="D673" s="4" t="s">
        <v>609</v>
      </c>
      <c r="E673" s="4" t="s">
        <v>1</v>
      </c>
    </row>
    <row r="674" ht="19" customHeight="1" spans="1:5">
      <c r="A674" s="2">
        <v>100011418923</v>
      </c>
      <c r="B674" s="4" t="s">
        <v>1390</v>
      </c>
      <c r="C674" s="4" t="s">
        <v>995</v>
      </c>
      <c r="D674" s="4" t="s">
        <v>252</v>
      </c>
      <c r="E674" s="4" t="s">
        <v>1</v>
      </c>
    </row>
    <row r="675" ht="19" customHeight="1" spans="1:5">
      <c r="A675" s="2">
        <v>100021723936</v>
      </c>
      <c r="B675" s="4" t="s">
        <v>1391</v>
      </c>
      <c r="C675" s="4" t="s">
        <v>1392</v>
      </c>
      <c r="D675" s="4" t="s">
        <v>494</v>
      </c>
      <c r="E675" s="4" t="s">
        <v>1</v>
      </c>
    </row>
    <row r="676" ht="19" customHeight="1" spans="1:5">
      <c r="A676" s="4">
        <v>100011682015</v>
      </c>
      <c r="B676" s="4" t="s">
        <v>1393</v>
      </c>
      <c r="C676" s="4" t="s">
        <v>1103</v>
      </c>
      <c r="D676" s="4" t="s">
        <v>32</v>
      </c>
      <c r="E676" s="4" t="s">
        <v>1</v>
      </c>
    </row>
    <row r="677" ht="19" customHeight="1" spans="1:5">
      <c r="A677" s="4">
        <v>100011682017</v>
      </c>
      <c r="B677" s="4" t="s">
        <v>1394</v>
      </c>
      <c r="C677" s="4" t="s">
        <v>1340</v>
      </c>
      <c r="D677" s="4" t="s">
        <v>32</v>
      </c>
      <c r="E677" s="4" t="s">
        <v>1</v>
      </c>
    </row>
    <row r="678" ht="19" customHeight="1" spans="1:5">
      <c r="A678" s="4">
        <v>100022391456</v>
      </c>
      <c r="B678" s="4" t="s">
        <v>1395</v>
      </c>
      <c r="C678" s="4" t="s">
        <v>1342</v>
      </c>
      <c r="D678" s="4" t="s">
        <v>32</v>
      </c>
      <c r="E678" s="4" t="s">
        <v>1</v>
      </c>
    </row>
    <row r="679" ht="19" customHeight="1" spans="1:5">
      <c r="A679" s="4">
        <v>100022391474</v>
      </c>
      <c r="B679" s="4" t="s">
        <v>1396</v>
      </c>
      <c r="C679" s="4" t="s">
        <v>1101</v>
      </c>
      <c r="D679" s="4" t="s">
        <v>32</v>
      </c>
      <c r="E679" s="4" t="s">
        <v>1</v>
      </c>
    </row>
    <row r="680" ht="19" customHeight="1" spans="1:5">
      <c r="A680" s="4">
        <v>100022391506</v>
      </c>
      <c r="B680" s="4" t="s">
        <v>1332</v>
      </c>
      <c r="C680" s="4" t="s">
        <v>1318</v>
      </c>
      <c r="D680" s="4" t="s">
        <v>252</v>
      </c>
      <c r="E680" s="4" t="s">
        <v>1</v>
      </c>
    </row>
    <row r="681" ht="19" customHeight="1" spans="1:5">
      <c r="A681" s="4">
        <v>100022391458</v>
      </c>
      <c r="B681" s="4" t="s">
        <v>1397</v>
      </c>
      <c r="C681" s="4" t="s">
        <v>1398</v>
      </c>
      <c r="D681" s="4" t="s">
        <v>252</v>
      </c>
      <c r="E681" s="4" t="s">
        <v>1</v>
      </c>
    </row>
    <row r="682" ht="19" customHeight="1" spans="1:5">
      <c r="A682" s="4">
        <v>100022391486</v>
      </c>
      <c r="B682" s="4" t="s">
        <v>350</v>
      </c>
      <c r="C682" s="4" t="s">
        <v>765</v>
      </c>
      <c r="D682" s="4" t="s">
        <v>32</v>
      </c>
      <c r="E682" s="4" t="s">
        <v>1</v>
      </c>
    </row>
    <row r="683" ht="19" customHeight="1" spans="1:5">
      <c r="A683" s="4">
        <v>10097164036137</v>
      </c>
      <c r="B683" s="4" t="s">
        <v>1399</v>
      </c>
      <c r="C683" s="4" t="s">
        <v>585</v>
      </c>
      <c r="D683" s="4" t="s">
        <v>585</v>
      </c>
      <c r="E683" s="4" t="s">
        <v>1</v>
      </c>
    </row>
    <row r="684" ht="19" customHeight="1" spans="1:5">
      <c r="A684" s="4">
        <v>100022391472</v>
      </c>
      <c r="B684" s="4" t="s">
        <v>1400</v>
      </c>
      <c r="C684" s="4" t="s">
        <v>1401</v>
      </c>
      <c r="D684" s="4" t="s">
        <v>252</v>
      </c>
      <c r="E684" s="4" t="s">
        <v>1</v>
      </c>
    </row>
    <row r="685" ht="19" customHeight="1" spans="1:5">
      <c r="A685" s="4">
        <v>100022391484</v>
      </c>
      <c r="B685" s="4" t="s">
        <v>1334</v>
      </c>
      <c r="C685" s="4" t="s">
        <v>1320</v>
      </c>
      <c r="D685" s="4" t="s">
        <v>252</v>
      </c>
      <c r="E685" s="4" t="s">
        <v>1</v>
      </c>
    </row>
    <row r="686" ht="19" customHeight="1" spans="1:5">
      <c r="A686" s="4">
        <v>100022642360</v>
      </c>
      <c r="B686" s="4" t="s">
        <v>463</v>
      </c>
      <c r="C686" s="4" t="s">
        <v>76</v>
      </c>
      <c r="D686" s="4" t="s">
        <v>32</v>
      </c>
      <c r="E686" s="4" t="s">
        <v>1</v>
      </c>
    </row>
    <row r="687" ht="19" customHeight="1" spans="1:5">
      <c r="A687" s="4">
        <v>100022643168</v>
      </c>
      <c r="B687" s="4" t="s">
        <v>465</v>
      </c>
      <c r="C687" s="4" t="s">
        <v>87</v>
      </c>
      <c r="D687" s="4" t="s">
        <v>32</v>
      </c>
      <c r="E687" s="4" t="s">
        <v>1</v>
      </c>
    </row>
    <row r="688" ht="19" customHeight="1" spans="1:5">
      <c r="A688" s="4">
        <v>100011844167</v>
      </c>
      <c r="B688" s="4" t="s">
        <v>1393</v>
      </c>
      <c r="C688" s="4" t="s">
        <v>1402</v>
      </c>
      <c r="D688" s="4" t="s">
        <v>32</v>
      </c>
      <c r="E688" s="4" t="s">
        <v>1</v>
      </c>
    </row>
    <row r="689" ht="19" customHeight="1" spans="1:5">
      <c r="A689" s="4">
        <v>100012928881</v>
      </c>
      <c r="B689" s="4" t="s">
        <v>1403</v>
      </c>
      <c r="C689" s="4" t="s">
        <v>585</v>
      </c>
      <c r="D689" s="4" t="s">
        <v>585</v>
      </c>
      <c r="E689" s="4" t="s">
        <v>1</v>
      </c>
    </row>
    <row r="690" ht="19" customHeight="1" spans="1:5">
      <c r="A690" s="4">
        <v>100012934637</v>
      </c>
      <c r="B690" s="4" t="s">
        <v>1404</v>
      </c>
      <c r="C690" s="4" t="s">
        <v>997</v>
      </c>
      <c r="D690" s="4" t="s">
        <v>252</v>
      </c>
      <c r="E690" s="4" t="s">
        <v>1</v>
      </c>
    </row>
    <row r="691" ht="19" customHeight="1" spans="1:5">
      <c r="A691" s="4">
        <v>100024539022</v>
      </c>
      <c r="B691" s="4" t="s">
        <v>1405</v>
      </c>
      <c r="C691" s="4" t="s">
        <v>265</v>
      </c>
      <c r="D691" s="4" t="s">
        <v>252</v>
      </c>
      <c r="E691" s="4" t="s">
        <v>1</v>
      </c>
    </row>
    <row r="692" ht="19" customHeight="1" spans="1:5">
      <c r="A692" s="4">
        <v>100024530152</v>
      </c>
      <c r="B692" s="4" t="s">
        <v>1406</v>
      </c>
      <c r="C692" s="4" t="s">
        <v>585</v>
      </c>
      <c r="D692" s="4" t="s">
        <v>585</v>
      </c>
      <c r="E692" s="4" t="s">
        <v>1</v>
      </c>
    </row>
    <row r="693" ht="19" customHeight="1" spans="1:5">
      <c r="A693" s="4">
        <v>100024538996</v>
      </c>
      <c r="B693" s="4" t="s">
        <v>1407</v>
      </c>
      <c r="C693" s="4" t="s">
        <v>1408</v>
      </c>
      <c r="D693" s="4" t="s">
        <v>252</v>
      </c>
      <c r="E693" s="4" t="s">
        <v>1</v>
      </c>
    </row>
    <row r="694" ht="19" customHeight="1" spans="1:5">
      <c r="A694" s="4">
        <v>100024539004</v>
      </c>
      <c r="B694" s="4" t="s">
        <v>1409</v>
      </c>
      <c r="C694" s="4" t="s">
        <v>273</v>
      </c>
      <c r="D694" s="4" t="s">
        <v>252</v>
      </c>
      <c r="E694" s="4" t="s">
        <v>1</v>
      </c>
    </row>
    <row r="695" ht="19" customHeight="1" spans="1:5">
      <c r="A695" s="4">
        <v>100024653662</v>
      </c>
      <c r="B695" s="4" t="s">
        <v>1405</v>
      </c>
      <c r="C695" s="4" t="s">
        <v>265</v>
      </c>
      <c r="D695" s="4" t="s">
        <v>252</v>
      </c>
      <c r="E695" s="4" t="s">
        <v>1</v>
      </c>
    </row>
    <row r="696" ht="19" customHeight="1" spans="1:5">
      <c r="A696" s="4">
        <v>100068280115</v>
      </c>
      <c r="B696" s="4" t="s">
        <v>1410</v>
      </c>
      <c r="C696" s="4" t="s">
        <v>502</v>
      </c>
      <c r="D696" s="4" t="s">
        <v>478</v>
      </c>
      <c r="E696" s="4" t="s">
        <v>1</v>
      </c>
    </row>
    <row r="697" ht="19" customHeight="1" spans="1:5">
      <c r="A697" s="4">
        <v>100066733312</v>
      </c>
      <c r="B697" s="4" t="s">
        <v>1411</v>
      </c>
      <c r="C697" s="4" t="s">
        <v>516</v>
      </c>
      <c r="D697" s="4" t="s">
        <v>478</v>
      </c>
      <c r="E697" s="4" t="s">
        <v>1</v>
      </c>
    </row>
    <row r="698" ht="19" customHeight="1" spans="1:5">
      <c r="A698" s="4">
        <v>100068280113</v>
      </c>
      <c r="B698" s="4" t="s">
        <v>1412</v>
      </c>
      <c r="C698" s="4" t="s">
        <v>1413</v>
      </c>
      <c r="D698" s="4" t="s">
        <v>478</v>
      </c>
      <c r="E698" s="4" t="s">
        <v>1</v>
      </c>
    </row>
    <row r="699" ht="19" customHeight="1" spans="1:5">
      <c r="A699" s="2">
        <v>100069368154</v>
      </c>
      <c r="B699" s="4" t="s">
        <v>1414</v>
      </c>
      <c r="C699" s="4" t="s">
        <v>1415</v>
      </c>
      <c r="D699" s="4" t="s">
        <v>478</v>
      </c>
      <c r="E699" s="4" t="s">
        <v>1</v>
      </c>
    </row>
    <row r="700" ht="19" customHeight="1" spans="1:5">
      <c r="A700" s="2">
        <v>100069172537</v>
      </c>
      <c r="B700" s="4" t="s">
        <v>398</v>
      </c>
      <c r="C700" s="4" t="s">
        <v>1416</v>
      </c>
      <c r="D700" s="4" t="s">
        <v>478</v>
      </c>
      <c r="E700" s="4" t="s">
        <v>1</v>
      </c>
    </row>
    <row r="701" ht="19" customHeight="1" spans="1:5">
      <c r="A701" s="4">
        <v>100071751860</v>
      </c>
      <c r="B701" s="4" t="s">
        <v>427</v>
      </c>
      <c r="C701" s="4" t="s">
        <v>1417</v>
      </c>
      <c r="D701" s="4" t="s">
        <v>478</v>
      </c>
      <c r="E701" s="4" t="s">
        <v>1</v>
      </c>
    </row>
    <row r="702" ht="19" customHeight="1" spans="1:5">
      <c r="A702" s="4">
        <v>100064684654</v>
      </c>
      <c r="B702" s="4" t="s">
        <v>1418</v>
      </c>
      <c r="C702" s="4" t="s">
        <v>1419</v>
      </c>
      <c r="D702" s="4" t="s">
        <v>478</v>
      </c>
      <c r="E702" s="4" t="s">
        <v>1</v>
      </c>
    </row>
    <row r="703" ht="19" customHeight="1" spans="1:5">
      <c r="A703" s="4">
        <v>100071623195</v>
      </c>
      <c r="B703" s="4" t="s">
        <v>416</v>
      </c>
      <c r="C703" s="4" t="s">
        <v>601</v>
      </c>
      <c r="D703" s="4" t="s">
        <v>478</v>
      </c>
      <c r="E703" s="4" t="s">
        <v>1</v>
      </c>
    </row>
    <row r="704" ht="19" customHeight="1" spans="1:5">
      <c r="A704" s="4">
        <v>100072387214</v>
      </c>
      <c r="B704" s="4" t="s">
        <v>419</v>
      </c>
      <c r="C704" s="4" t="s">
        <v>1420</v>
      </c>
      <c r="D704" s="4" t="s">
        <v>478</v>
      </c>
      <c r="E704" s="4" t="s">
        <v>1</v>
      </c>
    </row>
    <row r="705" ht="19" customHeight="1" spans="1:5">
      <c r="A705" s="4">
        <v>100045397804</v>
      </c>
      <c r="B705" s="4" t="s">
        <v>1421</v>
      </c>
      <c r="C705" s="4" t="s">
        <v>1422</v>
      </c>
      <c r="D705" s="4" t="s">
        <v>478</v>
      </c>
      <c r="E705" s="4" t="s">
        <v>1</v>
      </c>
    </row>
    <row r="706" ht="19" customHeight="1" spans="1:5">
      <c r="A706" s="4">
        <v>100068073174</v>
      </c>
      <c r="B706" s="4" t="s">
        <v>425</v>
      </c>
      <c r="C706" s="4" t="s">
        <v>1423</v>
      </c>
      <c r="D706" s="4" t="s">
        <v>478</v>
      </c>
      <c r="E706" s="4" t="s">
        <v>1</v>
      </c>
    </row>
    <row r="707" ht="19" customHeight="1" spans="1:5">
      <c r="A707" s="4">
        <v>100069368166</v>
      </c>
      <c r="B707" s="4" t="s">
        <v>399</v>
      </c>
      <c r="C707" s="4" t="s">
        <v>1424</v>
      </c>
      <c r="D707" s="4" t="s">
        <v>478</v>
      </c>
      <c r="E707" s="4" t="s">
        <v>1</v>
      </c>
    </row>
    <row r="708" ht="19" customHeight="1" spans="1:5">
      <c r="A708" s="4">
        <v>100066733310</v>
      </c>
      <c r="B708" s="4" t="s">
        <v>1425</v>
      </c>
      <c r="C708" s="4" t="s">
        <v>1426</v>
      </c>
      <c r="D708" s="4" t="s">
        <v>478</v>
      </c>
      <c r="E708" s="4" t="s">
        <v>1</v>
      </c>
    </row>
    <row r="709" ht="19" customHeight="1" spans="1:5">
      <c r="A709" s="4">
        <v>100068280133</v>
      </c>
      <c r="B709" s="4" t="s">
        <v>1427</v>
      </c>
      <c r="C709" s="4" t="s">
        <v>520</v>
      </c>
      <c r="D709" s="4" t="s">
        <v>478</v>
      </c>
      <c r="E709" s="4" t="s">
        <v>1</v>
      </c>
    </row>
    <row r="710" ht="19" customHeight="1" spans="1:5">
      <c r="A710" s="4">
        <v>100066733296</v>
      </c>
      <c r="B710" s="4" t="s">
        <v>1428</v>
      </c>
      <c r="C710" s="4" t="s">
        <v>1429</v>
      </c>
      <c r="D710" s="4" t="s">
        <v>478</v>
      </c>
      <c r="E710" s="4" t="s">
        <v>1</v>
      </c>
    </row>
    <row r="711" ht="19" customHeight="1" spans="1:5">
      <c r="A711" s="4">
        <v>100067343450</v>
      </c>
      <c r="B711" s="4" t="s">
        <v>1430</v>
      </c>
      <c r="C711" s="4" t="s">
        <v>1431</v>
      </c>
      <c r="D711" s="4" t="s">
        <v>478</v>
      </c>
      <c r="E711" s="4" t="s">
        <v>1</v>
      </c>
    </row>
    <row r="712" ht="19" customHeight="1" spans="1:5">
      <c r="A712" s="4">
        <v>100070033623</v>
      </c>
      <c r="B712" s="4" t="s">
        <v>1432</v>
      </c>
      <c r="C712" s="4" t="s">
        <v>1433</v>
      </c>
      <c r="D712" s="4" t="s">
        <v>478</v>
      </c>
      <c r="E712" s="4" t="s">
        <v>1</v>
      </c>
    </row>
    <row r="713" ht="19" customHeight="1" spans="1:5">
      <c r="A713" s="4">
        <v>100058099334</v>
      </c>
      <c r="B713" s="4" t="s">
        <v>1434</v>
      </c>
      <c r="C713" s="4" t="s">
        <v>1435</v>
      </c>
      <c r="D713" s="4" t="s">
        <v>252</v>
      </c>
      <c r="E713" s="4" t="s">
        <v>1</v>
      </c>
    </row>
    <row r="714" ht="19" customHeight="1" spans="1:5">
      <c r="A714" s="4">
        <v>100039988554</v>
      </c>
      <c r="B714" s="4" t="s">
        <v>422</v>
      </c>
      <c r="C714" s="4" t="s">
        <v>585</v>
      </c>
      <c r="D714" s="4" t="s">
        <v>32</v>
      </c>
      <c r="E714" s="4" t="s">
        <v>1</v>
      </c>
    </row>
    <row r="715" ht="19" customHeight="1" spans="1:5">
      <c r="A715" s="4">
        <v>100068687237</v>
      </c>
      <c r="B715" s="4" t="s">
        <v>1436</v>
      </c>
      <c r="C715" s="4" t="s">
        <v>1437</v>
      </c>
      <c r="D715" s="4" t="s">
        <v>478</v>
      </c>
      <c r="E715" s="4" t="s">
        <v>1</v>
      </c>
    </row>
    <row r="716" ht="19" customHeight="1" spans="1:5">
      <c r="A716" s="4">
        <v>100067343426</v>
      </c>
      <c r="B716" s="4" t="s">
        <v>1438</v>
      </c>
      <c r="C716" s="4" t="s">
        <v>1439</v>
      </c>
      <c r="D716" s="4" t="s">
        <v>478</v>
      </c>
      <c r="E716" s="4" t="s">
        <v>1</v>
      </c>
    </row>
    <row r="717" ht="19" customHeight="1" spans="1:5">
      <c r="A717" s="4">
        <v>100072785977</v>
      </c>
      <c r="B717" s="4" t="s">
        <v>417</v>
      </c>
      <c r="C717" s="4" t="s">
        <v>585</v>
      </c>
      <c r="D717" s="4" t="s">
        <v>585</v>
      </c>
      <c r="E717" s="4" t="s">
        <v>1</v>
      </c>
    </row>
    <row r="718" ht="19" customHeight="1" spans="1:5">
      <c r="A718" s="4">
        <v>100067343452</v>
      </c>
      <c r="B718" s="4" t="s">
        <v>1440</v>
      </c>
      <c r="C718" s="4" t="s">
        <v>1441</v>
      </c>
      <c r="D718" s="4" t="s">
        <v>478</v>
      </c>
      <c r="E718" s="4" t="s">
        <v>1</v>
      </c>
    </row>
    <row r="719" ht="19" customHeight="1" spans="1:5">
      <c r="A719" s="4">
        <v>100068687251</v>
      </c>
      <c r="B719" s="4" t="s">
        <v>1442</v>
      </c>
      <c r="C719" s="4" t="s">
        <v>1443</v>
      </c>
      <c r="D719" s="4" t="s">
        <v>478</v>
      </c>
      <c r="E719" s="4" t="s">
        <v>1</v>
      </c>
    </row>
    <row r="720" ht="19" customHeight="1" spans="1:5">
      <c r="A720" s="4">
        <v>100068687233</v>
      </c>
      <c r="B720" s="4" t="s">
        <v>1444</v>
      </c>
      <c r="C720" s="4" t="s">
        <v>1445</v>
      </c>
      <c r="D720" s="4" t="s">
        <v>478</v>
      </c>
      <c r="E720" s="4" t="s">
        <v>1</v>
      </c>
    </row>
    <row r="721" ht="19" customHeight="1" spans="1:5">
      <c r="A721" s="4">
        <v>100067343444</v>
      </c>
      <c r="B721" s="4" t="s">
        <v>1446</v>
      </c>
      <c r="C721" s="4" t="s">
        <v>1447</v>
      </c>
      <c r="D721" s="4" t="s">
        <v>478</v>
      </c>
      <c r="E721" s="4" t="s">
        <v>1</v>
      </c>
    </row>
    <row r="722" ht="19" customHeight="1" spans="1:5">
      <c r="A722" s="4">
        <v>100068687249</v>
      </c>
      <c r="B722" s="4" t="s">
        <v>1448</v>
      </c>
      <c r="C722" s="4" t="s">
        <v>1449</v>
      </c>
      <c r="D722" s="4" t="s">
        <v>478</v>
      </c>
      <c r="E722" s="4" t="s">
        <v>1</v>
      </c>
    </row>
    <row r="723" ht="19" customHeight="1" spans="1:5">
      <c r="A723" s="4">
        <v>100034078829</v>
      </c>
      <c r="B723" s="4" t="s">
        <v>1450</v>
      </c>
      <c r="C723" s="4" t="s">
        <v>863</v>
      </c>
      <c r="D723" s="4" t="s">
        <v>478</v>
      </c>
      <c r="E723" s="4" t="s">
        <v>1</v>
      </c>
    </row>
    <row r="724" ht="19" customHeight="1" spans="1:5">
      <c r="A724" s="4">
        <v>100066913387</v>
      </c>
      <c r="B724" s="4" t="s">
        <v>1451</v>
      </c>
      <c r="C724" s="4" t="s">
        <v>1452</v>
      </c>
      <c r="D724" s="4" t="s">
        <v>478</v>
      </c>
      <c r="E724" s="4" t="s">
        <v>1</v>
      </c>
    </row>
    <row r="725" ht="19" customHeight="1" spans="1:5">
      <c r="A725" s="4">
        <v>100067530845</v>
      </c>
      <c r="B725" s="4" t="s">
        <v>1453</v>
      </c>
      <c r="C725" s="4" t="s">
        <v>1454</v>
      </c>
      <c r="D725" s="4" t="s">
        <v>494</v>
      </c>
      <c r="E725" s="4" t="s">
        <v>1</v>
      </c>
    </row>
    <row r="726" ht="19" customHeight="1" spans="1:5">
      <c r="A726" s="4">
        <v>100067530821</v>
      </c>
      <c r="B726" s="4" t="s">
        <v>1455</v>
      </c>
      <c r="C726" s="4" t="s">
        <v>1456</v>
      </c>
      <c r="D726" s="4" t="s">
        <v>494</v>
      </c>
      <c r="E726" s="4" t="s">
        <v>1</v>
      </c>
    </row>
    <row r="727" ht="19" customHeight="1" spans="1:5">
      <c r="A727" s="4">
        <v>100065607444</v>
      </c>
      <c r="B727" s="4" t="s">
        <v>1457</v>
      </c>
      <c r="C727" s="4" t="s">
        <v>1458</v>
      </c>
      <c r="D727" s="4" t="s">
        <v>494</v>
      </c>
      <c r="E727" s="4" t="s">
        <v>1</v>
      </c>
    </row>
    <row r="728" ht="19" customHeight="1" spans="1:5">
      <c r="A728" s="4">
        <v>100038645335</v>
      </c>
      <c r="B728" s="4" t="s">
        <v>1459</v>
      </c>
      <c r="C728" s="4" t="s">
        <v>634</v>
      </c>
      <c r="D728" s="4" t="s">
        <v>252</v>
      </c>
      <c r="E728" s="4" t="s">
        <v>1</v>
      </c>
    </row>
    <row r="729" ht="19" customHeight="1" spans="1:5">
      <c r="A729" s="4">
        <v>100058099356</v>
      </c>
      <c r="B729" s="4" t="s">
        <v>1460</v>
      </c>
      <c r="C729" s="4" t="s">
        <v>1461</v>
      </c>
      <c r="D729" s="4" t="s">
        <v>252</v>
      </c>
      <c r="E729" s="4" t="s">
        <v>1</v>
      </c>
    </row>
    <row r="730" ht="19" customHeight="1" spans="1:5">
      <c r="A730" s="4">
        <v>100013010595</v>
      </c>
      <c r="B730" s="4" t="s">
        <v>1407</v>
      </c>
      <c r="C730" s="4" t="s">
        <v>1408</v>
      </c>
      <c r="D730" s="4" t="s">
        <v>252</v>
      </c>
      <c r="E730" s="4" t="s">
        <v>1</v>
      </c>
    </row>
    <row r="731" ht="19" customHeight="1" spans="1:5">
      <c r="A731" s="4">
        <v>100024653620</v>
      </c>
      <c r="B731" s="4" t="s">
        <v>1409</v>
      </c>
      <c r="C731" s="4" t="s">
        <v>273</v>
      </c>
      <c r="D731" s="4" t="s">
        <v>252</v>
      </c>
      <c r="E731" s="4" t="s">
        <v>1</v>
      </c>
    </row>
    <row r="732" ht="19" customHeight="1" spans="1:5">
      <c r="A732" s="4">
        <v>100024653630</v>
      </c>
      <c r="B732" s="4" t="s">
        <v>1404</v>
      </c>
      <c r="C732" s="4" t="s">
        <v>997</v>
      </c>
      <c r="D732" s="4" t="s">
        <v>252</v>
      </c>
      <c r="E732" s="4" t="s">
        <v>1</v>
      </c>
    </row>
    <row r="733" ht="19" customHeight="1" spans="1:5">
      <c r="A733" s="4">
        <v>100013268345</v>
      </c>
      <c r="B733" s="4" t="s">
        <v>1462</v>
      </c>
      <c r="C733" s="4" t="s">
        <v>585</v>
      </c>
      <c r="D733" s="4" t="s">
        <v>585</v>
      </c>
      <c r="E733" s="4" t="s">
        <v>1</v>
      </c>
    </row>
    <row r="734" ht="19" customHeight="1" spans="1:5">
      <c r="A734" s="4">
        <v>100025041464</v>
      </c>
      <c r="B734" s="4" t="s">
        <v>1463</v>
      </c>
      <c r="C734" s="4" t="s">
        <v>1464</v>
      </c>
      <c r="D734" s="4" t="s">
        <v>609</v>
      </c>
      <c r="E734" s="4" t="s">
        <v>1</v>
      </c>
    </row>
    <row r="735" ht="19" customHeight="1" spans="1:5">
      <c r="A735" s="4">
        <v>100025041462</v>
      </c>
      <c r="B735" s="4" t="s">
        <v>1465</v>
      </c>
      <c r="C735" s="4" t="s">
        <v>1466</v>
      </c>
      <c r="D735" s="4" t="s">
        <v>609</v>
      </c>
      <c r="E735" s="4" t="s">
        <v>1</v>
      </c>
    </row>
    <row r="736" ht="19" customHeight="1" spans="1:5">
      <c r="A736" s="4">
        <v>100025871938</v>
      </c>
      <c r="B736" s="4" t="s">
        <v>1467</v>
      </c>
      <c r="C736" s="4" t="s">
        <v>1468</v>
      </c>
      <c r="D736" s="4" t="s">
        <v>32</v>
      </c>
      <c r="E736" s="4" t="s">
        <v>1</v>
      </c>
    </row>
    <row r="737" ht="19" customHeight="1" spans="1:5">
      <c r="A737" s="4">
        <v>100025871944</v>
      </c>
      <c r="B737" s="4" t="s">
        <v>1469</v>
      </c>
      <c r="C737" s="4" t="s">
        <v>1470</v>
      </c>
      <c r="D737" s="4" t="s">
        <v>32</v>
      </c>
      <c r="E737" s="4" t="s">
        <v>1</v>
      </c>
    </row>
    <row r="738" ht="19" customHeight="1" spans="1:5">
      <c r="A738" s="4">
        <v>100025871956</v>
      </c>
      <c r="B738" s="4" t="s">
        <v>1471</v>
      </c>
      <c r="C738" s="4" t="s">
        <v>1472</v>
      </c>
      <c r="D738" s="4" t="s">
        <v>32</v>
      </c>
      <c r="E738" s="4" t="s">
        <v>1</v>
      </c>
    </row>
    <row r="739" ht="19" customHeight="1" spans="1:5">
      <c r="A739" s="4">
        <v>100014130481</v>
      </c>
      <c r="B739" s="4" t="s">
        <v>379</v>
      </c>
      <c r="C739" s="4" t="s">
        <v>1473</v>
      </c>
      <c r="D739" s="4" t="s">
        <v>494</v>
      </c>
      <c r="E739" s="4" t="s">
        <v>1</v>
      </c>
    </row>
    <row r="740" ht="19" customHeight="1" spans="1:5">
      <c r="A740" s="4">
        <v>100016660181</v>
      </c>
      <c r="B740" s="4" t="s">
        <v>1474</v>
      </c>
      <c r="C740" s="4" t="s">
        <v>1475</v>
      </c>
      <c r="D740" s="4" t="s">
        <v>494</v>
      </c>
      <c r="E740" s="4" t="s">
        <v>1</v>
      </c>
    </row>
    <row r="741" ht="19" customHeight="1" spans="1:5">
      <c r="A741" s="4">
        <v>100016660195</v>
      </c>
      <c r="B741" s="4" t="s">
        <v>1476</v>
      </c>
      <c r="C741" s="4" t="s">
        <v>1477</v>
      </c>
      <c r="D741" s="4" t="s">
        <v>494</v>
      </c>
      <c r="E741" s="4" t="s">
        <v>1</v>
      </c>
    </row>
    <row r="742" ht="19" customHeight="1" spans="1:5">
      <c r="A742" s="4">
        <v>100013982677</v>
      </c>
      <c r="B742" s="4" t="s">
        <v>438</v>
      </c>
      <c r="C742" s="4" t="s">
        <v>1478</v>
      </c>
      <c r="D742" s="4" t="s">
        <v>494</v>
      </c>
      <c r="E742" s="4" t="s">
        <v>1</v>
      </c>
    </row>
    <row r="743" ht="19" customHeight="1" spans="1:5">
      <c r="A743" s="4">
        <v>100025995520</v>
      </c>
      <c r="B743" s="4" t="s">
        <v>1479</v>
      </c>
      <c r="C743" s="4" t="s">
        <v>1480</v>
      </c>
      <c r="D743" s="4" t="s">
        <v>478</v>
      </c>
      <c r="E743" s="4" t="s">
        <v>1</v>
      </c>
    </row>
    <row r="744" ht="19" customHeight="1" spans="1:5">
      <c r="A744" s="4">
        <v>100026066254</v>
      </c>
      <c r="B744" s="4" t="s">
        <v>1481</v>
      </c>
      <c r="C744" s="4" t="s">
        <v>1482</v>
      </c>
      <c r="D744" s="4" t="s">
        <v>478</v>
      </c>
      <c r="E744" s="4" t="s">
        <v>1</v>
      </c>
    </row>
    <row r="745" ht="19" customHeight="1" spans="1:5">
      <c r="A745" s="4">
        <v>100014985859</v>
      </c>
      <c r="B745" s="4" t="s">
        <v>1483</v>
      </c>
      <c r="C745" s="4" t="s">
        <v>1484</v>
      </c>
      <c r="D745" s="4" t="s">
        <v>478</v>
      </c>
      <c r="E745" s="4" t="s">
        <v>1</v>
      </c>
    </row>
    <row r="746" ht="19" customHeight="1" spans="1:5">
      <c r="A746" s="4">
        <v>100027619242</v>
      </c>
      <c r="B746" s="4" t="s">
        <v>1485</v>
      </c>
      <c r="C746" s="4" t="s">
        <v>1486</v>
      </c>
      <c r="D746" s="4" t="s">
        <v>478</v>
      </c>
      <c r="E746" s="4" t="s">
        <v>1</v>
      </c>
    </row>
    <row r="747" ht="19" customHeight="1" spans="1:5">
      <c r="A747" s="4">
        <v>100038009912</v>
      </c>
      <c r="B747" s="4" t="s">
        <v>1487</v>
      </c>
      <c r="C747" s="4" t="s">
        <v>924</v>
      </c>
      <c r="D747" s="4" t="s">
        <v>478</v>
      </c>
      <c r="E747" s="4" t="s">
        <v>1</v>
      </c>
    </row>
    <row r="748" ht="19" customHeight="1" spans="1:5">
      <c r="A748" s="4">
        <v>100038311384</v>
      </c>
      <c r="B748" s="4" t="s">
        <v>1488</v>
      </c>
      <c r="C748" s="4" t="s">
        <v>1489</v>
      </c>
      <c r="D748" s="4" t="s">
        <v>478</v>
      </c>
      <c r="E748" s="4" t="s">
        <v>1</v>
      </c>
    </row>
    <row r="749" ht="19" customHeight="1" spans="1:5">
      <c r="A749" s="4">
        <v>100038009896</v>
      </c>
      <c r="B749" s="4" t="s">
        <v>1490</v>
      </c>
      <c r="C749" s="4" t="s">
        <v>605</v>
      </c>
      <c r="D749" s="4" t="s">
        <v>478</v>
      </c>
      <c r="E749" s="4" t="s">
        <v>1</v>
      </c>
    </row>
    <row r="750" ht="19" customHeight="1" spans="1:5">
      <c r="A750" s="4">
        <v>100027619214</v>
      </c>
      <c r="B750" s="4" t="s">
        <v>1491</v>
      </c>
      <c r="C750" s="4" t="s">
        <v>1492</v>
      </c>
      <c r="D750" s="4" t="s">
        <v>478</v>
      </c>
      <c r="E750" s="4" t="s">
        <v>1</v>
      </c>
    </row>
    <row r="751" ht="19" customHeight="1" spans="1:5">
      <c r="A751" s="4">
        <v>100027619216</v>
      </c>
      <c r="B751" s="4" t="s">
        <v>1493</v>
      </c>
      <c r="C751" s="4" t="s">
        <v>1494</v>
      </c>
      <c r="D751" s="4" t="s">
        <v>478</v>
      </c>
      <c r="E751" s="4" t="s">
        <v>1</v>
      </c>
    </row>
    <row r="752" ht="19" customHeight="1" spans="1:5">
      <c r="A752" s="4">
        <v>100014985871</v>
      </c>
      <c r="B752" s="4" t="s">
        <v>1495</v>
      </c>
      <c r="C752" s="4" t="s">
        <v>1496</v>
      </c>
      <c r="D752" s="4" t="s">
        <v>478</v>
      </c>
      <c r="E752" s="4" t="s">
        <v>1</v>
      </c>
    </row>
    <row r="753" ht="19" customHeight="1" spans="1:5">
      <c r="A753" s="4">
        <v>100027619198</v>
      </c>
      <c r="B753" s="4" t="s">
        <v>1497</v>
      </c>
      <c r="C753" s="4" t="s">
        <v>1498</v>
      </c>
      <c r="D753" s="4" t="s">
        <v>478</v>
      </c>
      <c r="E753" s="4" t="s">
        <v>1</v>
      </c>
    </row>
    <row r="754" ht="19" customHeight="1" spans="1:5">
      <c r="A754" s="4">
        <v>100027619218</v>
      </c>
      <c r="B754" s="4" t="s">
        <v>1499</v>
      </c>
      <c r="C754" s="4" t="s">
        <v>1500</v>
      </c>
      <c r="D754" s="4" t="s">
        <v>478</v>
      </c>
      <c r="E754" s="4" t="s">
        <v>1</v>
      </c>
    </row>
    <row r="755" ht="19" customHeight="1" spans="1:5">
      <c r="A755" s="4">
        <v>100027619224</v>
      </c>
      <c r="B755" s="4" t="s">
        <v>1501</v>
      </c>
      <c r="C755" s="4" t="s">
        <v>1502</v>
      </c>
      <c r="D755" s="4" t="s">
        <v>478</v>
      </c>
      <c r="E755" s="4" t="s">
        <v>1</v>
      </c>
    </row>
    <row r="756" ht="19" customHeight="1" spans="1:5">
      <c r="A756" s="4">
        <v>100027861850</v>
      </c>
      <c r="B756" s="4" t="s">
        <v>1503</v>
      </c>
      <c r="C756" s="4" t="s">
        <v>1480</v>
      </c>
      <c r="D756" s="4" t="s">
        <v>478</v>
      </c>
      <c r="E756" s="4" t="s">
        <v>1</v>
      </c>
    </row>
    <row r="757" ht="19" customHeight="1" spans="1:5">
      <c r="A757" s="4">
        <v>100027861848</v>
      </c>
      <c r="B757" s="4" t="s">
        <v>1504</v>
      </c>
      <c r="C757" s="4" t="s">
        <v>1505</v>
      </c>
      <c r="D757" s="4" t="s">
        <v>609</v>
      </c>
      <c r="E757" s="4" t="s">
        <v>1</v>
      </c>
    </row>
    <row r="758" ht="19" customHeight="1" spans="1:5">
      <c r="A758" s="4">
        <v>100015639037</v>
      </c>
      <c r="B758" s="4" t="s">
        <v>1506</v>
      </c>
      <c r="C758" s="4" t="s">
        <v>1507</v>
      </c>
      <c r="D758" s="4" t="s">
        <v>609</v>
      </c>
      <c r="E758" s="4" t="s">
        <v>1</v>
      </c>
    </row>
    <row r="759" ht="19" customHeight="1" spans="1:5">
      <c r="A759" s="4">
        <v>100028604156</v>
      </c>
      <c r="B759" s="4" t="s">
        <v>1508</v>
      </c>
      <c r="C759" s="4" t="s">
        <v>1509</v>
      </c>
      <c r="D759" s="4" t="s">
        <v>609</v>
      </c>
      <c r="E759" s="4" t="s">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10</vt:i4>
      </vt:variant>
    </vt:vector>
  </HeadingPairs>
  <TitlesOfParts>
    <vt:vector size="10" baseType="lpstr">
      <vt:lpstr>汇总</vt:lpstr>
      <vt:lpstr>单品13GD31</vt:lpstr>
      <vt:lpstr>单品16GD31 </vt:lpstr>
      <vt:lpstr>单品16GD32</vt:lpstr>
      <vt:lpstr>单品16QD06W</vt:lpstr>
      <vt:lpstr>单品2E08MTX</vt:lpstr>
      <vt:lpstr>单品24C39</vt:lpstr>
      <vt:lpstr>大自营-燃热</vt:lpstr>
      <vt:lpstr>出库表</vt:lpstr>
      <vt:lpstr>SKU匹配表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田鹤松</cp:lastModifiedBy>
  <dcterms:created xsi:type="dcterms:W3CDTF">2025-11-21T00:57:00Z</dcterms:created>
  <dcterms:modified xsi:type="dcterms:W3CDTF">2026-02-01T02:03:16Z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0C1394521AF848608EE0F19C06DE68D0_12</vt:lpwstr>
  </property>
  <property fmtid="{D5CDD505-2E9C-101B-9397-08002B2CF9AE}" pid="3" name="KSOProductBuildVer">
    <vt:lpwstr>2052-12.1.0.24657</vt:lpwstr>
  </property>
  <property fmtid="{D5CDD505-2E9C-101B-9397-08002B2CF9AE}" pid="4" name="CalculationRule">
    <vt:i4>0</vt:i4>
  </property>
</Properties>
</file>